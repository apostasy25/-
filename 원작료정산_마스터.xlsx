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612" yWindow="-108" windowWidth="30936" windowHeight="16896" tabRatio="500" firstSheet="0" activeTab="8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업체마스터" sheetId="2" state="visible" r:id="rId2"/>
    <sheet xmlns:r="http://schemas.openxmlformats.org/officeDocument/2006/relationships" name="작품Alias마스터" sheetId="3" state="visible" r:id="rId3"/>
    <sheet xmlns:r="http://schemas.openxmlformats.org/officeDocument/2006/relationships" name="이메일마스터" sheetId="4" state="visible" r:id="rId4"/>
    <sheet xmlns:r="http://schemas.openxmlformats.org/officeDocument/2006/relationships" name="환율마스터" sheetId="5" state="visible" r:id="rId5"/>
    <sheet xmlns:r="http://schemas.openxmlformats.org/officeDocument/2006/relationships" name="선인세MG마스터" sheetId="6" state="visible" r:id="rId6"/>
    <sheet xmlns:r="http://schemas.openxmlformats.org/officeDocument/2006/relationships" name="이월마스터" sheetId="7" state="visible" r:id="rId7"/>
    <sheet xmlns:r="http://schemas.openxmlformats.org/officeDocument/2006/relationships" name="ORPHAN_등록대기" sheetId="8" state="visible" r:id="rId8"/>
    <sheet xmlns:r="http://schemas.openxmlformats.org/officeDocument/2006/relationships" name="설정" sheetId="9" state="visible" r:id="rId9"/>
    <sheet xmlns:r="http://schemas.openxmlformats.org/officeDocument/2006/relationships" name="예외규칙마스터" sheetId="10" state="visible" r:id="rId10"/>
    <sheet xmlns:r="http://schemas.openxmlformats.org/officeDocument/2006/relationships" name="누적정산기준매출원장" sheetId="11" state="visible" r:id="rId11"/>
  </sheets>
  <definedNames>
    <definedName name="_xlnm._FilterDatabase" localSheetId="2" hidden="1">'작품Alias마스터'!$A$3:$Y$86</definedName>
    <definedName name="_xlnm._FilterDatabase" localSheetId="7" hidden="1">'ORPHAN_등록대기'!$A$3:$L$44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30">
    <font>
      <name val="Calibri"/>
      <charset val="1"/>
      <family val="2"/>
      <color theme="1"/>
      <sz val="11"/>
    </font>
    <font>
      <name val="Noto Sans CJK SC"/>
      <family val="2"/>
      <b val="1"/>
      <color rgb="FF1F3864"/>
      <sz val="14"/>
    </font>
    <font>
      <name val="Arial"/>
      <family val="2"/>
      <sz val="10"/>
    </font>
    <font>
      <name val="Noto Sans CJK SC"/>
      <family val="2"/>
      <b val="1"/>
      <color rgb="FF2E75B6"/>
      <sz val="11"/>
    </font>
    <font>
      <name val="Noto Sans CJK SC"/>
      <family val="2"/>
      <sz val="10"/>
    </font>
    <font>
      <name val="Arial"/>
      <family val="2"/>
      <b val="1"/>
      <color rgb="FF1F3864"/>
      <sz val="13"/>
    </font>
    <font>
      <name val="Noto Sans CJK SC"/>
      <family val="2"/>
      <b val="1"/>
      <color rgb="FFFFFFFF"/>
      <sz val="10"/>
    </font>
    <font>
      <name val="Arial"/>
      <family val="2"/>
      <b val="1"/>
      <color rgb="FFFFFFFF"/>
      <sz val="10"/>
    </font>
    <font>
      <name val="Arial"/>
      <family val="2"/>
      <i val="1"/>
      <color rgb="FF7F6000"/>
      <sz val="10"/>
    </font>
    <font>
      <name val="Noto Sans CJK SC"/>
      <family val="2"/>
      <i val="1"/>
      <color rgb="FF7F6000"/>
      <sz val="10"/>
    </font>
    <font>
      <name val="Arial"/>
      <family val="2"/>
      <b val="1"/>
      <color rgb="FF1F3864"/>
      <sz val="9"/>
    </font>
    <font>
      <name val="Arial"/>
      <family val="2"/>
      <i val="1"/>
      <color rgb="FF595959"/>
      <sz val="9"/>
    </font>
    <font>
      <name val="Arial"/>
      <family val="2"/>
      <color rgb="FF0000FF"/>
      <sz val="10"/>
    </font>
    <font>
      <name val="Noto Sans CJK SC"/>
      <family val="2"/>
      <color rgb="FF0000FF"/>
      <sz val="10"/>
    </font>
    <font>
      <name val="돋움"/>
      <charset val="129"/>
      <family val="3"/>
      <sz val="8"/>
    </font>
    <font>
      <name val="맑은 고딕"/>
      <charset val="129"/>
      <family val="2"/>
      <sz val="10"/>
    </font>
    <font>
      <name val="맑은 고딕"/>
      <charset val="129"/>
      <family val="3"/>
      <sz val="10"/>
    </font>
    <font>
      <name val="돋움"/>
      <charset val="129"/>
      <family val="3"/>
      <sz val="10"/>
    </font>
    <font>
      <name val="Arial"/>
      <family val="2"/>
      <b val="1"/>
      <color rgb="FFC00000"/>
      <sz val="12"/>
    </font>
    <font>
      <name val="Arial"/>
      <family val="2"/>
      <b val="1"/>
      <color rgb="FFFFFFFF"/>
      <sz val="10"/>
    </font>
    <font>
      <name val="Arial"/>
      <family val="2"/>
      <sz val="10"/>
    </font>
    <font>
      <name val="맑은 고딕"/>
      <charset val="129"/>
      <family val="2"/>
      <color theme="1"/>
      <sz val="11"/>
    </font>
    <font>
      <name val="맑은 고딕"/>
      <charset val="129"/>
      <family val="3"/>
      <color theme="1"/>
      <sz val="11"/>
    </font>
    <font>
      <name val="Arial"/>
      <b val="1"/>
      <color rgb="001F3864"/>
      <sz val="13"/>
    </font>
    <font>
      <name val="Arial"/>
      <b val="1"/>
      <color rgb="00FFFFFF"/>
      <sz val="10"/>
    </font>
    <font>
      <name val="Arial"/>
      <b val="1"/>
      <color rgb="00595959"/>
      <sz val="10"/>
    </font>
    <font>
      <name val="Arial"/>
      <i val="1"/>
      <color rgb="007F6000"/>
      <sz val="9"/>
    </font>
    <font>
      <name val="Arial"/>
      <b val="1"/>
      <color rgb="001F3864"/>
      <sz val="9"/>
    </font>
    <font>
      <name val="Arial"/>
      <color rgb="00595959"/>
      <sz val="9"/>
    </font>
    <font>
      <name val="맑은 고딕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FFF2CC"/>
        <bgColor rgb="FFFFFFFF"/>
      </patternFill>
    </fill>
    <fill>
      <patternFill patternType="solid">
        <fgColor rgb="FFC00000"/>
      </patternFill>
    </fill>
    <fill>
      <patternFill patternType="solid">
        <fgColor rgb="FFFFF2CC"/>
      </patternFill>
    </fill>
    <fill>
      <patternFill patternType="solid">
        <fgColor rgb="002E75B6"/>
      </patternFill>
    </fill>
    <fill>
      <patternFill patternType="solid">
        <fgColor rgb="00D9D9D9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 wrapText="1"/>
    </xf>
    <xf numFmtId="0" fontId="2" fillId="0" borderId="1" pivotButton="0" quotePrefix="0" xfId="0"/>
    <xf numFmtId="0" fontId="10" fillId="0" borderId="0" pivotButton="0" quotePrefix="0" xfId="0"/>
    <xf numFmtId="0" fontId="11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12" fillId="0" borderId="1" pivotButton="0" quotePrefix="0" xfId="0"/>
    <xf numFmtId="0" fontId="13" fillId="0" borderId="1" pivotButton="0" quotePrefix="0" xfId="0"/>
    <xf numFmtId="0" fontId="16" fillId="0" borderId="1" pivotButton="0" quotePrefix="0" xfId="0"/>
    <xf numFmtId="0" fontId="15" fillId="0" borderId="1" pivotButton="0" quotePrefix="0" xfId="0"/>
    <xf numFmtId="2" fontId="2" fillId="0" borderId="1" pivotButton="0" quotePrefix="0" xfId="0"/>
    <xf numFmtId="3" fontId="2" fillId="0" borderId="1" pivotButton="0" quotePrefix="0" xfId="0"/>
    <xf numFmtId="0" fontId="18" fillId="0" borderId="0" pivotButton="0" quotePrefix="0" xfId="0"/>
    <xf numFmtId="0" fontId="19" fillId="4" borderId="2" applyAlignment="1" pivotButton="0" quotePrefix="0" xfId="0">
      <alignment horizontal="center" vertical="center" wrapText="1"/>
    </xf>
    <xf numFmtId="0" fontId="20" fillId="0" borderId="2" pivotButton="0" quotePrefix="0" xfId="0"/>
    <xf numFmtId="0" fontId="20" fillId="5" borderId="2" pivotButton="0" quotePrefix="0" xfId="0"/>
    <xf numFmtId="2" fontId="20" fillId="0" borderId="2" pivotButton="0" quotePrefix="0" xfId="0"/>
    <xf numFmtId="0" fontId="21" fillId="0" borderId="0" pivotButton="0" quotePrefix="0" xfId="0"/>
    <xf numFmtId="0" fontId="21" fillId="0" borderId="0" pivotButton="0" quotePrefix="0" xfId="0"/>
    <xf numFmtId="0" fontId="23" fillId="0" borderId="0" pivotButton="0" quotePrefix="0" xfId="0"/>
    <xf numFmtId="0" fontId="24" fillId="6" borderId="3" applyAlignment="1" pivotButton="0" quotePrefix="0" xfId="0">
      <alignment horizontal="center" vertical="center" wrapText="1"/>
    </xf>
    <xf numFmtId="0" fontId="25" fillId="7" borderId="3" applyAlignment="1" pivotButton="0" quotePrefix="0" xfId="0">
      <alignment horizontal="center" vertical="center" wrapText="1"/>
    </xf>
    <xf numFmtId="0" fontId="26" fillId="8" borderId="3" pivotButton="0" quotePrefix="0" xfId="0"/>
    <xf numFmtId="0" fontId="26" fillId="7" borderId="3" pivotButton="0" quotePrefix="0" xfId="0"/>
    <xf numFmtId="0" fontId="26" fillId="0" borderId="3" pivotButton="0" quotePrefix="0" xfId="0"/>
    <xf numFmtId="0" fontId="0" fillId="0" borderId="3" pivotButton="0" quotePrefix="0" xfId="0"/>
    <xf numFmtId="0" fontId="0" fillId="7" borderId="3" pivotButton="0" quotePrefix="0" xfId="0"/>
    <xf numFmtId="0" fontId="27" fillId="0" borderId="0" pivotButton="0" quotePrefix="0" xfId="0"/>
    <xf numFmtId="0" fontId="28" fillId="0" borderId="0" pivotButton="0" quotePrefix="0" xfId="0"/>
    <xf numFmtId="0" fontId="29" fillId="6" borderId="1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showGridLines="0" zoomScaleNormal="100" workbookViewId="0">
      <selection activeCell="H30" sqref="H30"/>
    </sheetView>
  </sheetViews>
  <sheetFormatPr baseColWidth="8" defaultColWidth="8.6640625" defaultRowHeight="14.4"/>
  <cols>
    <col width="110" customWidth="1" min="1" max="1"/>
  </cols>
  <sheetData>
    <row r="1" ht="17.4" customHeight="1">
      <c r="A1" s="1" t="inlineStr">
        <is>
          <t>원작료 정산 자동화 — 마스터 입력 양식 (v0.1)</t>
        </is>
      </c>
    </row>
    <row r="2">
      <c r="A2" s="2" t="n"/>
    </row>
    <row r="3">
      <c r="A3" s="3" t="inlineStr">
        <is>
          <t>■ 목적: 프로그램이 읽어 동작하는 '데이터' 파일입니다. 코드와 분리되어 있어, 값은 담당자가 직접 입력·관리합니다.</t>
        </is>
      </c>
    </row>
    <row r="4">
      <c r="A4" s="2" t="n"/>
    </row>
    <row r="5">
      <c r="A5" s="3" t="inlineStr">
        <is>
          <t>■ 개인정보 최소화 원칙</t>
        </is>
      </c>
    </row>
    <row r="6">
      <c r="A6" s="2" t="inlineStr">
        <is>
          <t xml:space="preserve">   · 개인 원작가: 주민번호는 'PDF 암호용 앞 6자리(생년월일)'만 입력합니다. 뒷자리는 입력하지 않습니다.</t>
        </is>
      </c>
    </row>
    <row r="7">
      <c r="A7" s="2" t="inlineStr">
        <is>
          <t xml:space="preserve">   · 계좌번호 칸은 두지 않았습니다(정산서 작성·PDF·메일 자동화에 사용되지 않음).</t>
        </is>
      </c>
    </row>
    <row r="8">
      <c r="A8" s="2" t="inlineStr">
        <is>
          <t xml:space="preserve">   · 이 양식은 빈 상태로 배포됩니다. 노란색 행은 작성 예시이며, 실제 입력 전 삭제하세요.</t>
        </is>
      </c>
    </row>
    <row r="9">
      <c r="A9" s="2" t="n"/>
    </row>
    <row r="10">
      <c r="A10" s="3" t="inlineStr">
        <is>
          <t>■ 시트 구성</t>
        </is>
      </c>
    </row>
    <row r="11">
      <c r="A11" s="2" t="inlineStr">
        <is>
          <t xml:space="preserve">   1) 업체마스터        — 거래처(원작사) 기본정보·분류·발송채널</t>
        </is>
      </c>
    </row>
    <row r="12">
      <c r="A12" s="2" t="inlineStr">
        <is>
          <t xml:space="preserve">   2) 작품Alias마스터   — 작품명 변형 통합 + 원작사 RS율(계약서값)·증빙구분</t>
        </is>
      </c>
    </row>
    <row r="13">
      <c r="A13" s="2" t="inlineStr">
        <is>
          <t xml:space="preserve">   3) 이메일마스터      — 발신/수신/참조/숨은참조·메일양식키</t>
        </is>
      </c>
    </row>
    <row r="14">
      <c r="A14" s="2" t="inlineStr">
        <is>
          <t xml:space="preserve">   4) 환율마스터        — 통화·적용월·월평균 매매기준율(수집/수기)</t>
        </is>
      </c>
    </row>
    <row r="15">
      <c r="A15" s="2" t="inlineStr">
        <is>
          <t xml:space="preserve">   5) 선인세MG마스터    — 작품별 MG 총액·상계·잔여(지급 보류 판정)</t>
        </is>
      </c>
    </row>
    <row r="16">
      <c r="A16" s="2" t="inlineStr">
        <is>
          <t xml:space="preserve">   6) 이월마스터        — 증빙 미수취 등 지급 보류·다음달 합산 대상</t>
        </is>
      </c>
    </row>
    <row r="17">
      <c r="A17" s="2" t="inlineStr">
        <is>
          <t xml:space="preserve">   7) 설정              — 정산년월·회사정보·발송 옵션</t>
        </is>
      </c>
    </row>
    <row r="18">
      <c r="A18" s="2" t="n"/>
    </row>
    <row r="19">
      <c r="A19" s="3" t="inlineStr">
        <is>
          <t>■ 보안 권장: 이 파일에는 파일 암호 또는 시트 보호를 걸고, 권한 있는 담당자만 열도록 관리하세요.</t>
        </is>
      </c>
    </row>
    <row r="20">
      <c r="A20" s="2" t="n"/>
    </row>
    <row r="21">
      <c r="A21" s="3" t="inlineStr">
        <is>
          <t>■ 매칭 키 원칙: 작품은 '작품명'으로만 매칭됩니다(코드 없음). 동명이 다른 회사/거래처에 걸칠 수 있으므로,</t>
        </is>
      </c>
    </row>
    <row r="22">
      <c r="A22" s="4" t="inlineStr">
        <is>
          <t xml:space="preserve">   업체마스터의 '정산주체(회사)'와 작품Alias마스터의 '원작사 업체ID'로 구분합니다.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3"/>
  <sheetViews>
    <sheetView showGridLines="0" zoomScaleNormal="100" workbookViewId="0">
      <pane ySplit="3" topLeftCell="A4" activePane="bottomLeft" state="frozen"/>
      <selection pane="bottomLeft" activeCell="B6" sqref="B6"/>
    </sheetView>
  </sheetViews>
  <sheetFormatPr baseColWidth="8" defaultColWidth="8.6640625" defaultRowHeight="14.4"/>
  <cols>
    <col width="10" customWidth="1" min="1" max="1"/>
    <col width="22" customWidth="1" min="2" max="2"/>
    <col width="14" customWidth="1" min="3" max="3"/>
    <col width="9" customWidth="1" min="4" max="4"/>
    <col width="12" customWidth="1" min="5" max="6"/>
    <col width="15" customWidth="1" min="7" max="7"/>
    <col width="18" customWidth="1" min="8" max="8"/>
    <col width="15.33203125" bestFit="1" customWidth="1" min="9" max="9"/>
    <col width="12" customWidth="1" min="10" max="10"/>
    <col width="9" customWidth="1" min="11" max="11"/>
    <col width="97" bestFit="1" customWidth="1" min="12" max="12"/>
    <col width="20" customWidth="1" min="13" max="13"/>
  </cols>
  <sheetData>
    <row r="1" ht="16.8" customHeight="1">
      <c r="A1" s="5" t="inlineStr">
        <is>
          <t>1. 업체(원작사) 마스터</t>
        </is>
      </c>
    </row>
    <row r="3" ht="26.4" customHeight="1">
      <c r="A3" s="6" t="inlineStr">
        <is>
          <t>업체ID</t>
        </is>
      </c>
      <c r="B3" s="6" t="inlineStr">
        <is>
          <t>업체명</t>
        </is>
      </c>
      <c r="C3" s="6" t="inlineStr">
        <is>
          <t>정산주체(회사)</t>
        </is>
      </c>
      <c r="D3" s="6" t="inlineStr">
        <is>
          <t>유형</t>
        </is>
      </c>
      <c r="E3" s="6" t="inlineStr">
        <is>
          <t>소속</t>
        </is>
      </c>
      <c r="F3" s="6" t="inlineStr">
        <is>
          <t>정산유형</t>
        </is>
      </c>
      <c r="G3" s="6" t="inlineStr">
        <is>
          <t>사업자번호</t>
        </is>
      </c>
      <c r="H3" s="6" t="inlineStr">
        <is>
          <t>주민번호앞6자리(개인)</t>
        </is>
      </c>
      <c r="I3" s="6" t="inlineStr">
        <is>
          <t>발송채널</t>
        </is>
      </c>
      <c r="J3" s="37" t="inlineStr">
        <is>
          <t>증빙구분</t>
        </is>
      </c>
      <c r="K3" s="6" t="inlineStr">
        <is>
          <t>발송여부</t>
        </is>
      </c>
      <c r="L3" s="6" t="inlineStr">
        <is>
          <t>사업자등록증_경로</t>
        </is>
      </c>
      <c r="M3" s="6" t="inlineStr">
        <is>
          <t>비고</t>
        </is>
      </c>
      <c r="N3" t="inlineStr">
        <is>
          <t>발송월</t>
        </is>
      </c>
      <c r="O3" t="inlineStr">
        <is>
          <t>발송오프셋</t>
        </is>
      </c>
      <c r="P3" t="inlineStr">
        <is>
          <t>발송일</t>
        </is>
      </c>
      <c r="Q3" t="inlineStr">
        <is>
          <t>영문업체명</t>
        </is>
      </c>
    </row>
    <row r="4">
      <c r="A4" s="7" t="inlineStr">
        <is>
          <t>V001</t>
        </is>
      </c>
      <c r="B4" s="7" t="inlineStr">
        <is>
          <t>(예시) ○○미디어</t>
        </is>
      </c>
      <c r="C4" s="8" t="inlineStr">
        <is>
          <t>테라핀</t>
        </is>
      </c>
      <c r="D4" s="8" t="inlineStr">
        <is>
          <t>사업자</t>
        </is>
      </c>
      <c r="E4" s="8" t="inlineStr">
        <is>
          <t>국내</t>
        </is>
      </c>
      <c r="F4" s="8" t="inlineStr">
        <is>
          <t>그외</t>
        </is>
      </c>
      <c r="G4" s="7" t="inlineStr">
        <is>
          <t>000-00-00000</t>
        </is>
      </c>
      <c r="H4" s="7" t="n"/>
      <c r="I4" s="7" t="inlineStr">
        <is>
          <t>Outlook</t>
        </is>
      </c>
      <c r="J4" s="8" t="inlineStr">
        <is>
          <t>월간</t>
        </is>
      </c>
      <c r="K4" s="7" t="inlineStr">
        <is>
          <t>Y</t>
        </is>
      </c>
      <c r="L4" s="7" t="inlineStr">
        <is>
          <t>C:\...\테라핀_사업자등록증.pdf</t>
        </is>
      </c>
      <c r="M4" s="8" t="inlineStr">
        <is>
          <t>예시행 — 삭제</t>
        </is>
      </c>
      <c r="N4" t="inlineStr">
        <is>
          <t>매월</t>
        </is>
      </c>
      <c r="O4" t="n">
        <v>0</v>
      </c>
      <c r="P4" t="inlineStr">
        <is>
          <t>말일</t>
        </is>
      </c>
    </row>
    <row r="5" ht="15.6" customHeight="1">
      <c r="A5" s="9" t="inlineStr">
        <is>
          <t>V001</t>
        </is>
      </c>
      <c r="B5" s="9" t="inlineStr">
        <is>
          <t>에이템포미디어</t>
        </is>
      </c>
      <c r="C5" s="16" t="inlineStr">
        <is>
          <t>수성웹툰</t>
        </is>
      </c>
      <c r="D5" s="17" t="inlineStr">
        <is>
          <t>사업자</t>
        </is>
      </c>
      <c r="E5" s="17" t="inlineStr">
        <is>
          <t>국내</t>
        </is>
      </c>
      <c r="F5" s="17" t="inlineStr">
        <is>
          <t>그외</t>
        </is>
      </c>
      <c r="G5" s="9" t="n">
        <v>7528601268</v>
      </c>
      <c r="H5" s="9" t="n"/>
      <c r="I5" s="9" t="inlineStr">
        <is>
          <t>MailPlug</t>
        </is>
      </c>
      <c r="J5" s="17" t="inlineStr">
        <is>
          <t>혼합(국내계산서/해외세금계산서)</t>
        </is>
      </c>
      <c r="K5" s="9" t="inlineStr">
        <is>
          <t>Y</t>
        </is>
      </c>
      <c r="L5" s="9" t="inlineStr">
        <is>
          <t>B:\[04-4] 정산파트\03 정산파트 참고자료\005 수성웹툰 관련자료\000 회사정보 사업자등록증_수성웹툰㈜</t>
        </is>
      </c>
      <c r="M5" s="9" t="n"/>
      <c r="N5" t="inlineStr">
        <is>
          <t>매월</t>
        </is>
      </c>
      <c r="O5" t="n">
        <v>0</v>
      </c>
      <c r="P5" t="inlineStr">
        <is>
          <t>말일</t>
        </is>
      </c>
    </row>
    <row r="6" ht="15.6" customHeight="1">
      <c r="A6" s="9" t="inlineStr">
        <is>
          <t>V002</t>
        </is>
      </c>
      <c r="B6" s="9" t="inlineStr">
        <is>
          <t>테라핀</t>
        </is>
      </c>
      <c r="C6" s="16" t="inlineStr">
        <is>
          <t>수성웹툰</t>
        </is>
      </c>
      <c r="D6" s="17" t="inlineStr">
        <is>
          <t>사업자</t>
        </is>
      </c>
      <c r="E6" s="17" t="inlineStr">
        <is>
          <t>국내</t>
        </is>
      </c>
      <c r="F6" s="17" t="inlineStr">
        <is>
          <t>그외</t>
        </is>
      </c>
      <c r="G6" s="9" t="n">
        <v>2618801446</v>
      </c>
      <c r="H6" s="9" t="n"/>
      <c r="I6" s="9" t="inlineStr">
        <is>
          <t>MailPlug</t>
        </is>
      </c>
      <c r="J6" s="17" t="inlineStr">
        <is>
          <t>세금계산서</t>
        </is>
      </c>
      <c r="K6" s="9" t="inlineStr">
        <is>
          <t>Y</t>
        </is>
      </c>
      <c r="L6" s="9" t="inlineStr">
        <is>
          <t>B:\[04-4] 정산파트\03 정산파트 참고자료\005 수성웹툰 관련자료\000 회사정보 사업자등록증_수성웹툰㈜</t>
        </is>
      </c>
      <c r="M6" s="9" t="n"/>
      <c r="N6" t="inlineStr">
        <is>
          <t>매월</t>
        </is>
      </c>
      <c r="O6" t="n">
        <v>0</v>
      </c>
      <c r="P6" t="inlineStr">
        <is>
          <t>말일</t>
        </is>
      </c>
    </row>
    <row r="7" ht="15.6" customHeight="1">
      <c r="A7" s="9" t="inlineStr">
        <is>
          <t>V003</t>
        </is>
      </c>
      <c r="B7" s="9" t="inlineStr">
        <is>
          <t>디앤씨미디어</t>
        </is>
      </c>
      <c r="C7" s="16" t="inlineStr">
        <is>
          <t>수성웹툰</t>
        </is>
      </c>
      <c r="D7" s="17" t="inlineStr">
        <is>
          <t>사업자</t>
        </is>
      </c>
      <c r="E7" s="17" t="inlineStr">
        <is>
          <t>국내</t>
        </is>
      </c>
      <c r="F7" s="17" t="inlineStr">
        <is>
          <t>그외</t>
        </is>
      </c>
      <c r="G7" s="9" t="n">
        <v>1058767194</v>
      </c>
      <c r="H7" s="9" t="n"/>
      <c r="I7" s="9" t="inlineStr">
        <is>
          <t>MailPlug</t>
        </is>
      </c>
      <c r="J7" s="17" t="inlineStr">
        <is>
          <t>세금계산서</t>
        </is>
      </c>
      <c r="K7" s="9" t="inlineStr">
        <is>
          <t>Y</t>
        </is>
      </c>
      <c r="L7" s="9" t="inlineStr">
        <is>
          <t>B:\[04-4] 정산파트\03 정산파트 참고자료\005 수성웹툰 관련자료\000 회사정보 사업자등록증_수성웹툰㈜</t>
        </is>
      </c>
      <c r="M7" s="9" t="n"/>
      <c r="N7" t="inlineStr">
        <is>
          <t>매월</t>
        </is>
      </c>
      <c r="O7" t="n">
        <v>0</v>
      </c>
      <c r="P7" t="inlineStr">
        <is>
          <t>말일</t>
        </is>
      </c>
    </row>
    <row r="8" ht="15.6" customHeight="1">
      <c r="A8" s="9" t="inlineStr">
        <is>
          <t>V004</t>
        </is>
      </c>
      <c r="B8" s="9" t="inlineStr">
        <is>
          <t>마야마루</t>
        </is>
      </c>
      <c r="C8" s="16" t="inlineStr">
        <is>
          <t>수성웹툰</t>
        </is>
      </c>
      <c r="D8" s="17" t="inlineStr">
        <is>
          <t>사업자</t>
        </is>
      </c>
      <c r="E8" s="17" t="inlineStr">
        <is>
          <t>국내</t>
        </is>
      </c>
      <c r="F8" s="17" t="inlineStr">
        <is>
          <t>그외</t>
        </is>
      </c>
      <c r="G8" s="9" t="n">
        <v>2178125404</v>
      </c>
      <c r="H8" s="9" t="n"/>
      <c r="I8" s="9" t="inlineStr">
        <is>
          <t>MailPlug</t>
        </is>
      </c>
      <c r="J8" s="17" t="inlineStr">
        <is>
          <t>계산서</t>
        </is>
      </c>
      <c r="K8" s="9" t="inlineStr">
        <is>
          <t>Y</t>
        </is>
      </c>
      <c r="L8" s="9" t="inlineStr">
        <is>
          <t>B:\[04-4] 정산파트\03 정산파트 참고자료\005 수성웹툰 관련자료\000 회사정보 사업자등록증_수성웹툰㈜</t>
        </is>
      </c>
      <c r="M8" s="9" t="n"/>
      <c r="N8" t="inlineStr">
        <is>
          <t>매월</t>
        </is>
      </c>
      <c r="O8" t="n">
        <v>0</v>
      </c>
      <c r="P8" t="inlineStr">
        <is>
          <t>말일</t>
        </is>
      </c>
    </row>
    <row r="9" ht="15.6" customHeight="1">
      <c r="A9" s="9" t="inlineStr">
        <is>
          <t>V005</t>
        </is>
      </c>
      <c r="B9" s="9" t="inlineStr">
        <is>
          <t>제이플미디어</t>
        </is>
      </c>
      <c r="C9" s="16" t="inlineStr">
        <is>
          <t>수성웹툰</t>
        </is>
      </c>
      <c r="D9" s="17" t="inlineStr">
        <is>
          <t>사업자</t>
        </is>
      </c>
      <c r="E9" s="17" t="inlineStr">
        <is>
          <t>국내</t>
        </is>
      </c>
      <c r="F9" s="17" t="inlineStr">
        <is>
          <t>그외</t>
        </is>
      </c>
      <c r="G9" s="9" t="n">
        <v>4218600711</v>
      </c>
      <c r="H9" s="9" t="n"/>
      <c r="I9" s="9" t="inlineStr">
        <is>
          <t>MailPlug</t>
        </is>
      </c>
      <c r="J9" s="17" t="inlineStr">
        <is>
          <t>세금계산서</t>
        </is>
      </c>
      <c r="K9" s="9" t="inlineStr">
        <is>
          <t>Y</t>
        </is>
      </c>
      <c r="L9" s="9" t="inlineStr">
        <is>
          <t>B:\[04-4] 정산파트\03 정산파트 참고자료\005 수성웹툰 관련자료\000 회사정보 사업자등록증_수성웹툰㈜</t>
        </is>
      </c>
      <c r="M9" s="9" t="n"/>
      <c r="N9" t="inlineStr">
        <is>
          <t>매월</t>
        </is>
      </c>
      <c r="O9" t="n">
        <v>0</v>
      </c>
      <c r="P9" t="inlineStr">
        <is>
          <t>말일</t>
        </is>
      </c>
    </row>
    <row r="10" ht="15.6" customHeight="1">
      <c r="A10" s="9" t="inlineStr">
        <is>
          <t>V006</t>
        </is>
      </c>
      <c r="B10" s="9" t="inlineStr">
        <is>
          <t>네이버웹툰</t>
        </is>
      </c>
      <c r="C10" s="16" t="inlineStr">
        <is>
          <t>테라핀</t>
        </is>
      </c>
      <c r="D10" s="17" t="inlineStr">
        <is>
          <t>사업자</t>
        </is>
      </c>
      <c r="E10" s="17" t="inlineStr">
        <is>
          <t>국내</t>
        </is>
      </c>
      <c r="F10" s="17" t="inlineStr">
        <is>
          <t>네이버</t>
        </is>
      </c>
      <c r="G10" s="9" t="n">
        <v>6698601888</v>
      </c>
      <c r="H10" s="9" t="n"/>
      <c r="I10" s="9" t="inlineStr">
        <is>
          <t>Outlook</t>
        </is>
      </c>
      <c r="J10" s="17" t="inlineStr">
        <is>
          <t>세금계산서</t>
        </is>
      </c>
      <c r="K10" s="9" t="inlineStr">
        <is>
          <t>Y</t>
        </is>
      </c>
      <c r="L10" s="9" t="inlineStr">
        <is>
          <t>B:\[04-4] 정산파트\02-1 원작사\001 웹툰 원작 정산 [테라핀] 사업자등록증.pdf</t>
        </is>
      </c>
      <c r="M10" s="9" t="n"/>
      <c r="N10" t="inlineStr">
        <is>
          <t>매월</t>
        </is>
      </c>
      <c r="O10" t="n">
        <v>0</v>
      </c>
      <c r="P10" t="inlineStr">
        <is>
          <t>말일</t>
        </is>
      </c>
    </row>
    <row r="11" ht="15.6" customHeight="1">
      <c r="A11" s="9" t="inlineStr">
        <is>
          <t>V007</t>
        </is>
      </c>
      <c r="B11" s="9" t="inlineStr">
        <is>
          <t>KW북스</t>
        </is>
      </c>
      <c r="C11" s="16" t="inlineStr">
        <is>
          <t>테라핀</t>
        </is>
      </c>
      <c r="D11" s="17" t="inlineStr">
        <is>
          <t>사업자</t>
        </is>
      </c>
      <c r="E11" s="17" t="inlineStr">
        <is>
          <t>국내</t>
        </is>
      </c>
      <c r="F11" s="17" t="inlineStr">
        <is>
          <t>그외</t>
        </is>
      </c>
      <c r="G11" s="9" t="n">
        <v>4808800091</v>
      </c>
      <c r="H11" s="9" t="n"/>
      <c r="I11" s="9" t="inlineStr">
        <is>
          <t>Outlook</t>
        </is>
      </c>
      <c r="J11" s="17" t="inlineStr">
        <is>
          <t>세금계산서</t>
        </is>
      </c>
      <c r="K11" s="9" t="inlineStr">
        <is>
          <t>Y</t>
        </is>
      </c>
      <c r="L11" s="9" t="inlineStr">
        <is>
          <t>B:\[04-4] 정산파트\02-1 원작사\001 웹툰 원작 정산 [테라핀] 사업자등록증.pdf</t>
        </is>
      </c>
      <c r="M11" s="9" t="n"/>
      <c r="N11" t="inlineStr">
        <is>
          <t>매월</t>
        </is>
      </c>
      <c r="O11" t="n">
        <v>0</v>
      </c>
      <c r="P11" t="inlineStr">
        <is>
          <t>말일</t>
        </is>
      </c>
    </row>
    <row r="12" ht="15.6" customHeight="1">
      <c r="A12" s="9" t="inlineStr">
        <is>
          <t>V008</t>
        </is>
      </c>
      <c r="B12" s="9" t="inlineStr">
        <is>
          <t>도서출판 가하</t>
        </is>
      </c>
      <c r="C12" s="16" t="inlineStr">
        <is>
          <t>테라핀</t>
        </is>
      </c>
      <c r="D12" s="17" t="inlineStr">
        <is>
          <t>사업자</t>
        </is>
      </c>
      <c r="E12" s="17" t="inlineStr">
        <is>
          <t>국내</t>
        </is>
      </c>
      <c r="F12" s="17" t="inlineStr">
        <is>
          <t>그외</t>
        </is>
      </c>
      <c r="G12" s="9" t="n">
        <v>1071910174</v>
      </c>
      <c r="H12" s="9" t="n"/>
      <c r="I12" s="9" t="inlineStr">
        <is>
          <t>Outlook</t>
        </is>
      </c>
      <c r="J12" s="17" t="inlineStr">
        <is>
          <t>세금계산서</t>
        </is>
      </c>
      <c r="K12" s="9" t="inlineStr">
        <is>
          <t>Y</t>
        </is>
      </c>
      <c r="L12" s="9" t="inlineStr">
        <is>
          <t>B:\[04-4] 정산파트\02-1 원작사\001 웹툰 원작 정산 [테라핀] 사업자등록증.pdf</t>
        </is>
      </c>
      <c r="M12" s="9" t="n"/>
      <c r="N12" t="inlineStr">
        <is>
          <t>매월</t>
        </is>
      </c>
      <c r="O12" t="n">
        <v>0</v>
      </c>
      <c r="P12" t="inlineStr">
        <is>
          <t>말일</t>
        </is>
      </c>
    </row>
    <row r="13" ht="15.6" customHeight="1">
      <c r="A13" s="9" t="inlineStr">
        <is>
          <t>V009</t>
        </is>
      </c>
      <c r="B13" s="9" t="inlineStr">
        <is>
          <t>마야마루</t>
        </is>
      </c>
      <c r="C13" s="16" t="inlineStr">
        <is>
          <t>테라핀</t>
        </is>
      </c>
      <c r="D13" s="17" t="inlineStr">
        <is>
          <t>사업자</t>
        </is>
      </c>
      <c r="E13" s="17" t="inlineStr">
        <is>
          <t>국내</t>
        </is>
      </c>
      <c r="F13" s="17" t="inlineStr">
        <is>
          <t>그외</t>
        </is>
      </c>
      <c r="G13" s="9" t="n">
        <v>2178125404</v>
      </c>
      <c r="H13" s="9" t="n"/>
      <c r="I13" s="9" t="inlineStr">
        <is>
          <t>Outlook</t>
        </is>
      </c>
      <c r="J13" s="17" t="inlineStr">
        <is>
          <t>계산서</t>
        </is>
      </c>
      <c r="K13" s="9" t="inlineStr">
        <is>
          <t>Y</t>
        </is>
      </c>
      <c r="L13" s="9" t="inlineStr">
        <is>
          <t>B:\[04-4] 정산파트\02-1 원작사\001 웹툰 원작 정산 [테라핀] 사업자등록증.pdf</t>
        </is>
      </c>
      <c r="M13" s="9" t="n"/>
      <c r="N13" t="inlineStr">
        <is>
          <t>매월</t>
        </is>
      </c>
      <c r="O13" t="n">
        <v>0</v>
      </c>
      <c r="P13" t="inlineStr">
        <is>
          <t>말일</t>
        </is>
      </c>
    </row>
    <row r="14" ht="15.6" customHeight="1">
      <c r="A14" s="9" t="inlineStr">
        <is>
          <t>V010</t>
        </is>
      </c>
      <c r="B14" s="9" t="inlineStr">
        <is>
          <t>문피아</t>
        </is>
      </c>
      <c r="C14" s="16" t="inlineStr">
        <is>
          <t>테라핀</t>
        </is>
      </c>
      <c r="D14" s="17" t="inlineStr">
        <is>
          <t>사업자</t>
        </is>
      </c>
      <c r="E14" s="17" t="inlineStr">
        <is>
          <t>국내</t>
        </is>
      </c>
      <c r="F14" s="17" t="inlineStr">
        <is>
          <t>그외</t>
        </is>
      </c>
      <c r="G14" s="9" t="n">
        <v>2648108435</v>
      </c>
      <c r="H14" s="9" t="n"/>
      <c r="I14" s="9" t="inlineStr">
        <is>
          <t>Outlook</t>
        </is>
      </c>
      <c r="J14" s="17" t="inlineStr">
        <is>
          <t>세금계산서</t>
        </is>
      </c>
      <c r="K14" s="9" t="inlineStr">
        <is>
          <t>Y</t>
        </is>
      </c>
      <c r="L14" s="9" t="inlineStr">
        <is>
          <t>B:\[04-4] 정산파트\02-1 원작사\001 웹툰 원작 정산 [테라핀] 사업자등록증.pdf</t>
        </is>
      </c>
      <c r="M14" s="9" t="n"/>
      <c r="N14" t="inlineStr">
        <is>
          <t>매월</t>
        </is>
      </c>
      <c r="O14" t="n">
        <v>0</v>
      </c>
      <c r="P14" t="inlineStr">
        <is>
          <t>말일</t>
        </is>
      </c>
    </row>
    <row r="15" ht="15.6" customHeight="1">
      <c r="A15" s="9" t="inlineStr">
        <is>
          <t>V011</t>
        </is>
      </c>
      <c r="B15" s="9" t="inlineStr">
        <is>
          <t>미스터블루</t>
        </is>
      </c>
      <c r="C15" s="16" t="inlineStr">
        <is>
          <t>테라핀</t>
        </is>
      </c>
      <c r="D15" s="17" t="inlineStr">
        <is>
          <t>사업자</t>
        </is>
      </c>
      <c r="E15" s="17" t="inlineStr">
        <is>
          <t>국내</t>
        </is>
      </c>
      <c r="F15" s="17" t="inlineStr">
        <is>
          <t>그외</t>
        </is>
      </c>
      <c r="G15" s="9" t="n">
        <v>1078830967</v>
      </c>
      <c r="H15" s="9" t="n"/>
      <c r="I15" s="9" t="inlineStr">
        <is>
          <t>Outlook</t>
        </is>
      </c>
      <c r="J15" s="17" t="inlineStr">
        <is>
          <t>세금계산서</t>
        </is>
      </c>
      <c r="K15" s="9" t="inlineStr">
        <is>
          <t>Y</t>
        </is>
      </c>
      <c r="L15" s="9" t="inlineStr">
        <is>
          <t>B:\[04-4] 정산파트\02-1 원작사\001 웹툰 원작 정산 [테라핀] 사업자등록증.pdf</t>
        </is>
      </c>
      <c r="M15" s="9" t="n"/>
      <c r="N15" t="inlineStr">
        <is>
          <t>매월</t>
        </is>
      </c>
      <c r="O15" t="n">
        <v>0</v>
      </c>
      <c r="P15" t="inlineStr">
        <is>
          <t>말일</t>
        </is>
      </c>
    </row>
    <row r="16" ht="15.6" customHeight="1">
      <c r="A16" s="9" t="inlineStr">
        <is>
          <t>V012</t>
        </is>
      </c>
      <c r="B16" s="9" t="inlineStr">
        <is>
          <t>뷰컴즈</t>
        </is>
      </c>
      <c r="C16" s="16" t="inlineStr">
        <is>
          <t>테라핀</t>
        </is>
      </c>
      <c r="D16" s="17" t="inlineStr">
        <is>
          <t>사업자</t>
        </is>
      </c>
      <c r="E16" s="17" t="inlineStr">
        <is>
          <t>국내</t>
        </is>
      </c>
      <c r="F16" s="17" t="inlineStr">
        <is>
          <t>그외</t>
        </is>
      </c>
      <c r="G16" s="9" t="n">
        <v>4928801088</v>
      </c>
      <c r="H16" s="9" t="n"/>
      <c r="I16" s="9" t="inlineStr">
        <is>
          <t>Outlook</t>
        </is>
      </c>
      <c r="J16" s="17" t="inlineStr">
        <is>
          <t>세금계산서</t>
        </is>
      </c>
      <c r="K16" s="9" t="inlineStr">
        <is>
          <t>Y</t>
        </is>
      </c>
      <c r="L16" s="9" t="inlineStr">
        <is>
          <t>B:\[04-4] 정산파트\02-1 원작사\001 웹툰 원작 정산 [테라핀] 사업자등록증.pdf</t>
        </is>
      </c>
      <c r="M16" s="9" t="n"/>
      <c r="N16" t="inlineStr">
        <is>
          <t>매월</t>
        </is>
      </c>
      <c r="O16" t="n">
        <v>0</v>
      </c>
      <c r="P16" t="inlineStr">
        <is>
          <t>말일</t>
        </is>
      </c>
    </row>
    <row r="17" ht="15.6" customHeight="1">
      <c r="A17" s="9" t="inlineStr">
        <is>
          <t>V013</t>
        </is>
      </c>
      <c r="B17" s="9" t="inlineStr">
        <is>
          <t>뿔미디어</t>
        </is>
      </c>
      <c r="C17" s="16" t="inlineStr">
        <is>
          <t>테라핀</t>
        </is>
      </c>
      <c r="D17" s="17" t="inlineStr">
        <is>
          <t>사업자</t>
        </is>
      </c>
      <c r="E17" s="17" t="inlineStr">
        <is>
          <t>국내</t>
        </is>
      </c>
      <c r="F17" s="17" t="inlineStr">
        <is>
          <t>그외</t>
        </is>
      </c>
      <c r="G17" s="9" t="n">
        <v>1938100048</v>
      </c>
      <c r="H17" s="9" t="n"/>
      <c r="I17" s="9" t="inlineStr">
        <is>
          <t>Outlook</t>
        </is>
      </c>
      <c r="J17" s="17" t="inlineStr">
        <is>
          <t>세금계산서</t>
        </is>
      </c>
      <c r="K17" s="9" t="inlineStr">
        <is>
          <t>Y</t>
        </is>
      </c>
      <c r="L17" s="9" t="inlineStr">
        <is>
          <t>B:\[04-4] 정산파트\02-1 원작사\001 웹툰 원작 정산 [테라핀] 사업자등록증.pdf</t>
        </is>
      </c>
      <c r="M17" s="9" t="n"/>
      <c r="N17" t="inlineStr">
        <is>
          <t>매월</t>
        </is>
      </c>
      <c r="O17" t="n">
        <v>0</v>
      </c>
      <c r="P17" t="inlineStr">
        <is>
          <t>말일</t>
        </is>
      </c>
    </row>
    <row r="18" ht="15.6" customHeight="1">
      <c r="A18" s="9" t="inlineStr">
        <is>
          <t>V014</t>
        </is>
      </c>
      <c r="B18" s="9" t="inlineStr">
        <is>
          <t>삼양씨앤씨</t>
        </is>
      </c>
      <c r="C18" s="16" t="inlineStr">
        <is>
          <t>테라핀</t>
        </is>
      </c>
      <c r="D18" s="17" t="inlineStr">
        <is>
          <t>사업자</t>
        </is>
      </c>
      <c r="E18" s="17" t="inlineStr">
        <is>
          <t>국내</t>
        </is>
      </c>
      <c r="F18" s="17" t="inlineStr">
        <is>
          <t>그외</t>
        </is>
      </c>
      <c r="G18" s="9" t="n">
        <v>8318801041</v>
      </c>
      <c r="H18" s="9" t="n"/>
      <c r="I18" s="9" t="inlineStr">
        <is>
          <t>Outlook</t>
        </is>
      </c>
      <c r="J18" s="17" t="inlineStr">
        <is>
          <t>세금계산서</t>
        </is>
      </c>
      <c r="K18" s="9" t="inlineStr">
        <is>
          <t>Y</t>
        </is>
      </c>
      <c r="L18" s="9" t="inlineStr">
        <is>
          <t>B:\[04-4] 정산파트\02-1 원작사\001 웹툰 원작 정산 [테라핀] 사업자등록증.pdf</t>
        </is>
      </c>
      <c r="M18" s="9" t="n"/>
      <c r="N18" t="inlineStr">
        <is>
          <t>매월</t>
        </is>
      </c>
      <c r="O18" t="n">
        <v>0</v>
      </c>
      <c r="P18" t="inlineStr">
        <is>
          <t>말일</t>
        </is>
      </c>
    </row>
    <row r="19" ht="15.6" customHeight="1">
      <c r="A19" s="9" t="inlineStr">
        <is>
          <t>V015</t>
        </is>
      </c>
      <c r="B19" s="9" t="inlineStr">
        <is>
          <t>스튜디오 봄봄</t>
        </is>
      </c>
      <c r="C19" s="16" t="inlineStr">
        <is>
          <t>테라핀</t>
        </is>
      </c>
      <c r="D19" s="17" t="inlineStr">
        <is>
          <t>사업자</t>
        </is>
      </c>
      <c r="E19" s="17" t="inlineStr">
        <is>
          <t>국내</t>
        </is>
      </c>
      <c r="F19" s="17" t="inlineStr">
        <is>
          <t>그외</t>
        </is>
      </c>
      <c r="G19" s="9" t="n">
        <v>7448700737</v>
      </c>
      <c r="H19" s="9" t="n"/>
      <c r="I19" s="9" t="inlineStr">
        <is>
          <t>Outlook</t>
        </is>
      </c>
      <c r="J19" s="17" t="inlineStr">
        <is>
          <t>세금계산서</t>
        </is>
      </c>
      <c r="K19" s="9" t="inlineStr">
        <is>
          <t>Y</t>
        </is>
      </c>
      <c r="L19" s="9" t="inlineStr">
        <is>
          <t>B:\[04-4] 정산파트\02-1 원작사\001 웹툰 원작 정산 [테라핀] 사업자등록증.pdf</t>
        </is>
      </c>
      <c r="M19" s="9" t="n"/>
      <c r="N19" t="inlineStr">
        <is>
          <t>매월</t>
        </is>
      </c>
      <c r="O19" t="n">
        <v>0</v>
      </c>
      <c r="P19" t="inlineStr">
        <is>
          <t>말일</t>
        </is>
      </c>
    </row>
    <row r="20" ht="15.6" customHeight="1">
      <c r="A20" s="9" t="inlineStr">
        <is>
          <t>V016</t>
        </is>
      </c>
      <c r="B20" s="9" t="inlineStr">
        <is>
          <t>신영미디어</t>
        </is>
      </c>
      <c r="C20" s="16" t="inlineStr">
        <is>
          <t>테라핀</t>
        </is>
      </c>
      <c r="D20" s="17" t="inlineStr">
        <is>
          <t>사업자</t>
        </is>
      </c>
      <c r="E20" s="17" t="inlineStr">
        <is>
          <t>국내</t>
        </is>
      </c>
      <c r="F20" s="17" t="inlineStr">
        <is>
          <t>그외</t>
        </is>
      </c>
      <c r="G20" s="9" t="n">
        <v>1018124115</v>
      </c>
      <c r="H20" s="9" t="n"/>
      <c r="I20" s="9" t="inlineStr">
        <is>
          <t>Outlook</t>
        </is>
      </c>
      <c r="J20" s="17" t="inlineStr">
        <is>
          <t>세금계산서</t>
        </is>
      </c>
      <c r="K20" s="9" t="inlineStr">
        <is>
          <t>Y</t>
        </is>
      </c>
      <c r="L20" s="9" t="inlineStr">
        <is>
          <t>B:\[04-4] 정산파트\02-1 원작사\001 웹툰 원작 정산 [테라핀] 사업자등록증.pdf</t>
        </is>
      </c>
      <c r="M20" s="9" t="n"/>
      <c r="N20" t="inlineStr">
        <is>
          <t>매월</t>
        </is>
      </c>
      <c r="O20" t="n">
        <v>0</v>
      </c>
      <c r="P20" t="inlineStr">
        <is>
          <t>말일</t>
        </is>
      </c>
    </row>
    <row r="21" ht="15.6" customHeight="1">
      <c r="A21" s="9" t="inlineStr">
        <is>
          <t>V017</t>
        </is>
      </c>
      <c r="B21" s="9" t="inlineStr">
        <is>
          <t>알에스미디어</t>
        </is>
      </c>
      <c r="C21" s="16" t="inlineStr">
        <is>
          <t>테라핀</t>
        </is>
      </c>
      <c r="D21" s="17" t="inlineStr">
        <is>
          <t>사업자</t>
        </is>
      </c>
      <c r="E21" s="17" t="inlineStr">
        <is>
          <t>국내</t>
        </is>
      </c>
      <c r="F21" s="17" t="inlineStr">
        <is>
          <t>그외</t>
        </is>
      </c>
      <c r="G21" s="9" t="n">
        <v>1308693819</v>
      </c>
      <c r="H21" s="9" t="n"/>
      <c r="I21" s="9" t="inlineStr">
        <is>
          <t>Outlook</t>
        </is>
      </c>
      <c r="J21" s="17" t="inlineStr">
        <is>
          <t>세금계산서</t>
        </is>
      </c>
      <c r="K21" s="9" t="inlineStr">
        <is>
          <t>Y</t>
        </is>
      </c>
      <c r="L21" s="9" t="inlineStr">
        <is>
          <t>B:\[04-4] 정산파트\02-1 원작사\001 웹툰 원작 정산 [테라핀] 사업자등록증.pdf</t>
        </is>
      </c>
      <c r="M21" s="9" t="n"/>
      <c r="N21" t="inlineStr">
        <is>
          <t>매월</t>
        </is>
      </c>
      <c r="O21" t="n">
        <v>0</v>
      </c>
      <c r="P21" t="inlineStr">
        <is>
          <t>말일</t>
        </is>
      </c>
    </row>
    <row r="22" ht="15.6" customHeight="1">
      <c r="A22" s="9" t="inlineStr">
        <is>
          <t>V018</t>
        </is>
      </c>
      <c r="B22" s="9" t="inlineStr">
        <is>
          <t>에이템포미디어</t>
        </is>
      </c>
      <c r="C22" s="16" t="inlineStr">
        <is>
          <t>테라핀</t>
        </is>
      </c>
      <c r="D22" s="17" t="inlineStr">
        <is>
          <t>사업자</t>
        </is>
      </c>
      <c r="E22" s="17" t="inlineStr">
        <is>
          <t>국내</t>
        </is>
      </c>
      <c r="F22" s="17" t="inlineStr">
        <is>
          <t>그외</t>
        </is>
      </c>
      <c r="G22" s="9" t="n">
        <v>7528601268</v>
      </c>
      <c r="H22" s="9" t="n"/>
      <c r="I22" s="9" t="inlineStr">
        <is>
          <t>Outlook</t>
        </is>
      </c>
      <c r="J22" s="17" t="inlineStr">
        <is>
          <t>혼합(국내계산서/해외세금계산서)</t>
        </is>
      </c>
      <c r="K22" s="9" t="inlineStr">
        <is>
          <t>Y</t>
        </is>
      </c>
      <c r="L22" s="9" t="inlineStr">
        <is>
          <t>B:\[04-4] 정산파트\02-1 원작사\001 웹툰 원작 정산 [테라핀] 사업자등록증.pdf</t>
        </is>
      </c>
      <c r="M22" s="9" t="n"/>
      <c r="N22" t="inlineStr">
        <is>
          <t>매월</t>
        </is>
      </c>
      <c r="O22" t="n">
        <v>0</v>
      </c>
      <c r="P22" t="inlineStr">
        <is>
          <t>말일</t>
        </is>
      </c>
    </row>
    <row r="23" ht="15.6" customHeight="1">
      <c r="A23" s="9" t="inlineStr">
        <is>
          <t>V019</t>
        </is>
      </c>
      <c r="B23" s="9" t="inlineStr">
        <is>
          <t>엘리스콘텐츠</t>
        </is>
      </c>
      <c r="C23" s="16" t="inlineStr">
        <is>
          <t>테라핀</t>
        </is>
      </c>
      <c r="D23" s="17" t="inlineStr">
        <is>
          <t>사업자</t>
        </is>
      </c>
      <c r="E23" s="17" t="inlineStr">
        <is>
          <t>국내</t>
        </is>
      </c>
      <c r="F23" s="17" t="inlineStr">
        <is>
          <t>그외</t>
        </is>
      </c>
      <c r="G23" s="9" t="n">
        <v>2198801902</v>
      </c>
      <c r="H23" s="9" t="n"/>
      <c r="I23" s="9" t="inlineStr">
        <is>
          <t>Outlook</t>
        </is>
      </c>
      <c r="J23" s="17" t="inlineStr">
        <is>
          <t>계산서</t>
        </is>
      </c>
      <c r="K23" s="9" t="inlineStr">
        <is>
          <t>Y</t>
        </is>
      </c>
      <c r="L23" s="9" t="inlineStr">
        <is>
          <t>B:\[04-4] 정산파트\02-1 원작사\001 웹툰 원작 정산 [테라핀] 사업자등록증.pdf</t>
        </is>
      </c>
      <c r="M23" s="9" t="n"/>
      <c r="N23" t="inlineStr">
        <is>
          <t>매월</t>
        </is>
      </c>
      <c r="O23" t="n">
        <v>0</v>
      </c>
      <c r="P23" t="inlineStr">
        <is>
          <t>말일</t>
        </is>
      </c>
    </row>
    <row r="24" ht="15.6" customHeight="1">
      <c r="A24" s="9" t="inlineStr">
        <is>
          <t>V020</t>
        </is>
      </c>
      <c r="B24" s="9" t="inlineStr">
        <is>
          <t>오픈스토리</t>
        </is>
      </c>
      <c r="C24" s="16" t="inlineStr">
        <is>
          <t>테라핀</t>
        </is>
      </c>
      <c r="D24" s="17" t="inlineStr">
        <is>
          <t>사업자</t>
        </is>
      </c>
      <c r="E24" s="17" t="inlineStr">
        <is>
          <t>국내</t>
        </is>
      </c>
      <c r="F24" s="17" t="inlineStr">
        <is>
          <t>그외</t>
        </is>
      </c>
      <c r="G24" s="9" t="n">
        <v>8268703623</v>
      </c>
      <c r="H24" s="9" t="n"/>
      <c r="I24" s="9" t="inlineStr">
        <is>
          <t>Outlook</t>
        </is>
      </c>
      <c r="J24" s="17" t="inlineStr">
        <is>
          <t>세금계산서</t>
        </is>
      </c>
      <c r="K24" s="9" t="inlineStr">
        <is>
          <t>Y</t>
        </is>
      </c>
      <c r="L24" s="9" t="inlineStr">
        <is>
          <t>B:\[04-4] 정산파트\02-1 원작사\001 웹툰 원작 정산 [테라핀] 사업자등록증.pdf</t>
        </is>
      </c>
      <c r="M24" s="9" t="n"/>
      <c r="N24" t="inlineStr">
        <is>
          <t>매월</t>
        </is>
      </c>
      <c r="O24" t="n">
        <v>0</v>
      </c>
      <c r="P24" t="inlineStr">
        <is>
          <t>말일</t>
        </is>
      </c>
    </row>
    <row r="25" ht="15.6" customHeight="1">
      <c r="A25" s="9" t="inlineStr">
        <is>
          <t>V021</t>
        </is>
      </c>
      <c r="B25" s="9" t="inlineStr">
        <is>
          <t>위벨</t>
        </is>
      </c>
      <c r="C25" s="16" t="inlineStr">
        <is>
          <t>테라핀</t>
        </is>
      </c>
      <c r="D25" s="17" t="inlineStr">
        <is>
          <t>사업자</t>
        </is>
      </c>
      <c r="E25" s="17" t="inlineStr">
        <is>
          <t>국내</t>
        </is>
      </c>
      <c r="F25" s="17" t="inlineStr">
        <is>
          <t>그외</t>
        </is>
      </c>
      <c r="G25" s="9" t="n">
        <v>7538801343</v>
      </c>
      <c r="H25" s="9" t="n"/>
      <c r="I25" s="9" t="inlineStr">
        <is>
          <t>Outlook</t>
        </is>
      </c>
      <c r="J25" s="17" t="inlineStr">
        <is>
          <t>세금계산서</t>
        </is>
      </c>
      <c r="K25" s="9" t="inlineStr">
        <is>
          <t>Y</t>
        </is>
      </c>
      <c r="L25" s="9" t="inlineStr">
        <is>
          <t>B:\[04-4] 정산파트\02-1 원작사\001 웹툰 원작 정산 [테라핀] 사업자등록증.pdf</t>
        </is>
      </c>
      <c r="M25" s="9" t="n"/>
      <c r="N25" t="inlineStr">
        <is>
          <t>매월</t>
        </is>
      </c>
      <c r="O25" t="n">
        <v>0</v>
      </c>
      <c r="P25" t="inlineStr">
        <is>
          <t>말일</t>
        </is>
      </c>
    </row>
    <row r="26" ht="15.6" customHeight="1">
      <c r="A26" s="9" t="inlineStr">
        <is>
          <t>V022</t>
        </is>
      </c>
      <c r="B26" s="9" t="inlineStr">
        <is>
          <t>청어람</t>
        </is>
      </c>
      <c r="C26" s="16" t="inlineStr">
        <is>
          <t>테라핀</t>
        </is>
      </c>
      <c r="D26" s="17" t="inlineStr">
        <is>
          <t>사업자</t>
        </is>
      </c>
      <c r="E26" s="17" t="inlineStr">
        <is>
          <t>국내</t>
        </is>
      </c>
      <c r="F26" s="17" t="inlineStr">
        <is>
          <t>그외</t>
        </is>
      </c>
      <c r="G26" s="9" t="n">
        <v>1309037449</v>
      </c>
      <c r="H26" s="9" t="n"/>
      <c r="I26" s="9" t="inlineStr">
        <is>
          <t>Outlook</t>
        </is>
      </c>
      <c r="J26" s="17" t="inlineStr">
        <is>
          <t>계산서</t>
        </is>
      </c>
      <c r="K26" s="9" t="inlineStr">
        <is>
          <t>Y</t>
        </is>
      </c>
      <c r="L26" s="9" t="inlineStr">
        <is>
          <t>B:\[04-4] 정산파트\02-1 원작사\001 웹툰 원작 정산 [테라핀] 사업자등록증.pdf</t>
        </is>
      </c>
      <c r="M26" s="9" t="n"/>
      <c r="N26" t="inlineStr">
        <is>
          <t>매월</t>
        </is>
      </c>
      <c r="O26" t="n">
        <v>0</v>
      </c>
      <c r="P26" t="inlineStr">
        <is>
          <t>말일</t>
        </is>
      </c>
    </row>
    <row r="27" ht="15.6" customHeight="1">
      <c r="A27" s="9" t="inlineStr">
        <is>
          <t>V023</t>
        </is>
      </c>
      <c r="B27" s="9" t="inlineStr">
        <is>
          <t>카카오페이지</t>
        </is>
      </c>
      <c r="C27" s="16" t="inlineStr">
        <is>
          <t>테라핀</t>
        </is>
      </c>
      <c r="D27" s="17" t="inlineStr">
        <is>
          <t>사업자</t>
        </is>
      </c>
      <c r="E27" s="17" t="inlineStr">
        <is>
          <t>국내</t>
        </is>
      </c>
      <c r="F27" s="17" t="inlineStr">
        <is>
          <t>그외</t>
        </is>
      </c>
      <c r="G27" s="9" t="n">
        <v>2208802594</v>
      </c>
      <c r="H27" s="9" t="n"/>
      <c r="I27" s="9" t="inlineStr">
        <is>
          <t>Outlook</t>
        </is>
      </c>
      <c r="J27" s="17" t="inlineStr">
        <is>
          <t>세금계산서</t>
        </is>
      </c>
      <c r="K27" s="9" t="inlineStr">
        <is>
          <t>Y</t>
        </is>
      </c>
      <c r="L27" s="9" t="inlineStr">
        <is>
          <t>B:\[04-4] 정산파트\02-1 원작사\001 웹툰 원작 정산 [테라핀] 사업자등록증.pdf</t>
        </is>
      </c>
      <c r="M27" s="9" t="n"/>
      <c r="N27" t="inlineStr">
        <is>
          <t>매월</t>
        </is>
      </c>
      <c r="O27" t="n">
        <v>0</v>
      </c>
      <c r="P27" t="inlineStr">
        <is>
          <t>말일</t>
        </is>
      </c>
    </row>
    <row r="28" ht="15.6" customHeight="1">
      <c r="A28" s="9" t="inlineStr">
        <is>
          <t>V024</t>
        </is>
      </c>
      <c r="B28" s="9" t="inlineStr">
        <is>
          <t>페퍼민트</t>
        </is>
      </c>
      <c r="C28" s="16" t="inlineStr">
        <is>
          <t>테라핀</t>
        </is>
      </c>
      <c r="D28" s="17" t="inlineStr">
        <is>
          <t>사업자</t>
        </is>
      </c>
      <c r="E28" s="17" t="inlineStr">
        <is>
          <t>국내</t>
        </is>
      </c>
      <c r="F28" s="17" t="inlineStr">
        <is>
          <t>그외</t>
        </is>
      </c>
      <c r="G28" s="9" t="n">
        <v>1078679520</v>
      </c>
      <c r="H28" s="9" t="n"/>
      <c r="I28" s="9" t="inlineStr">
        <is>
          <t>Outlook</t>
        </is>
      </c>
      <c r="J28" s="17" t="inlineStr">
        <is>
          <t>세금계산서</t>
        </is>
      </c>
      <c r="K28" s="9" t="inlineStr">
        <is>
          <t>Y</t>
        </is>
      </c>
      <c r="L28" s="9" t="inlineStr">
        <is>
          <t>B:\[04-4] 정산파트\02-1 원작사\001 웹툰 원작 정산 [테라핀] 사업자등록증.pdf</t>
        </is>
      </c>
      <c r="M28" s="9" t="n"/>
      <c r="N28" t="inlineStr">
        <is>
          <t>매월</t>
        </is>
      </c>
      <c r="O28" t="n">
        <v>0</v>
      </c>
      <c r="P28" t="inlineStr">
        <is>
          <t>말일</t>
        </is>
      </c>
    </row>
    <row r="29" ht="15.6" customHeight="1">
      <c r="A29" s="9" t="inlineStr">
        <is>
          <t>V025</t>
        </is>
      </c>
      <c r="B29" s="9" t="inlineStr">
        <is>
          <t>펜슬프리즘</t>
        </is>
      </c>
      <c r="C29" s="16" t="inlineStr">
        <is>
          <t>테라핀</t>
        </is>
      </c>
      <c r="D29" s="17" t="inlineStr">
        <is>
          <t>사업자</t>
        </is>
      </c>
      <c r="E29" s="17" t="inlineStr">
        <is>
          <t>국내</t>
        </is>
      </c>
      <c r="F29" s="17" t="inlineStr">
        <is>
          <t>그외</t>
        </is>
      </c>
      <c r="G29" s="9" t="n">
        <v>3858800802</v>
      </c>
      <c r="H29" s="9" t="n"/>
      <c r="I29" s="9" t="inlineStr">
        <is>
          <t>Outlook</t>
        </is>
      </c>
      <c r="J29" s="17" t="inlineStr">
        <is>
          <t>세금계산서</t>
        </is>
      </c>
      <c r="K29" s="9" t="inlineStr">
        <is>
          <t>Y</t>
        </is>
      </c>
      <c r="L29" s="9" t="inlineStr">
        <is>
          <t>B:\[04-4] 정산파트\02-1 원작사\001 웹툰 원작 정산 [테라핀] 사업자등록증.pdf</t>
        </is>
      </c>
      <c r="M29" s="9" t="n"/>
      <c r="N29" t="inlineStr">
        <is>
          <t>매월</t>
        </is>
      </c>
      <c r="O29" t="n">
        <v>0</v>
      </c>
      <c r="P29" t="inlineStr">
        <is>
          <t>말일</t>
        </is>
      </c>
    </row>
    <row r="30" ht="15.6" customHeight="1">
      <c r="A30" s="9" t="inlineStr">
        <is>
          <t>V026</t>
        </is>
      </c>
      <c r="B30" s="9" t="inlineStr">
        <is>
          <t>레토북스</t>
        </is>
      </c>
      <c r="C30" s="16" t="inlineStr">
        <is>
          <t>테라핀</t>
        </is>
      </c>
      <c r="D30" s="17" t="inlineStr">
        <is>
          <t>사업자</t>
        </is>
      </c>
      <c r="E30" s="17" t="inlineStr">
        <is>
          <t>국내</t>
        </is>
      </c>
      <c r="F30" s="17" t="inlineStr">
        <is>
          <t>그외</t>
        </is>
      </c>
      <c r="G30" s="9" t="n">
        <v>1668802062</v>
      </c>
      <c r="H30" s="9" t="n"/>
      <c r="I30" s="9" t="inlineStr">
        <is>
          <t>Outlook</t>
        </is>
      </c>
      <c r="J30" s="17" t="inlineStr">
        <is>
          <t>세금계산서</t>
        </is>
      </c>
      <c r="K30" s="9" t="inlineStr">
        <is>
          <t>Y</t>
        </is>
      </c>
      <c r="L30" s="9" t="inlineStr">
        <is>
          <t>B:\[04-4] 정산파트\02-1 원작사\001 웹툰 원작 정산 [테라핀] 사업자등록증.pdf</t>
        </is>
      </c>
      <c r="M30" s="9" t="n"/>
      <c r="N30" t="inlineStr">
        <is>
          <t>매월</t>
        </is>
      </c>
      <c r="O30" t="n">
        <v>0</v>
      </c>
      <c r="P30" t="inlineStr">
        <is>
          <t>말일</t>
        </is>
      </c>
    </row>
    <row r="31" ht="15.6" customHeight="1">
      <c r="A31" s="9" t="inlineStr">
        <is>
          <t>V027</t>
        </is>
      </c>
      <c r="B31" s="9" t="inlineStr">
        <is>
          <t>피플앤스토리</t>
        </is>
      </c>
      <c r="C31" s="16" t="inlineStr">
        <is>
          <t>테라핀</t>
        </is>
      </c>
      <c r="D31" s="17" t="inlineStr">
        <is>
          <t>사업자</t>
        </is>
      </c>
      <c r="E31" s="17" t="inlineStr">
        <is>
          <t>국내</t>
        </is>
      </c>
      <c r="F31" s="17" t="inlineStr">
        <is>
          <t>그외</t>
        </is>
      </c>
      <c r="G31" s="9" t="n">
        <v>1058810325</v>
      </c>
      <c r="H31" s="9" t="n"/>
      <c r="I31" s="9" t="inlineStr">
        <is>
          <t>Outlook</t>
        </is>
      </c>
      <c r="J31" s="17" t="inlineStr">
        <is>
          <t>세금계산서</t>
        </is>
      </c>
      <c r="K31" s="9" t="inlineStr">
        <is>
          <t>Y</t>
        </is>
      </c>
      <c r="L31" s="9" t="inlineStr">
        <is>
          <t>B:\[04-4] 정산파트\02-1 원작사\001 웹툰 원작 정산 [테라핀] 사업자등록증.pdf</t>
        </is>
      </c>
      <c r="M31" s="9" t="n"/>
      <c r="N31" t="inlineStr">
        <is>
          <t>매월</t>
        </is>
      </c>
      <c r="O31" t="n">
        <v>0</v>
      </c>
      <c r="P31" t="inlineStr">
        <is>
          <t>말일</t>
        </is>
      </c>
    </row>
    <row r="32" ht="15.6" customHeight="1">
      <c r="A32" s="9" t="inlineStr">
        <is>
          <t>V028</t>
        </is>
      </c>
      <c r="B32" s="9" t="inlineStr">
        <is>
          <t>리디</t>
        </is>
      </c>
      <c r="C32" s="16" t="inlineStr">
        <is>
          <t>테라핀</t>
        </is>
      </c>
      <c r="D32" s="17" t="inlineStr">
        <is>
          <t>사업자</t>
        </is>
      </c>
      <c r="E32" s="17" t="inlineStr">
        <is>
          <t>국내</t>
        </is>
      </c>
      <c r="F32" s="17" t="inlineStr">
        <is>
          <t>분기</t>
        </is>
      </c>
      <c r="G32" s="9" t="n">
        <v>1208727435</v>
      </c>
      <c r="H32" s="9" t="n"/>
      <c r="I32" s="9" t="inlineStr">
        <is>
          <t>Outlook</t>
        </is>
      </c>
      <c r="J32" s="17" t="inlineStr">
        <is>
          <t>세금계산서</t>
        </is>
      </c>
      <c r="K32" s="9" t="inlineStr">
        <is>
          <t>Y</t>
        </is>
      </c>
      <c r="L32" s="9" t="inlineStr">
        <is>
          <t>B:\[04-4] 정산파트\02-1 원작사\001 웹툰 원작 정산 [테라핀] 사업자등록증.pdf</t>
        </is>
      </c>
      <c r="M32" s="9" t="n"/>
      <c r="N32" t="inlineStr">
        <is>
          <t>1,4,7,10</t>
        </is>
      </c>
      <c r="O32" t="n">
        <v>1</v>
      </c>
      <c r="P32" t="n">
        <v>25</v>
      </c>
    </row>
    <row r="33" ht="15.6" customHeight="1">
      <c r="A33" s="9" t="inlineStr">
        <is>
          <t>V029</t>
        </is>
      </c>
      <c r="B33" s="9" t="inlineStr">
        <is>
          <t>위즈덤하우스</t>
        </is>
      </c>
      <c r="C33" s="16" t="inlineStr">
        <is>
          <t>테라핀</t>
        </is>
      </c>
      <c r="D33" s="17" t="inlineStr">
        <is>
          <t>사업자</t>
        </is>
      </c>
      <c r="E33" s="17" t="inlineStr">
        <is>
          <t>국내</t>
        </is>
      </c>
      <c r="F33" s="17" t="inlineStr">
        <is>
          <t>미정</t>
        </is>
      </c>
      <c r="G33" s="9" t="n">
        <v>1058719009</v>
      </c>
      <c r="H33" s="9" t="n"/>
      <c r="I33" s="9" t="inlineStr">
        <is>
          <t>Outlook</t>
        </is>
      </c>
      <c r="J33" s="17" t="inlineStr">
        <is>
          <t>세금계산서</t>
        </is>
      </c>
      <c r="K33" s="9" t="inlineStr">
        <is>
          <t>Y</t>
        </is>
      </c>
      <c r="L33" s="9" t="inlineStr">
        <is>
          <t>B:\[04-4] 정산파트\02-1 원작사\001 웹툰 원작 정산 [테라핀] 사업자등록증.pdf</t>
        </is>
      </c>
      <c r="M33" s="9" t="n"/>
      <c r="N33" t="inlineStr">
        <is>
          <t>매월</t>
        </is>
      </c>
      <c r="O33" t="n">
        <v>0</v>
      </c>
      <c r="P33" t="inlineStr">
        <is>
          <t>말일</t>
        </is>
      </c>
    </row>
    <row r="34" ht="15.6" customHeight="1">
      <c r="A34" s="9" t="inlineStr">
        <is>
          <t>V030</t>
        </is>
      </c>
      <c r="B34" s="9" t="inlineStr">
        <is>
          <t>케이원미디어</t>
        </is>
      </c>
      <c r="C34" s="16" t="inlineStr">
        <is>
          <t>테라핀</t>
        </is>
      </c>
      <c r="D34" s="17" t="inlineStr">
        <is>
          <t>사업자</t>
        </is>
      </c>
      <c r="E34" s="17" t="inlineStr">
        <is>
          <t>국내</t>
        </is>
      </c>
      <c r="F34" s="17" t="inlineStr">
        <is>
          <t>미정</t>
        </is>
      </c>
      <c r="G34" s="9" t="n">
        <v>2128610255</v>
      </c>
      <c r="H34" s="9" t="n"/>
      <c r="I34" s="9" t="inlineStr">
        <is>
          <t>Outlook</t>
        </is>
      </c>
      <c r="J34" s="17" t="inlineStr">
        <is>
          <t>세금계산서</t>
        </is>
      </c>
      <c r="K34" s="9" t="inlineStr">
        <is>
          <t>Y</t>
        </is>
      </c>
      <c r="L34" s="9" t="inlineStr">
        <is>
          <t>B:\[04-4] 정산파트\02-1 원작사\001 웹툰 원작 정산 [테라핀] 사업자등록증.pdf</t>
        </is>
      </c>
      <c r="M34" s="9" t="n"/>
      <c r="N34" t="inlineStr">
        <is>
          <t>매월</t>
        </is>
      </c>
      <c r="O34" t="n">
        <v>0</v>
      </c>
      <c r="P34" t="inlineStr">
        <is>
          <t>말일</t>
        </is>
      </c>
    </row>
    <row r="35" ht="15.6" customHeight="1">
      <c r="A35" s="9" t="inlineStr">
        <is>
          <t>V031</t>
        </is>
      </c>
      <c r="B35" s="9" t="inlineStr">
        <is>
          <t>타임비</t>
        </is>
      </c>
      <c r="C35" s="16" t="inlineStr">
        <is>
          <t>테라핀</t>
        </is>
      </c>
      <c r="D35" s="17" t="inlineStr">
        <is>
          <t>사업자</t>
        </is>
      </c>
      <c r="E35" s="17" t="inlineStr">
        <is>
          <t>국내</t>
        </is>
      </c>
      <c r="F35" s="17" t="inlineStr">
        <is>
          <t>미정</t>
        </is>
      </c>
      <c r="G35" s="9" t="n">
        <v>2048616748</v>
      </c>
      <c r="H35" s="9" t="n"/>
      <c r="I35" s="9" t="inlineStr">
        <is>
          <t>Outlook</t>
        </is>
      </c>
      <c r="J35" s="17" t="inlineStr">
        <is>
          <t>세금계산서</t>
        </is>
      </c>
      <c r="K35" s="9" t="inlineStr">
        <is>
          <t>Y</t>
        </is>
      </c>
      <c r="L35" s="9" t="inlineStr">
        <is>
          <t>B:\[04-4] 정산파트\02-1 원작사\001 웹툰 원작 정산 [테라핀] 사업자등록증.pdf</t>
        </is>
      </c>
      <c r="M35" s="9" t="n"/>
      <c r="N35" t="inlineStr">
        <is>
          <t>매월</t>
        </is>
      </c>
      <c r="O35" t="n">
        <v>0</v>
      </c>
      <c r="P35" t="inlineStr">
        <is>
          <t>말일</t>
        </is>
      </c>
    </row>
    <row r="36" ht="15.6" customHeight="1">
      <c r="A36" s="9" t="inlineStr">
        <is>
          <t>V032</t>
        </is>
      </c>
      <c r="B36" s="9" t="inlineStr">
        <is>
          <t>한국방송작가협회</t>
        </is>
      </c>
      <c r="C36" s="16" t="inlineStr">
        <is>
          <t>테라핀</t>
        </is>
      </c>
      <c r="D36" s="17" t="inlineStr">
        <is>
          <t>사업자</t>
        </is>
      </c>
      <c r="E36" s="17" t="inlineStr">
        <is>
          <t>국내</t>
        </is>
      </c>
      <c r="F36" s="17" t="inlineStr">
        <is>
          <t>반기</t>
        </is>
      </c>
      <c r="G36" s="9" t="n">
        <v>1168203273</v>
      </c>
      <c r="H36" s="9" t="n"/>
      <c r="I36" s="9" t="inlineStr">
        <is>
          <t>Outlook</t>
        </is>
      </c>
      <c r="J36" s="17" t="inlineStr">
        <is>
          <t>계산서</t>
        </is>
      </c>
      <c r="K36" s="9" t="inlineStr">
        <is>
          <t>Y</t>
        </is>
      </c>
      <c r="L36" s="9" t="inlineStr">
        <is>
          <t>B:\[04-4] 정산파트\02-1 원작사\001 웹툰 원작 정산 [테라핀] 사업자등록증.pdf</t>
        </is>
      </c>
      <c r="M36" s="9" t="n"/>
      <c r="N36" t="inlineStr">
        <is>
          <t>6,12</t>
        </is>
      </c>
      <c r="O36" t="n">
        <v>0</v>
      </c>
      <c r="P36" t="inlineStr">
        <is>
          <t>말일</t>
        </is>
      </c>
    </row>
    <row r="37" ht="15.6" customHeight="1">
      <c r="A37" s="9" t="inlineStr">
        <is>
          <t>V033</t>
        </is>
      </c>
      <c r="B37" s="9" t="inlineStr">
        <is>
          <t>도쿠마 쇼텐</t>
        </is>
      </c>
      <c r="C37" s="16" t="inlineStr">
        <is>
          <t>테라핀</t>
        </is>
      </c>
      <c r="D37" s="17" t="inlineStr">
        <is>
          <t>사업자</t>
        </is>
      </c>
      <c r="E37" s="17" t="inlineStr">
        <is>
          <t>해외</t>
        </is>
      </c>
      <c r="F37" s="17" t="inlineStr">
        <is>
          <t>분기</t>
        </is>
      </c>
      <c r="G37" s="9" t="n"/>
      <c r="H37" s="9" t="n"/>
      <c r="I37" s="9" t="inlineStr">
        <is>
          <t>Outlook</t>
        </is>
      </c>
      <c r="J37" s="17" t="inlineStr">
        <is>
          <t>세금계산서</t>
        </is>
      </c>
      <c r="K37" s="9" t="inlineStr">
        <is>
          <t>Y</t>
        </is>
      </c>
      <c r="L37" s="9" t="inlineStr">
        <is>
          <t>B:\[04-4] 정산파트\02-1 원작사\001 웹툰 원작 정산 [테라핀] 사업자등록증.pdf</t>
        </is>
      </c>
      <c r="M37" s="9" t="n"/>
      <c r="N37" t="inlineStr">
        <is>
          <t>3,6,9,12</t>
        </is>
      </c>
      <c r="O37" t="n">
        <v>0</v>
      </c>
      <c r="P37" t="inlineStr">
        <is>
          <t>말일</t>
        </is>
      </c>
      <c r="Q37" t="inlineStr">
        <is>
          <t>Shoten Tokuma</t>
        </is>
      </c>
    </row>
    <row r="38" ht="15.6" customHeight="1">
      <c r="A38" s="9" t="inlineStr">
        <is>
          <t>V034</t>
        </is>
      </c>
      <c r="B38" s="9" t="inlineStr">
        <is>
          <t>신죠샤</t>
        </is>
      </c>
      <c r="C38" s="16" t="inlineStr">
        <is>
          <t>테라핀</t>
        </is>
      </c>
      <c r="D38" s="17" t="inlineStr">
        <is>
          <t>사업자</t>
        </is>
      </c>
      <c r="E38" s="17" t="inlineStr">
        <is>
          <t>해외</t>
        </is>
      </c>
      <c r="F38" s="17" t="inlineStr">
        <is>
          <t>그외</t>
        </is>
      </c>
      <c r="G38" s="9" t="inlineStr">
        <is>
          <t>011101009060</t>
        </is>
      </c>
      <c r="H38" s="9" t="n"/>
      <c r="I38" s="9" t="inlineStr">
        <is>
          <t>Outlook</t>
        </is>
      </c>
      <c r="J38" s="17" t="inlineStr">
        <is>
          <t>세금계산서</t>
        </is>
      </c>
      <c r="K38" s="9" t="inlineStr">
        <is>
          <t>Y</t>
        </is>
      </c>
      <c r="L38" s="9" t="inlineStr">
        <is>
          <t>B:\[04-4] 정산파트\02-1 원작사\001 웹툰 원작 정산 [테라핀] 사업자등록증.pdf</t>
        </is>
      </c>
      <c r="M38" s="9" t="n"/>
      <c r="N38" t="inlineStr">
        <is>
          <t>매월</t>
        </is>
      </c>
      <c r="O38" t="n">
        <v>0</v>
      </c>
      <c r="P38" t="inlineStr">
        <is>
          <t>말일</t>
        </is>
      </c>
      <c r="Q38" t="inlineStr">
        <is>
          <t>Shinchosha</t>
        </is>
      </c>
    </row>
    <row r="39" ht="15.6" customHeight="1">
      <c r="A39" s="9" t="inlineStr">
        <is>
          <t>V035</t>
        </is>
      </c>
      <c r="B39" s="9" t="inlineStr">
        <is>
          <t>김리영(윤재인)</t>
        </is>
      </c>
      <c r="C39" s="16" t="inlineStr">
        <is>
          <t>테라핀</t>
        </is>
      </c>
      <c r="D39" s="17" t="inlineStr">
        <is>
          <t>개인</t>
        </is>
      </c>
      <c r="E39" s="17" t="inlineStr">
        <is>
          <t>국내</t>
        </is>
      </c>
      <c r="F39" s="17" t="inlineStr">
        <is>
          <t>그외</t>
        </is>
      </c>
      <c r="G39" s="9" t="n"/>
      <c r="H39" s="9" t="n">
        <v>771012</v>
      </c>
      <c r="I39" s="9" t="inlineStr">
        <is>
          <t>Outlook</t>
        </is>
      </c>
      <c r="J39" s="17" t="inlineStr">
        <is>
          <t>세금계산서</t>
        </is>
      </c>
      <c r="K39" s="9" t="inlineStr">
        <is>
          <t>Y</t>
        </is>
      </c>
      <c r="L39" s="9" t="n"/>
      <c r="M39" s="9" t="n"/>
      <c r="N39" t="inlineStr">
        <is>
          <t>매월</t>
        </is>
      </c>
      <c r="O39" t="n">
        <v>0</v>
      </c>
      <c r="P39" t="inlineStr">
        <is>
          <t>말일</t>
        </is>
      </c>
    </row>
    <row r="40" ht="15.6" customHeight="1">
      <c r="A40" s="9" t="inlineStr">
        <is>
          <t>V036</t>
        </is>
      </c>
      <c r="B40" s="9" t="inlineStr">
        <is>
          <t>김창동(박죠죠)</t>
        </is>
      </c>
      <c r="C40" s="16" t="inlineStr">
        <is>
          <t>테라핀</t>
        </is>
      </c>
      <c r="D40" s="17" t="inlineStr">
        <is>
          <t>개인</t>
        </is>
      </c>
      <c r="E40" s="17" t="inlineStr">
        <is>
          <t>국내</t>
        </is>
      </c>
      <c r="F40" s="17" t="inlineStr">
        <is>
          <t>그외</t>
        </is>
      </c>
      <c r="G40" s="9" t="n"/>
      <c r="H40" s="9" t="n">
        <v>630603</v>
      </c>
      <c r="I40" s="9" t="inlineStr">
        <is>
          <t>Outlook</t>
        </is>
      </c>
      <c r="J40" s="17" t="inlineStr">
        <is>
          <t>세금계산서</t>
        </is>
      </c>
      <c r="K40" s="9" t="inlineStr">
        <is>
          <t>Y</t>
        </is>
      </c>
      <c r="L40" s="9" t="n"/>
      <c r="M40" s="9" t="n"/>
      <c r="N40" t="inlineStr">
        <is>
          <t>매월</t>
        </is>
      </c>
      <c r="O40" t="n">
        <v>0</v>
      </c>
      <c r="P40" t="inlineStr">
        <is>
          <t>말일</t>
        </is>
      </c>
    </row>
    <row r="41" ht="15.6" customHeight="1">
      <c r="A41" s="9" t="inlineStr">
        <is>
          <t>V037</t>
        </is>
      </c>
      <c r="B41" s="9" t="inlineStr">
        <is>
          <t>윤혜연(하태진)</t>
        </is>
      </c>
      <c r="C41" s="16" t="inlineStr">
        <is>
          <t>테라핀</t>
        </is>
      </c>
      <c r="D41" s="17" t="inlineStr">
        <is>
          <t>개인</t>
        </is>
      </c>
      <c r="E41" s="17" t="inlineStr">
        <is>
          <t>국내</t>
        </is>
      </c>
      <c r="F41" s="17" t="inlineStr">
        <is>
          <t>그외</t>
        </is>
      </c>
      <c r="G41" s="9" t="n"/>
      <c r="H41" s="9" t="n">
        <v>890228</v>
      </c>
      <c r="I41" s="9" t="inlineStr">
        <is>
          <t>Outlook</t>
        </is>
      </c>
      <c r="J41" s="17" t="inlineStr">
        <is>
          <t>세금계산서</t>
        </is>
      </c>
      <c r="K41" s="9" t="inlineStr">
        <is>
          <t>Y</t>
        </is>
      </c>
      <c r="L41" s="9" t="n"/>
      <c r="M41" s="9" t="n"/>
      <c r="N41" t="inlineStr">
        <is>
          <t>매월</t>
        </is>
      </c>
      <c r="O41" t="n">
        <v>0</v>
      </c>
      <c r="P41" t="inlineStr">
        <is>
          <t>말일</t>
        </is>
      </c>
    </row>
    <row r="42" ht="15.6" customHeight="1">
      <c r="A42" s="9" t="inlineStr">
        <is>
          <t>V038</t>
        </is>
      </c>
      <c r="B42" s="9" t="inlineStr">
        <is>
          <t>최윤준(시윤)</t>
        </is>
      </c>
      <c r="C42" s="16" t="inlineStr">
        <is>
          <t>테라핀</t>
        </is>
      </c>
      <c r="D42" s="17" t="inlineStr">
        <is>
          <t>개인</t>
        </is>
      </c>
      <c r="E42" s="17" t="inlineStr">
        <is>
          <t>국내</t>
        </is>
      </c>
      <c r="F42" s="17" t="inlineStr">
        <is>
          <t>그외</t>
        </is>
      </c>
      <c r="G42" s="9" t="n"/>
      <c r="H42" s="9" t="n">
        <v>950722</v>
      </c>
      <c r="I42" s="9" t="inlineStr">
        <is>
          <t>Outlook</t>
        </is>
      </c>
      <c r="J42" s="17" t="inlineStr">
        <is>
          <t>세금계산서</t>
        </is>
      </c>
      <c r="K42" s="9" t="inlineStr">
        <is>
          <t>Y</t>
        </is>
      </c>
      <c r="L42" s="9" t="n"/>
      <c r="M42" s="9" t="n"/>
      <c r="N42" t="inlineStr">
        <is>
          <t>매월</t>
        </is>
      </c>
      <c r="O42" t="n">
        <v>0</v>
      </c>
      <c r="P42" t="inlineStr">
        <is>
          <t>말일</t>
        </is>
      </c>
    </row>
    <row r="43" ht="15.6" customHeight="1">
      <c r="A43" s="9" t="inlineStr">
        <is>
          <t>V039</t>
        </is>
      </c>
      <c r="B43" s="9" t="inlineStr">
        <is>
          <t>허봄(아노르이실)</t>
        </is>
      </c>
      <c r="C43" s="16" t="inlineStr">
        <is>
          <t>테라핀</t>
        </is>
      </c>
      <c r="D43" s="17" t="inlineStr">
        <is>
          <t>개인</t>
        </is>
      </c>
      <c r="E43" s="17" t="inlineStr">
        <is>
          <t>국내</t>
        </is>
      </c>
      <c r="F43" s="17" t="inlineStr">
        <is>
          <t>그외</t>
        </is>
      </c>
      <c r="G43" s="9" t="n"/>
      <c r="H43" s="9" t="n">
        <v>880127</v>
      </c>
      <c r="I43" s="9" t="inlineStr">
        <is>
          <t>Outlook</t>
        </is>
      </c>
      <c r="J43" s="17" t="inlineStr">
        <is>
          <t>세금계산서</t>
        </is>
      </c>
      <c r="K43" s="9" t="inlineStr">
        <is>
          <t>Y</t>
        </is>
      </c>
      <c r="L43" s="9" t="n"/>
      <c r="M43" s="9" t="n"/>
      <c r="N43" t="inlineStr">
        <is>
          <t>매월</t>
        </is>
      </c>
      <c r="O43" t="n">
        <v>0</v>
      </c>
      <c r="P43" t="inlineStr">
        <is>
          <t>말일</t>
        </is>
      </c>
    </row>
    <row r="45">
      <c r="A45" s="10" t="inlineStr">
        <is>
          <t>[입력 안내]</t>
        </is>
      </c>
    </row>
    <row r="46">
      <c r="A46" s="11" t="inlineStr">
        <is>
          <t>· 정산주체(회사): 테라핀 / 수성웹툰 중 택1 (정산서 발행 주체)</t>
        </is>
      </c>
    </row>
    <row r="47">
      <c r="A47" s="11" t="inlineStr">
        <is>
          <t>· 유형: 사업자 / 개인</t>
        </is>
      </c>
    </row>
    <row r="48">
      <c r="A48" s="11" t="inlineStr">
        <is>
          <t>· 소속: 국내 / 해외</t>
        </is>
      </c>
    </row>
    <row r="49">
      <c r="A49" s="11" t="inlineStr">
        <is>
          <t>· 정산유형: 네이버 / 분기 / 그외 (작성·마감·지급일 산출 규칙을 결정)</t>
        </is>
      </c>
    </row>
    <row r="50">
      <c r="A50" s="11" t="inlineStr">
        <is>
          <t>· 개인일 때만 '주민번호앞6자리(개인)'에 생년월일 6자리 입력(PDF 암호용). 사업자는 비움.</t>
        </is>
      </c>
    </row>
    <row r="51">
      <c r="A51" s="11" t="inlineStr">
        <is>
          <t>· 발송채널: Outlook(테라핀) / MailPlug(수성)</t>
        </is>
      </c>
    </row>
    <row r="52">
      <c r="A52" s="11" t="inlineStr">
        <is>
          <t>· 사업자등록증_경로: 첨부할 등록증 PDF 경로(회사별)</t>
        </is>
      </c>
    </row>
    <row r="53">
      <c r="A53" t="inlineStr">
        <is>
          <t>V040</t>
        </is>
      </c>
      <c r="B53" t="inlineStr">
        <is>
          <t>웹소설본부</t>
        </is>
      </c>
      <c r="C53" t="inlineStr">
        <is>
          <t>테라핀</t>
        </is>
      </c>
      <c r="D53" t="inlineStr">
        <is>
          <t>사업자</t>
        </is>
      </c>
      <c r="E53" t="inlineStr">
        <is>
          <t>국내</t>
        </is>
      </c>
      <c r="F53" t="inlineStr">
        <is>
          <t>그외</t>
        </is>
      </c>
      <c r="K53" t="inlineStr">
        <is>
          <t>N</t>
        </is>
      </c>
      <c r="M53" t="inlineStr">
        <is>
          <t>당사 자체 IP(내부 정산, 외부 발송 없음)</t>
        </is>
      </c>
      <c r="N53" t="inlineStr">
        <is>
          <t>매월</t>
        </is>
      </c>
      <c r="O53" t="n">
        <v>0</v>
      </c>
      <c r="P53" t="inlineStr">
        <is>
          <t>말일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7"/>
  <sheetViews>
    <sheetView showGridLines="0" zoomScaleNormal="100" workbookViewId="0">
      <pane ySplit="3" topLeftCell="A4" activePane="bottomLeft" state="frozen"/>
      <selection pane="bottomLeft" activeCell="H11" sqref="H11"/>
    </sheetView>
  </sheetViews>
  <sheetFormatPr baseColWidth="8" defaultColWidth="8.6640625" defaultRowHeight="14.4"/>
  <cols>
    <col width="47.6640625" customWidth="1" min="1" max="1"/>
    <col width="34" customWidth="1" min="2" max="2"/>
    <col width="18" customWidth="1" min="3" max="3"/>
    <col width="12" customWidth="1" min="4" max="5"/>
    <col width="11" customWidth="1" min="6" max="6"/>
    <col width="16" bestFit="1" customWidth="1" min="7" max="7"/>
    <col width="16.6640625" bestFit="1" customWidth="1" min="8" max="9"/>
    <col width="9.77734375" bestFit="1" customWidth="1" min="10" max="10"/>
    <col width="10" customWidth="1" min="11" max="11"/>
    <col width="83.77734375" bestFit="1" customWidth="1" min="12" max="12"/>
  </cols>
  <sheetData>
    <row r="1" ht="16.8" customHeight="1">
      <c r="A1" s="5" t="inlineStr">
        <is>
          <t>2. 작품 Alias 마스터 (작품명 통합 + RS율)</t>
        </is>
      </c>
    </row>
    <row r="3" ht="26.4" customHeight="1">
      <c r="A3" s="6" t="inlineStr">
        <is>
          <t>표준작품명</t>
        </is>
      </c>
      <c r="B3" s="12" t="inlineStr">
        <is>
          <t>Alias명(여러개;구분)</t>
        </is>
      </c>
      <c r="C3" s="6" t="inlineStr">
        <is>
          <t>정규화키(자동)</t>
        </is>
      </c>
      <c r="D3" s="6" t="inlineStr">
        <is>
          <t>시리즈그룹</t>
        </is>
      </c>
      <c r="E3" s="6" t="inlineStr">
        <is>
          <t>원작사_업체ID</t>
        </is>
      </c>
      <c r="F3" s="6" t="inlineStr">
        <is>
          <t>원작사RS율</t>
        </is>
      </c>
      <c r="G3" s="6" t="inlineStr">
        <is>
          <t>항목분류</t>
        </is>
      </c>
      <c r="H3" s="6" t="inlineStr">
        <is>
          <t>증빙구분_국내</t>
        </is>
      </c>
      <c r="I3" s="6" t="inlineStr">
        <is>
          <t>증빙구분_해외</t>
        </is>
      </c>
      <c r="J3" s="6" t="inlineStr">
        <is>
          <t>통화</t>
        </is>
      </c>
      <c r="K3" s="6" t="inlineStr">
        <is>
          <t>상태</t>
        </is>
      </c>
      <c r="L3" s="6" t="inlineStr">
        <is>
          <t>비고</t>
        </is>
      </c>
      <c r="M3" t="inlineStr">
        <is>
          <t>영문제목</t>
        </is>
      </c>
      <c r="N3" t="inlineStr">
        <is>
          <t>하위출판사</t>
        </is>
      </c>
      <c r="O3" t="inlineStr">
        <is>
          <t>정산서분리</t>
        </is>
      </c>
    </row>
    <row r="4" ht="26.4" customHeight="1">
      <c r="A4" s="7" t="inlineStr">
        <is>
          <t>(예시) 어느 작품</t>
        </is>
      </c>
      <c r="B4" s="8" t="inlineStr">
        <is>
          <t>어느작품;어느 작품(개정판);어느 작품 시즌1</t>
        </is>
      </c>
      <c r="C4" s="7" t="n"/>
      <c r="D4" s="8" t="inlineStr">
        <is>
          <t>어느작품</t>
        </is>
      </c>
      <c r="E4" s="7" t="inlineStr">
        <is>
          <t>V001</t>
        </is>
      </c>
      <c r="F4" s="7" t="inlineStr">
        <is>
          <t>0.10</t>
        </is>
      </c>
      <c r="G4" s="8" t="inlineStr">
        <is>
          <t>원작료</t>
        </is>
      </c>
      <c r="H4" s="8" t="inlineStr">
        <is>
          <t>계산서</t>
        </is>
      </c>
      <c r="I4" s="8" t="inlineStr">
        <is>
          <t>세금계산서</t>
        </is>
      </c>
      <c r="J4" s="7" t="inlineStr">
        <is>
          <t>KRW</t>
        </is>
      </c>
      <c r="K4" s="8" t="inlineStr">
        <is>
          <t>정산중</t>
        </is>
      </c>
      <c r="L4" s="8" t="inlineStr">
        <is>
          <t>기타</t>
        </is>
      </c>
    </row>
    <row r="5" ht="15.6" customHeight="1">
      <c r="A5" s="9" t="inlineStr">
        <is>
          <t>악녀인데 요리를 너무 잘해</t>
        </is>
      </c>
      <c r="B5" s="9" t="n"/>
      <c r="C5" s="9" t="n"/>
      <c r="D5" s="9" t="n"/>
      <c r="E5" s="9" t="inlineStr">
        <is>
          <t>V001</t>
        </is>
      </c>
      <c r="F5" s="18" t="n">
        <v>0.1</v>
      </c>
      <c r="G5" s="17" t="inlineStr">
        <is>
          <t>원작료</t>
        </is>
      </c>
      <c r="H5" s="9" t="inlineStr">
        <is>
          <t>세금계산서</t>
        </is>
      </c>
      <c r="I5" s="9" t="n"/>
      <c r="J5" s="9" t="inlineStr">
        <is>
          <t>KRW</t>
        </is>
      </c>
      <c r="K5" s="9" t="inlineStr">
        <is>
          <t>정산중</t>
        </is>
      </c>
      <c r="L5" s="9" t="n"/>
    </row>
    <row r="6" ht="15.6" customHeight="1">
      <c r="A6" s="9" t="inlineStr">
        <is>
          <t>그 남자, 처음, 로맨틱</t>
        </is>
      </c>
      <c r="B6" s="9" t="n"/>
      <c r="C6" s="9" t="n"/>
      <c r="D6" s="9" t="n"/>
      <c r="E6" s="9" t="inlineStr">
        <is>
          <t>V002</t>
        </is>
      </c>
      <c r="F6" s="18" t="n">
        <v>0.1</v>
      </c>
      <c r="G6" s="17" t="inlineStr">
        <is>
          <t>원작료</t>
        </is>
      </c>
      <c r="H6" s="9" t="inlineStr">
        <is>
          <t>세금계산서</t>
        </is>
      </c>
      <c r="I6" s="9" t="n"/>
      <c r="J6" s="9" t="inlineStr">
        <is>
          <t>KRW</t>
        </is>
      </c>
      <c r="K6" s="9" t="inlineStr">
        <is>
          <t>정산중</t>
        </is>
      </c>
      <c r="L6" s="9" t="n"/>
    </row>
    <row r="7" ht="15.6" customHeight="1">
      <c r="A7" s="9" t="inlineStr">
        <is>
          <t>마족의 계약</t>
        </is>
      </c>
      <c r="B7" s="9" t="n"/>
      <c r="C7" s="9" t="n"/>
      <c r="D7" s="9" t="n"/>
      <c r="E7" s="9" t="inlineStr">
        <is>
          <t>V002</t>
        </is>
      </c>
      <c r="F7" s="18" t="n">
        <v>0.1</v>
      </c>
      <c r="G7" s="17" t="inlineStr">
        <is>
          <t>원작료</t>
        </is>
      </c>
      <c r="H7" s="9" t="inlineStr">
        <is>
          <t>세금계산서</t>
        </is>
      </c>
      <c r="I7" s="9" t="n"/>
      <c r="J7" s="9" t="inlineStr">
        <is>
          <t>KRW</t>
        </is>
      </c>
      <c r="K7" s="9" t="inlineStr">
        <is>
          <t>정산중</t>
        </is>
      </c>
      <c r="L7" s="9" t="n"/>
    </row>
    <row r="8" ht="15.6" customHeight="1">
      <c r="A8" s="9" t="inlineStr">
        <is>
          <t>악녀인데 남주를 주워버렸다</t>
        </is>
      </c>
      <c r="B8" s="9" t="n"/>
      <c r="C8" s="9" t="n"/>
      <c r="D8" s="9" t="n"/>
      <c r="E8" s="9" t="inlineStr">
        <is>
          <t>V002</t>
        </is>
      </c>
      <c r="F8" s="18" t="n">
        <v>0.1</v>
      </c>
      <c r="G8" s="17" t="inlineStr">
        <is>
          <t>원작료</t>
        </is>
      </c>
      <c r="H8" s="9" t="inlineStr">
        <is>
          <t>세금계산서</t>
        </is>
      </c>
      <c r="I8" s="9" t="n"/>
      <c r="J8" s="9" t="inlineStr">
        <is>
          <t>KRW</t>
        </is>
      </c>
      <c r="K8" s="9" t="inlineStr">
        <is>
          <t>정산중</t>
        </is>
      </c>
      <c r="L8" s="9" t="n"/>
    </row>
    <row r="9" ht="15.6" customHeight="1">
      <c r="A9" s="9" t="inlineStr">
        <is>
          <t>악역에게 청혼 받았습니다</t>
        </is>
      </c>
      <c r="B9" s="9" t="n"/>
      <c r="C9" s="9" t="n"/>
      <c r="D9" s="9" t="n"/>
      <c r="E9" s="9" t="inlineStr">
        <is>
          <t>V002</t>
        </is>
      </c>
      <c r="F9" s="18" t="n">
        <v>0.1</v>
      </c>
      <c r="G9" s="17" t="inlineStr">
        <is>
          <t>원작료</t>
        </is>
      </c>
      <c r="H9" s="9" t="inlineStr">
        <is>
          <t>세금계산서</t>
        </is>
      </c>
      <c r="I9" s="9" t="n"/>
      <c r="J9" s="9" t="inlineStr">
        <is>
          <t>KRW</t>
        </is>
      </c>
      <c r="K9" s="9" t="inlineStr">
        <is>
          <t>정산중</t>
        </is>
      </c>
      <c r="L9" s="9" t="n"/>
    </row>
    <row r="10" ht="15.6" customHeight="1">
      <c r="A10" s="9" t="inlineStr">
        <is>
          <t>입술 좀 빌려주세요</t>
        </is>
      </c>
      <c r="B10" s="9" t="n"/>
      <c r="C10" s="9" t="n"/>
      <c r="D10" s="9" t="n"/>
      <c r="E10" s="9" t="inlineStr">
        <is>
          <t>V002</t>
        </is>
      </c>
      <c r="F10" s="18" t="n">
        <v>0.1</v>
      </c>
      <c r="G10" s="17" t="inlineStr">
        <is>
          <t>원작료</t>
        </is>
      </c>
      <c r="H10" s="9" t="inlineStr">
        <is>
          <t>세금계산서</t>
        </is>
      </c>
      <c r="I10" s="9" t="n"/>
      <c r="J10" s="9" t="inlineStr">
        <is>
          <t>KRW</t>
        </is>
      </c>
      <c r="K10" s="9" t="inlineStr">
        <is>
          <t>정산중</t>
        </is>
      </c>
      <c r="L10" s="9" t="n"/>
    </row>
    <row r="11" ht="15.6" customHeight="1">
      <c r="A11" s="9" t="inlineStr">
        <is>
          <t>만렙으로 사는 법</t>
        </is>
      </c>
      <c r="B11" s="9" t="n"/>
      <c r="C11" s="9" t="n"/>
      <c r="D11" s="9" t="n"/>
      <c r="E11" s="9" t="inlineStr">
        <is>
          <t>V003</t>
        </is>
      </c>
      <c r="F11" s="9" t="n">
        <v>0.11</v>
      </c>
      <c r="G11" s="17" t="inlineStr">
        <is>
          <t>원작료</t>
        </is>
      </c>
      <c r="H11" s="9" t="inlineStr">
        <is>
          <t>세금계산서</t>
        </is>
      </c>
      <c r="I11" s="9" t="n"/>
      <c r="J11" s="9" t="inlineStr">
        <is>
          <t>KRW</t>
        </is>
      </c>
      <c r="K11" s="9" t="inlineStr">
        <is>
          <t>정산중</t>
        </is>
      </c>
      <c r="L11" s="9" t="n"/>
      <c r="M11" t="inlineStr">
        <is>
          <t>V006</t>
        </is>
      </c>
      <c r="N11" t="inlineStr">
        <is>
          <t>네이버웹툰</t>
        </is>
      </c>
    </row>
    <row r="12" ht="15.6" customHeight="1">
      <c r="A12" s="9" t="inlineStr">
        <is>
          <t>맛본 김에 꿀꺽!</t>
        </is>
      </c>
      <c r="B12" s="9" t="n"/>
      <c r="C12" s="9" t="n"/>
      <c r="D12" s="9" t="n"/>
      <c r="E12" s="9" t="inlineStr">
        <is>
          <t>V004</t>
        </is>
      </c>
      <c r="F12" s="18" t="n">
        <v>0.1</v>
      </c>
      <c r="G12" s="17" t="inlineStr">
        <is>
          <t>원작료</t>
        </is>
      </c>
      <c r="H12" s="9" t="inlineStr">
        <is>
          <t>세금계산서</t>
        </is>
      </c>
      <c r="I12" s="9" t="n"/>
      <c r="J12" s="9" t="inlineStr">
        <is>
          <t>KRW</t>
        </is>
      </c>
      <c r="K12" s="9" t="inlineStr">
        <is>
          <t>정산중</t>
        </is>
      </c>
      <c r="L12" s="9" t="n"/>
      <c r="M12" t="inlineStr">
        <is>
          <t>V007</t>
        </is>
      </c>
      <c r="N12" t="inlineStr">
        <is>
          <t>KW북스</t>
        </is>
      </c>
    </row>
    <row r="13" ht="15.6" customHeight="1">
      <c r="A13" s="9" t="inlineStr">
        <is>
          <t>검마</t>
        </is>
      </c>
      <c r="B13" s="9" t="n"/>
      <c r="C13" s="9" t="n"/>
      <c r="D13" s="9" t="n"/>
      <c r="E13" s="9" t="inlineStr">
        <is>
          <t>V004</t>
        </is>
      </c>
      <c r="F13" s="18" t="n">
        <v>0.1</v>
      </c>
      <c r="G13" s="17" t="inlineStr">
        <is>
          <t>원작료</t>
        </is>
      </c>
      <c r="H13" s="9" t="inlineStr">
        <is>
          <t>세금계산서</t>
        </is>
      </c>
      <c r="I13" s="9" t="n"/>
      <c r="J13" s="9" t="inlineStr">
        <is>
          <t>KRW</t>
        </is>
      </c>
      <c r="K13" s="9" t="inlineStr">
        <is>
          <t>정산중</t>
        </is>
      </c>
      <c r="L13" s="9" t="n"/>
      <c r="M13" t="inlineStr">
        <is>
          <t>V008</t>
        </is>
      </c>
      <c r="N13" t="inlineStr">
        <is>
          <t>도서출판 가하</t>
        </is>
      </c>
    </row>
    <row r="14" ht="15.6" customHeight="1">
      <c r="A14" s="9" t="inlineStr">
        <is>
          <t>책만 보고 탑배우!</t>
        </is>
      </c>
      <c r="B14" s="9" t="n"/>
      <c r="C14" s="9" t="n"/>
      <c r="D14" s="9" t="n"/>
      <c r="E14" s="9" t="inlineStr">
        <is>
          <t>V005</t>
        </is>
      </c>
      <c r="F14" s="18" t="n">
        <v>0.1</v>
      </c>
      <c r="G14" s="17" t="inlineStr">
        <is>
          <t>원작료</t>
        </is>
      </c>
      <c r="H14" s="9" t="inlineStr">
        <is>
          <t>세금계산서</t>
        </is>
      </c>
      <c r="I14" s="9" t="n"/>
      <c r="J14" s="9" t="inlineStr">
        <is>
          <t>KRW</t>
        </is>
      </c>
      <c r="K14" s="9" t="inlineStr">
        <is>
          <t>정산중</t>
        </is>
      </c>
      <c r="L14" s="9" t="n"/>
      <c r="M14" t="inlineStr">
        <is>
          <t>V009</t>
        </is>
      </c>
      <c r="N14" t="inlineStr">
        <is>
          <t>마야마루</t>
        </is>
      </c>
    </row>
    <row r="15" ht="15.6" customHeight="1">
      <c r="A15" s="9" t="inlineStr">
        <is>
          <t>반드시 해피엔딩</t>
        </is>
      </c>
      <c r="B15" s="9" t="n"/>
      <c r="C15" s="9" t="n"/>
      <c r="D15" s="9" t="n"/>
      <c r="E15" s="9" t="inlineStr">
        <is>
          <t>V006</t>
        </is>
      </c>
      <c r="F15" s="18" t="n">
        <v>0.1</v>
      </c>
      <c r="G15" s="17" t="inlineStr">
        <is>
          <t>원작료</t>
        </is>
      </c>
      <c r="H15" s="9" t="inlineStr">
        <is>
          <t>세금계산서</t>
        </is>
      </c>
      <c r="I15" s="9" t="n"/>
      <c r="J15" s="9" t="inlineStr">
        <is>
          <t>KRW</t>
        </is>
      </c>
      <c r="K15" s="9" t="inlineStr">
        <is>
          <t>정산중</t>
        </is>
      </c>
      <c r="L15" s="9" t="n"/>
      <c r="M15" t="inlineStr">
        <is>
          <t>V010</t>
        </is>
      </c>
      <c r="N15" t="inlineStr">
        <is>
          <t>문피아</t>
        </is>
      </c>
    </row>
    <row r="16" ht="15.6" customHeight="1">
      <c r="A16" s="9" t="inlineStr">
        <is>
          <t>완벽한 결혼의 정석</t>
        </is>
      </c>
      <c r="B16" s="9" t="n"/>
      <c r="C16" s="9" t="n"/>
      <c r="D16" s="9" t="n"/>
      <c r="E16" s="9" t="inlineStr">
        <is>
          <t>V006</t>
        </is>
      </c>
      <c r="F16" s="18" t="n">
        <v>0.12</v>
      </c>
      <c r="G16" s="17" t="inlineStr">
        <is>
          <t>원작료</t>
        </is>
      </c>
      <c r="H16" s="9" t="inlineStr">
        <is>
          <t>세금계산서</t>
        </is>
      </c>
      <c r="I16" s="9" t="n"/>
      <c r="J16" s="9" t="inlineStr">
        <is>
          <t>KRW</t>
        </is>
      </c>
      <c r="K16" s="9" t="inlineStr">
        <is>
          <t>정산중</t>
        </is>
      </c>
      <c r="L16" s="9" t="n"/>
      <c r="M16" t="inlineStr">
        <is>
          <t>V011</t>
        </is>
      </c>
      <c r="N16" t="inlineStr">
        <is>
          <t>미스터블루</t>
        </is>
      </c>
    </row>
    <row r="17" ht="15.6" customHeight="1">
      <c r="A17" s="9" t="inlineStr">
        <is>
          <t>이 결혼, 새로고침</t>
        </is>
      </c>
      <c r="B17" s="9" t="n"/>
      <c r="C17" s="9" t="n"/>
      <c r="D17" s="9" t="n"/>
      <c r="E17" s="9" t="inlineStr">
        <is>
          <t>V006</t>
        </is>
      </c>
      <c r="F17" s="18" t="n">
        <v>0.1</v>
      </c>
      <c r="G17" s="17" t="inlineStr">
        <is>
          <t>원작료</t>
        </is>
      </c>
      <c r="H17" s="9" t="inlineStr">
        <is>
          <t>세금계산서</t>
        </is>
      </c>
      <c r="I17" s="9" t="n"/>
      <c r="J17" s="9" t="inlineStr">
        <is>
          <t>KRW</t>
        </is>
      </c>
      <c r="K17" s="9" t="inlineStr">
        <is>
          <t>정산중</t>
        </is>
      </c>
      <c r="L17" s="9" t="n"/>
      <c r="M17" t="inlineStr">
        <is>
          <t>V012</t>
        </is>
      </c>
      <c r="N17" t="inlineStr">
        <is>
          <t>뷰컴즈</t>
        </is>
      </c>
    </row>
    <row r="18" ht="15.6" customHeight="1">
      <c r="A18" s="9" t="inlineStr">
        <is>
          <t>숲속에서 공작이 주운 것은</t>
        </is>
      </c>
      <c r="B18" s="9" t="n"/>
      <c r="C18" s="9" t="n"/>
      <c r="D18" s="9" t="n"/>
      <c r="E18" s="9" t="inlineStr">
        <is>
          <t>V006</t>
        </is>
      </c>
      <c r="F18" s="18" t="n">
        <v>0.1</v>
      </c>
      <c r="G18" s="17" t="inlineStr">
        <is>
          <t>원작료</t>
        </is>
      </c>
      <c r="H18" s="9" t="inlineStr">
        <is>
          <t>세금계산서</t>
        </is>
      </c>
      <c r="I18" s="9" t="n"/>
      <c r="J18" s="9" t="inlineStr">
        <is>
          <t>KRW</t>
        </is>
      </c>
      <c r="K18" s="9" t="inlineStr">
        <is>
          <t>정산중</t>
        </is>
      </c>
      <c r="L18" s="9" t="n"/>
      <c r="M18" t="inlineStr">
        <is>
          <t>V013</t>
        </is>
      </c>
      <c r="N18" t="inlineStr">
        <is>
          <t>뿔미디어</t>
        </is>
      </c>
    </row>
    <row r="19" ht="15.6" customHeight="1">
      <c r="A19" s="17" t="inlineStr">
        <is>
          <t>신선한 후궁님</t>
        </is>
      </c>
      <c r="B19" s="9" t="n"/>
      <c r="C19" s="9" t="n"/>
      <c r="D19" s="9" t="n"/>
      <c r="E19" s="9" t="inlineStr">
        <is>
          <t>V006</t>
        </is>
      </c>
      <c r="F19" s="18" t="n">
        <v>0.1</v>
      </c>
      <c r="G19" s="17" t="inlineStr">
        <is>
          <t>원작료</t>
        </is>
      </c>
      <c r="H19" s="9" t="inlineStr">
        <is>
          <t>세금계산서</t>
        </is>
      </c>
      <c r="I19" s="9" t="n"/>
      <c r="J19" s="9" t="inlineStr">
        <is>
          <t>KRW</t>
        </is>
      </c>
      <c r="K19" s="9" t="inlineStr">
        <is>
          <t>정산중</t>
        </is>
      </c>
      <c r="L19" s="9" t="n"/>
    </row>
    <row r="20" ht="15.6" customHeight="1">
      <c r="A20" s="9" t="inlineStr">
        <is>
          <t>용두사망 소설 속의 악녀가 되었다</t>
        </is>
      </c>
      <c r="B20" s="9" t="n"/>
      <c r="C20" s="9" t="n"/>
      <c r="D20" s="9" t="n"/>
      <c r="E20" s="9" t="inlineStr">
        <is>
          <t>V006</t>
        </is>
      </c>
      <c r="F20" s="18" t="n">
        <v>0.1</v>
      </c>
      <c r="G20" s="17" t="inlineStr">
        <is>
          <t>원작료</t>
        </is>
      </c>
      <c r="H20" s="9" t="inlineStr">
        <is>
          <t>세금계산서</t>
        </is>
      </c>
      <c r="I20" s="9" t="n"/>
      <c r="J20" s="9" t="inlineStr">
        <is>
          <t>KRW</t>
        </is>
      </c>
      <c r="K20" s="9" t="inlineStr">
        <is>
          <t>정산중</t>
        </is>
      </c>
      <c r="L20" s="9" t="n"/>
      <c r="M20" t="inlineStr">
        <is>
          <t>V014</t>
        </is>
      </c>
      <c r="N20" t="inlineStr">
        <is>
          <t>삼양씨앤씨</t>
        </is>
      </c>
    </row>
    <row r="21" ht="15.6" customHeight="1">
      <c r="A21" s="9" t="inlineStr">
        <is>
          <t>대리 황후지만 첫날밤을 보내버렸다</t>
        </is>
      </c>
      <c r="B21" s="9" t="n"/>
      <c r="C21" s="9" t="n"/>
      <c r="D21" s="9" t="n"/>
      <c r="E21" s="9" t="inlineStr">
        <is>
          <t>V006</t>
        </is>
      </c>
      <c r="F21" s="18" t="n">
        <v>0.1</v>
      </c>
      <c r="G21" s="17" t="inlineStr">
        <is>
          <t>원작료</t>
        </is>
      </c>
      <c r="H21" s="9" t="inlineStr">
        <is>
          <t>세금계산서</t>
        </is>
      </c>
      <c r="I21" s="9" t="n"/>
      <c r="J21" s="9" t="inlineStr">
        <is>
          <t>KRW</t>
        </is>
      </c>
      <c r="K21" s="9" t="inlineStr">
        <is>
          <t>정산중</t>
        </is>
      </c>
      <c r="L21" s="9" t="n"/>
      <c r="M21" t="inlineStr">
        <is>
          <t>V015</t>
        </is>
      </c>
      <c r="N21" t="inlineStr">
        <is>
          <t>스튜디오 봄봄</t>
        </is>
      </c>
    </row>
    <row r="22" ht="15.6" customHeight="1">
      <c r="A22" s="9" t="inlineStr">
        <is>
          <t>빌어먹을 환생</t>
        </is>
      </c>
      <c r="B22" s="9" t="n"/>
      <c r="C22" s="9" t="n"/>
      <c r="D22" s="9" t="n"/>
      <c r="E22" s="9" t="inlineStr">
        <is>
          <t>V007</t>
        </is>
      </c>
      <c r="F22" s="18" t="n">
        <v>0.1</v>
      </c>
      <c r="G22" s="17" t="inlineStr">
        <is>
          <t>원작료</t>
        </is>
      </c>
      <c r="H22" s="9" t="inlineStr">
        <is>
          <t>세금계산서</t>
        </is>
      </c>
      <c r="I22" s="9" t="n"/>
      <c r="J22" s="9" t="inlineStr">
        <is>
          <t>KRW</t>
        </is>
      </c>
      <c r="K22" s="9" t="inlineStr">
        <is>
          <t>정산중</t>
        </is>
      </c>
      <c r="L22" s="9" t="n"/>
      <c r="M22" t="inlineStr">
        <is>
          <t>V016</t>
        </is>
      </c>
      <c r="N22" t="inlineStr">
        <is>
          <t>신영미디어</t>
        </is>
      </c>
    </row>
    <row r="23" ht="15.6" customHeight="1">
      <c r="A23" s="9" t="inlineStr">
        <is>
          <t>로판인 줄 알았는데 괴담이다</t>
        </is>
      </c>
      <c r="B23" s="9" t="n"/>
      <c r="C23" s="9" t="n"/>
      <c r="D23" s="9" t="n"/>
      <c r="E23" s="9" t="inlineStr">
        <is>
          <t>V007</t>
        </is>
      </c>
      <c r="F23" s="18" t="n">
        <v>0.1</v>
      </c>
      <c r="G23" s="17" t="inlineStr">
        <is>
          <t>원작료</t>
        </is>
      </c>
      <c r="H23" s="9" t="inlineStr">
        <is>
          <t>세금계산서</t>
        </is>
      </c>
      <c r="I23" s="9" t="n"/>
      <c r="J23" s="9" t="inlineStr">
        <is>
          <t>KRW</t>
        </is>
      </c>
      <c r="K23" s="9" t="inlineStr">
        <is>
          <t>정산중</t>
        </is>
      </c>
      <c r="L23" s="9" t="n"/>
      <c r="M23" t="inlineStr">
        <is>
          <t>V017</t>
        </is>
      </c>
      <c r="N23" t="inlineStr">
        <is>
          <t>알에스미디어</t>
        </is>
      </c>
    </row>
    <row r="24" ht="15.6" customHeight="1">
      <c r="A24" s="9" t="inlineStr">
        <is>
          <t>약먹는 천재마법사</t>
        </is>
      </c>
      <c r="B24" s="9" t="n"/>
      <c r="C24" s="9" t="n"/>
      <c r="D24" s="9" t="n"/>
      <c r="E24" s="9" t="inlineStr">
        <is>
          <t>V007</t>
        </is>
      </c>
      <c r="F24" s="18" t="n">
        <v>0.1</v>
      </c>
      <c r="G24" s="17" t="inlineStr">
        <is>
          <t>원작료</t>
        </is>
      </c>
      <c r="H24" s="9" t="inlineStr">
        <is>
          <t>세금계산서</t>
        </is>
      </c>
      <c r="I24" s="9" t="n"/>
      <c r="J24" s="9" t="inlineStr">
        <is>
          <t>KRW</t>
        </is>
      </c>
      <c r="K24" s="9" t="inlineStr">
        <is>
          <t>정산중</t>
        </is>
      </c>
      <c r="L24" s="9" t="n"/>
      <c r="M24" t="inlineStr">
        <is>
          <t>V018</t>
        </is>
      </c>
      <c r="N24" t="inlineStr">
        <is>
          <t>에이템포미디어</t>
        </is>
      </c>
    </row>
    <row r="25" ht="15.6" customHeight="1">
      <c r="A25" s="9" t="inlineStr">
        <is>
          <t>만 년 만에 귀환한 플레이어</t>
        </is>
      </c>
      <c r="B25" s="9" t="n"/>
      <c r="C25" s="9" t="n"/>
      <c r="D25" s="9" t="n"/>
      <c r="E25" s="9" t="inlineStr">
        <is>
          <t>V007</t>
        </is>
      </c>
      <c r="F25" s="18" t="n">
        <v>0.1</v>
      </c>
      <c r="G25" s="17" t="inlineStr">
        <is>
          <t>원작료</t>
        </is>
      </c>
      <c r="H25" s="9" t="inlineStr">
        <is>
          <t>세금계산서</t>
        </is>
      </c>
      <c r="I25" s="9" t="n"/>
      <c r="J25" s="9" t="inlineStr">
        <is>
          <t>KRW</t>
        </is>
      </c>
      <c r="K25" s="9" t="inlineStr">
        <is>
          <t>정산중</t>
        </is>
      </c>
      <c r="L25" s="17" t="inlineStr">
        <is>
          <t>기타수익을 제외한 순매출 5억원 초과시, 초과분에 대하여 15%, 10억원 초과 시 20% 지급</t>
        </is>
      </c>
      <c r="M25" t="inlineStr">
        <is>
          <t>V019</t>
        </is>
      </c>
      <c r="N25" t="inlineStr">
        <is>
          <t>엘리스콘텐츠</t>
        </is>
      </c>
    </row>
    <row r="26" ht="15.6" customHeight="1">
      <c r="A26" s="9" t="inlineStr">
        <is>
          <t>살인마의 인터뷰</t>
        </is>
      </c>
      <c r="B26" s="9" t="n"/>
      <c r="C26" s="9" t="n"/>
      <c r="D26" s="9" t="n"/>
      <c r="E26" s="9" t="inlineStr">
        <is>
          <t>V007</t>
        </is>
      </c>
      <c r="F26" s="18" t="n">
        <v>0.1</v>
      </c>
      <c r="G26" s="17" t="inlineStr">
        <is>
          <t>원작료</t>
        </is>
      </c>
      <c r="H26" s="9" t="inlineStr">
        <is>
          <t>세금계산서</t>
        </is>
      </c>
      <c r="I26" s="9" t="n"/>
      <c r="J26" s="9" t="inlineStr">
        <is>
          <t>KRW</t>
        </is>
      </c>
      <c r="K26" s="9" t="inlineStr">
        <is>
          <t>정산중</t>
        </is>
      </c>
      <c r="L26" s="9" t="n"/>
      <c r="M26" t="inlineStr">
        <is>
          <t>V020</t>
        </is>
      </c>
      <c r="N26" t="inlineStr">
        <is>
          <t>오픈스토리</t>
        </is>
      </c>
    </row>
    <row r="27" ht="15.6" customHeight="1">
      <c r="A27" s="9" t="inlineStr">
        <is>
          <t>랭킹 1위를 영혼까지 털어버림</t>
        </is>
      </c>
      <c r="B27" s="9" t="n"/>
      <c r="C27" s="9" t="n"/>
      <c r="D27" s="9" t="n"/>
      <c r="E27" s="9" t="inlineStr">
        <is>
          <t>V007</t>
        </is>
      </c>
      <c r="F27" s="18" t="n">
        <v>0.1</v>
      </c>
      <c r="G27" s="17" t="inlineStr">
        <is>
          <t>원작료</t>
        </is>
      </c>
      <c r="H27" s="9" t="inlineStr">
        <is>
          <t>세금계산서</t>
        </is>
      </c>
      <c r="I27" s="9" t="n"/>
      <c r="J27" s="9" t="inlineStr">
        <is>
          <t>KRW</t>
        </is>
      </c>
      <c r="K27" s="9" t="inlineStr">
        <is>
          <t>정산중</t>
        </is>
      </c>
      <c r="L27" s="17" t="inlineStr">
        <is>
          <t>기타수익을 제외한 순매출 5억원 초과시, 초과분에 대하여 13%</t>
        </is>
      </c>
      <c r="M27" t="inlineStr">
        <is>
          <t>V021</t>
        </is>
      </c>
      <c r="N27" t="inlineStr">
        <is>
          <t>위벨</t>
        </is>
      </c>
    </row>
    <row r="28" ht="15.6" customHeight="1">
      <c r="A28" s="9" t="inlineStr">
        <is>
          <t>마운드 위의 절대자</t>
        </is>
      </c>
      <c r="B28" s="9" t="n"/>
      <c r="C28" s="9" t="n"/>
      <c r="D28" s="9" t="n"/>
      <c r="E28" s="9" t="inlineStr">
        <is>
          <t>V007</t>
        </is>
      </c>
      <c r="F28" s="18" t="n">
        <v>0.1</v>
      </c>
      <c r="G28" s="17" t="inlineStr">
        <is>
          <t>원작료</t>
        </is>
      </c>
      <c r="H28" s="9" t="inlineStr">
        <is>
          <t>세금계산서</t>
        </is>
      </c>
      <c r="I28" s="9" t="n"/>
      <c r="J28" s="9" t="inlineStr">
        <is>
          <t>KRW</t>
        </is>
      </c>
      <c r="K28" s="9" t="inlineStr">
        <is>
          <t>정산중</t>
        </is>
      </c>
      <c r="L28" s="9" t="n"/>
      <c r="M28" t="inlineStr">
        <is>
          <t>V022</t>
        </is>
      </c>
      <c r="N28" t="inlineStr">
        <is>
          <t>청어람</t>
        </is>
      </c>
    </row>
    <row r="29" ht="15.6" customHeight="1">
      <c r="A29" s="9" t="inlineStr">
        <is>
          <t>주인공의 여동생이다</t>
        </is>
      </c>
      <c r="B29" s="9" t="n"/>
      <c r="C29" s="9" t="n"/>
      <c r="D29" s="9" t="n"/>
      <c r="E29" s="9" t="inlineStr">
        <is>
          <t>V007</t>
        </is>
      </c>
      <c r="F29" s="18" t="n">
        <v>0.1</v>
      </c>
      <c r="G29" s="17" t="inlineStr">
        <is>
          <t>원작료</t>
        </is>
      </c>
      <c r="H29" s="9" t="inlineStr">
        <is>
          <t>세금계산서</t>
        </is>
      </c>
      <c r="I29" s="9" t="n"/>
      <c r="J29" s="9" t="inlineStr">
        <is>
          <t>KRW</t>
        </is>
      </c>
      <c r="K29" s="9" t="inlineStr">
        <is>
          <t>정산중</t>
        </is>
      </c>
      <c r="L29" s="17" t="inlineStr">
        <is>
          <t>기타수익을 제외한 순매출 5억원 초과시, 초과분에 대하여 13%</t>
        </is>
      </c>
      <c r="M29" t="inlineStr">
        <is>
          <t>V023</t>
        </is>
      </c>
      <c r="N29" t="inlineStr">
        <is>
          <t>카카오페이지</t>
        </is>
      </c>
    </row>
    <row r="30" ht="15.6" customHeight="1">
      <c r="A30" s="9" t="inlineStr">
        <is>
          <t>빼앗긴 가문의 주인이 되려 합니다</t>
        </is>
      </c>
      <c r="B30" s="9" t="n"/>
      <c r="C30" s="9" t="n"/>
      <c r="D30" s="9" t="n"/>
      <c r="E30" s="9" t="inlineStr">
        <is>
          <t>V007</t>
        </is>
      </c>
      <c r="F30" s="18" t="n">
        <v>0.1</v>
      </c>
      <c r="G30" s="17" t="inlineStr">
        <is>
          <t>원작료</t>
        </is>
      </c>
      <c r="H30" s="9" t="inlineStr">
        <is>
          <t>세금계산서</t>
        </is>
      </c>
      <c r="I30" s="9" t="n"/>
      <c r="J30" s="9" t="inlineStr">
        <is>
          <t>KRW</t>
        </is>
      </c>
      <c r="K30" s="9" t="inlineStr">
        <is>
          <t>정산중</t>
        </is>
      </c>
      <c r="L30" s="17" t="inlineStr">
        <is>
          <t>기타수익을 제외한 순매출 5억원 초과시, 초과분에 대하여 13%</t>
        </is>
      </c>
      <c r="M30" t="inlineStr">
        <is>
          <t>V024</t>
        </is>
      </c>
      <c r="N30" t="inlineStr">
        <is>
          <t>페퍼민트</t>
        </is>
      </c>
    </row>
    <row r="31" ht="15.6" customHeight="1">
      <c r="A31" s="9" t="inlineStr">
        <is>
          <t>어서 와, 귀여운 악당은 처음이지?</t>
        </is>
      </c>
      <c r="B31" s="9" t="n"/>
      <c r="C31" s="9" t="n"/>
      <c r="D31" s="9" t="n"/>
      <c r="E31" s="9" t="inlineStr">
        <is>
          <t>V007</t>
        </is>
      </c>
      <c r="F31" s="18" t="n">
        <v>0.13</v>
      </c>
      <c r="G31" s="17" t="inlineStr">
        <is>
          <t>원작료</t>
        </is>
      </c>
      <c r="H31" s="9" t="inlineStr">
        <is>
          <t>세금계산서</t>
        </is>
      </c>
      <c r="I31" s="9" t="n"/>
      <c r="J31" s="9" t="inlineStr">
        <is>
          <t>KRW</t>
        </is>
      </c>
      <c r="K31" s="9" t="inlineStr">
        <is>
          <t>정산중</t>
        </is>
      </c>
      <c r="L31" s="9" t="n"/>
      <c r="M31" t="inlineStr">
        <is>
          <t>V025</t>
        </is>
      </c>
      <c r="N31" t="inlineStr">
        <is>
          <t>펜슬프리즘</t>
        </is>
      </c>
    </row>
    <row r="32" ht="15.6" customHeight="1">
      <c r="A32" s="9" t="inlineStr">
        <is>
          <t>만렙 플레이어의 100번째 회귀</t>
        </is>
      </c>
      <c r="B32" s="9" t="n"/>
      <c r="C32" s="9" t="n"/>
      <c r="D32" s="9" t="n"/>
      <c r="E32" s="9" t="inlineStr">
        <is>
          <t>V007</t>
        </is>
      </c>
      <c r="F32" s="18" t="n">
        <v>0.1</v>
      </c>
      <c r="G32" s="17" t="inlineStr">
        <is>
          <t>원작료</t>
        </is>
      </c>
      <c r="H32" s="9" t="inlineStr">
        <is>
          <t>세금계산서</t>
        </is>
      </c>
      <c r="I32" s="9" t="n"/>
      <c r="J32" s="9" t="inlineStr">
        <is>
          <t>KRW</t>
        </is>
      </c>
      <c r="K32" s="9" t="inlineStr">
        <is>
          <t>정산중</t>
        </is>
      </c>
      <c r="L32" s="17" t="inlineStr">
        <is>
          <t>기타수익을 제외한 순매출 5억원 초과시, 초과분에 대하여 13%</t>
        </is>
      </c>
      <c r="M32" t="inlineStr">
        <is>
          <t>V026</t>
        </is>
      </c>
      <c r="N32" t="inlineStr">
        <is>
          <t>레토북스</t>
        </is>
      </c>
    </row>
    <row r="33" ht="15.6" customHeight="1">
      <c r="A33" s="9" t="inlineStr">
        <is>
          <t>여보, 그건 당신의 오해 같은데요</t>
        </is>
      </c>
      <c r="B33" s="9" t="n"/>
      <c r="C33" s="9" t="n"/>
      <c r="D33" s="9" t="n"/>
      <c r="E33" s="9" t="inlineStr">
        <is>
          <t>V007</t>
        </is>
      </c>
      <c r="F33" s="18" t="n">
        <v>0.1</v>
      </c>
      <c r="G33" s="17" t="inlineStr">
        <is>
          <t>원작료</t>
        </is>
      </c>
      <c r="H33" s="9" t="inlineStr">
        <is>
          <t>세금계산서</t>
        </is>
      </c>
      <c r="I33" s="9" t="n"/>
      <c r="J33" s="9" t="inlineStr">
        <is>
          <t>KRW</t>
        </is>
      </c>
      <c r="K33" s="9" t="inlineStr">
        <is>
          <t>정산중</t>
        </is>
      </c>
      <c r="L33" s="17" t="inlineStr">
        <is>
          <t>기타수익을 제외한 순매출 5억원 초과시, 초과분에 대하여 13%</t>
        </is>
      </c>
      <c r="M33" t="inlineStr">
        <is>
          <t>V027</t>
        </is>
      </c>
      <c r="N33" t="inlineStr">
        <is>
          <t>피플앤스토리</t>
        </is>
      </c>
    </row>
    <row r="34" ht="15.6" customHeight="1">
      <c r="A34" s="9" t="inlineStr">
        <is>
          <t>왕세자비 오디션</t>
        </is>
      </c>
      <c r="B34" s="9" t="n"/>
      <c r="C34" s="9" t="n"/>
      <c r="D34" s="9" t="n"/>
      <c r="E34" s="9" t="inlineStr">
        <is>
          <t>V007</t>
        </is>
      </c>
      <c r="F34" s="18" t="n">
        <v>0.1</v>
      </c>
      <c r="G34" s="17" t="inlineStr">
        <is>
          <t>원작료</t>
        </is>
      </c>
      <c r="H34" s="9" t="inlineStr">
        <is>
          <t>세금계산서</t>
        </is>
      </c>
      <c r="I34" s="9" t="n"/>
      <c r="J34" s="9" t="inlineStr">
        <is>
          <t>KRW</t>
        </is>
      </c>
      <c r="K34" s="9" t="inlineStr">
        <is>
          <t>정산중</t>
        </is>
      </c>
      <c r="L34" s="17" t="inlineStr">
        <is>
          <t>기타수익 동영상프로모션에 한해 50% 적용</t>
        </is>
      </c>
      <c r="M34" t="inlineStr">
        <is>
          <t>V028</t>
        </is>
      </c>
      <c r="N34" t="inlineStr">
        <is>
          <t>왕세자비 오디션</t>
        </is>
      </c>
      <c r="O34" t="inlineStr">
        <is>
          <t>왕세자비 오디션</t>
        </is>
      </c>
    </row>
    <row r="35" ht="15.6" customHeight="1">
      <c r="A35" s="9" t="inlineStr">
        <is>
          <t>밀리어네어 레이디</t>
        </is>
      </c>
      <c r="B35" s="9" t="n"/>
      <c r="C35" s="9" t="n"/>
      <c r="D35" s="9" t="n"/>
      <c r="E35" s="9" t="inlineStr">
        <is>
          <t>V008</t>
        </is>
      </c>
      <c r="F35" s="18" t="n">
        <v>0.1</v>
      </c>
      <c r="G35" s="17" t="inlineStr">
        <is>
          <t>원작료</t>
        </is>
      </c>
      <c r="H35" s="9" t="inlineStr">
        <is>
          <t>세금계산서</t>
        </is>
      </c>
      <c r="I35" s="9" t="n"/>
      <c r="J35" s="9" t="inlineStr">
        <is>
          <t>KRW</t>
        </is>
      </c>
      <c r="K35" s="9" t="inlineStr">
        <is>
          <t>정산중</t>
        </is>
      </c>
      <c r="L35" s="9" t="n"/>
      <c r="M35" t="inlineStr">
        <is>
          <t>V029</t>
        </is>
      </c>
      <c r="N35" t="inlineStr">
        <is>
          <t>위즈덤하우스</t>
        </is>
      </c>
    </row>
    <row r="36" ht="15.6" customHeight="1">
      <c r="A36" s="9" t="inlineStr">
        <is>
          <t>희생자의 사육법</t>
        </is>
      </c>
      <c r="B36" s="9" t="n"/>
      <c r="C36" s="9" t="n"/>
      <c r="D36" s="9" t="n"/>
      <c r="E36" s="9" t="inlineStr">
        <is>
          <t>V009</t>
        </is>
      </c>
      <c r="F36" s="18" t="n">
        <v>0.1</v>
      </c>
      <c r="G36" s="17" t="inlineStr">
        <is>
          <t>원작료</t>
        </is>
      </c>
      <c r="H36" s="9" t="inlineStr">
        <is>
          <t>세금계산서</t>
        </is>
      </c>
      <c r="I36" s="9" t="n"/>
      <c r="J36" s="9" t="inlineStr">
        <is>
          <t>KRW</t>
        </is>
      </c>
      <c r="K36" s="9" t="inlineStr">
        <is>
          <t>정산중</t>
        </is>
      </c>
      <c r="L36" s="9" t="n"/>
      <c r="M36" t="inlineStr">
        <is>
          <t>V030</t>
        </is>
      </c>
      <c r="N36" t="inlineStr">
        <is>
          <t>케이원미디어</t>
        </is>
      </c>
    </row>
    <row r="37" ht="15.6" customHeight="1">
      <c r="A37" s="9" t="inlineStr">
        <is>
          <t>후작님을 녹이는 방법</t>
        </is>
      </c>
      <c r="B37" s="9" t="n"/>
      <c r="C37" s="9" t="n"/>
      <c r="D37" s="9" t="n"/>
      <c r="E37" s="9" t="inlineStr">
        <is>
          <t>V010</t>
        </is>
      </c>
      <c r="F37" s="18" t="n">
        <v>0.1</v>
      </c>
      <c r="G37" s="17" t="inlineStr">
        <is>
          <t>원작료</t>
        </is>
      </c>
      <c r="H37" s="9" t="inlineStr">
        <is>
          <t>세금계산서</t>
        </is>
      </c>
      <c r="I37" s="9" t="n"/>
      <c r="J37" s="9" t="inlineStr">
        <is>
          <t>KRW</t>
        </is>
      </c>
      <c r="K37" s="9" t="inlineStr">
        <is>
          <t>정산중</t>
        </is>
      </c>
      <c r="L37" s="9" t="n"/>
      <c r="M37" t="inlineStr">
        <is>
          <t>V031</t>
        </is>
      </c>
      <c r="N37" t="inlineStr">
        <is>
          <t>타임비</t>
        </is>
      </c>
    </row>
    <row r="38" ht="15.6" customHeight="1">
      <c r="A38" s="9" t="inlineStr">
        <is>
          <t>그림자 없는 밤</t>
        </is>
      </c>
      <c r="B38" s="9" t="n"/>
      <c r="C38" s="9" t="n"/>
      <c r="D38" s="9" t="n"/>
      <c r="E38" s="9" t="inlineStr">
        <is>
          <t>V011</t>
        </is>
      </c>
      <c r="F38" s="18" t="n">
        <v>0.1</v>
      </c>
      <c r="G38" s="17" t="inlineStr">
        <is>
          <t>원작료</t>
        </is>
      </c>
      <c r="H38" s="9" t="inlineStr">
        <is>
          <t>세금계산서</t>
        </is>
      </c>
      <c r="I38" s="9" t="n"/>
      <c r="J38" s="9" t="inlineStr">
        <is>
          <t>KRW</t>
        </is>
      </c>
      <c r="K38" s="9" t="inlineStr">
        <is>
          <t>정산중</t>
        </is>
      </c>
      <c r="L38" s="9" t="n"/>
      <c r="M38" t="inlineStr">
        <is>
          <t>V032</t>
        </is>
      </c>
      <c r="N38" t="inlineStr">
        <is>
          <t>한국방송작가협회</t>
        </is>
      </c>
    </row>
    <row r="39" ht="15.6" customHeight="1">
      <c r="A39" s="9" t="inlineStr">
        <is>
          <t>이혼해 주세요, 황제가 돼야 해서요</t>
        </is>
      </c>
      <c r="B39" s="9" t="n"/>
      <c r="C39" s="9" t="n"/>
      <c r="D39" s="9" t="n"/>
      <c r="E39" s="9" t="inlineStr">
        <is>
          <t>V011</t>
        </is>
      </c>
      <c r="F39" s="18" t="n">
        <v>0.1</v>
      </c>
      <c r="G39" s="17" t="inlineStr">
        <is>
          <t>원작료</t>
        </is>
      </c>
      <c r="H39" s="9" t="inlineStr">
        <is>
          <t>세금계산서</t>
        </is>
      </c>
      <c r="I39" s="9" t="n"/>
      <c r="J39" s="9" t="inlineStr">
        <is>
          <t>KRW</t>
        </is>
      </c>
      <c r="K39" s="9" t="inlineStr">
        <is>
          <t>정산중</t>
        </is>
      </c>
      <c r="L39" s="9" t="n"/>
      <c r="M39" t="inlineStr">
        <is>
          <t>V033</t>
        </is>
      </c>
      <c r="N39" t="inlineStr">
        <is>
          <t>도쿠마 쇼텐</t>
        </is>
      </c>
    </row>
    <row r="40" ht="15.6" customHeight="1">
      <c r="A40" s="9" t="inlineStr">
        <is>
          <t>펜들턴 혁명</t>
        </is>
      </c>
      <c r="B40" s="9" t="n"/>
      <c r="C40" s="9" t="n"/>
      <c r="D40" s="9" t="n"/>
      <c r="E40" s="9" t="inlineStr">
        <is>
          <t>V012</t>
        </is>
      </c>
      <c r="F40" s="18" t="n">
        <v>0.1</v>
      </c>
      <c r="G40" s="17" t="inlineStr">
        <is>
          <t>원작료</t>
        </is>
      </c>
      <c r="H40" s="9" t="inlineStr">
        <is>
          <t>세금계산서</t>
        </is>
      </c>
      <c r="I40" s="9" t="n"/>
      <c r="J40" s="9" t="inlineStr">
        <is>
          <t>KRW</t>
        </is>
      </c>
      <c r="K40" s="9" t="inlineStr">
        <is>
          <t>정산중</t>
        </is>
      </c>
      <c r="L40" s="9" t="n"/>
      <c r="M40" t="inlineStr">
        <is>
          <t>V034</t>
        </is>
      </c>
      <c r="N40" t="inlineStr">
        <is>
          <t>신죠샤</t>
        </is>
      </c>
    </row>
    <row r="41" ht="15.6" customHeight="1">
      <c r="A41" s="9" t="inlineStr">
        <is>
          <t>린의 여섯 번째 황궁생존기</t>
        </is>
      </c>
      <c r="B41" s="9" t="n"/>
      <c r="C41" s="9" t="n"/>
      <c r="D41" s="9" t="n"/>
      <c r="E41" s="9" t="inlineStr">
        <is>
          <t>V012</t>
        </is>
      </c>
      <c r="F41" s="18" t="n">
        <v>0.1</v>
      </c>
      <c r="G41" s="17" t="inlineStr">
        <is>
          <t>원작료</t>
        </is>
      </c>
      <c r="H41" s="9" t="inlineStr">
        <is>
          <t>세금계산서</t>
        </is>
      </c>
      <c r="I41" s="9" t="n"/>
      <c r="J41" s="9" t="inlineStr">
        <is>
          <t>KRW</t>
        </is>
      </c>
      <c r="K41" s="9" t="inlineStr">
        <is>
          <t>정산중</t>
        </is>
      </c>
      <c r="L41" s="9" t="n"/>
      <c r="M41" t="inlineStr">
        <is>
          <t>V035</t>
        </is>
      </c>
      <c r="N41" t="inlineStr">
        <is>
          <t>김리영(윤재인)</t>
        </is>
      </c>
    </row>
    <row r="42" ht="15.6" customHeight="1">
      <c r="A42" s="16" t="inlineStr">
        <is>
          <t>패스파인더</t>
        </is>
      </c>
      <c r="B42" s="9" t="n"/>
      <c r="C42" s="9" t="n"/>
      <c r="D42" s="9" t="n"/>
      <c r="E42" s="9" t="inlineStr">
        <is>
          <t>V013</t>
        </is>
      </c>
      <c r="F42" s="18" t="n">
        <v>0.1</v>
      </c>
      <c r="G42" s="17" t="inlineStr">
        <is>
          <t>원작료</t>
        </is>
      </c>
      <c r="H42" s="9" t="inlineStr">
        <is>
          <t>세금계산서</t>
        </is>
      </c>
      <c r="I42" s="9" t="n"/>
      <c r="J42" s="9" t="inlineStr">
        <is>
          <t>KRW</t>
        </is>
      </c>
      <c r="K42" s="9" t="inlineStr">
        <is>
          <t>정산중</t>
        </is>
      </c>
      <c r="L42" s="9" t="n"/>
      <c r="M42" t="inlineStr">
        <is>
          <t>V036</t>
        </is>
      </c>
      <c r="N42" t="inlineStr">
        <is>
          <t>김창동(박죠죠)</t>
        </is>
      </c>
    </row>
    <row r="43" ht="15.6" customHeight="1">
      <c r="A43" s="9" t="inlineStr">
        <is>
          <t>바벨의 지하</t>
        </is>
      </c>
      <c r="B43" s="9" t="n"/>
      <c r="C43" s="9" t="n"/>
      <c r="D43" s="9" t="n"/>
      <c r="E43" s="9" t="inlineStr">
        <is>
          <t>V013</t>
        </is>
      </c>
      <c r="F43" s="18" t="n">
        <v>0.1</v>
      </c>
      <c r="G43" s="17" t="inlineStr">
        <is>
          <t>원작료</t>
        </is>
      </c>
      <c r="H43" s="9" t="inlineStr">
        <is>
          <t>세금계산서</t>
        </is>
      </c>
      <c r="I43" s="9" t="n"/>
      <c r="J43" s="9" t="inlineStr">
        <is>
          <t>KRW</t>
        </is>
      </c>
      <c r="K43" s="9" t="inlineStr">
        <is>
          <t>정산중</t>
        </is>
      </c>
      <c r="L43" s="9" t="n"/>
      <c r="M43" t="inlineStr">
        <is>
          <t>V036</t>
        </is>
      </c>
      <c r="N43" t="inlineStr">
        <is>
          <t>김창동(박죠죠)</t>
        </is>
      </c>
    </row>
    <row r="44" ht="15.6" customHeight="1">
      <c r="A44" s="9" t="inlineStr">
        <is>
          <t>은빛마계왕</t>
        </is>
      </c>
      <c r="B44" s="9" t="n"/>
      <c r="C44" s="9" t="n"/>
      <c r="D44" s="9" t="n"/>
      <c r="E44" s="9" t="inlineStr">
        <is>
          <t>V014</t>
        </is>
      </c>
      <c r="F44" s="18" t="n">
        <v>0.1</v>
      </c>
      <c r="G44" s="17" t="inlineStr">
        <is>
          <t>원작료</t>
        </is>
      </c>
      <c r="H44" s="9" t="inlineStr">
        <is>
          <t>세금계산서</t>
        </is>
      </c>
      <c r="I44" s="9" t="n"/>
      <c r="J44" s="9" t="inlineStr">
        <is>
          <t>KRW</t>
        </is>
      </c>
      <c r="K44" s="9" t="inlineStr">
        <is>
          <t>정산중</t>
        </is>
      </c>
      <c r="L44" s="9" t="n"/>
      <c r="M44" t="inlineStr">
        <is>
          <t>V037</t>
        </is>
      </c>
      <c r="N44" t="inlineStr">
        <is>
          <t>윤혜연(하태진)</t>
        </is>
      </c>
    </row>
    <row r="45" ht="15.6" customHeight="1">
      <c r="A45" s="9" t="inlineStr">
        <is>
          <t>푸른 밤, 황홀의 윤무</t>
        </is>
      </c>
      <c r="B45" s="9" t="n"/>
      <c r="C45" s="9" t="n"/>
      <c r="D45" s="9" t="n"/>
      <c r="E45" s="9" t="inlineStr">
        <is>
          <t>V015</t>
        </is>
      </c>
      <c r="F45" s="18" t="n">
        <v>0.1</v>
      </c>
      <c r="G45" s="17" t="inlineStr">
        <is>
          <t>원작료</t>
        </is>
      </c>
      <c r="H45" s="9" t="inlineStr">
        <is>
          <t>세금계산서</t>
        </is>
      </c>
      <c r="I45" s="9" t="n"/>
      <c r="J45" s="9" t="inlineStr">
        <is>
          <t>KRW</t>
        </is>
      </c>
      <c r="K45" s="9" t="inlineStr">
        <is>
          <t>정산중</t>
        </is>
      </c>
      <c r="L45" s="9" t="n"/>
      <c r="M45" t="inlineStr">
        <is>
          <t>V038</t>
        </is>
      </c>
      <c r="N45" t="inlineStr">
        <is>
          <t>최윤준(시윤)</t>
        </is>
      </c>
    </row>
    <row r="46" ht="15.6" customHeight="1">
      <c r="A46" s="9" t="inlineStr">
        <is>
          <t>교룡의 주인</t>
        </is>
      </c>
      <c r="B46" s="9" t="n"/>
      <c r="C46" s="9" t="n"/>
      <c r="D46" s="9" t="n"/>
      <c r="E46" s="9" t="inlineStr">
        <is>
          <t>V016</t>
        </is>
      </c>
      <c r="F46" s="18" t="n">
        <v>0.1</v>
      </c>
      <c r="G46" s="17" t="inlineStr">
        <is>
          <t>원작료</t>
        </is>
      </c>
      <c r="H46" s="9" t="inlineStr">
        <is>
          <t>세금계산서</t>
        </is>
      </c>
      <c r="I46" s="9" t="n"/>
      <c r="J46" s="9" t="inlineStr">
        <is>
          <t>KRW</t>
        </is>
      </c>
      <c r="K46" s="9" t="inlineStr">
        <is>
          <t>정산중</t>
        </is>
      </c>
      <c r="L46" s="9" t="n"/>
      <c r="M46" t="inlineStr">
        <is>
          <t>V039</t>
        </is>
      </c>
      <c r="N46" t="inlineStr">
        <is>
          <t>허봄(아노르이실)</t>
        </is>
      </c>
    </row>
    <row r="47" ht="15.6" customHeight="1">
      <c r="A47" s="9" t="inlineStr">
        <is>
          <t>술탄의 귀한 고양이가 되었습니다</t>
        </is>
      </c>
      <c r="B47" s="9" t="n"/>
      <c r="C47" s="9" t="n"/>
      <c r="D47" s="9" t="n"/>
      <c r="E47" s="9" t="inlineStr">
        <is>
          <t>V017</t>
        </is>
      </c>
      <c r="F47" s="18" t="n">
        <v>0.1</v>
      </c>
      <c r="G47" s="17" t="inlineStr">
        <is>
          <t>원작료</t>
        </is>
      </c>
      <c r="H47" s="9" t="inlineStr">
        <is>
          <t>세금계산서</t>
        </is>
      </c>
      <c r="I47" s="9" t="n"/>
      <c r="J47" s="9" t="inlineStr">
        <is>
          <t>KRW</t>
        </is>
      </c>
      <c r="K47" s="9" t="inlineStr">
        <is>
          <t>정산중</t>
        </is>
      </c>
      <c r="L47" s="9" t="n"/>
    </row>
    <row r="48" ht="15.6" customHeight="1">
      <c r="A48" s="9" t="inlineStr">
        <is>
          <t>폭군의 유일한 조향사가 되었습니다</t>
        </is>
      </c>
      <c r="B48" s="9" t="n"/>
      <c r="C48" s="9" t="n"/>
      <c r="D48" s="9" t="n"/>
      <c r="E48" s="9" t="inlineStr">
        <is>
          <t>V018</t>
        </is>
      </c>
      <c r="F48" s="18" t="n">
        <v>0.1</v>
      </c>
      <c r="G48" s="17" t="inlineStr">
        <is>
          <t>원작료</t>
        </is>
      </c>
      <c r="H48" s="16" t="inlineStr">
        <is>
          <t>계산서</t>
        </is>
      </c>
      <c r="I48" s="9" t="inlineStr">
        <is>
          <t>세금계산서</t>
        </is>
      </c>
      <c r="J48" s="9" t="inlineStr">
        <is>
          <t>KRW</t>
        </is>
      </c>
      <c r="K48" s="9" t="inlineStr">
        <is>
          <t>정산중</t>
        </is>
      </c>
      <c r="L48" s="9" t="n"/>
    </row>
    <row r="49" ht="15.6" customHeight="1">
      <c r="A49" s="9" t="inlineStr">
        <is>
          <t>악녀가 길들인 짐승</t>
        </is>
      </c>
      <c r="B49" s="9" t="n"/>
      <c r="C49" s="9" t="n"/>
      <c r="D49" s="9" t="n"/>
      <c r="E49" s="9" t="inlineStr">
        <is>
          <t>V018</t>
        </is>
      </c>
      <c r="F49" s="18" t="n">
        <v>0.1</v>
      </c>
      <c r="G49" s="17" t="inlineStr">
        <is>
          <t>원작료</t>
        </is>
      </c>
      <c r="H49" s="16" t="inlineStr">
        <is>
          <t>계산서</t>
        </is>
      </c>
      <c r="I49" s="9" t="inlineStr">
        <is>
          <t>세금계산서</t>
        </is>
      </c>
      <c r="J49" s="9" t="inlineStr">
        <is>
          <t>KRW</t>
        </is>
      </c>
      <c r="K49" s="9" t="inlineStr">
        <is>
          <t>정산중</t>
        </is>
      </c>
      <c r="L49" s="9" t="n"/>
    </row>
    <row r="50" ht="15.6" customHeight="1">
      <c r="A50" s="9" t="inlineStr">
        <is>
          <t>악당 남편과 이혼하려는데, 아이가 생겼다</t>
        </is>
      </c>
      <c r="B50" s="9" t="n"/>
      <c r="C50" s="9" t="n"/>
      <c r="D50" s="9" t="n"/>
      <c r="E50" s="9" t="inlineStr">
        <is>
          <t>V018</t>
        </is>
      </c>
      <c r="F50" s="18" t="n">
        <v>0.1</v>
      </c>
      <c r="G50" s="17" t="inlineStr">
        <is>
          <t>원작료</t>
        </is>
      </c>
      <c r="H50" s="16" t="inlineStr">
        <is>
          <t>계산서</t>
        </is>
      </c>
      <c r="I50" s="9" t="inlineStr">
        <is>
          <t>세금계산서</t>
        </is>
      </c>
      <c r="J50" s="9" t="inlineStr">
        <is>
          <t>KRW</t>
        </is>
      </c>
      <c r="K50" s="9" t="inlineStr">
        <is>
          <t>정산중</t>
        </is>
      </c>
      <c r="L50" s="9" t="n"/>
    </row>
    <row r="51" ht="15.6" customHeight="1">
      <c r="A51" s="9" t="inlineStr">
        <is>
          <t>시체는 말한다</t>
        </is>
      </c>
      <c r="B51" s="9" t="n"/>
      <c r="C51" s="9" t="n"/>
      <c r="D51" s="9" t="n"/>
      <c r="E51" s="9" t="inlineStr">
        <is>
          <t>V018</t>
        </is>
      </c>
      <c r="F51" s="18" t="n">
        <v>0.1</v>
      </c>
      <c r="G51" s="17" t="inlineStr">
        <is>
          <t>원작료</t>
        </is>
      </c>
      <c r="H51" s="16" t="inlineStr">
        <is>
          <t>계산서</t>
        </is>
      </c>
      <c r="I51" s="9" t="inlineStr">
        <is>
          <t>세금계산서</t>
        </is>
      </c>
      <c r="J51" s="9" t="inlineStr">
        <is>
          <t>KRW</t>
        </is>
      </c>
      <c r="K51" s="9" t="inlineStr">
        <is>
          <t>정산중</t>
        </is>
      </c>
      <c r="L51" s="9" t="n"/>
    </row>
    <row r="52" ht="15.6" customHeight="1">
      <c r="A52" s="9" t="inlineStr">
        <is>
          <t>악역 소녀는 사랑받기가 부끄러워요</t>
        </is>
      </c>
      <c r="B52" s="9" t="n"/>
      <c r="C52" s="9" t="n"/>
      <c r="D52" s="9" t="n"/>
      <c r="E52" s="9" t="inlineStr">
        <is>
          <t>V018</t>
        </is>
      </c>
      <c r="F52" s="18" t="n">
        <v>0.1</v>
      </c>
      <c r="G52" s="17" t="inlineStr">
        <is>
          <t>원작료</t>
        </is>
      </c>
      <c r="H52" s="16" t="inlineStr">
        <is>
          <t>계산서</t>
        </is>
      </c>
      <c r="I52" s="9" t="inlineStr">
        <is>
          <t>세금계산서</t>
        </is>
      </c>
      <c r="J52" s="9" t="inlineStr">
        <is>
          <t>KRW</t>
        </is>
      </c>
      <c r="K52" s="9" t="inlineStr">
        <is>
          <t>정산중</t>
        </is>
      </c>
      <c r="L52" s="9" t="n"/>
    </row>
    <row r="53" ht="15.6" customHeight="1">
      <c r="A53" s="9" t="inlineStr">
        <is>
          <t>귀여운 걸 어떡해</t>
        </is>
      </c>
      <c r="B53" s="9" t="n"/>
      <c r="C53" s="9" t="n"/>
      <c r="D53" s="9" t="n"/>
      <c r="E53" s="9" t="inlineStr">
        <is>
          <t>V019</t>
        </is>
      </c>
      <c r="F53" s="18" t="n">
        <v>0.1</v>
      </c>
      <c r="G53" s="17" t="inlineStr">
        <is>
          <t>원작료</t>
        </is>
      </c>
      <c r="H53" s="9" t="inlineStr">
        <is>
          <t>세금계산서</t>
        </is>
      </c>
      <c r="I53" s="9" t="n"/>
      <c r="J53" s="9" t="inlineStr">
        <is>
          <t>KRW</t>
        </is>
      </c>
      <c r="K53" s="9" t="inlineStr">
        <is>
          <t>정산중</t>
        </is>
      </c>
      <c r="L53" s="9" t="n"/>
    </row>
    <row r="54" ht="15.6" customHeight="1">
      <c r="A54" s="9" t="inlineStr">
        <is>
          <t>오늘부터 플레이어</t>
        </is>
      </c>
      <c r="B54" s="9" t="n"/>
      <c r="C54" s="9" t="n"/>
      <c r="D54" s="9" t="n"/>
      <c r="E54" s="9" t="inlineStr">
        <is>
          <t>V020</t>
        </is>
      </c>
      <c r="F54" s="18" t="n">
        <v>0.1</v>
      </c>
      <c r="G54" s="17" t="inlineStr">
        <is>
          <t>원작료</t>
        </is>
      </c>
      <c r="H54" s="9" t="inlineStr">
        <is>
          <t>세금계산서</t>
        </is>
      </c>
      <c r="I54" s="9" t="n"/>
      <c r="J54" s="9" t="inlineStr">
        <is>
          <t>KRW</t>
        </is>
      </c>
      <c r="K54" s="9" t="inlineStr">
        <is>
          <t>정산중</t>
        </is>
      </c>
      <c r="L54" s="9" t="n"/>
    </row>
    <row r="55" ht="15.6" customHeight="1">
      <c r="A55" s="9" t="inlineStr">
        <is>
          <t>상호 불가침 안 합니다</t>
        </is>
      </c>
      <c r="B55" s="9" t="n"/>
      <c r="C55" s="9" t="n"/>
      <c r="D55" s="9" t="n"/>
      <c r="E55" s="9" t="inlineStr">
        <is>
          <t>V021</t>
        </is>
      </c>
      <c r="F55" s="18" t="n">
        <v>0.1</v>
      </c>
      <c r="G55" s="17" t="inlineStr">
        <is>
          <t>원작료</t>
        </is>
      </c>
      <c r="H55" s="9" t="inlineStr">
        <is>
          <t>세금계산서</t>
        </is>
      </c>
      <c r="I55" s="9" t="n"/>
      <c r="J55" s="9" t="inlineStr">
        <is>
          <t>KRW</t>
        </is>
      </c>
      <c r="K55" s="9" t="inlineStr">
        <is>
          <t>정산중</t>
        </is>
      </c>
      <c r="L55" s="9" t="n"/>
    </row>
    <row r="56" ht="15.6" customHeight="1">
      <c r="A56" s="9" t="inlineStr">
        <is>
          <t>정령왕의 딸</t>
        </is>
      </c>
      <c r="B56" s="9" t="n"/>
      <c r="C56" s="9" t="n"/>
      <c r="D56" s="9" t="n"/>
      <c r="E56" s="9" t="inlineStr">
        <is>
          <t>V022</t>
        </is>
      </c>
      <c r="F56" s="18" t="n">
        <v>0.12</v>
      </c>
      <c r="G56" s="17" t="inlineStr">
        <is>
          <t>원작료</t>
        </is>
      </c>
      <c r="H56" s="9" t="inlineStr">
        <is>
          <t>세금계산서</t>
        </is>
      </c>
      <c r="I56" s="9" t="n"/>
      <c r="J56" s="9" t="inlineStr">
        <is>
          <t>KRW</t>
        </is>
      </c>
      <c r="K56" s="9" t="inlineStr">
        <is>
          <t>정산중</t>
        </is>
      </c>
      <c r="L56" s="9" t="n"/>
    </row>
    <row r="57" ht="15.6" customHeight="1">
      <c r="A57" s="9" t="inlineStr">
        <is>
          <t>탑스타의 재능 서고</t>
        </is>
      </c>
      <c r="B57" s="9" t="n"/>
      <c r="C57" s="9" t="n"/>
      <c r="D57" s="9" t="n"/>
      <c r="E57" s="9" t="inlineStr">
        <is>
          <t>V022</t>
        </is>
      </c>
      <c r="F57" s="18" t="n">
        <v>0.12</v>
      </c>
      <c r="G57" s="17" t="inlineStr">
        <is>
          <t>원작료</t>
        </is>
      </c>
      <c r="H57" s="9" t="inlineStr">
        <is>
          <t>세금계산서</t>
        </is>
      </c>
      <c r="I57" s="9" t="n"/>
      <c r="J57" s="9" t="inlineStr">
        <is>
          <t>KRW</t>
        </is>
      </c>
      <c r="K57" s="9" t="inlineStr">
        <is>
          <t>정산중</t>
        </is>
      </c>
      <c r="L57" s="9" t="n"/>
    </row>
    <row r="58" ht="15.6" customHeight="1">
      <c r="A58" s="9" t="inlineStr">
        <is>
          <t>풍뢰도</t>
        </is>
      </c>
      <c r="B58" s="9" t="n"/>
      <c r="C58" s="9" t="n"/>
      <c r="D58" s="9" t="n"/>
      <c r="E58" s="9" t="inlineStr">
        <is>
          <t>V022</t>
        </is>
      </c>
      <c r="F58" s="18" t="n">
        <v>0.12</v>
      </c>
      <c r="G58" s="17" t="inlineStr">
        <is>
          <t>원작료</t>
        </is>
      </c>
      <c r="H58" s="9" t="inlineStr">
        <is>
          <t>세금계산서</t>
        </is>
      </c>
      <c r="I58" s="9" t="n"/>
      <c r="J58" s="9" t="inlineStr">
        <is>
          <t>KRW</t>
        </is>
      </c>
      <c r="K58" s="9" t="inlineStr">
        <is>
          <t>정산중</t>
        </is>
      </c>
      <c r="L58" s="9" t="n"/>
    </row>
    <row r="59" ht="15.6" customHeight="1">
      <c r="A59" s="9" t="inlineStr">
        <is>
          <t>괴식식당</t>
        </is>
      </c>
      <c r="B59" s="9" t="n"/>
      <c r="C59" s="9" t="n"/>
      <c r="D59" s="9" t="n"/>
      <c r="E59" s="9" t="inlineStr">
        <is>
          <t>V022</t>
        </is>
      </c>
      <c r="F59" s="18" t="n">
        <v>0.1</v>
      </c>
      <c r="G59" s="17" t="inlineStr">
        <is>
          <t>원작료</t>
        </is>
      </c>
      <c r="H59" s="9" t="inlineStr">
        <is>
          <t>세금계산서</t>
        </is>
      </c>
      <c r="I59" s="9" t="n"/>
      <c r="J59" s="9" t="inlineStr">
        <is>
          <t>KRW</t>
        </is>
      </c>
      <c r="K59" s="9" t="inlineStr">
        <is>
          <t>정산중</t>
        </is>
      </c>
      <c r="L59" s="9" t="n"/>
    </row>
    <row r="60" ht="15.6" customHeight="1">
      <c r="A60" s="9" t="inlineStr">
        <is>
          <t>황녀,반역자를 각인시키다</t>
        </is>
      </c>
      <c r="B60" s="9" t="n"/>
      <c r="C60" s="9" t="n"/>
      <c r="D60" s="9" t="n"/>
      <c r="E60" s="9" t="inlineStr">
        <is>
          <t>V023</t>
        </is>
      </c>
      <c r="F60" s="18" t="n">
        <v>0.1</v>
      </c>
      <c r="G60" s="17" t="inlineStr">
        <is>
          <t>원작료</t>
        </is>
      </c>
      <c r="H60" s="9" t="inlineStr">
        <is>
          <t>세금계산서</t>
        </is>
      </c>
      <c r="I60" s="9" t="n"/>
      <c r="J60" s="9" t="inlineStr">
        <is>
          <t>KRW</t>
        </is>
      </c>
      <c r="K60" s="9" t="inlineStr">
        <is>
          <t>정산중</t>
        </is>
      </c>
      <c r="L60" s="9" t="n"/>
    </row>
    <row r="61" ht="15.6" customHeight="1">
      <c r="A61" s="9" t="inlineStr">
        <is>
          <t>이번 생은 내가 주인입니다</t>
        </is>
      </c>
      <c r="B61" s="9" t="n"/>
      <c r="C61" s="9" t="n"/>
      <c r="D61" s="9" t="n"/>
      <c r="E61" s="9" t="inlineStr">
        <is>
          <t>V024</t>
        </is>
      </c>
      <c r="F61" s="18" t="n">
        <v>0.1</v>
      </c>
      <c r="G61" s="17" t="inlineStr">
        <is>
          <t>원작료</t>
        </is>
      </c>
      <c r="H61" s="9" t="inlineStr">
        <is>
          <t>세금계산서</t>
        </is>
      </c>
      <c r="I61" s="9" t="n"/>
      <c r="J61" s="9" t="inlineStr">
        <is>
          <t>KRW</t>
        </is>
      </c>
      <c r="K61" s="9" t="inlineStr">
        <is>
          <t>정산중</t>
        </is>
      </c>
      <c r="L61" s="9" t="n"/>
    </row>
    <row r="62" ht="15.6" customHeight="1">
      <c r="A62" s="9" t="inlineStr">
        <is>
          <t>백작 영애의 애인을 꼬셔라</t>
        </is>
      </c>
      <c r="B62" s="9" t="n"/>
      <c r="C62" s="9" t="n"/>
      <c r="D62" s="9" t="n"/>
      <c r="E62" s="9" t="inlineStr">
        <is>
          <t>V024</t>
        </is>
      </c>
      <c r="F62" s="18" t="n">
        <v>0.1</v>
      </c>
      <c r="G62" s="17" t="inlineStr">
        <is>
          <t>원작료</t>
        </is>
      </c>
      <c r="H62" s="9" t="inlineStr">
        <is>
          <t>세금계산서</t>
        </is>
      </c>
      <c r="I62" s="9" t="n"/>
      <c r="J62" s="9" t="inlineStr">
        <is>
          <t>KRW</t>
        </is>
      </c>
      <c r="K62" s="9" t="inlineStr">
        <is>
          <t>정산중</t>
        </is>
      </c>
      <c r="L62" s="9" t="n"/>
    </row>
    <row r="63" ht="15.6" customHeight="1">
      <c r="A63" s="9" t="inlineStr">
        <is>
          <t>친애하는 폭군에게</t>
        </is>
      </c>
      <c r="B63" s="9" t="n"/>
      <c r="C63" s="9" t="n"/>
      <c r="D63" s="9" t="n"/>
      <c r="E63" s="9" t="inlineStr">
        <is>
          <t>V024</t>
        </is>
      </c>
      <c r="F63" s="18" t="n">
        <v>0.1</v>
      </c>
      <c r="G63" s="17" t="inlineStr">
        <is>
          <t>원작료</t>
        </is>
      </c>
      <c r="H63" s="9" t="inlineStr">
        <is>
          <t>세금계산서</t>
        </is>
      </c>
      <c r="I63" s="9" t="n"/>
      <c r="J63" s="9" t="inlineStr">
        <is>
          <t>KRW</t>
        </is>
      </c>
      <c r="K63" s="9" t="inlineStr">
        <is>
          <t>정산중</t>
        </is>
      </c>
      <c r="L63" s="9" t="n"/>
    </row>
    <row r="64" ht="15.6" customHeight="1">
      <c r="A64" s="9" t="inlineStr">
        <is>
          <t>역하렘 게임 속 메이드는 퇴사하고 싶습니다</t>
        </is>
      </c>
      <c r="B64" s="9" t="n"/>
      <c r="C64" s="9" t="n"/>
      <c r="D64" s="9" t="n"/>
      <c r="E64" s="9" t="inlineStr">
        <is>
          <t>V024</t>
        </is>
      </c>
      <c r="F64" s="18" t="n">
        <v>0.1</v>
      </c>
      <c r="G64" s="17" t="inlineStr">
        <is>
          <t>원작료</t>
        </is>
      </c>
      <c r="H64" s="9" t="inlineStr">
        <is>
          <t>세금계산서</t>
        </is>
      </c>
      <c r="I64" s="9" t="n"/>
      <c r="J64" s="9" t="inlineStr">
        <is>
          <t>KRW</t>
        </is>
      </c>
      <c r="K64" s="9" t="inlineStr">
        <is>
          <t>정산중</t>
        </is>
      </c>
      <c r="L64" s="9" t="n"/>
    </row>
    <row r="65" ht="15.6" customHeight="1">
      <c r="A65" s="9" t="inlineStr">
        <is>
          <t>갱생불가 흑막가의 새엄마가 되었다</t>
        </is>
      </c>
      <c r="B65" s="9" t="n"/>
      <c r="C65" s="9" t="n"/>
      <c r="D65" s="9" t="n"/>
      <c r="E65" s="9" t="inlineStr">
        <is>
          <t>V024</t>
        </is>
      </c>
      <c r="F65" s="18" t="n">
        <v>0.1</v>
      </c>
      <c r="G65" s="17" t="inlineStr">
        <is>
          <t>원작료</t>
        </is>
      </c>
      <c r="H65" s="9" t="inlineStr">
        <is>
          <t>세금계산서</t>
        </is>
      </c>
      <c r="I65" s="9" t="n"/>
      <c r="J65" s="9" t="inlineStr">
        <is>
          <t>KRW</t>
        </is>
      </c>
      <c r="K65" s="9" t="inlineStr">
        <is>
          <t>정산중</t>
        </is>
      </c>
      <c r="L65" s="9" t="n"/>
    </row>
    <row r="66" ht="15.6" customHeight="1">
      <c r="A66" s="9" t="inlineStr">
        <is>
          <t>은행의 공녀님</t>
        </is>
      </c>
      <c r="B66" s="9" t="n"/>
      <c r="C66" s="9" t="n"/>
      <c r="D66" s="9" t="n"/>
      <c r="E66" s="9" t="inlineStr">
        <is>
          <t>V025</t>
        </is>
      </c>
      <c r="F66" s="18" t="n">
        <v>0.1</v>
      </c>
      <c r="G66" s="17" t="inlineStr">
        <is>
          <t>원작료</t>
        </is>
      </c>
      <c r="H66" s="9" t="inlineStr">
        <is>
          <t>세금계산서</t>
        </is>
      </c>
      <c r="I66" s="9" t="n"/>
      <c r="J66" s="9" t="inlineStr">
        <is>
          <t>KRW</t>
        </is>
      </c>
      <c r="K66" s="9" t="inlineStr">
        <is>
          <t>정산중</t>
        </is>
      </c>
      <c r="L66" s="9" t="n"/>
    </row>
    <row r="67" ht="15.6" customHeight="1">
      <c r="A67" s="9" t="inlineStr">
        <is>
          <t>역사는 도서관에서</t>
        </is>
      </c>
      <c r="B67" s="9" t="n"/>
      <c r="C67" s="9" t="n"/>
      <c r="D67" s="9" t="n"/>
      <c r="E67" s="9" t="inlineStr">
        <is>
          <t>V026</t>
        </is>
      </c>
      <c r="F67" s="18" t="n">
        <v>0.1</v>
      </c>
      <c r="G67" s="17" t="inlineStr">
        <is>
          <t>원작료</t>
        </is>
      </c>
      <c r="H67" s="9" t="inlineStr">
        <is>
          <t>세금계산서</t>
        </is>
      </c>
      <c r="I67" s="9" t="n"/>
      <c r="J67" s="9" t="inlineStr">
        <is>
          <t>KRW</t>
        </is>
      </c>
      <c r="K67" s="9" t="inlineStr">
        <is>
          <t>정산중</t>
        </is>
      </c>
      <c r="L67" s="9" t="n"/>
    </row>
    <row r="68" ht="15.6" customHeight="1">
      <c r="A68" s="9" t="inlineStr">
        <is>
          <t>집착 광공이 나를 감금하려고 한다</t>
        </is>
      </c>
      <c r="B68" s="9" t="n"/>
      <c r="C68" s="9" t="n"/>
      <c r="D68" s="9" t="n"/>
      <c r="E68" s="9" t="inlineStr">
        <is>
          <t>V027</t>
        </is>
      </c>
      <c r="F68" s="18" t="n">
        <v>0.1</v>
      </c>
      <c r="G68" s="17" t="inlineStr">
        <is>
          <t>원작료</t>
        </is>
      </c>
      <c r="H68" s="9" t="inlineStr">
        <is>
          <t>세금계산서</t>
        </is>
      </c>
      <c r="I68" s="9" t="n"/>
      <c r="J68" s="9" t="inlineStr">
        <is>
          <t>KRW</t>
        </is>
      </c>
      <c r="K68" s="9" t="inlineStr">
        <is>
          <t>정산중</t>
        </is>
      </c>
      <c r="L68" s="9" t="n"/>
    </row>
    <row r="69" ht="15.6" customHeight="1">
      <c r="A69" s="17" t="inlineStr">
        <is>
          <t>경배의 꽃</t>
        </is>
      </c>
      <c r="B69" s="9" t="n"/>
      <c r="C69" s="9" t="n"/>
      <c r="D69" s="9" t="n"/>
      <c r="E69" s="9" t="inlineStr">
        <is>
          <t>V028</t>
        </is>
      </c>
      <c r="F69" s="18" t="n">
        <v>0.1</v>
      </c>
      <c r="G69" s="17" t="inlineStr">
        <is>
          <t>원작료</t>
        </is>
      </c>
      <c r="H69" s="9" t="inlineStr">
        <is>
          <t>세금계산서</t>
        </is>
      </c>
      <c r="I69" s="9" t="n"/>
      <c r="J69" s="9" t="inlineStr">
        <is>
          <t>JPY/USD</t>
        </is>
      </c>
      <c r="K69" s="9" t="inlineStr">
        <is>
          <t>정산중</t>
        </is>
      </c>
      <c r="L69" s="9" t="n"/>
    </row>
    <row r="70" ht="15.6" customHeight="1">
      <c r="A70" s="17" t="inlineStr">
        <is>
          <t>우리 아빠는 천하제일인</t>
        </is>
      </c>
      <c r="B70" s="9" t="n"/>
      <c r="C70" s="9" t="n"/>
      <c r="D70" s="9" t="n"/>
      <c r="E70" s="9" t="inlineStr">
        <is>
          <t>V029</t>
        </is>
      </c>
      <c r="F70" s="18" t="n">
        <v>0.1</v>
      </c>
      <c r="G70" s="17" t="inlineStr">
        <is>
          <t>원작료</t>
        </is>
      </c>
      <c r="H70" s="9" t="inlineStr">
        <is>
          <t>세금계산서</t>
        </is>
      </c>
      <c r="I70" s="9" t="n"/>
      <c r="J70" s="9" t="inlineStr">
        <is>
          <t>KRW</t>
        </is>
      </c>
      <c r="K70" s="9" t="inlineStr">
        <is>
          <t>정산중</t>
        </is>
      </c>
      <c r="L70" s="9" t="n"/>
    </row>
    <row r="71" ht="15.6" customHeight="1">
      <c r="A71" s="17" t="inlineStr">
        <is>
          <t>로맨스는 별책부록</t>
        </is>
      </c>
      <c r="B71" s="9" t="n"/>
      <c r="C71" s="9" t="n"/>
      <c r="D71" s="9" t="n"/>
      <c r="E71" s="9" t="inlineStr">
        <is>
          <t>V032</t>
        </is>
      </c>
      <c r="F71" s="18" t="n">
        <v>0.1</v>
      </c>
      <c r="G71" s="17" t="inlineStr">
        <is>
          <t>원작료</t>
        </is>
      </c>
      <c r="H71" s="9" t="inlineStr">
        <is>
          <t>세금계산서</t>
        </is>
      </c>
      <c r="I71" s="9" t="n"/>
      <c r="J71" s="9" t="inlineStr">
        <is>
          <t>KRW</t>
        </is>
      </c>
      <c r="K71" s="9" t="inlineStr">
        <is>
          <t>정산중</t>
        </is>
      </c>
      <c r="L71" s="9" t="n"/>
    </row>
    <row r="72" ht="15.6" customHeight="1">
      <c r="A72" s="17" t="inlineStr">
        <is>
          <t>아세비와 하늘세계의 모험자</t>
        </is>
      </c>
      <c r="B72" s="9" t="n"/>
      <c r="C72" s="9" t="n"/>
      <c r="D72" s="9" t="n"/>
      <c r="E72" s="9" t="inlineStr">
        <is>
          <t>V033</t>
        </is>
      </c>
      <c r="F72" s="18" t="n">
        <v>0.3</v>
      </c>
      <c r="G72" s="17" t="inlineStr">
        <is>
          <t>원작료</t>
        </is>
      </c>
      <c r="H72" s="9" t="inlineStr">
        <is>
          <t>세금계산서</t>
        </is>
      </c>
      <c r="I72" s="9" t="n"/>
      <c r="J72" s="9" t="inlineStr">
        <is>
          <t>KRW</t>
        </is>
      </c>
      <c r="K72" s="9" t="inlineStr">
        <is>
          <t>정산중</t>
        </is>
      </c>
      <c r="L72" s="9" t="n"/>
      <c r="M72" t="inlineStr">
        <is>
          <t>Asebi and the Adventurers of SKY WORLD</t>
        </is>
      </c>
    </row>
    <row r="73" ht="15.6" customHeight="1">
      <c r="A73" s="17" t="inlineStr">
        <is>
          <t>밑바닥 마술사</t>
        </is>
      </c>
      <c r="B73" s="9" t="n"/>
      <c r="C73" s="9" t="n"/>
      <c r="D73" s="9" t="n"/>
      <c r="E73" s="9" t="inlineStr">
        <is>
          <t>V034</t>
        </is>
      </c>
      <c r="F73" s="18" t="n">
        <v>0.5</v>
      </c>
      <c r="G73" s="17" t="inlineStr">
        <is>
          <t>원작료</t>
        </is>
      </c>
      <c r="H73" s="9" t="inlineStr">
        <is>
          <t>세금계산서</t>
        </is>
      </c>
      <c r="I73" s="9" t="n"/>
      <c r="J73" s="9" t="inlineStr">
        <is>
          <t>KRW</t>
        </is>
      </c>
      <c r="K73" s="9" t="inlineStr">
        <is>
          <t>정산중</t>
        </is>
      </c>
      <c r="L73" s="9" t="n"/>
    </row>
    <row r="74" ht="15.6" customHeight="1">
      <c r="A74" s="17" t="inlineStr">
        <is>
          <t>불온한 거짓말</t>
        </is>
      </c>
      <c r="B74" s="9" t="n"/>
      <c r="C74" s="9" t="n"/>
      <c r="D74" s="9" t="n"/>
      <c r="E74" s="9" t="inlineStr">
        <is>
          <t>V035</t>
        </is>
      </c>
      <c r="F74" s="18" t="n">
        <v>0.1</v>
      </c>
      <c r="G74" s="17" t="inlineStr">
        <is>
          <t>원작료</t>
        </is>
      </c>
      <c r="H74" s="9" t="inlineStr">
        <is>
          <t>세금계산서</t>
        </is>
      </c>
      <c r="I74" s="9" t="n"/>
      <c r="J74" s="9" t="inlineStr">
        <is>
          <t>KRW</t>
        </is>
      </c>
      <c r="K74" s="9" t="inlineStr">
        <is>
          <t>정산중</t>
        </is>
      </c>
      <c r="L74" s="9" t="n"/>
    </row>
    <row r="75" ht="15.6" customHeight="1">
      <c r="A75" s="17" t="inlineStr">
        <is>
          <t>세비지 포레스트</t>
        </is>
      </c>
      <c r="B75" s="9" t="n"/>
      <c r="C75" s="9" t="n"/>
      <c r="D75" s="9" t="n"/>
      <c r="E75" s="9" t="inlineStr">
        <is>
          <t>V036</t>
        </is>
      </c>
      <c r="F75" s="18" t="n">
        <v>0.1</v>
      </c>
      <c r="G75" s="17" t="inlineStr">
        <is>
          <t>원작료</t>
        </is>
      </c>
      <c r="H75" s="9" t="inlineStr">
        <is>
          <t>세금계산서</t>
        </is>
      </c>
      <c r="I75" s="9" t="n"/>
      <c r="J75" s="9" t="inlineStr">
        <is>
          <t>KRW</t>
        </is>
      </c>
      <c r="K75" s="9" t="inlineStr">
        <is>
          <t>정산중</t>
        </is>
      </c>
      <c r="L75" s="9" t="n"/>
    </row>
    <row r="76" ht="15.6" customHeight="1">
      <c r="A76" s="9" t="inlineStr">
        <is>
          <t>디스 러브</t>
        </is>
      </c>
      <c r="B76" s="9" t="n"/>
      <c r="C76" s="9" t="n"/>
      <c r="D76" s="9" t="n"/>
      <c r="E76" s="9" t="inlineStr">
        <is>
          <t>V037</t>
        </is>
      </c>
      <c r="F76" s="18" t="n">
        <v>0.1</v>
      </c>
      <c r="G76" s="17" t="inlineStr">
        <is>
          <t>원작료</t>
        </is>
      </c>
      <c r="H76" s="9" t="inlineStr">
        <is>
          <t>세금계산서</t>
        </is>
      </c>
      <c r="I76" s="9" t="n"/>
      <c r="J76" s="9" t="inlineStr">
        <is>
          <t>KRW</t>
        </is>
      </c>
      <c r="K76" s="9" t="inlineStr">
        <is>
          <t>정산중</t>
        </is>
      </c>
      <c r="L76" s="9" t="n"/>
    </row>
    <row r="77" ht="15.6" customHeight="1">
      <c r="A77" s="9" t="inlineStr">
        <is>
          <t>리라이프 플레이어</t>
        </is>
      </c>
      <c r="B77" s="9" t="n"/>
      <c r="C77" s="9" t="n"/>
      <c r="D77" s="9" t="n"/>
      <c r="E77" s="9" t="inlineStr">
        <is>
          <t>V038</t>
        </is>
      </c>
      <c r="F77" s="18" t="n">
        <v>0.1</v>
      </c>
      <c r="G77" s="17" t="inlineStr">
        <is>
          <t>원작료</t>
        </is>
      </c>
      <c r="H77" s="9" t="inlineStr">
        <is>
          <t>세금계산서</t>
        </is>
      </c>
      <c r="I77" s="9" t="n"/>
      <c r="J77" s="9" t="inlineStr">
        <is>
          <t>KRW</t>
        </is>
      </c>
      <c r="K77" s="9" t="inlineStr">
        <is>
          <t>정산중</t>
        </is>
      </c>
      <c r="L77" s="9" t="n"/>
    </row>
    <row r="78" ht="15.6" customHeight="1">
      <c r="A78" s="9" t="inlineStr">
        <is>
          <t>마계의 달</t>
        </is>
      </c>
      <c r="B78" s="9" t="n"/>
      <c r="C78" s="9" t="n"/>
      <c r="D78" s="9" t="n"/>
      <c r="E78" s="9" t="inlineStr">
        <is>
          <t>V039</t>
        </is>
      </c>
      <c r="F78" s="18" t="n">
        <v>0.1</v>
      </c>
      <c r="G78" s="17" t="inlineStr">
        <is>
          <t>원작료</t>
        </is>
      </c>
      <c r="H78" s="9" t="inlineStr">
        <is>
          <t>세금계산서</t>
        </is>
      </c>
      <c r="I78" s="9" t="n"/>
      <c r="J78" s="9" t="inlineStr">
        <is>
          <t>KRW</t>
        </is>
      </c>
      <c r="K78" s="9" t="inlineStr">
        <is>
          <t>정산중</t>
        </is>
      </c>
      <c r="L78" s="9" t="n"/>
    </row>
    <row r="79">
      <c r="A79" t="inlineStr">
        <is>
          <t>후회 남편을 고쳐 쓰겠습니다</t>
        </is>
      </c>
      <c r="G79" t="inlineStr">
        <is>
          <t>원작료</t>
        </is>
      </c>
      <c r="K79" t="inlineStr">
        <is>
          <t>해지</t>
        </is>
      </c>
    </row>
    <row r="80">
      <c r="A80" s="10" t="inlineStr">
        <is>
          <t>[입력 안내]</t>
        </is>
      </c>
    </row>
    <row r="81">
      <c r="A81" s="11" t="inlineStr">
        <is>
          <t>· 표준작품명: 정산서에 표기할 대표 이름</t>
        </is>
      </c>
    </row>
    <row r="82">
      <c r="A82" s="11" t="inlineStr">
        <is>
          <t>· Alias명: 동일 작품의 모든 변형을 세미콜론(;)으로 나열 (띄어쓰기·괄호·시즌/개정판 포함)</t>
        </is>
      </c>
    </row>
    <row r="83">
      <c r="A83" s="11" t="inlineStr">
        <is>
          <t>· 정규화키: 비워두면 프로그램이 자동 생성(공백·괄호·특수문자 제거). 직접 입력 불필요</t>
        </is>
      </c>
    </row>
    <row r="84">
      <c r="A84" s="11" t="inlineStr">
        <is>
          <t>· 원작사RS율: 계약서 기준값(작품별 상이 가능, 예 0.10 / 0.11 / 0.12)</t>
        </is>
      </c>
    </row>
    <row r="85">
      <c r="A85" s="11" t="inlineStr">
        <is>
          <t>· 증빙구분: 국내·해외 각각 (계산서/세금계산서 등)</t>
        </is>
      </c>
    </row>
    <row r="86">
      <c r="A86" s="11" t="inlineStr">
        <is>
          <t>· 상태: 정산중 / 종료</t>
        </is>
      </c>
    </row>
    <row r="87">
      <c r="A87" t="inlineStr">
        <is>
          <t>백호 가문의 아기 솜뭉치</t>
        </is>
      </c>
      <c r="E87" t="inlineStr">
        <is>
          <t>V040</t>
        </is>
      </c>
      <c r="F87" t="n">
        <v>0.1</v>
      </c>
      <c r="G87" t="inlineStr">
        <is>
          <t>원작료</t>
        </is>
      </c>
      <c r="J87" t="inlineStr">
        <is>
          <t>KRW</t>
        </is>
      </c>
      <c r="K87" t="inlineStr">
        <is>
          <t>정산중</t>
        </is>
      </c>
      <c r="L87" t="inlineStr">
        <is>
          <t>웹소설본부 자체</t>
        </is>
      </c>
    </row>
    <row r="88">
      <c r="A88" t="inlineStr">
        <is>
          <t>신유의 봄</t>
        </is>
      </c>
      <c r="E88" t="inlineStr">
        <is>
          <t>V040</t>
        </is>
      </c>
      <c r="F88" t="n">
        <v>0.1</v>
      </c>
      <c r="G88" t="inlineStr">
        <is>
          <t>원작료</t>
        </is>
      </c>
      <c r="J88" t="inlineStr">
        <is>
          <t>KRW</t>
        </is>
      </c>
      <c r="K88" t="inlineStr">
        <is>
          <t>정산중</t>
        </is>
      </c>
      <c r="L88" t="inlineStr">
        <is>
          <t>웹소설본부 자체</t>
        </is>
      </c>
    </row>
    <row r="89">
      <c r="A89" t="inlineStr">
        <is>
          <t>절정 조교 어플</t>
        </is>
      </c>
      <c r="B89" t="inlineStr">
        <is>
          <t>절정 조교 어플 : 동생 모유, 양성 구유;절정 조교 어플 : 수치플, SM</t>
        </is>
      </c>
      <c r="E89" t="inlineStr">
        <is>
          <t>V040</t>
        </is>
      </c>
      <c r="F89" t="n">
        <v>0.1</v>
      </c>
      <c r="G89" t="inlineStr">
        <is>
          <t>원작료</t>
        </is>
      </c>
      <c r="J89" t="inlineStr">
        <is>
          <t>KRW</t>
        </is>
      </c>
      <c r="K89" t="inlineStr">
        <is>
          <t>정산중</t>
        </is>
      </c>
      <c r="L89" t="inlineStr">
        <is>
          <t>웹소설본부 자체</t>
        </is>
      </c>
    </row>
    <row r="90">
      <c r="A90" t="inlineStr">
        <is>
          <t>후회 광공의 여동생이 되었다</t>
        </is>
      </c>
      <c r="B90" t="inlineStr">
        <is>
          <t>후회 광공의 여동생이 되었다 [19세 완전판]</t>
        </is>
      </c>
      <c r="E90" t="inlineStr">
        <is>
          <t>V040</t>
        </is>
      </c>
      <c r="F90" t="n">
        <v>0.1</v>
      </c>
      <c r="G90" t="inlineStr">
        <is>
          <t>원작료</t>
        </is>
      </c>
      <c r="J90" t="inlineStr">
        <is>
          <t>KRW</t>
        </is>
      </c>
      <c r="K90" t="inlineStr">
        <is>
          <t>정산중</t>
        </is>
      </c>
      <c r="L90" t="inlineStr">
        <is>
          <t>웹소설본부 자체</t>
        </is>
      </c>
    </row>
    <row r="91">
      <c r="A91" t="inlineStr">
        <is>
          <t>아폴론의 심장</t>
        </is>
      </c>
      <c r="B91" t="inlineStr">
        <is>
          <t>아폴론의 심장 [19세 완전판]</t>
        </is>
      </c>
      <c r="E91" t="inlineStr">
        <is>
          <t>V040</t>
        </is>
      </c>
      <c r="F91" t="n">
        <v>0.1</v>
      </c>
      <c r="G91" t="inlineStr">
        <is>
          <t>원작료</t>
        </is>
      </c>
      <c r="J91" t="inlineStr">
        <is>
          <t>KRW</t>
        </is>
      </c>
      <c r="K91" t="inlineStr">
        <is>
          <t>정산중</t>
        </is>
      </c>
      <c r="L91" t="inlineStr">
        <is>
          <t>웹소설본부 자체</t>
        </is>
      </c>
    </row>
    <row r="92">
      <c r="A92" t="inlineStr">
        <is>
          <t>스타스트럭</t>
        </is>
      </c>
      <c r="B92" t="inlineStr">
        <is>
          <t>스타스트럭 [개정판]</t>
        </is>
      </c>
      <c r="E92" t="inlineStr">
        <is>
          <t>V040</t>
        </is>
      </c>
      <c r="F92" t="n">
        <v>0.1</v>
      </c>
      <c r="G92" t="inlineStr">
        <is>
          <t>원작료</t>
        </is>
      </c>
      <c r="J92" t="inlineStr">
        <is>
          <t>KRW</t>
        </is>
      </c>
      <c r="K92" t="inlineStr">
        <is>
          <t>정산중</t>
        </is>
      </c>
      <c r="L92" t="inlineStr">
        <is>
          <t>웹소설본부 자체</t>
        </is>
      </c>
    </row>
    <row r="93">
      <c r="A93" t="inlineStr">
        <is>
          <t>오 나의 여신님</t>
        </is>
      </c>
      <c r="E93" t="inlineStr">
        <is>
          <t>V040</t>
        </is>
      </c>
      <c r="F93" t="n">
        <v>0.1</v>
      </c>
      <c r="G93" t="inlineStr">
        <is>
          <t>원작료</t>
        </is>
      </c>
      <c r="J93" t="inlineStr">
        <is>
          <t>KRW</t>
        </is>
      </c>
      <c r="K93" t="inlineStr">
        <is>
          <t>정산중</t>
        </is>
      </c>
      <c r="L93" t="inlineStr">
        <is>
          <t>웹소설본부 자체</t>
        </is>
      </c>
    </row>
    <row r="94">
      <c r="A94" t="inlineStr">
        <is>
          <t>후회 광공의 여동생이 되었다</t>
        </is>
      </c>
      <c r="B94" t="inlineStr">
        <is>
          <t>후회 광공의 여동생이 되었다 [19세 완전판]</t>
        </is>
      </c>
      <c r="E94" t="inlineStr">
        <is>
          <t>V040</t>
        </is>
      </c>
      <c r="F94" t="n">
        <v>0.1</v>
      </c>
      <c r="G94" t="inlineStr">
        <is>
          <t>원작료</t>
        </is>
      </c>
      <c r="J94" t="inlineStr">
        <is>
          <t>KRW</t>
        </is>
      </c>
      <c r="K94" t="inlineStr">
        <is>
          <t>정산중</t>
        </is>
      </c>
      <c r="L94" t="inlineStr">
        <is>
          <t>웹소설본부 자체</t>
        </is>
      </c>
    </row>
    <row r="95">
      <c r="A95" t="inlineStr">
        <is>
          <t>아폴론의 심장</t>
        </is>
      </c>
      <c r="B95" t="inlineStr">
        <is>
          <t>아폴론의 심장 [19세 완전판]</t>
        </is>
      </c>
      <c r="E95" t="inlineStr">
        <is>
          <t>V040</t>
        </is>
      </c>
      <c r="F95" t="n">
        <v>0.1</v>
      </c>
      <c r="G95" t="inlineStr">
        <is>
          <t>원작료</t>
        </is>
      </c>
      <c r="J95" t="inlineStr">
        <is>
          <t>KRW</t>
        </is>
      </c>
      <c r="K95" t="inlineStr">
        <is>
          <t>정산중</t>
        </is>
      </c>
      <c r="L95" t="inlineStr">
        <is>
          <t>웹소설본부 자체</t>
        </is>
      </c>
    </row>
    <row r="96">
      <c r="A96" t="inlineStr">
        <is>
          <t>스타스트럭</t>
        </is>
      </c>
      <c r="B96" t="inlineStr">
        <is>
          <t>스타스트럭 [개정판]</t>
        </is>
      </c>
      <c r="E96" t="inlineStr">
        <is>
          <t>V040</t>
        </is>
      </c>
      <c r="F96" t="n">
        <v>0.1</v>
      </c>
      <c r="G96" t="inlineStr">
        <is>
          <t>원작료</t>
        </is>
      </c>
      <c r="J96" t="inlineStr">
        <is>
          <t>KRW</t>
        </is>
      </c>
      <c r="K96" t="inlineStr">
        <is>
          <t>정산중</t>
        </is>
      </c>
      <c r="L96" t="inlineStr">
        <is>
          <t>웹소설본부 자체</t>
        </is>
      </c>
    </row>
    <row r="97">
      <c r="A97" t="inlineStr">
        <is>
          <t>오 나의 여신님</t>
        </is>
      </c>
      <c r="E97" t="inlineStr">
        <is>
          <t>V040</t>
        </is>
      </c>
      <c r="F97" t="n">
        <v>0.1</v>
      </c>
      <c r="G97" t="inlineStr">
        <is>
          <t>원작료</t>
        </is>
      </c>
      <c r="J97" t="inlineStr">
        <is>
          <t>KRW</t>
        </is>
      </c>
      <c r="K97" t="inlineStr">
        <is>
          <t>정산중</t>
        </is>
      </c>
      <c r="L97" t="inlineStr">
        <is>
          <t>웹소설본부 자체</t>
        </is>
      </c>
    </row>
  </sheetData>
  <autoFilter ref="A3:Y86"/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zoomScaleNormal="100" workbookViewId="0">
      <pane ySplit="3" topLeftCell="A15" activePane="bottomLeft" state="frozen"/>
      <selection pane="bottomLeft" activeCell="J26" sqref="J26"/>
    </sheetView>
  </sheetViews>
  <sheetFormatPr baseColWidth="8" defaultColWidth="8.6640625" defaultRowHeight="14.4"/>
  <cols>
    <col width="10" customWidth="1" min="1" max="1"/>
    <col width="32" customWidth="1" min="2" max="2"/>
    <col width="38" customWidth="1" min="3" max="3"/>
    <col width="62.21875" bestFit="1" customWidth="1" min="4" max="4"/>
    <col width="28" customWidth="1" min="5" max="5"/>
    <col width="18" customWidth="1" min="6" max="6"/>
  </cols>
  <sheetData>
    <row r="1" ht="16.8" customHeight="1">
      <c r="A1" s="5" t="inlineStr">
        <is>
          <t>3. 이메일 마스터</t>
        </is>
      </c>
    </row>
    <row r="3">
      <c r="A3" s="6" t="inlineStr">
        <is>
          <t>업체ID</t>
        </is>
      </c>
      <c r="B3" s="6" t="inlineStr">
        <is>
          <t>발신</t>
        </is>
      </c>
      <c r="C3" s="6" t="inlineStr">
        <is>
          <t>수신(여러개;구분)</t>
        </is>
      </c>
      <c r="D3" s="6" t="inlineStr">
        <is>
          <t>참조CC(;구분)</t>
        </is>
      </c>
      <c r="E3" s="6" t="inlineStr">
        <is>
          <t>숨은참조BCC(;구분)</t>
        </is>
      </c>
      <c r="F3" s="6" t="inlineStr">
        <is>
          <t>메일양식키</t>
        </is>
      </c>
    </row>
    <row r="4">
      <c r="A4" s="7" t="inlineStr">
        <is>
          <t>V001</t>
        </is>
      </c>
      <c r="B4" s="7" t="inlineStr">
        <is>
          <t>terapin_toonbill@terapinstudios.co.kr</t>
        </is>
      </c>
      <c r="C4" s="7" t="inlineStr">
        <is>
          <t>tax@atempomedia.com</t>
        </is>
      </c>
      <c r="D4" s="7" t="n"/>
      <c r="E4" s="7" t="n"/>
      <c r="F4" s="8" t="inlineStr">
        <is>
          <t>테라핀_사업자</t>
        </is>
      </c>
    </row>
    <row r="5" ht="15.6" customHeight="1">
      <c r="A5" s="9" t="inlineStr">
        <is>
          <t>V001</t>
        </is>
      </c>
      <c r="B5" s="9" t="inlineStr">
        <is>
          <t>webtoonbill@soosung.com</t>
        </is>
      </c>
      <c r="C5" s="9" t="inlineStr">
        <is>
          <t>tax@atempomedia.com</t>
        </is>
      </c>
      <c r="D5" s="9" t="inlineStr">
        <is>
          <t>koryou@soosung.com;jngwon@soosung.com</t>
        </is>
      </c>
      <c r="E5" s="9" t="inlineStr">
        <is>
          <t>toonbill@terapinstudios.co.kr</t>
        </is>
      </c>
      <c r="F5" s="17" t="inlineStr">
        <is>
          <t>수성_</t>
        </is>
      </c>
    </row>
    <row r="6" ht="15.6" customHeight="1">
      <c r="A6" s="9" t="inlineStr">
        <is>
          <t>V002</t>
        </is>
      </c>
      <c r="B6" s="9" t="inlineStr">
        <is>
          <t>webtoonbill@soosung.com</t>
        </is>
      </c>
      <c r="C6" s="9" t="inlineStr">
        <is>
          <t>easym@easycontents.kr</t>
        </is>
      </c>
      <c r="D6" s="9" t="inlineStr">
        <is>
          <t>koryou@soosung.com;jngwon@soosung.com</t>
        </is>
      </c>
      <c r="E6" s="9" t="inlineStr">
        <is>
          <t>toonbill@terapinstudios.co.kr</t>
        </is>
      </c>
      <c r="F6" s="17" t="inlineStr">
        <is>
          <t>수성_</t>
        </is>
      </c>
    </row>
    <row r="7" ht="15.6" customHeight="1">
      <c r="A7" s="9" t="inlineStr">
        <is>
          <t>V003</t>
        </is>
      </c>
      <c r="B7" s="9" t="inlineStr">
        <is>
          <t>webtoonbill@soosung.com</t>
        </is>
      </c>
      <c r="C7" s="9" t="inlineStr">
        <is>
          <t>management@dncmedia.co.kr</t>
        </is>
      </c>
      <c r="D7" s="9" t="inlineStr">
        <is>
          <t>koryou@soosung.com;jngwon@soosung.com</t>
        </is>
      </c>
      <c r="E7" s="9" t="inlineStr">
        <is>
          <t>toonbill@terapinstudios.co.kr</t>
        </is>
      </c>
      <c r="F7" s="17" t="inlineStr">
        <is>
          <t>수성_</t>
        </is>
      </c>
    </row>
    <row r="8" ht="15.6" customHeight="1">
      <c r="A8" s="9" t="inlineStr">
        <is>
          <t>V004</t>
        </is>
      </c>
      <c r="B8" s="9" t="inlineStr">
        <is>
          <t>webtoonbill@soosung.com</t>
        </is>
      </c>
      <c r="C8" s="9" t="inlineStr">
        <is>
          <t>marubooks@mayabooks.co.kr</t>
        </is>
      </c>
      <c r="D8" s="9" t="inlineStr">
        <is>
          <t>koryou@soosung.com;jngwon@soosung.com</t>
        </is>
      </c>
      <c r="E8" s="9" t="inlineStr">
        <is>
          <t>toonbill@terapinstudios.co.kr</t>
        </is>
      </c>
      <c r="F8" s="17" t="inlineStr">
        <is>
          <t>수성_</t>
        </is>
      </c>
    </row>
    <row r="9" ht="15.6" customHeight="1">
      <c r="A9" s="9" t="inlineStr">
        <is>
          <t>V005</t>
        </is>
      </c>
      <c r="B9" s="9" t="inlineStr">
        <is>
          <t>webtoonbill@soosung.com</t>
        </is>
      </c>
      <c r="C9" s="9" t="inlineStr">
        <is>
          <t>jplusmedia@hanmail.net</t>
        </is>
      </c>
      <c r="D9" s="9" t="inlineStr">
        <is>
          <t>koryou@soosung.com;jngwon@soosung.com</t>
        </is>
      </c>
      <c r="E9" s="9" t="inlineStr">
        <is>
          <t>toonbill@terapinstudios.co.kr</t>
        </is>
      </c>
      <c r="F9" s="17" t="inlineStr">
        <is>
          <t>수성_</t>
        </is>
      </c>
    </row>
    <row r="10" ht="15.6" customHeight="1">
      <c r="A10" s="9" t="inlineStr">
        <is>
          <t>V006</t>
        </is>
      </c>
      <c r="B10" s="9" t="inlineStr">
        <is>
          <t>terapin_toonbill@terapinstudios.co.kr</t>
        </is>
      </c>
      <c r="C10" s="9" t="inlineStr">
        <is>
          <t>yoon.hw@webtoonscorp.com</t>
        </is>
      </c>
      <c r="D10" s="9" t="inlineStr">
        <is>
          <t>toonbill@terapinstudios.co.kr;dl_webnovel_biz@webtoonscorp.com</t>
        </is>
      </c>
      <c r="E10" s="9" t="n"/>
      <c r="F10" s="17" t="inlineStr">
        <is>
          <t>테라핀_사업자</t>
        </is>
      </c>
    </row>
    <row r="11" ht="15.6" customHeight="1">
      <c r="A11" s="9" t="inlineStr">
        <is>
          <t>V007</t>
        </is>
      </c>
      <c r="B11" s="9" t="inlineStr">
        <is>
          <t>terapin_toonbill@terapinstudios.co.kr</t>
        </is>
      </c>
      <c r="C11" s="9" t="inlineStr">
        <is>
          <t>kwbooks5@naver.com</t>
        </is>
      </c>
      <c r="D11" s="9" t="inlineStr">
        <is>
          <t>toonbill@terapinstudios.co.kr</t>
        </is>
      </c>
      <c r="E11" s="9" t="n"/>
      <c r="F11" s="17" t="inlineStr">
        <is>
          <t>테라핀_사업자</t>
        </is>
      </c>
    </row>
    <row r="12" ht="15.6" customHeight="1">
      <c r="A12" s="9" t="inlineStr">
        <is>
          <t>V008</t>
        </is>
      </c>
      <c r="B12" s="9" t="inlineStr">
        <is>
          <t>terapin_toonbill@terapinstudios.co.kr</t>
        </is>
      </c>
      <c r="C12" s="9" t="inlineStr">
        <is>
          <t>gaha@gahabooks.com</t>
        </is>
      </c>
      <c r="D12" s="9" t="inlineStr">
        <is>
          <t>toonbill@terapinstudios.co.kr</t>
        </is>
      </c>
      <c r="E12" s="9" t="n"/>
      <c r="F12" s="17" t="inlineStr">
        <is>
          <t>테라핀_사업자</t>
        </is>
      </c>
    </row>
    <row r="13" ht="15.6" customHeight="1">
      <c r="A13" s="9" t="inlineStr">
        <is>
          <t>V009</t>
        </is>
      </c>
      <c r="B13" s="9" t="inlineStr">
        <is>
          <t>terapin_toonbill@terapinstudios.co.kr</t>
        </is>
      </c>
      <c r="C13" s="9" t="inlineStr">
        <is>
          <t>marubooks@mayabooks.co.kr</t>
        </is>
      </c>
      <c r="D13" s="9" t="inlineStr">
        <is>
          <t>toonbill@terapinstudios.co.kr</t>
        </is>
      </c>
      <c r="E13" s="9" t="n"/>
      <c r="F13" s="17" t="inlineStr">
        <is>
          <t>테라핀_사업자</t>
        </is>
      </c>
    </row>
    <row r="14" ht="15.6" customHeight="1">
      <c r="A14" s="9" t="inlineStr">
        <is>
          <t>V010</t>
        </is>
      </c>
      <c r="B14" s="9" t="inlineStr">
        <is>
          <t>terapin_toonbill@terapinstudios.co.kr</t>
        </is>
      </c>
      <c r="C14" s="9" t="inlineStr">
        <is>
          <t>dl_toon_payment@munpia.com</t>
        </is>
      </c>
      <c r="D14" s="9" t="inlineStr">
        <is>
          <t>toonbill@terapinstudios.co.kr</t>
        </is>
      </c>
      <c r="E14" s="9" t="n"/>
      <c r="F14" s="17" t="inlineStr">
        <is>
          <t>테라핀_사업자</t>
        </is>
      </c>
    </row>
    <row r="15" ht="15.6" customHeight="1">
      <c r="A15" s="9" t="inlineStr">
        <is>
          <t>V011</t>
        </is>
      </c>
      <c r="B15" s="9" t="inlineStr">
        <is>
          <t>terapin_toonbill@terapinstudios.co.kr</t>
        </is>
      </c>
      <c r="C15" s="9" t="inlineStr">
        <is>
          <t>contents@daysenter.com</t>
        </is>
      </c>
      <c r="D15" s="9" t="inlineStr">
        <is>
          <t>toonbill@terapinstudios.co.kr</t>
        </is>
      </c>
      <c r="E15" s="9" t="n"/>
      <c r="F15" s="17" t="inlineStr">
        <is>
          <t>테라핀_사업자</t>
        </is>
      </c>
    </row>
    <row r="16" ht="15.6" customHeight="1">
      <c r="A16" s="9" t="inlineStr">
        <is>
          <t>V012</t>
        </is>
      </c>
      <c r="B16" s="9" t="inlineStr">
        <is>
          <t>terapin_toonbill@terapinstudios.co.kr</t>
        </is>
      </c>
      <c r="C16" s="9" t="inlineStr">
        <is>
          <t>jsj@viewcommz.com</t>
        </is>
      </c>
      <c r="D16" t="inlineStr">
        <is>
          <t>toonbill@terapinstudios.co.kr;ljs@viewcommz.com</t>
        </is>
      </c>
      <c r="E16" s="9" t="n"/>
      <c r="F16" s="17" t="inlineStr">
        <is>
          <t>테라핀_사업자</t>
        </is>
      </c>
    </row>
    <row r="17" ht="15.6" customHeight="1">
      <c r="A17" s="9" t="inlineStr">
        <is>
          <t>V013</t>
        </is>
      </c>
      <c r="B17" s="9" t="inlineStr">
        <is>
          <t>terapin_toonbill@terapinstudios.co.kr</t>
        </is>
      </c>
      <c r="C17" s="9" t="inlineStr">
        <is>
          <t>bbmedia@naver.com</t>
        </is>
      </c>
      <c r="D17" s="9" t="inlineStr">
        <is>
          <t>toonbill@terapinstudios.co.kr</t>
        </is>
      </c>
      <c r="E17" s="9" t="n"/>
      <c r="F17" s="17" t="inlineStr">
        <is>
          <t>테라핀_사업자</t>
        </is>
      </c>
    </row>
    <row r="18" ht="15.6" customHeight="1">
      <c r="A18" s="9" t="inlineStr">
        <is>
          <t>V014</t>
        </is>
      </c>
      <c r="B18" s="9" t="inlineStr">
        <is>
          <t>terapin_toonbill@terapinstudios.co.kr</t>
        </is>
      </c>
      <c r="C18" s="9" t="inlineStr">
        <is>
          <t>tax@samyangcnc.com</t>
        </is>
      </c>
      <c r="D18" s="9" t="inlineStr">
        <is>
          <t>toonbill@terapinstudios.co.kr</t>
        </is>
      </c>
      <c r="E18" s="9" t="n"/>
      <c r="F18" s="17" t="inlineStr">
        <is>
          <t>테라핀_사업자</t>
        </is>
      </c>
    </row>
    <row r="19" ht="15.6" customHeight="1">
      <c r="A19" s="9" t="inlineStr">
        <is>
          <t>V015</t>
        </is>
      </c>
      <c r="B19" s="9" t="inlineStr">
        <is>
          <t>terapin_toonbill@terapinstudios.co.kr</t>
        </is>
      </c>
      <c r="C19" s="9" t="inlineStr">
        <is>
          <t>agent@studiobombom.com</t>
        </is>
      </c>
      <c r="D19" s="9" t="inlineStr">
        <is>
          <t>toonbill@terapinstudios.co.kr</t>
        </is>
      </c>
      <c r="E19" s="9" t="n"/>
      <c r="F19" s="17" t="inlineStr">
        <is>
          <t>테라핀_사업자</t>
        </is>
      </c>
    </row>
    <row r="20" ht="15.6" customHeight="1">
      <c r="A20" s="9" t="inlineStr">
        <is>
          <t>V016</t>
        </is>
      </c>
      <c r="B20" s="9" t="inlineStr">
        <is>
          <t>terapin_toonbill@terapinstudios.co.kr</t>
        </is>
      </c>
      <c r="C20" s="9" t="inlineStr">
        <is>
          <t>store@sybook.kr</t>
        </is>
      </c>
      <c r="D20" s="9" t="inlineStr">
        <is>
          <t>toonbill@terapinstudios.co.kr</t>
        </is>
      </c>
      <c r="E20" s="9" t="n"/>
      <c r="F20" s="17" t="inlineStr">
        <is>
          <t>테라핀_사업자</t>
        </is>
      </c>
    </row>
    <row r="21" ht="15.6" customHeight="1">
      <c r="A21" s="9" t="inlineStr">
        <is>
          <t>V017</t>
        </is>
      </c>
      <c r="B21" s="9" t="inlineStr">
        <is>
          <t>terapin_toonbill@terapinstudios.co.kr</t>
        </is>
      </c>
      <c r="C21" s="9" t="inlineStr">
        <is>
          <t>metalheart315@rsmedia.kr
tax@rsmedia.kr</t>
        </is>
      </c>
      <c r="D21" s="9" t="inlineStr">
        <is>
          <t>toonbill@terapinstudios.co.kr</t>
        </is>
      </c>
      <c r="E21" s="9" t="n"/>
      <c r="F21" s="17" t="inlineStr">
        <is>
          <t>테라핀_사업자</t>
        </is>
      </c>
    </row>
    <row r="22" ht="15.6" customHeight="1">
      <c r="A22" s="9" t="inlineStr">
        <is>
          <t>V018</t>
        </is>
      </c>
      <c r="B22" s="9" t="inlineStr">
        <is>
          <t>terapin_toonbill@terapinstudios.co.kr</t>
        </is>
      </c>
      <c r="C22" s="9" t="inlineStr">
        <is>
          <t>tax@atempomedia.com</t>
        </is>
      </c>
      <c r="D22" s="9" t="inlineStr">
        <is>
          <t>toonbill@terapinstudios.co.kr</t>
        </is>
      </c>
      <c r="E22" s="9" t="n"/>
      <c r="F22" s="17" t="inlineStr">
        <is>
          <t>테라핀_사업자</t>
        </is>
      </c>
    </row>
    <row r="23" ht="15.6" customHeight="1">
      <c r="A23" s="9" t="inlineStr">
        <is>
          <t>V019</t>
        </is>
      </c>
      <c r="B23" s="9" t="inlineStr">
        <is>
          <t>terapin_toonbill@terapinstudios.co.kr</t>
        </is>
      </c>
      <c r="C23" s="9" t="inlineStr">
        <is>
          <t>soixante@naver.com</t>
        </is>
      </c>
      <c r="D23" s="9" t="inlineStr">
        <is>
          <t>toonbill@terapinstudios.co.kr</t>
        </is>
      </c>
      <c r="E23" s="9" t="n"/>
      <c r="F23" s="17" t="inlineStr">
        <is>
          <t>테라핀_사업자</t>
        </is>
      </c>
    </row>
    <row r="24" ht="15.6" customHeight="1">
      <c r="A24" s="9" t="inlineStr">
        <is>
          <t>V020</t>
        </is>
      </c>
      <c r="B24" s="9" t="inlineStr">
        <is>
          <t>terapin_toonbill@terapinstudios.co.kr</t>
        </is>
      </c>
      <c r="C24" s="9" t="inlineStr">
        <is>
          <t>alice@openstory.me</t>
        </is>
      </c>
      <c r="D24" s="9" t="inlineStr">
        <is>
          <t>toonbill@terapinstudios.co.kr</t>
        </is>
      </c>
      <c r="E24" s="9" t="n"/>
      <c r="F24" s="17" t="inlineStr">
        <is>
          <t>테라핀_사업자</t>
        </is>
      </c>
    </row>
    <row r="25" ht="15.6" customHeight="1">
      <c r="A25" s="9" t="inlineStr">
        <is>
          <t>V021</t>
        </is>
      </c>
      <c r="B25" s="9" t="inlineStr">
        <is>
          <t>terapin_toonbill@terapinstudios.co.kr</t>
        </is>
      </c>
      <c r="C25" s="9" t="inlineStr">
        <is>
          <t>master@wevel.co.kr</t>
        </is>
      </c>
      <c r="D25" s="9" t="inlineStr">
        <is>
          <t>toonbill@terapinstudios.co.kr</t>
        </is>
      </c>
      <c r="E25" s="9" t="n"/>
      <c r="F25" s="17" t="inlineStr">
        <is>
          <t>테라핀_사업자</t>
        </is>
      </c>
    </row>
    <row r="26" ht="15.6" customHeight="1">
      <c r="A26" s="9" t="inlineStr">
        <is>
          <t>V022</t>
        </is>
      </c>
      <c r="B26" s="9" t="inlineStr">
        <is>
          <t>terapin_toonbill@terapinstudios.co.kr</t>
        </is>
      </c>
      <c r="C26" s="9" t="inlineStr">
        <is>
          <t>chungeoram_@naver.com</t>
        </is>
      </c>
      <c r="D26" s="9" t="inlineStr">
        <is>
          <t>toonbill@terapinstudios.co.kr</t>
        </is>
      </c>
      <c r="E26" s="9" t="n"/>
      <c r="F26" s="17" t="inlineStr">
        <is>
          <t>테라핀_사업자</t>
        </is>
      </c>
    </row>
    <row r="27" ht="15.6" customHeight="1">
      <c r="A27" s="9" t="inlineStr">
        <is>
          <t>V023</t>
        </is>
      </c>
      <c r="B27" s="9" t="inlineStr">
        <is>
          <t>terapin_toonbill@terapinstudios.co.kr</t>
        </is>
      </c>
      <c r="C27" s="9" t="inlineStr">
        <is>
          <t>payment@kakaopage.com</t>
        </is>
      </c>
      <c r="D27" s="9" t="inlineStr">
        <is>
          <t>toonbill@terapinstudios.co.kr</t>
        </is>
      </c>
      <c r="E27" s="9" t="n"/>
      <c r="F27" s="17" t="inlineStr">
        <is>
          <t>테라핀_사업자</t>
        </is>
      </c>
    </row>
    <row r="28" ht="15.6" customHeight="1">
      <c r="A28" s="9" t="inlineStr">
        <is>
          <t>V024</t>
        </is>
      </c>
      <c r="B28" s="9" t="inlineStr">
        <is>
          <t>terapin_toonbill@terapinstudios.co.kr</t>
        </is>
      </c>
      <c r="C28" s="9" t="inlineStr">
        <is>
          <t>mintbooks@naver.com</t>
        </is>
      </c>
      <c r="D28" s="9" t="inlineStr">
        <is>
          <t>toonbill@terapinstudios.co.kr</t>
        </is>
      </c>
      <c r="E28" s="9" t="n"/>
      <c r="F28" s="17" t="inlineStr">
        <is>
          <t>테라핀_사업자</t>
        </is>
      </c>
    </row>
    <row r="29" ht="15.6" customHeight="1">
      <c r="A29" s="9" t="inlineStr">
        <is>
          <t>V025</t>
        </is>
      </c>
      <c r="B29" s="9" t="inlineStr">
        <is>
          <t>terapin_toonbill@terapinstudios.co.kr</t>
        </is>
      </c>
      <c r="C29" s="9" t="inlineStr">
        <is>
          <t>tax@pencilprism.co.kr</t>
        </is>
      </c>
      <c r="D29" s="9" t="inlineStr">
        <is>
          <t>toonbill@terapinstudios.co.kr</t>
        </is>
      </c>
      <c r="E29" s="9" t="n"/>
      <c r="F29" s="17" t="inlineStr">
        <is>
          <t>테라핀_사업자</t>
        </is>
      </c>
    </row>
    <row r="30" ht="15.6" customHeight="1">
      <c r="A30" s="9" t="inlineStr">
        <is>
          <t>V026</t>
        </is>
      </c>
      <c r="B30" s="9" t="inlineStr">
        <is>
          <t>terapin_toonbill@terapinstudios.co.kr</t>
        </is>
      </c>
      <c r="C30" s="9" t="inlineStr">
        <is>
          <t>accounting@letobooks.co.kr</t>
        </is>
      </c>
      <c r="D30" s="9" t="inlineStr">
        <is>
          <t>toonbill@terapinstudios.co.kr</t>
        </is>
      </c>
      <c r="E30" s="9" t="n"/>
      <c r="F30" s="17" t="inlineStr">
        <is>
          <t>테라핀_사업자</t>
        </is>
      </c>
    </row>
    <row r="31" ht="15.6" customHeight="1">
      <c r="A31" s="9" t="inlineStr">
        <is>
          <t>V027</t>
        </is>
      </c>
      <c r="B31" s="9" t="inlineStr">
        <is>
          <t>terapin_toonbill@terapinstudios.co.kr</t>
        </is>
      </c>
      <c r="C31" s="9" t="inlineStr">
        <is>
          <t>tax@pnstory.kr</t>
        </is>
      </c>
      <c r="D31" s="9" t="inlineStr">
        <is>
          <t>toonbill@terapinstudios.co.kr</t>
        </is>
      </c>
      <c r="E31" s="9" t="n"/>
      <c r="F31" s="17" t="inlineStr">
        <is>
          <t>테라핀_사업자</t>
        </is>
      </c>
    </row>
    <row r="32" ht="15.6" customHeight="1">
      <c r="A32" s="9" t="inlineStr">
        <is>
          <t>V028</t>
        </is>
      </c>
      <c r="B32" s="9" t="inlineStr">
        <is>
          <t>terapin_toonbill@terapinstudios.co.kr</t>
        </is>
      </c>
      <c r="C32" s="9" t="inlineStr">
        <is>
          <t>payment_writer@ridi.com</t>
        </is>
      </c>
      <c r="D32" t="inlineStr">
        <is>
          <t>toonbill@terapinstudios.co.kr;webtoon.team@ridi.com</t>
        </is>
      </c>
      <c r="E32" s="9" t="n"/>
      <c r="F32" s="17" t="inlineStr">
        <is>
          <t>테라핀_사업자</t>
        </is>
      </c>
    </row>
    <row r="33" ht="15.6" customHeight="1">
      <c r="A33" s="9" t="inlineStr">
        <is>
          <t>V029</t>
        </is>
      </c>
      <c r="B33" s="9" t="inlineStr">
        <is>
          <t>terapin_toonbill@terapinstudios.co.kr</t>
        </is>
      </c>
      <c r="C33" s="9" t="inlineStr">
        <is>
          <t>hjh@wisdomhouse.co.kr</t>
        </is>
      </c>
      <c r="D33" s="9" t="inlineStr">
        <is>
          <t>toonbill@terapinstudios.co.kr</t>
        </is>
      </c>
      <c r="E33" s="9" t="n"/>
      <c r="F33" s="17" t="inlineStr">
        <is>
          <t>테라핀_사업자</t>
        </is>
      </c>
    </row>
    <row r="34" ht="15.6" customHeight="1">
      <c r="A34" s="9" t="inlineStr">
        <is>
          <t>V030</t>
        </is>
      </c>
      <c r="B34" s="9" t="inlineStr">
        <is>
          <t>terapin_toonbill@terapinstudios.co.kr</t>
        </is>
      </c>
      <c r="C34" s="9" t="inlineStr">
        <is>
          <t>sungwang1967@hanmail.net</t>
        </is>
      </c>
      <c r="D34" s="9" t="inlineStr">
        <is>
          <t>toonbill@terapinstudios.co.kr</t>
        </is>
      </c>
      <c r="E34" s="9" t="n"/>
      <c r="F34" s="17" t="inlineStr">
        <is>
          <t>테라핀_사업자</t>
        </is>
      </c>
    </row>
    <row r="35" ht="15.6" customHeight="1">
      <c r="A35" s="9" t="inlineStr">
        <is>
          <t>V031</t>
        </is>
      </c>
      <c r="B35" s="9" t="inlineStr">
        <is>
          <t>terapin_toonbill@terapinstudios.co.kr</t>
        </is>
      </c>
      <c r="C35" s="9" t="inlineStr">
        <is>
          <t>osmedia@kakao.com</t>
        </is>
      </c>
      <c r="D35" s="9" t="inlineStr">
        <is>
          <t>toonbill@terapinstudios.co.kr</t>
        </is>
      </c>
      <c r="E35" s="9" t="n"/>
      <c r="F35" s="17" t="inlineStr">
        <is>
          <t>테라핀_사업자</t>
        </is>
      </c>
    </row>
    <row r="36" ht="15.6" customHeight="1">
      <c r="A36" s="9" t="inlineStr">
        <is>
          <t>V032</t>
        </is>
      </c>
      <c r="B36" s="9" t="inlineStr">
        <is>
          <t>terapin_toonbill@terapinstudios.co.kr</t>
        </is>
      </c>
      <c r="C36" s="9" t="inlineStr">
        <is>
          <t>copyright2@ktrwa.or.kr</t>
        </is>
      </c>
      <c r="D36" s="9" t="inlineStr">
        <is>
          <t>toonbill@terapinstudios.co.kr</t>
        </is>
      </c>
      <c r="E36" s="9" t="n"/>
      <c r="F36" s="17" t="inlineStr">
        <is>
          <t>테라핀_사업자</t>
        </is>
      </c>
    </row>
    <row r="37" ht="15.6" customHeight="1">
      <c r="A37" s="9" t="inlineStr">
        <is>
          <t>V033</t>
        </is>
      </c>
      <c r="B37" s="9" t="inlineStr">
        <is>
          <t>terapin_toonbill@terapinstudios.co.kr</t>
        </is>
      </c>
      <c r="C37" s="9" t="inlineStr">
        <is>
          <t>goto-ejr@shoten.tokuma.com</t>
        </is>
      </c>
      <c r="D37" s="9" t="inlineStr">
        <is>
          <t>visual@shoten.tokuma.com;toonbill@terapinstudios.co.kr;seoa4@terapinstudios.co.kr</t>
        </is>
      </c>
      <c r="E37" s="9" t="n"/>
      <c r="F37" s="17" t="inlineStr">
        <is>
          <t>테라핀_해외</t>
        </is>
      </c>
    </row>
    <row r="38" ht="15.6" customHeight="1">
      <c r="A38" s="9" t="inlineStr">
        <is>
          <t>V034</t>
        </is>
      </c>
      <c r="B38" s="9" t="inlineStr">
        <is>
          <t>terapin_toonbill@terapinstudios.co.kr</t>
        </is>
      </c>
      <c r="C38" s="9" t="inlineStr">
        <is>
          <t>comic-keiri@shinchosha.co.jp</t>
        </is>
      </c>
      <c r="D38" s="9" t="inlineStr">
        <is>
          <t>toonbill@terapinstudios.co.kr</t>
        </is>
      </c>
      <c r="E38" s="9" t="n"/>
      <c r="F38" s="17" t="inlineStr">
        <is>
          <t>테라핀_해외</t>
        </is>
      </c>
    </row>
    <row r="39" ht="15.6" customHeight="1">
      <c r="A39" s="9" t="inlineStr">
        <is>
          <t>V035</t>
        </is>
      </c>
      <c r="B39" s="9" t="inlineStr">
        <is>
          <t>terapin_toonbill@terapinstudios.co.kr</t>
        </is>
      </c>
      <c r="C39" s="9" t="inlineStr">
        <is>
          <t>byjane0000@naver.com</t>
        </is>
      </c>
      <c r="D39" s="9" t="inlineStr">
        <is>
          <t>toonbill@terapinstudios.co.kr</t>
        </is>
      </c>
      <c r="E39" s="9" t="n"/>
      <c r="F39" s="17" t="inlineStr">
        <is>
          <t>테라핀_개인</t>
        </is>
      </c>
    </row>
    <row r="40" ht="15.6" customHeight="1">
      <c r="A40" s="9" t="inlineStr">
        <is>
          <t>V036</t>
        </is>
      </c>
      <c r="B40" s="9" t="inlineStr">
        <is>
          <t>terapin_toonbill@terapinstudios.co.kr</t>
        </is>
      </c>
      <c r="C40" s="9" t="inlineStr">
        <is>
          <t>joyjoyce77@gmail.com</t>
        </is>
      </c>
      <c r="D40" s="9" t="inlineStr">
        <is>
          <t>toonbill@terapinstudios.co.kr</t>
        </is>
      </c>
      <c r="E40" s="9" t="n"/>
      <c r="F40" s="17" t="inlineStr">
        <is>
          <t>테라핀_개인</t>
        </is>
      </c>
    </row>
    <row r="41" ht="15.6" customHeight="1">
      <c r="A41" s="9" t="inlineStr">
        <is>
          <t>V037</t>
        </is>
      </c>
      <c r="B41" s="9" t="inlineStr">
        <is>
          <t>terapin_toonbill@terapinstudios.co.kr</t>
        </is>
      </c>
      <c r="C41" s="9" t="inlineStr">
        <is>
          <t>htj.atwork@gmail.com</t>
        </is>
      </c>
      <c r="D41" s="9" t="inlineStr">
        <is>
          <t>toonbill@terapinstudios.co.kr</t>
        </is>
      </c>
      <c r="E41" s="9" t="n"/>
      <c r="F41" s="17" t="inlineStr">
        <is>
          <t>테라핀_개인</t>
        </is>
      </c>
    </row>
    <row r="42" ht="15.6" customHeight="1">
      <c r="A42" s="9" t="inlineStr">
        <is>
          <t>V038</t>
        </is>
      </c>
      <c r="B42" s="9" t="inlineStr">
        <is>
          <t>terapin_toonbill@terapinstudios.co.kr</t>
        </is>
      </c>
      <c r="C42" s="9" t="inlineStr">
        <is>
          <t>noveler22@naver.com</t>
        </is>
      </c>
      <c r="D42" s="9" t="inlineStr">
        <is>
          <t>toonbill@terapinstudios.co.kr</t>
        </is>
      </c>
      <c r="E42" s="9" t="n"/>
      <c r="F42" s="17" t="inlineStr">
        <is>
          <t>테라핀_개인</t>
        </is>
      </c>
    </row>
    <row r="43" ht="15.6" customHeight="1">
      <c r="A43" s="9" t="inlineStr">
        <is>
          <t>V039</t>
        </is>
      </c>
      <c r="B43" s="9" t="inlineStr">
        <is>
          <t>terapin_toonbill@terapinstudios.co.kr</t>
        </is>
      </c>
      <c r="C43" s="9" t="inlineStr">
        <is>
          <t>ghdud0127@gmail.com</t>
        </is>
      </c>
      <c r="D43" s="9" t="inlineStr">
        <is>
          <t>toonbill@terapinstudios.co.kr</t>
        </is>
      </c>
      <c r="E43" s="9" t="n"/>
      <c r="F43" s="17" t="inlineStr">
        <is>
          <t>테라핀_개인</t>
        </is>
      </c>
    </row>
    <row r="45">
      <c r="A45" s="10" t="inlineStr">
        <is>
          <t>[입력 안내]</t>
        </is>
      </c>
    </row>
    <row r="46">
      <c r="A46" s="11" t="inlineStr">
        <is>
          <t>· 업체ID: 업체마스터와 동일 키로 연결</t>
        </is>
      </c>
    </row>
    <row r="47">
      <c r="A47" s="11" t="inlineStr">
        <is>
          <t>· 수신/참조/숨은참조: 복수는 세미콜론(;)으로 구분</t>
        </is>
      </c>
    </row>
    <row r="48">
      <c r="A48" s="11" t="inlineStr">
        <is>
          <t>· 메일양식키: 테라핀_사업자 / 테라핀_개인 / 수성_사업자 중 택1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zoomScaleNormal="100" workbookViewId="0">
      <pane ySplit="3" topLeftCell="A4" activePane="bottomLeft" state="frozen"/>
      <selection pane="bottomLeft" activeCell="A1" sqref="A1"/>
    </sheetView>
  </sheetViews>
  <sheetFormatPr baseColWidth="8" defaultColWidth="8.6640625" defaultRowHeight="14.4"/>
  <cols>
    <col width="10" customWidth="1" min="1" max="1"/>
    <col width="16" customWidth="1" min="2" max="2"/>
    <col width="18" customWidth="1" min="3" max="3"/>
    <col width="20" customWidth="1" min="4" max="4"/>
    <col width="12" customWidth="1" min="5" max="6"/>
  </cols>
  <sheetData>
    <row r="1" ht="16.8" customHeight="1">
      <c r="A1" s="5" t="inlineStr">
        <is>
          <t>4. 환율 마스터</t>
        </is>
      </c>
    </row>
    <row r="3">
      <c r="A3" s="6" t="inlineStr">
        <is>
          <t>통화</t>
        </is>
      </c>
      <c r="B3" s="6" t="inlineStr">
        <is>
          <t>적용월(YYYY-MM)</t>
        </is>
      </c>
      <c r="C3" s="6" t="inlineStr">
        <is>
          <t>월평균매매기준율</t>
        </is>
      </c>
      <c r="D3" s="6" t="inlineStr">
        <is>
          <t>수집일시</t>
        </is>
      </c>
      <c r="E3" s="6" t="inlineStr">
        <is>
          <t>출처</t>
        </is>
      </c>
      <c r="F3" s="6" t="inlineStr">
        <is>
          <t>상태</t>
        </is>
      </c>
    </row>
    <row r="4">
      <c r="A4" t="inlineStr">
        <is>
          <t>JPY</t>
        </is>
      </c>
      <c r="B4" t="inlineStr">
        <is>
          <t>2026-01</t>
        </is>
      </c>
      <c r="C4" t="n">
        <v>9.2951</v>
      </c>
      <c r="E4" t="inlineStr">
        <is>
          <t>원본추출</t>
        </is>
      </c>
      <c r="F4" t="inlineStr">
        <is>
          <t>도쿠마 원본 정산서</t>
        </is>
      </c>
    </row>
    <row r="5">
      <c r="A5" t="inlineStr">
        <is>
          <t>JPY</t>
        </is>
      </c>
      <c r="B5" t="inlineStr">
        <is>
          <t>2025-12</t>
        </is>
      </c>
      <c r="C5" t="n">
        <v>9.4139</v>
      </c>
      <c r="E5" t="inlineStr">
        <is>
          <t>원본추출</t>
        </is>
      </c>
      <c r="F5" t="inlineStr">
        <is>
          <t>도쿠마 원본 정산서</t>
        </is>
      </c>
    </row>
    <row r="6">
      <c r="A6" t="inlineStr">
        <is>
          <t>JPY</t>
        </is>
      </c>
      <c r="B6" t="inlineStr">
        <is>
          <t>2025-11</t>
        </is>
      </c>
      <c r="C6" t="n">
        <v>9.398300000000001</v>
      </c>
      <c r="E6" t="inlineStr">
        <is>
          <t>원본추출</t>
        </is>
      </c>
      <c r="F6" t="inlineStr">
        <is>
          <t>도쿠마 원본 정산서</t>
        </is>
      </c>
    </row>
    <row r="7">
      <c r="A7" t="inlineStr">
        <is>
          <t>JPY</t>
        </is>
      </c>
      <c r="B7" t="inlineStr">
        <is>
          <t>2025-10</t>
        </is>
      </c>
      <c r="C7" t="n">
        <v>9.3916</v>
      </c>
      <c r="E7" t="inlineStr">
        <is>
          <t>원본추출</t>
        </is>
      </c>
      <c r="F7" t="inlineStr">
        <is>
          <t>도쿠마 원본 정산서</t>
        </is>
      </c>
    </row>
    <row r="8">
      <c r="A8" t="inlineStr">
        <is>
          <t>JPY</t>
        </is>
      </c>
      <c r="B8" t="inlineStr">
        <is>
          <t>2025-09</t>
        </is>
      </c>
      <c r="C8" t="n">
        <v>9.412000000000001</v>
      </c>
      <c r="E8" t="inlineStr">
        <is>
          <t>원본추출</t>
        </is>
      </c>
      <c r="F8" t="inlineStr">
        <is>
          <t>도쿠마 원본 정산서</t>
        </is>
      </c>
    </row>
    <row r="9">
      <c r="A9" t="inlineStr">
        <is>
          <t>JPY</t>
        </is>
      </c>
      <c r="B9" t="inlineStr">
        <is>
          <t>2025-08</t>
        </is>
      </c>
      <c r="C9" t="n">
        <v>9.4132</v>
      </c>
      <c r="E9" t="inlineStr">
        <is>
          <t>원본추출</t>
        </is>
      </c>
      <c r="F9" t="inlineStr">
        <is>
          <t>도쿠마 원본 정산서</t>
        </is>
      </c>
    </row>
    <row r="10">
      <c r="A10" t="inlineStr">
        <is>
          <t>JPY</t>
        </is>
      </c>
      <c r="B10" t="inlineStr">
        <is>
          <t>2025-07</t>
        </is>
      </c>
      <c r="C10" t="n">
        <v>9.3697</v>
      </c>
      <c r="E10" t="inlineStr">
        <is>
          <t>원본추출</t>
        </is>
      </c>
      <c r="F10" t="inlineStr">
        <is>
          <t>도쿠마 원본 정산서</t>
        </is>
      </c>
    </row>
    <row r="11">
      <c r="A11" t="inlineStr">
        <is>
          <t>JPY</t>
        </is>
      </c>
      <c r="B11" t="inlineStr">
        <is>
          <t>2025-06</t>
        </is>
      </c>
      <c r="C11" t="n">
        <v>9.449400000000001</v>
      </c>
      <c r="E11" t="inlineStr">
        <is>
          <t>원본추출</t>
        </is>
      </c>
      <c r="F11" t="inlineStr">
        <is>
          <t>도쿠마 원본 정산서</t>
        </is>
      </c>
    </row>
    <row r="12">
      <c r="A12" t="inlineStr">
        <is>
          <t>JPY</t>
        </is>
      </c>
      <c r="B12" t="inlineStr">
        <is>
          <t>2025-05</t>
        </is>
      </c>
      <c r="C12" t="n">
        <v>9.6228</v>
      </c>
      <c r="E12" t="inlineStr">
        <is>
          <t>원본추출</t>
        </is>
      </c>
      <c r="F12" t="inlineStr">
        <is>
          <t>도쿠마 원본 정산서</t>
        </is>
      </c>
    </row>
    <row r="13">
      <c r="A13" t="inlineStr">
        <is>
          <t>JPY</t>
        </is>
      </c>
      <c r="B13" t="inlineStr">
        <is>
          <t>2025-04</t>
        </is>
      </c>
      <c r="C13" t="n">
        <v>9.999599999999999</v>
      </c>
      <c r="E13" t="inlineStr">
        <is>
          <t>원본추출</t>
        </is>
      </c>
      <c r="F13" t="inlineStr">
        <is>
          <t>도쿠마 원본 정산서</t>
        </is>
      </c>
    </row>
    <row r="14">
      <c r="A14" t="inlineStr">
        <is>
          <t>JPY</t>
        </is>
      </c>
      <c r="B14" t="inlineStr">
        <is>
          <t>2025-03</t>
        </is>
      </c>
      <c r="C14" t="n">
        <v>9.777699999999999</v>
      </c>
      <c r="E14" t="inlineStr">
        <is>
          <t>원본추출</t>
        </is>
      </c>
      <c r="F14" t="inlineStr">
        <is>
          <t>도쿠마 원본 정산서</t>
        </is>
      </c>
    </row>
    <row r="15">
      <c r="A15" t="inlineStr">
        <is>
          <t>JPY</t>
        </is>
      </c>
      <c r="B15" t="inlineStr">
        <is>
          <t>2025-02</t>
        </is>
      </c>
      <c r="C15" t="n">
        <v>9.5259</v>
      </c>
      <c r="E15" t="inlineStr">
        <is>
          <t>원본추출</t>
        </is>
      </c>
      <c r="F15" t="inlineStr">
        <is>
          <t>도쿠마 원본 정산서</t>
        </is>
      </c>
    </row>
    <row r="16">
      <c r="A16" t="inlineStr">
        <is>
          <t>JPY</t>
        </is>
      </c>
      <c r="B16" t="inlineStr">
        <is>
          <t>2025-01</t>
        </is>
      </c>
      <c r="C16" t="n">
        <v>9.2797</v>
      </c>
      <c r="E16" t="inlineStr">
        <is>
          <t>원본추출</t>
        </is>
      </c>
      <c r="F16" t="inlineStr">
        <is>
          <t>도쿠마 원본 정산서</t>
        </is>
      </c>
    </row>
    <row r="17">
      <c r="A17" t="inlineStr">
        <is>
          <t>JPY</t>
        </is>
      </c>
      <c r="B17" t="inlineStr">
        <is>
          <t>2024-12</t>
        </is>
      </c>
      <c r="C17" t="n">
        <v>9.342499999999999</v>
      </c>
      <c r="E17" t="inlineStr">
        <is>
          <t>원본추출</t>
        </is>
      </c>
      <c r="F17" t="inlineStr">
        <is>
          <t>도쿠마 원본 정산서</t>
        </is>
      </c>
    </row>
    <row r="18">
      <c r="A18" t="inlineStr">
        <is>
          <t>JPY</t>
        </is>
      </c>
      <c r="B18" t="inlineStr">
        <is>
          <t>2024-11</t>
        </is>
      </c>
      <c r="C18" t="n">
        <v>9.0716</v>
      </c>
      <c r="E18" t="inlineStr">
        <is>
          <t>원본추출</t>
        </is>
      </c>
      <c r="F18" t="inlineStr">
        <is>
          <t>도쿠마 원본 정산서</t>
        </is>
      </c>
    </row>
    <row r="19">
      <c r="A19" t="inlineStr">
        <is>
          <t>JPY</t>
        </is>
      </c>
      <c r="B19" t="inlineStr">
        <is>
          <t>2024-10</t>
        </is>
      </c>
      <c r="C19" t="n">
        <v>9.0677</v>
      </c>
      <c r="E19" t="inlineStr">
        <is>
          <t>원본추출</t>
        </is>
      </c>
      <c r="F19" t="inlineStr">
        <is>
          <t>도쿠마 원본 정산서</t>
        </is>
      </c>
    </row>
    <row r="20">
      <c r="A20" t="inlineStr">
        <is>
          <t>JPY</t>
        </is>
      </c>
      <c r="B20" t="inlineStr">
        <is>
          <t>2024-09</t>
        </is>
      </c>
      <c r="C20" t="n">
        <v>9.2925</v>
      </c>
      <c r="E20" t="inlineStr">
        <is>
          <t>원본추출</t>
        </is>
      </c>
      <c r="F20" t="inlineStr">
        <is>
          <t>도쿠마 원본 정산서</t>
        </is>
      </c>
    </row>
    <row r="21">
      <c r="A21" t="inlineStr">
        <is>
          <t>JPY</t>
        </is>
      </c>
      <c r="B21" t="inlineStr">
        <is>
          <t>2024-08</t>
        </is>
      </c>
      <c r="C21" t="n">
        <v>9.2599</v>
      </c>
      <c r="E21" t="inlineStr">
        <is>
          <t>원본추출</t>
        </is>
      </c>
      <c r="F21" t="inlineStr">
        <is>
          <t>도쿠마 원본 정산서</t>
        </is>
      </c>
    </row>
    <row r="22">
      <c r="A22" t="inlineStr">
        <is>
          <t>JPY</t>
        </is>
      </c>
      <c r="B22" t="inlineStr">
        <is>
          <t>2024-07</t>
        </is>
      </c>
      <c r="C22" t="n">
        <v>8.753</v>
      </c>
      <c r="E22" t="inlineStr">
        <is>
          <t>원본추출</t>
        </is>
      </c>
      <c r="F22" t="inlineStr">
        <is>
          <t>도쿠마 원본 정산서</t>
        </is>
      </c>
    </row>
    <row r="23">
      <c r="A23" t="inlineStr">
        <is>
          <t>JPY</t>
        </is>
      </c>
      <c r="B23" t="inlineStr">
        <is>
          <t>2024-06</t>
        </is>
      </c>
      <c r="C23" t="n">
        <v>8.7432</v>
      </c>
      <c r="E23" t="inlineStr">
        <is>
          <t>원본추출</t>
        </is>
      </c>
      <c r="F23" t="inlineStr">
        <is>
          <t>도쿠마 원본 정산서</t>
        </is>
      </c>
    </row>
    <row r="24">
      <c r="A24" t="inlineStr">
        <is>
          <t>JPY</t>
        </is>
      </c>
      <c r="B24" t="inlineStr">
        <is>
          <t>2024-05</t>
        </is>
      </c>
      <c r="C24" t="n">
        <v>8.758800000000001</v>
      </c>
      <c r="E24" t="inlineStr">
        <is>
          <t>원본추출</t>
        </is>
      </c>
      <c r="F24" t="inlineStr">
        <is>
          <t>도쿠마 원본 정산서</t>
        </is>
      </c>
    </row>
    <row r="25">
      <c r="A25" t="inlineStr">
        <is>
          <t>JPY</t>
        </is>
      </c>
      <c r="B25" t="inlineStr">
        <is>
          <t>2024-04</t>
        </is>
      </c>
      <c r="C25" t="n">
        <v>8.899699999999999</v>
      </c>
      <c r="E25" t="inlineStr">
        <is>
          <t>원본추출</t>
        </is>
      </c>
      <c r="F25" t="inlineStr">
        <is>
          <t>도쿠마 원본 정산서</t>
        </is>
      </c>
    </row>
    <row r="26">
      <c r="A26" t="inlineStr">
        <is>
          <t>JPY</t>
        </is>
      </c>
      <c r="B26" t="inlineStr">
        <is>
          <t>2024-03</t>
        </is>
      </c>
      <c r="C26" t="n">
        <v>8.8912</v>
      </c>
      <c r="E26" t="inlineStr">
        <is>
          <t>원본추출</t>
        </is>
      </c>
      <c r="F26" t="inlineStr">
        <is>
          <t>도쿠마 원본 정산서</t>
        </is>
      </c>
    </row>
    <row r="27">
      <c r="A27" t="inlineStr">
        <is>
          <t>JPY</t>
        </is>
      </c>
      <c r="B27" t="inlineStr">
        <is>
          <t>2024-02</t>
        </is>
      </c>
      <c r="C27" t="n">
        <v>8.9108</v>
      </c>
      <c r="E27" t="inlineStr">
        <is>
          <t>원본추출</t>
        </is>
      </c>
      <c r="F27" t="inlineStr">
        <is>
          <t>도쿠마 원본 정산서</t>
        </is>
      </c>
    </row>
    <row r="28">
      <c r="A28" t="inlineStr">
        <is>
          <t>JPY</t>
        </is>
      </c>
      <c r="B28" t="inlineStr">
        <is>
          <t>2024-01</t>
        </is>
      </c>
      <c r="C28" t="n">
        <v>9.0671</v>
      </c>
      <c r="E28" t="inlineStr">
        <is>
          <t>원본추출</t>
        </is>
      </c>
      <c r="F28" t="inlineStr">
        <is>
          <t>도쿠마 원본 정산서</t>
        </is>
      </c>
    </row>
    <row r="29">
      <c r="A29" t="inlineStr">
        <is>
          <t>JPY</t>
        </is>
      </c>
      <c r="B29" t="inlineStr">
        <is>
          <t>2023-12</t>
        </is>
      </c>
      <c r="C29" t="n">
        <v>9.048299999999999</v>
      </c>
      <c r="E29" t="inlineStr">
        <is>
          <t>원본추출</t>
        </is>
      </c>
      <c r="F29" t="inlineStr">
        <is>
          <t>도쿠마 원본 정산서</t>
        </is>
      </c>
    </row>
    <row r="30">
      <c r="A30" t="inlineStr">
        <is>
          <t>JPY</t>
        </is>
      </c>
      <c r="B30" t="inlineStr">
        <is>
          <t>2023-11</t>
        </is>
      </c>
      <c r="C30" t="n">
        <v>8.742800000000001</v>
      </c>
      <c r="E30" t="inlineStr">
        <is>
          <t>원본추출</t>
        </is>
      </c>
      <c r="F30" t="inlineStr">
        <is>
          <t>도쿠마 원본 정산서</t>
        </is>
      </c>
    </row>
    <row r="31">
      <c r="A31" t="inlineStr">
        <is>
          <t>JPY</t>
        </is>
      </c>
      <c r="B31" t="inlineStr">
        <is>
          <t>2023-10</t>
        </is>
      </c>
      <c r="C31" t="n">
        <v>9.0372</v>
      </c>
      <c r="E31" t="inlineStr">
        <is>
          <t>원본추출</t>
        </is>
      </c>
      <c r="F31" t="inlineStr">
        <is>
          <t>도쿠마 원본 정산서</t>
        </is>
      </c>
    </row>
    <row r="32">
      <c r="A32" t="inlineStr">
        <is>
          <t>JPY</t>
        </is>
      </c>
      <c r="B32" t="inlineStr">
        <is>
          <t>2023-09</t>
        </is>
      </c>
      <c r="C32" t="n">
        <v>9.016500000000001</v>
      </c>
      <c r="E32" t="inlineStr">
        <is>
          <t>원본추출</t>
        </is>
      </c>
      <c r="F32" t="inlineStr">
        <is>
          <t>도쿠마 원본 정산서</t>
        </is>
      </c>
    </row>
    <row r="33">
      <c r="A33" t="inlineStr">
        <is>
          <t>JPY</t>
        </is>
      </c>
      <c r="B33" t="inlineStr">
        <is>
          <t>2023-08</t>
        </is>
      </c>
      <c r="C33" t="n">
        <v>9.114000000000001</v>
      </c>
      <c r="E33" t="inlineStr">
        <is>
          <t>원본추출</t>
        </is>
      </c>
      <c r="F33" t="inlineStr">
        <is>
          <t>도쿠마 원본 정산서</t>
        </is>
      </c>
    </row>
    <row r="34">
      <c r="A34" t="inlineStr">
        <is>
          <t>JPY</t>
        </is>
      </c>
      <c r="B34" t="inlineStr">
        <is>
          <t>2023-07</t>
        </is>
      </c>
      <c r="C34" t="n">
        <v>9.1174</v>
      </c>
      <c r="E34" t="inlineStr">
        <is>
          <t>원본추출</t>
        </is>
      </c>
      <c r="F34" t="inlineStr">
        <is>
          <t>도쿠마 원본 정산서</t>
        </is>
      </c>
    </row>
    <row r="35">
      <c r="A35" s="7" t="inlineStr">
        <is>
          <t>JPY</t>
        </is>
      </c>
      <c r="B35" s="7" t="inlineStr">
        <is>
          <t>2026-04</t>
        </is>
      </c>
      <c r="C35" s="7" t="inlineStr">
        <is>
          <t>9.20</t>
        </is>
      </c>
      <c r="D35" s="7" t="n"/>
      <c r="E35" s="8" t="inlineStr">
        <is>
          <t>수기</t>
        </is>
      </c>
      <c r="F35" s="8" t="inlineStr">
        <is>
          <t>수기보정</t>
        </is>
      </c>
    </row>
    <row r="36">
      <c r="A36" t="inlineStr">
        <is>
          <t>USD</t>
        </is>
      </c>
      <c r="B36" t="inlineStr">
        <is>
          <t>2026-04</t>
        </is>
      </c>
      <c r="C36" t="inlineStr">
        <is>
          <t>1350.00</t>
        </is>
      </c>
      <c r="E36" t="inlineStr">
        <is>
          <t>수기</t>
        </is>
      </c>
      <c r="F36" t="inlineStr">
        <is>
          <t>수기보정(예시-실값 입력필요)</t>
        </is>
      </c>
    </row>
    <row r="37">
      <c r="A37" t="inlineStr">
        <is>
          <t>JPY</t>
        </is>
      </c>
      <c r="B37" t="inlineStr">
        <is>
          <t>2026-05</t>
        </is>
      </c>
      <c r="C37" t="n">
        <v>9.300000000000001</v>
      </c>
      <c r="E37" t="inlineStr">
        <is>
          <t>수기</t>
        </is>
      </c>
      <c r="F37" t="inlineStr">
        <is>
          <t>수기보정(예시-실값 입력 필요)</t>
        </is>
      </c>
    </row>
    <row r="38">
      <c r="A38" s="9" t="n"/>
      <c r="B38" s="9" t="n"/>
      <c r="C38" s="9" t="n"/>
      <c r="D38" s="9" t="n"/>
      <c r="E38" s="9" t="n"/>
      <c r="F38" s="9" t="n"/>
    </row>
    <row r="39">
      <c r="A39" s="9" t="n"/>
      <c r="B39" s="9" t="n"/>
      <c r="C39" s="9" t="n"/>
      <c r="D39" s="9" t="n"/>
      <c r="E39" s="9" t="n"/>
      <c r="F39" s="9" t="n"/>
    </row>
    <row r="40">
      <c r="A40" s="9" t="n"/>
      <c r="B40" s="9" t="n"/>
      <c r="C40" s="9" t="n"/>
      <c r="D40" s="9" t="n"/>
      <c r="E40" s="9" t="n"/>
      <c r="F40" s="9" t="n"/>
    </row>
    <row r="41">
      <c r="A41" s="9" t="n"/>
      <c r="B41" s="9" t="n"/>
      <c r="C41" s="9" t="n"/>
      <c r="D41" s="9" t="n"/>
      <c r="E41" s="9" t="n"/>
      <c r="F41" s="9" t="n"/>
    </row>
    <row r="42">
      <c r="A42" s="9" t="n"/>
      <c r="B42" s="9" t="n"/>
      <c r="C42" s="9" t="n"/>
      <c r="D42" s="9" t="n"/>
      <c r="E42" s="9" t="n"/>
      <c r="F42" s="9" t="n"/>
    </row>
    <row r="43">
      <c r="A43" s="9" t="n"/>
      <c r="B43" s="9" t="n"/>
      <c r="C43" s="9" t="n"/>
      <c r="D43" s="9" t="n"/>
      <c r="E43" s="9" t="n"/>
      <c r="F43" s="9" t="n"/>
    </row>
    <row r="44">
      <c r="A44" s="9" t="n"/>
      <c r="B44" s="9" t="n"/>
      <c r="C44" s="9" t="n"/>
      <c r="D44" s="9" t="n"/>
      <c r="E44" s="9" t="n"/>
      <c r="F44" s="9" t="n"/>
    </row>
    <row r="46">
      <c r="A46" s="10" t="inlineStr">
        <is>
          <t>[입력 안내]</t>
        </is>
      </c>
    </row>
    <row r="47">
      <c r="A47" s="11" t="inlineStr">
        <is>
          <t>· 적용월: 정산 대상 서비스월/기준월에 맞춰 입력</t>
        </is>
      </c>
    </row>
    <row r="48">
      <c r="A48" s="11" t="inlineStr">
        <is>
          <t>· 출처: smbs.biz(자동수집) 또는 수기</t>
        </is>
      </c>
    </row>
    <row r="49">
      <c r="A49" s="11" t="inlineStr">
        <is>
          <t>· 상태: 조회성공 / 실패 / 수기보정. 같은 (통화·월) 재입력 시 프로그램이 이력 보존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zoomScaleNormal="100" workbookViewId="0">
      <pane ySplit="3" topLeftCell="A4" activePane="bottomLeft" state="frozen"/>
      <selection pane="bottomLeft" activeCell="G25" sqref="G25"/>
    </sheetView>
  </sheetViews>
  <sheetFormatPr baseColWidth="8" defaultColWidth="8.6640625" defaultRowHeight="14.4"/>
  <cols>
    <col width="10" customWidth="1" min="1" max="1"/>
    <col width="26" customWidth="1" min="2" max="2"/>
    <col width="16" customWidth="1" min="3" max="5"/>
    <col width="12" customWidth="1" min="6" max="6"/>
    <col width="24" customWidth="1" min="7" max="7"/>
  </cols>
  <sheetData>
    <row r="1" ht="16.8" customHeight="1">
      <c r="A1" s="5" t="inlineStr">
        <is>
          <t>5. 선인세(MG) 마스터</t>
        </is>
      </c>
    </row>
    <row r="3">
      <c r="A3" s="6" t="inlineStr">
        <is>
          <t>업체ID</t>
        </is>
      </c>
      <c r="B3" s="6" t="inlineStr">
        <is>
          <t>작품명(표준)</t>
        </is>
      </c>
      <c r="C3" s="12" t="inlineStr">
        <is>
          <t>MG총액</t>
        </is>
      </c>
      <c r="D3" s="6" t="inlineStr">
        <is>
          <t>누적상계액</t>
        </is>
      </c>
      <c r="E3" s="6" t="inlineStr">
        <is>
          <t>잔여액</t>
        </is>
      </c>
      <c r="F3" s="6" t="inlineStr">
        <is>
          <t>상태</t>
        </is>
      </c>
      <c r="G3" s="6" t="inlineStr">
        <is>
          <t>비고</t>
        </is>
      </c>
    </row>
    <row r="4">
      <c r="A4" s="7" t="inlineStr">
        <is>
          <t>V001</t>
        </is>
      </c>
      <c r="B4" s="7" t="inlineStr">
        <is>
          <t>(예시) 어느 작품</t>
        </is>
      </c>
      <c r="C4" s="7" t="inlineStr">
        <is>
          <t>3000000</t>
        </is>
      </c>
      <c r="D4" s="7" t="inlineStr">
        <is>
          <t>0</t>
        </is>
      </c>
      <c r="E4" s="7" t="inlineStr">
        <is>
          <t>3000000</t>
        </is>
      </c>
      <c r="F4" s="8" t="inlineStr">
        <is>
          <t>상계중</t>
        </is>
      </c>
      <c r="G4" s="8" t="inlineStr">
        <is>
          <t>잔여&gt;0이면 지급 보류</t>
        </is>
      </c>
    </row>
    <row r="5" ht="15.6" customHeight="1">
      <c r="A5" s="9" t="inlineStr">
        <is>
          <t>V006</t>
        </is>
      </c>
      <c r="B5" s="9" t="inlineStr">
        <is>
          <t>신선한 후궁님</t>
        </is>
      </c>
      <c r="C5" s="19" t="n">
        <v>3000000</v>
      </c>
      <c r="D5" s="19" t="n">
        <v>2657705</v>
      </c>
      <c r="E5" s="19">
        <f>C5-D5</f>
        <v/>
      </c>
      <c r="F5" s="17">
        <f>IF(E5&gt;0,"상계중","완료")</f>
        <v/>
      </c>
      <c r="G5" s="9" t="n"/>
    </row>
    <row r="6" ht="15.6" customHeight="1">
      <c r="A6" s="9" t="inlineStr">
        <is>
          <t>V026</t>
        </is>
      </c>
      <c r="B6" s="9" t="inlineStr">
        <is>
          <t>역사는 도서관에서</t>
        </is>
      </c>
      <c r="C6" s="19" t="n">
        <v>3000000</v>
      </c>
      <c r="D6" s="19" t="n">
        <v>688429</v>
      </c>
      <c r="E6" s="19">
        <f>C6-D6</f>
        <v/>
      </c>
      <c r="F6" s="17" t="inlineStr">
        <is>
          <t>상계중</t>
        </is>
      </c>
      <c r="G6" s="9" t="n"/>
    </row>
    <row r="7" ht="15.6" customHeight="1">
      <c r="A7" s="9" t="inlineStr">
        <is>
          <t>V029</t>
        </is>
      </c>
      <c r="B7" s="17" t="inlineStr">
        <is>
          <t>우리 아빠는 천하제일인</t>
        </is>
      </c>
      <c r="C7" s="19" t="n">
        <v>3000000</v>
      </c>
      <c r="D7" s="9" t="n">
        <v>0</v>
      </c>
      <c r="E7" s="19">
        <f>C7-D7</f>
        <v/>
      </c>
      <c r="F7" s="17" t="inlineStr">
        <is>
          <t>상계중</t>
        </is>
      </c>
      <c r="G7" s="9" t="n"/>
    </row>
    <row r="9">
      <c r="A9" s="10" t="inlineStr">
        <is>
          <t>[입력 안내]</t>
        </is>
      </c>
    </row>
    <row r="10">
      <c r="A10" s="11" t="inlineStr">
        <is>
          <t>· 잔여액 &gt; 0 인 동안 지급 보류('MG 차감중'으로 정산서 표시)</t>
        </is>
      </c>
    </row>
    <row r="11">
      <c r="A11" s="11" t="inlineStr">
        <is>
          <t>· 누적상계액·잔여액은 매 정산 시 프로그램이 갱신하고 이력 보존</t>
        </is>
      </c>
    </row>
    <row r="12">
      <c r="A12" s="11" t="inlineStr">
        <is>
          <t>· 상태: 상계중 / 완료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0" customWidth="1" min="3" max="3"/>
    <col width="12" customWidth="1" min="4" max="4"/>
    <col width="22" customWidth="1" min="5" max="5"/>
    <col width="24" customWidth="1" min="6" max="6"/>
    <col width="22" customWidth="1" min="7" max="7"/>
    <col width="30" customWidth="1" min="8" max="8"/>
  </cols>
  <sheetData>
    <row r="1">
      <c r="A1" s="27" t="inlineStr">
        <is>
          <t>6. 이월 마스터 — 증빙(세금계산서) 미수취로 지급 보류된 건의 다음달 합산 관리</t>
        </is>
      </c>
    </row>
    <row r="3">
      <c r="A3" s="28" t="inlineStr">
        <is>
          <t>업체ID</t>
        </is>
      </c>
      <c r="B3" s="28" t="inlineStr">
        <is>
          <t>작품명(표준)</t>
        </is>
      </c>
      <c r="C3" s="28" t="inlineStr">
        <is>
          <t>발생월(보류된 정산월)</t>
        </is>
      </c>
      <c r="D3" s="28" t="inlineStr">
        <is>
          <t>증빙상태</t>
        </is>
      </c>
      <c r="E3" s="28" t="inlineStr">
        <is>
          <t>합산월(이번 합산 정산월)</t>
        </is>
      </c>
      <c r="F3" s="29" t="inlineStr">
        <is>
          <t>[자동] 이월 정산기준순매출</t>
        </is>
      </c>
      <c r="G3" s="29" t="inlineStr">
        <is>
          <t>[자동] 이월 정산금액</t>
        </is>
      </c>
      <c r="H3" s="28" t="inlineStr">
        <is>
          <t>비고</t>
        </is>
      </c>
    </row>
    <row r="4">
      <c r="A4" s="30" t="inlineStr">
        <is>
          <t>V001</t>
        </is>
      </c>
      <c r="B4" s="30" t="inlineStr">
        <is>
          <t>(예시) 어느 작품</t>
        </is>
      </c>
      <c r="C4" s="30" t="inlineStr">
        <is>
          <t>2026-04</t>
        </is>
      </c>
      <c r="D4" s="30" t="inlineStr">
        <is>
          <t>수취</t>
        </is>
      </c>
      <c r="E4" s="30" t="inlineStr">
        <is>
          <t>2026-05</t>
        </is>
      </c>
      <c r="F4" s="31" t="inlineStr">
        <is>
          <t>(빌더 자동: 직전정산서 SUM)</t>
        </is>
      </c>
      <c r="G4" s="31" t="inlineStr">
        <is>
          <t>(빌더 자동: ROUND×RS)</t>
        </is>
      </c>
      <c r="H4" s="32" t="inlineStr">
        <is>
          <t>세금계산서 수취되어 합산</t>
        </is>
      </c>
    </row>
    <row r="5">
      <c r="A5" s="33" t="inlineStr">
        <is>
          <t>V015</t>
        </is>
      </c>
      <c r="B5" s="33" t="inlineStr">
        <is>
          <t>푸른 밤, 황홀의 윤무</t>
        </is>
      </c>
      <c r="C5" s="33" t="inlineStr">
        <is>
          <t>2026-04</t>
        </is>
      </c>
      <c r="D5" s="33" t="inlineStr">
        <is>
          <t>수취</t>
        </is>
      </c>
      <c r="E5" s="33" t="inlineStr">
        <is>
          <t>2026-05</t>
        </is>
      </c>
      <c r="F5" s="34" t="n"/>
      <c r="G5" s="34" t="n"/>
      <c r="H5" s="33" t="inlineStr">
        <is>
          <t>세금계산서 수취되어 합산</t>
        </is>
      </c>
    </row>
    <row r="6">
      <c r="A6" s="33" t="n"/>
      <c r="B6" s="33" t="n"/>
      <c r="C6" s="33" t="n"/>
      <c r="D6" s="33" t="n"/>
      <c r="E6" s="33" t="n"/>
      <c r="F6" s="34" t="n"/>
      <c r="G6" s="34" t="n"/>
      <c r="H6" s="33" t="n"/>
    </row>
    <row r="7">
      <c r="A7" s="33" t="n"/>
      <c r="B7" s="33" t="n"/>
      <c r="C7" s="33" t="n"/>
      <c r="D7" s="33" t="n"/>
      <c r="E7" s="33" t="n"/>
      <c r="F7" s="34" t="n"/>
      <c r="G7" s="34" t="n"/>
      <c r="H7" s="33" t="n"/>
    </row>
    <row r="8">
      <c r="A8" s="33" t="n"/>
      <c r="B8" s="33" t="n"/>
      <c r="C8" s="33" t="n"/>
      <c r="D8" s="33" t="n"/>
      <c r="E8" s="33" t="n"/>
      <c r="F8" s="34" t="n"/>
      <c r="G8" s="34" t="n"/>
      <c r="H8" s="33" t="n"/>
    </row>
    <row r="9">
      <c r="A9" s="33" t="n"/>
      <c r="B9" s="33" t="n"/>
      <c r="C9" s="33" t="n"/>
      <c r="D9" s="33" t="n"/>
      <c r="E9" s="33" t="n"/>
      <c r="F9" s="34" t="n"/>
      <c r="G9" s="34" t="n"/>
      <c r="H9" s="33" t="n"/>
    </row>
    <row r="10">
      <c r="A10" s="33" t="n"/>
      <c r="B10" s="33" t="n"/>
      <c r="C10" s="33" t="n"/>
      <c r="D10" s="33" t="n"/>
      <c r="E10" s="33" t="n"/>
      <c r="F10" s="34" t="n"/>
      <c r="G10" s="34" t="n"/>
      <c r="H10" s="33" t="n"/>
    </row>
    <row r="11">
      <c r="A11" s="33" t="n"/>
      <c r="B11" s="33" t="n"/>
      <c r="C11" s="33" t="n"/>
      <c r="D11" s="33" t="n"/>
      <c r="E11" s="33" t="n"/>
      <c r="F11" s="34" t="n"/>
      <c r="G11" s="34" t="n"/>
      <c r="H11" s="33" t="n"/>
    </row>
    <row r="13">
      <c r="A13" s="35" t="inlineStr">
        <is>
          <t>[입력 규칙]</t>
        </is>
      </c>
    </row>
    <row r="14">
      <c r="A14" s="36" t="inlineStr">
        <is>
          <t>· 담당자는 노란색 열만 입력: 업체ID·작품명·발생월·증빙상태·합산월</t>
        </is>
      </c>
    </row>
    <row r="15">
      <c r="A15" s="36" t="inlineStr">
        <is>
          <t>· 회색([자동]) 열은 빌더가 직전 정산서의 정산기준순매출을 직접 SUM하여 채움 (사람이 옮겨적지 않음 → 휴먼에러 차단)</t>
        </is>
      </c>
    </row>
    <row r="16">
      <c r="A16" s="36" t="inlineStr">
        <is>
          <t>· 증빙상태=수취 이고 합산월=이번 정산월 인 건만 해당 작품 상세표에 "이월 정산금" 행으로 합산</t>
        </is>
      </c>
    </row>
    <row r="17">
      <c r="A17" s="36" t="inlineStr">
        <is>
          <t>· 금액은 직전 정산서(근거)에서만 산출 — 임의 수기 입력 금지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pane ySplit="3" topLeftCell="A4" activePane="bottomLeft" state="frozen"/>
      <selection pane="bottomLeft" activeCell="F3" sqref="F3"/>
    </sheetView>
  </sheetViews>
  <sheetFormatPr baseColWidth="8" defaultRowHeight="14.4"/>
  <cols>
    <col width="97.88671875" bestFit="1" customWidth="1" min="1" max="1"/>
    <col width="62.33203125" bestFit="1" customWidth="1" min="2" max="2"/>
    <col width="16" customWidth="1" min="3" max="4"/>
    <col width="14" customWidth="1" min="5" max="5"/>
    <col width="24" customWidth="1" min="6" max="6"/>
  </cols>
  <sheetData>
    <row r="1" ht="15.6" customHeight="1">
      <c r="A1" s="20" t="inlineStr">
        <is>
          <t>ORPHAN 등록 대기 — 05월 지급대상 중 마스터 미등록 작품 (원작사 업체ID만 채우면 됨)</t>
        </is>
      </c>
    </row>
    <row r="3" ht="26.4" customHeight="1">
      <c r="A3" s="21" t="inlineStr">
        <is>
          <t>표준작품명</t>
        </is>
      </c>
      <c r="B3" s="21" t="inlineStr">
        <is>
          <t>Alias변형(;구분, 자동)</t>
        </is>
      </c>
      <c r="C3" s="21" t="inlineStr">
        <is>
          <t>원작사_업체ID★</t>
        </is>
      </c>
      <c r="D3" s="21" t="inlineStr">
        <is>
          <t>RS율(순매출 자동)</t>
        </is>
      </c>
      <c r="E3" s="21" t="inlineStr">
        <is>
          <t>웹소설본부원작</t>
        </is>
      </c>
      <c r="F3" s="21" t="inlineStr">
        <is>
          <t>메모</t>
        </is>
      </c>
    </row>
    <row r="4">
      <c r="A4" t="inlineStr">
        <is>
          <t>걱정 마세요, 합의된 사기 결혼입니다</t>
        </is>
      </c>
      <c r="D4" t="n">
        <v>0.1</v>
      </c>
      <c r="E4" t="inlineStr">
        <is>
          <t>웹소설본부</t>
        </is>
      </c>
    </row>
    <row r="5">
      <c r="A5" t="inlineStr">
        <is>
          <t>기묘한 그녀의 밤손님</t>
        </is>
      </c>
      <c r="D5" t="n">
        <v>0.1</v>
      </c>
      <c r="E5" t="inlineStr">
        <is>
          <t>웹소설본부</t>
        </is>
      </c>
    </row>
    <row r="6">
      <c r="A6" t="inlineStr">
        <is>
          <t>남주의 조카가 나를 너무 좋아한다</t>
        </is>
      </c>
      <c r="D6" t="n">
        <v>0.1</v>
      </c>
      <c r="E6" t="inlineStr">
        <is>
          <t>웹소설본부</t>
        </is>
      </c>
    </row>
    <row r="7">
      <c r="A7" t="inlineStr">
        <is>
          <t>내 남자의 인성이 조금 이상하다</t>
        </is>
      </c>
      <c r="D7" t="n">
        <v>0.1</v>
      </c>
      <c r="E7" t="inlineStr">
        <is>
          <t>웹소설본부</t>
        </is>
      </c>
    </row>
    <row r="8">
      <c r="A8" t="inlineStr">
        <is>
          <t>네가 감히</t>
        </is>
      </c>
      <c r="D8" t="n">
        <v>0.1</v>
      </c>
      <c r="E8" t="inlineStr">
        <is>
          <t>웹소설본부</t>
        </is>
      </c>
    </row>
    <row r="9">
      <c r="A9" t="inlineStr">
        <is>
          <t>당신이 사랑하는 동안에</t>
        </is>
      </c>
      <c r="D9" t="n">
        <v>0.1</v>
      </c>
      <c r="E9" t="inlineStr">
        <is>
          <t>웹소설본부</t>
        </is>
      </c>
    </row>
    <row r="10">
      <c r="A10" t="inlineStr">
        <is>
          <t>더는 싫었다</t>
        </is>
      </c>
      <c r="D10" t="n">
        <v>0.1</v>
      </c>
      <c r="E10" t="inlineStr">
        <is>
          <t>웹소설본부</t>
        </is>
      </c>
    </row>
    <row r="11">
      <c r="A11" t="inlineStr">
        <is>
          <t>딥 시티</t>
        </is>
      </c>
      <c r="D11" t="n">
        <v>0.1</v>
      </c>
      <c r="E11" t="inlineStr">
        <is>
          <t>웹소설본부</t>
        </is>
      </c>
    </row>
    <row r="12">
      <c r="A12" t="inlineStr">
        <is>
          <t>루크 비셸 따라잡기</t>
        </is>
      </c>
      <c r="D12" t="n">
        <v>0.1</v>
      </c>
      <c r="E12" t="inlineStr">
        <is>
          <t>웹소설본부</t>
        </is>
      </c>
    </row>
    <row r="13">
      <c r="A13" t="inlineStr">
        <is>
          <t>리셋팅 레이디</t>
        </is>
      </c>
      <c r="D13" t="n">
        <v>0.1</v>
      </c>
      <c r="E13" t="inlineStr">
        <is>
          <t>웹소설본부</t>
        </is>
      </c>
    </row>
    <row r="14">
      <c r="A14" t="inlineStr">
        <is>
          <t>립서비스</t>
        </is>
      </c>
      <c r="D14" t="n">
        <v>0.1</v>
      </c>
      <c r="E14" t="inlineStr">
        <is>
          <t>웹소설본부</t>
        </is>
      </c>
    </row>
    <row r="15">
      <c r="A15" t="inlineStr">
        <is>
          <t>말단 공무원은 출세가 하고 싶어서</t>
        </is>
      </c>
      <c r="D15" t="n">
        <v>0.1</v>
      </c>
      <c r="E15" t="inlineStr">
        <is>
          <t>웹소설본부</t>
        </is>
      </c>
    </row>
    <row r="16">
      <c r="A16" t="inlineStr">
        <is>
          <t>맛 좋은 연유 바게트</t>
        </is>
      </c>
      <c r="D16" t="n">
        <v>0.1</v>
      </c>
      <c r="E16" t="inlineStr">
        <is>
          <t>웹소설본부</t>
        </is>
      </c>
    </row>
    <row r="17">
      <c r="A17" t="inlineStr">
        <is>
          <t>망나니의 누님이시다</t>
        </is>
      </c>
      <c r="D17" t="n">
        <v>0.1</v>
      </c>
      <c r="E17" t="inlineStr">
        <is>
          <t>웹소설본부</t>
        </is>
      </c>
    </row>
    <row r="18">
      <c r="A18" t="inlineStr">
        <is>
          <t>못난이 영애의 시크릿 파우치</t>
        </is>
      </c>
      <c r="D18" t="n">
        <v>0.1</v>
      </c>
      <c r="E18" t="inlineStr">
        <is>
          <t>웹소설본부</t>
        </is>
      </c>
    </row>
    <row r="19">
      <c r="A19" t="inlineStr">
        <is>
          <t>미친 악당의 품으로 떨어졌다</t>
        </is>
      </c>
      <c r="D19" t="n">
        <v>0.1</v>
      </c>
      <c r="E19" t="inlineStr">
        <is>
          <t>웹소설본부</t>
        </is>
      </c>
    </row>
    <row r="20">
      <c r="A20" t="inlineStr">
        <is>
          <t>부부 관계</t>
        </is>
      </c>
      <c r="D20" t="n">
        <v>0.1</v>
      </c>
      <c r="E20" t="inlineStr">
        <is>
          <t>웹소설본부</t>
        </is>
      </c>
    </row>
    <row r="21">
      <c r="A21" t="inlineStr">
        <is>
          <t>비일상</t>
        </is>
      </c>
      <c r="D21" t="n">
        <v>0.1</v>
      </c>
      <c r="E21" t="inlineStr">
        <is>
          <t>웹소설본부</t>
        </is>
      </c>
    </row>
    <row r="22">
      <c r="A22" t="inlineStr">
        <is>
          <t>숨어 보는 BL 특강 : 상사의 비윤리적 리더십 곧추선 팀장님</t>
        </is>
      </c>
      <c r="D22" t="n">
        <v>0.1</v>
      </c>
      <c r="E22" t="inlineStr">
        <is>
          <t>웹소설본부</t>
        </is>
      </c>
    </row>
    <row r="23">
      <c r="A23" t="inlineStr">
        <is>
          <t>숨어 보는 BL 특강 : 고전에서의 떡 활용법 호랑이를 중심으로</t>
        </is>
      </c>
      <c r="D23" t="n">
        <v>0.1</v>
      </c>
      <c r="E23" t="inlineStr">
        <is>
          <t>웹소설본부</t>
        </is>
      </c>
    </row>
    <row r="24">
      <c r="A24" t="inlineStr">
        <is>
          <t>숨어 보는 BL 특강 : 이집트 파라오 숭배의 기원 파라오 발가락 빨아요</t>
        </is>
      </c>
      <c r="D24" t="n">
        <v>0.1</v>
      </c>
      <c r="E24" t="inlineStr">
        <is>
          <t>웹소설본부</t>
        </is>
      </c>
    </row>
    <row r="25">
      <c r="A25" t="inlineStr">
        <is>
          <t>숨어 보는 BL 특강 : 저출산 시대와 인간 사회 불어라 그럼 대줄 것이다</t>
        </is>
      </c>
      <c r="D25" t="n">
        <v>0.1</v>
      </c>
      <c r="E25" t="inlineStr">
        <is>
          <t>웹소설본부</t>
        </is>
      </c>
    </row>
    <row r="26">
      <c r="A26" t="inlineStr">
        <is>
          <t>숨어 보는 BL 특강 : 오메가 사회와 직업 윤리 못 먹는 오메가 찔러나 본다</t>
        </is>
      </c>
      <c r="D26" t="n">
        <v>0.1</v>
      </c>
      <c r="E26" t="inlineStr">
        <is>
          <t>웹소설본부</t>
        </is>
      </c>
    </row>
    <row r="27">
      <c r="A27" t="inlineStr">
        <is>
          <t>숨어 보는 BL 특강 : 블랜디드 러닝(BL)의 장점과 단점 히키코모리라도 XX는 하고 싶어!</t>
        </is>
      </c>
      <c r="D27" t="n">
        <v>0.1</v>
      </c>
      <c r="E27" t="inlineStr">
        <is>
          <t>웹소설본부</t>
        </is>
      </c>
    </row>
    <row r="28">
      <c r="A28" t="inlineStr">
        <is>
          <t>악녀님이 남자인 걸 나만 몰라</t>
        </is>
      </c>
      <c r="D28" t="n">
        <v>0.1</v>
      </c>
      <c r="E28" t="inlineStr">
        <is>
          <t>웹소설본부</t>
        </is>
      </c>
    </row>
    <row r="29">
      <c r="A29" t="inlineStr">
        <is>
          <t>악당들에게 키워지는 중입니다</t>
        </is>
      </c>
      <c r="D29" t="n">
        <v>0.1</v>
      </c>
      <c r="E29" t="inlineStr">
        <is>
          <t>웹소설본부</t>
        </is>
      </c>
    </row>
    <row r="30">
      <c r="A30" t="inlineStr">
        <is>
          <t>악당의 소중한 따님</t>
        </is>
      </c>
      <c r="D30" t="n">
        <v>0.1</v>
      </c>
      <c r="E30" t="inlineStr">
        <is>
          <t>웹소설본부</t>
        </is>
      </c>
    </row>
    <row r="31">
      <c r="A31" t="inlineStr">
        <is>
          <t>약탈 신부</t>
        </is>
      </c>
      <c r="D31" t="n">
        <v>0.1</v>
      </c>
      <c r="E31" t="inlineStr">
        <is>
          <t>웹소설본부</t>
        </is>
      </c>
    </row>
    <row r="32">
      <c r="A32" t="inlineStr">
        <is>
          <t>영웅&amp;마왕&amp;악당</t>
        </is>
      </c>
      <c r="D32" t="n">
        <v>0.1</v>
      </c>
      <c r="E32" t="inlineStr">
        <is>
          <t>웹소설본부</t>
        </is>
      </c>
    </row>
    <row r="33">
      <c r="A33" t="inlineStr">
        <is>
          <t>요리하는 마법사</t>
        </is>
      </c>
      <c r="D33" t="n">
        <v>0.1</v>
      </c>
      <c r="E33" t="inlineStr">
        <is>
          <t>웹소설본부</t>
        </is>
      </c>
    </row>
    <row r="34">
      <c r="A34" t="inlineStr">
        <is>
          <t>인센티브</t>
        </is>
      </c>
      <c r="D34" t="n">
        <v>0.1</v>
      </c>
      <c r="E34" t="inlineStr">
        <is>
          <t>웹소설본부</t>
        </is>
      </c>
    </row>
    <row r="35">
      <c r="A35" t="inlineStr">
        <is>
          <t>전남편을 삭제합니다</t>
        </is>
      </c>
      <c r="D35" t="n">
        <v>0.1</v>
      </c>
      <c r="E35" t="inlineStr">
        <is>
          <t>웹소설본부</t>
        </is>
      </c>
    </row>
    <row r="36">
      <c r="A36" t="inlineStr">
        <is>
          <t>찰방찰방</t>
        </is>
      </c>
      <c r="D36" t="n">
        <v>0.1</v>
      </c>
      <c r="E36" t="inlineStr">
        <is>
          <t>웹소설본부</t>
        </is>
      </c>
    </row>
    <row r="37">
      <c r="A37" t="inlineStr">
        <is>
          <t>처형당할 운명을 바꿔 보겠습니다</t>
        </is>
      </c>
      <c r="D37" t="n">
        <v>0.1</v>
      </c>
      <c r="E37" t="inlineStr">
        <is>
          <t>웹소설본부</t>
        </is>
      </c>
    </row>
    <row r="38">
      <c r="A38" t="inlineStr">
        <is>
          <t>폐급인 척했던 학교생활</t>
        </is>
      </c>
      <c r="D38" t="n">
        <v>0.1</v>
      </c>
      <c r="E38" t="inlineStr">
        <is>
          <t>웹소설본부</t>
        </is>
      </c>
    </row>
    <row r="39">
      <c r="A39" t="inlineStr">
        <is>
          <t>황제의 가면</t>
        </is>
      </c>
      <c r="D39" t="n">
        <v>0.1</v>
      </c>
      <c r="E39" t="inlineStr">
        <is>
          <t>웹소설본부</t>
        </is>
      </c>
    </row>
    <row r="40">
      <c r="A40" t="inlineStr">
        <is>
          <t>흑화하는 서브 남주의 아내랍니다</t>
        </is>
      </c>
      <c r="D40" t="n">
        <v>0.1</v>
      </c>
      <c r="E40" t="inlineStr">
        <is>
          <t>웹소설본부</t>
        </is>
      </c>
    </row>
  </sheetData>
  <autoFilter ref="A3:L4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tabSelected="1" zoomScaleNormal="100" workbookViewId="0">
      <pane ySplit="2" topLeftCell="A3" activePane="bottomLeft" state="frozen"/>
      <selection pane="bottomLeft" activeCell="B32" sqref="B32"/>
    </sheetView>
  </sheetViews>
  <sheetFormatPr baseColWidth="8" defaultColWidth="8.6640625" defaultRowHeight="14.4"/>
  <cols>
    <col width="26" customWidth="1" min="1" max="1"/>
    <col width="40" customWidth="1" min="2" max="2"/>
    <col width="58.21875" bestFit="1" customWidth="1" min="3" max="3"/>
  </cols>
  <sheetData>
    <row r="1" ht="16.8" customHeight="1">
      <c r="A1" s="5" t="inlineStr">
        <is>
          <t>7. 설정</t>
        </is>
      </c>
    </row>
    <row r="2" ht="17.4" customHeight="1">
      <c r="A2" s="6" t="inlineStr">
        <is>
          <t>항목</t>
        </is>
      </c>
      <c r="B2" s="6" t="inlineStr">
        <is>
          <t>값</t>
        </is>
      </c>
      <c r="C2" s="6" t="inlineStr">
        <is>
          <t>설명</t>
        </is>
      </c>
      <c r="H2" s="26" t="inlineStr">
        <is>
          <t>발송일자</t>
        </is>
      </c>
      <c r="I2" s="26" t="inlineStr">
        <is>
          <t>발행일자</t>
        </is>
      </c>
      <c r="J2" s="26" t="inlineStr">
        <is>
          <t>지급일자</t>
        </is>
      </c>
    </row>
    <row r="3" ht="17.4" customHeight="1">
      <c r="A3" s="13" t="inlineStr">
        <is>
          <t>정산년</t>
        </is>
      </c>
      <c r="B3" s="14" t="n">
        <v>2026</v>
      </c>
      <c r="C3" s="13" t="inlineStr">
        <is>
          <t>대상 정산 연도</t>
        </is>
      </c>
      <c r="E3" s="26" t="inlineStr">
        <is>
          <t>수성웹툰</t>
        </is>
      </c>
      <c r="F3" s="26" t="inlineStr">
        <is>
          <t>사업자</t>
        </is>
      </c>
      <c r="G3" s="26" t="n"/>
      <c r="H3" s="26" t="inlineStr">
        <is>
          <t>매월 4일 발송</t>
        </is>
      </c>
      <c r="I3" s="26" t="inlineStr">
        <is>
          <t>매월 5일</t>
        </is>
      </c>
      <c r="J3" s="26" t="inlineStr">
        <is>
          <t>매월 15일 지급</t>
        </is>
      </c>
    </row>
    <row r="4" ht="17.4" customHeight="1">
      <c r="A4" s="13" t="inlineStr">
        <is>
          <t>정산월</t>
        </is>
      </c>
      <c r="B4" s="14" t="n">
        <v>6</v>
      </c>
      <c r="C4" s="13" t="inlineStr">
        <is>
          <t>대상 정산 월(숫자)</t>
        </is>
      </c>
      <c r="E4" s="26" t="inlineStr">
        <is>
          <t>테라핀</t>
        </is>
      </c>
      <c r="F4" s="26" t="inlineStr">
        <is>
          <t>사업자</t>
        </is>
      </c>
      <c r="G4" s="26" t="inlineStr">
        <is>
          <t>네이버</t>
        </is>
      </c>
      <c r="H4" s="26" t="inlineStr">
        <is>
          <t>매월 말일 월,화</t>
        </is>
      </c>
      <c r="I4" s="26" t="inlineStr">
        <is>
          <t>매월 말일</t>
        </is>
      </c>
      <c r="J4" s="26" t="inlineStr">
        <is>
          <t>매월 15일 지급</t>
        </is>
      </c>
    </row>
    <row r="5" ht="17.4" customHeight="1">
      <c r="A5" s="13" t="inlineStr">
        <is>
          <t>회사명_테라핀</t>
        </is>
      </c>
      <c r="B5" s="15" t="inlineStr">
        <is>
          <t>주식회사 테라핀</t>
        </is>
      </c>
      <c r="C5" s="9" t="n"/>
      <c r="F5" s="26" t="inlineStr">
        <is>
          <t>사업자</t>
        </is>
      </c>
      <c r="G5" s="26" t="inlineStr">
        <is>
          <t>리디</t>
        </is>
      </c>
      <c r="H5" s="26" t="inlineStr">
        <is>
          <t>분기별 25일</t>
        </is>
      </c>
      <c r="I5" s="26" t="inlineStr">
        <is>
          <t>매월 말일</t>
        </is>
      </c>
      <c r="J5" s="26" t="inlineStr">
        <is>
          <t>매월 10일 지급</t>
        </is>
      </c>
    </row>
    <row r="6" ht="17.4" customHeight="1">
      <c r="A6" s="13" t="inlineStr">
        <is>
          <t>회사명_수성</t>
        </is>
      </c>
      <c r="B6" s="15" t="inlineStr">
        <is>
          <t>수성웹툰(주)</t>
        </is>
      </c>
      <c r="C6" s="9" t="n"/>
      <c r="F6" s="26" t="inlineStr">
        <is>
          <t>사업자</t>
        </is>
      </c>
      <c r="G6" s="26" t="inlineStr">
        <is>
          <t>기타</t>
        </is>
      </c>
      <c r="H6" s="26" t="inlineStr">
        <is>
          <t>매월 4일 발송</t>
        </is>
      </c>
      <c r="I6" s="26" t="inlineStr">
        <is>
          <t>매월 5일</t>
        </is>
      </c>
      <c r="J6" s="26" t="inlineStr">
        <is>
          <t>매월 15일 지급</t>
        </is>
      </c>
    </row>
    <row r="7" ht="17.4" customHeight="1">
      <c r="A7" s="13" t="inlineStr">
        <is>
          <t>계산서이메일_테라핀</t>
        </is>
      </c>
      <c r="B7" s="14" t="inlineStr">
        <is>
          <t>terapin_toonbill@terapinstudios.co.kr</t>
        </is>
      </c>
      <c r="C7" s="9" t="n"/>
      <c r="F7" s="26" t="inlineStr">
        <is>
          <t>개인</t>
        </is>
      </c>
      <c r="H7" s="26" t="inlineStr">
        <is>
          <t>매월 4일 발송</t>
        </is>
      </c>
      <c r="I7" s="26" t="inlineStr">
        <is>
          <t>매월 5일</t>
        </is>
      </c>
      <c r="J7" s="26" t="inlineStr">
        <is>
          <t>매월 15일 지급</t>
        </is>
      </c>
    </row>
    <row r="8">
      <c r="A8" s="13" t="inlineStr">
        <is>
          <t>계산서이메일_수성</t>
        </is>
      </c>
      <c r="B8" s="14" t="inlineStr">
        <is>
          <t>webtoonbill@soosung.com</t>
        </is>
      </c>
      <c r="C8" s="9" t="n"/>
    </row>
    <row r="9">
      <c r="A9" s="13" t="inlineStr">
        <is>
          <t>부가세율</t>
        </is>
      </c>
      <c r="B9" s="14" t="n">
        <v>0.1</v>
      </c>
      <c r="C9" s="13" t="inlineStr">
        <is>
          <t>사업자 과세분</t>
        </is>
      </c>
    </row>
    <row r="10">
      <c r="A10" s="13" t="inlineStr">
        <is>
          <t>개인_소득세율</t>
        </is>
      </c>
      <c r="B10" s="14" t="n">
        <v>0.03</v>
      </c>
      <c r="C10" s="13" t="inlineStr">
        <is>
          <t>사업소득 원천징수</t>
        </is>
      </c>
    </row>
    <row r="11">
      <c r="A11" s="13" t="inlineStr">
        <is>
          <t>개인_지방소득세율</t>
        </is>
      </c>
      <c r="B11" s="14" t="n">
        <v>0.003</v>
      </c>
      <c r="C11" s="13" t="inlineStr">
        <is>
          <t>소득세의 10%</t>
        </is>
      </c>
    </row>
    <row r="12">
      <c r="A12" s="13" t="inlineStr">
        <is>
          <t>원천징수_절사단위</t>
        </is>
      </c>
      <c r="B12" s="14" t="n">
        <v>10</v>
      </c>
      <c r="C12" s="13" t="inlineStr">
        <is>
          <t>원 단위 절사(10원)</t>
        </is>
      </c>
    </row>
    <row r="13">
      <c r="A13" s="13" t="inlineStr">
        <is>
          <t>발송간격_초</t>
        </is>
      </c>
      <c r="B13" s="14" t="n">
        <v>5</v>
      </c>
      <c r="C13" s="13" t="inlineStr">
        <is>
          <t>연속 발송 간격</t>
        </is>
      </c>
    </row>
    <row r="14">
      <c r="A14" s="13" t="inlineStr">
        <is>
          <t>입력시트_선택기준</t>
        </is>
      </c>
      <c r="B14" s="15" t="inlineStr">
        <is>
          <t>입금기간=정산월</t>
        </is>
      </c>
      <c r="C14" s="13" t="inlineStr">
        <is>
          <t>순매출 월시트 선택 기준(시트명 아닌 입금기간 텍스트로 매칭)</t>
        </is>
      </c>
    </row>
    <row r="15">
      <c r="A15" s="13" t="inlineStr">
        <is>
          <t>광고_필터기준</t>
        </is>
      </c>
      <c r="B15" s="15" t="inlineStr">
        <is>
          <t>지급월=정산월</t>
        </is>
      </c>
      <c r="C15" s="13" t="inlineStr">
        <is>
          <t>기타수익(광고)에서 당월 포함 행 선택 기준</t>
        </is>
      </c>
    </row>
    <row r="16">
      <c r="A16" s="13" t="inlineStr">
        <is>
          <t>광고_서비스월표시</t>
        </is>
      </c>
      <c r="B16" s="15" t="inlineStr">
        <is>
          <t>광고집행월</t>
        </is>
      </c>
      <c r="C16" s="13" t="inlineStr">
        <is>
          <t>정산서 서비스월에 표기할 값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규칙ID</t>
        </is>
      </c>
      <c r="B1" t="inlineStr">
        <is>
          <t>표준작품명</t>
        </is>
      </c>
      <c r="C1" t="inlineStr">
        <is>
          <t>규칙유형</t>
        </is>
      </c>
      <c r="D1" t="inlineStr">
        <is>
          <t>대상스트림</t>
        </is>
      </c>
      <c r="E1" t="inlineStr">
        <is>
          <t>수익종류</t>
        </is>
      </c>
      <c r="F1" t="inlineStr">
        <is>
          <t>누적기준</t>
        </is>
      </c>
      <c r="G1" t="inlineStr">
        <is>
          <t>RS적용base</t>
        </is>
      </c>
      <c r="H1" t="inlineStr">
        <is>
          <t>임계1</t>
        </is>
      </c>
      <c r="I1" t="inlineStr">
        <is>
          <t>RS1</t>
        </is>
      </c>
      <c r="J1" t="inlineStr">
        <is>
          <t>임계2</t>
        </is>
      </c>
      <c r="K1" t="inlineStr">
        <is>
          <t>RS2</t>
        </is>
      </c>
      <c r="L1" t="inlineStr">
        <is>
          <t>적용RS</t>
        </is>
      </c>
      <c r="M1" t="inlineStr">
        <is>
          <t>시작월</t>
        </is>
      </c>
      <c r="N1" t="inlineStr">
        <is>
          <t>종료월</t>
        </is>
      </c>
      <c r="O1" t="inlineStr">
        <is>
          <t>우선순위</t>
        </is>
      </c>
      <c r="P1" t="inlineStr">
        <is>
          <t>비고</t>
        </is>
      </c>
      <c r="Q1" t="inlineStr">
        <is>
          <t>구간적용범위</t>
        </is>
      </c>
      <c r="R1" t="inlineStr">
        <is>
          <t>판정기준</t>
        </is>
      </c>
    </row>
    <row r="2">
      <c r="A2" t="inlineStr">
        <is>
          <t>EX01</t>
        </is>
      </c>
      <c r="B2" t="inlineStr">
        <is>
          <t>만 년 만에 귀환한 플레이어</t>
        </is>
      </c>
      <c r="C2" t="inlineStr">
        <is>
          <t>누적순매출구간</t>
        </is>
      </c>
      <c r="D2" t="inlineStr">
        <is>
          <t>연재</t>
        </is>
      </c>
      <c r="F2" t="inlineStr">
        <is>
          <t>정산기준매출(플랫폼정산액)</t>
        </is>
      </c>
      <c r="G2" t="inlineStr">
        <is>
          <t>정산기준매출</t>
        </is>
      </c>
      <c r="H2" t="n">
        <v>500000000</v>
      </c>
      <c r="I2" t="n">
        <v>0.15</v>
      </c>
      <c r="J2" t="n">
        <v>1000000000</v>
      </c>
      <c r="K2" t="n">
        <v>0.2</v>
      </c>
      <c r="O2" t="n">
        <v>10</v>
      </c>
      <c r="P2" t="inlineStr">
        <is>
          <t>계약서 제5조②: 1항과 같이 전 플랫폼 구간적용 (5억15%,10억20%)</t>
        </is>
      </c>
      <c r="Q2" t="inlineStr">
        <is>
          <t>전체</t>
        </is>
      </c>
      <c r="R2" t="inlineStr">
        <is>
          <t>월별</t>
        </is>
      </c>
    </row>
    <row r="3">
      <c r="A3" t="inlineStr">
        <is>
          <t>EX02</t>
        </is>
      </c>
      <c r="B3" t="inlineStr">
        <is>
          <t>랭킹 1위를 영혼까지 털어버림</t>
        </is>
      </c>
      <c r="C3" t="inlineStr">
        <is>
          <t>누적순매출구간</t>
        </is>
      </c>
      <c r="D3" t="inlineStr">
        <is>
          <t>연재</t>
        </is>
      </c>
      <c r="F3" t="inlineStr">
        <is>
          <t>정산기준매출(플랫폼정산액)</t>
        </is>
      </c>
      <c r="G3" t="inlineStr">
        <is>
          <t>정산기준매출</t>
        </is>
      </c>
      <c r="H3" t="n">
        <v>500000000</v>
      </c>
      <c r="I3" t="n">
        <v>0.15</v>
      </c>
      <c r="J3" t="n">
        <v>1000000000</v>
      </c>
      <c r="K3" t="n">
        <v>0.18</v>
      </c>
      <c r="O3" t="n">
        <v>10</v>
      </c>
      <c r="P3" t="inlineStr">
        <is>
          <t>계약서 제5조:5억초과분15%,10억초과분18%,전플랫폼(②항=1항)</t>
        </is>
      </c>
      <c r="Q3" t="inlineStr">
        <is>
          <t>전체</t>
        </is>
      </c>
      <c r="R3" t="inlineStr">
        <is>
          <t>월별</t>
        </is>
      </c>
    </row>
    <row r="4">
      <c r="A4" t="inlineStr">
        <is>
          <t>EX03</t>
        </is>
      </c>
      <c r="B4" t="inlineStr">
        <is>
          <t>주인공의 여동생이다</t>
        </is>
      </c>
      <c r="C4" t="inlineStr">
        <is>
          <t>누적순매출구간</t>
        </is>
      </c>
      <c r="D4" t="inlineStr">
        <is>
          <t>연재</t>
        </is>
      </c>
      <c r="F4" t="inlineStr">
        <is>
          <t>정산기준매출(플랫폼정산액)</t>
        </is>
      </c>
      <c r="G4" t="inlineStr">
        <is>
          <t>정산기준매출</t>
        </is>
      </c>
      <c r="H4" t="n">
        <v>500000000</v>
      </c>
      <c r="I4" t="n">
        <v>0.13</v>
      </c>
      <c r="O4" t="n">
        <v>10</v>
      </c>
      <c r="P4" t="inlineStr">
        <is>
          <t>계약서 제5조:5억초과분13%(10억구간없음),전플랫폼(②항=1항)</t>
        </is>
      </c>
      <c r="Q4" t="inlineStr">
        <is>
          <t>전체</t>
        </is>
      </c>
      <c r="R4" t="inlineStr">
        <is>
          <t>월별</t>
        </is>
      </c>
    </row>
    <row r="5">
      <c r="A5" t="inlineStr">
        <is>
          <t>EX04</t>
        </is>
      </c>
      <c r="B5" t="inlineStr">
        <is>
          <t>빼앗긴 가문의 주인이 되려 합니다</t>
        </is>
      </c>
      <c r="C5" t="inlineStr">
        <is>
          <t>누적순매출구간</t>
        </is>
      </c>
      <c r="D5" t="inlineStr">
        <is>
          <t>연재</t>
        </is>
      </c>
      <c r="F5" t="inlineStr">
        <is>
          <t>정산기준매출(플랫폼정산액)</t>
        </is>
      </c>
      <c r="G5" t="inlineStr">
        <is>
          <t>정산기준매출</t>
        </is>
      </c>
      <c r="H5" t="n">
        <v>500000000</v>
      </c>
      <c r="I5" t="n">
        <v>0.13</v>
      </c>
      <c r="O5" t="n">
        <v>10</v>
      </c>
      <c r="P5" t="inlineStr">
        <is>
          <t>계약서 제5조:5억초과분13%(10억구간없음),전플랫폼(②항=1항)</t>
        </is>
      </c>
      <c r="Q5" t="inlineStr">
        <is>
          <t>전체</t>
        </is>
      </c>
      <c r="R5" t="inlineStr">
        <is>
          <t>월별</t>
        </is>
      </c>
    </row>
    <row r="6">
      <c r="A6" t="inlineStr">
        <is>
          <t>EX05</t>
        </is>
      </c>
      <c r="B6" t="inlineStr">
        <is>
          <t>만렙 플레이어의 100번째 회귀</t>
        </is>
      </c>
      <c r="C6" t="inlineStr">
        <is>
          <t>누적순매출구간</t>
        </is>
      </c>
      <c r="D6" t="inlineStr">
        <is>
          <t>연재</t>
        </is>
      </c>
      <c r="F6" t="inlineStr">
        <is>
          <t>정산기준매출(플랫폼정산액)</t>
        </is>
      </c>
      <c r="G6" t="inlineStr">
        <is>
          <t>정산기준매출</t>
        </is>
      </c>
      <c r="H6" t="n">
        <v>500000000</v>
      </c>
      <c r="I6" t="n">
        <v>0.12</v>
      </c>
      <c r="O6" t="n">
        <v>10</v>
      </c>
      <c r="P6" t="inlineStr">
        <is>
          <t>계약서 제5조: 5억초과분12%(10억구간없음), 최초서비스플랫폼만/타플랫폼 기본10%</t>
        </is>
      </c>
      <c r="Q6" t="inlineStr">
        <is>
          <t>최초서비스플랫폼:카카오페이지(확인필요)</t>
        </is>
      </c>
      <c r="R6" t="inlineStr">
        <is>
          <t>월별</t>
        </is>
      </c>
    </row>
    <row r="7">
      <c r="A7" t="inlineStr">
        <is>
          <t>EX06</t>
        </is>
      </c>
      <c r="B7" t="inlineStr">
        <is>
          <t>여보, 그건 당신의 오해 같은데요</t>
        </is>
      </c>
      <c r="C7" t="inlineStr">
        <is>
          <t>누적순매출구간</t>
        </is>
      </c>
      <c r="D7" t="inlineStr">
        <is>
          <t>연재</t>
        </is>
      </c>
      <c r="F7" t="inlineStr">
        <is>
          <t>정산기준매출(플랫폼정산액)</t>
        </is>
      </c>
      <c r="G7" t="inlineStr">
        <is>
          <t>정산기준매출</t>
        </is>
      </c>
      <c r="H7" t="n">
        <v>500000000</v>
      </c>
      <c r="I7" t="n">
        <v>0.13</v>
      </c>
      <c r="J7" t="n">
        <v>1000000000</v>
      </c>
      <c r="K7" t="n">
        <v>0.15</v>
      </c>
      <c r="O7" t="n">
        <v>10</v>
      </c>
      <c r="P7" t="inlineStr">
        <is>
          <t>계약서 제5조②: 1항과 같이 전 플랫폼 (5억13%,10억15%)</t>
        </is>
      </c>
      <c r="Q7" t="inlineStr">
        <is>
          <t>전체</t>
        </is>
      </c>
      <c r="R7" t="inlineStr">
        <is>
          <t>월별</t>
        </is>
      </c>
    </row>
    <row r="8">
      <c r="A8" t="inlineStr">
        <is>
          <t>EX07</t>
        </is>
      </c>
      <c r="B8" t="inlineStr">
        <is>
          <t>왕세자비 오디션</t>
        </is>
      </c>
      <c r="C8" t="inlineStr">
        <is>
          <t>수익종류</t>
        </is>
      </c>
      <c r="D8" t="inlineStr">
        <is>
          <t>기타수익</t>
        </is>
      </c>
      <c r="E8" t="inlineStr">
        <is>
          <t>동영상 프로모션</t>
        </is>
      </c>
      <c r="L8" t="n">
        <v>0.5</v>
      </c>
      <c r="O8" t="n">
        <v>5</v>
      </c>
      <c r="P8" t="inlineStr">
        <is>
          <t>동영상프로모션50%</t>
        </is>
      </c>
    </row>
    <row r="10">
      <c r="A10" t="inlineStr">
        <is>
          <t>[입력 안내]</t>
        </is>
      </c>
    </row>
    <row r="11">
      <c r="A11" t="inlineStr">
        <is>
          <t>· RS적용base: 정산기준매출(원작료=정산기준×RS) / 순매출(원작료=순매출×RS) — 계약서 기준 선택</t>
        </is>
      </c>
    </row>
    <row r="12">
      <c r="A12" t="inlineStr">
        <is>
          <t>· 임계 판정은 누적기준(기타수익제외 순매출), 초과분에만 RS1/RS2 한계세율 적용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표준작품명</t>
        </is>
      </c>
      <c r="B1" t="inlineStr">
        <is>
          <t>정산월</t>
        </is>
      </c>
      <c r="C1" t="inlineStr">
        <is>
          <t>당월_정산기준매출_기타제외</t>
        </is>
      </c>
      <c r="D1" t="inlineStr">
        <is>
          <t>누적정산기준매출_전</t>
        </is>
      </c>
      <c r="E1" t="inlineStr">
        <is>
          <t>누적정산기준매출_후</t>
        </is>
      </c>
      <c r="F1" t="inlineStr">
        <is>
          <t>적용규칙ID</t>
        </is>
      </c>
      <c r="G1" t="inlineStr">
        <is>
          <t>RS적용base</t>
        </is>
      </c>
      <c r="H1" t="inlineStr">
        <is>
          <t>적용RS_상세</t>
        </is>
      </c>
      <c r="I1" t="inlineStr">
        <is>
          <t>임계통과</t>
        </is>
      </c>
      <c r="J1" t="inlineStr">
        <is>
          <t>당월원작료</t>
        </is>
      </c>
      <c r="K1" t="inlineStr">
        <is>
          <t>갱신일시</t>
        </is>
      </c>
      <c r="L1" t="inlineStr">
        <is>
          <t>비고</t>
        </is>
      </c>
    </row>
    <row r="2">
      <c r="A2" t="inlineStr">
        <is>
          <t>만 년 만에 귀환한 플레이어</t>
        </is>
      </c>
      <c r="B2" t="inlineStr">
        <is>
          <t>2026-05</t>
        </is>
      </c>
      <c r="E2" t="n">
        <v>1648065980</v>
      </c>
      <c r="F2" t="inlineStr">
        <is>
          <t>SEED</t>
        </is>
      </c>
      <c r="G2" t="inlineStr">
        <is>
          <t>정산기준매출</t>
        </is>
      </c>
      <c r="K2" t="inlineStr">
        <is>
          <t>시드</t>
        </is>
      </c>
      <c r="L2" t="inlineStr">
        <is>
          <t>시드:매출파일2021.09~26.06 원작료항목 정산기준매출 합(26.07당월제외)/요율은 계약서 검증필요</t>
        </is>
      </c>
    </row>
    <row r="3">
      <c r="A3" t="inlineStr">
        <is>
          <t>만렙 플레이어의 100번째 회귀</t>
        </is>
      </c>
      <c r="B3" t="inlineStr">
        <is>
          <t>2026-05</t>
        </is>
      </c>
      <c r="E3" t="n">
        <v>432186790</v>
      </c>
      <c r="F3" t="inlineStr">
        <is>
          <t>SEED</t>
        </is>
      </c>
      <c r="G3" t="inlineStr">
        <is>
          <t>정산기준매출</t>
        </is>
      </c>
      <c r="K3" t="inlineStr">
        <is>
          <t>시드</t>
        </is>
      </c>
      <c r="L3" t="inlineStr">
        <is>
          <t>시드:최초서비스=카카오페이지 누적만(계약 제5조②), 타플랫폼 기본10% / 카카오페이지 확인필요</t>
        </is>
      </c>
    </row>
    <row r="4">
      <c r="A4" t="inlineStr">
        <is>
          <t>랭킹 1위를 영혼까지 털어버림</t>
        </is>
      </c>
      <c r="B4" t="inlineStr">
        <is>
          <t>2026-05</t>
        </is>
      </c>
      <c r="E4" t="n">
        <v>488479232</v>
      </c>
      <c r="F4" t="inlineStr">
        <is>
          <t>SEED</t>
        </is>
      </c>
      <c r="G4" t="inlineStr">
        <is>
          <t>정산기준매출</t>
        </is>
      </c>
      <c r="K4" t="inlineStr">
        <is>
          <t>시드</t>
        </is>
      </c>
      <c r="L4" t="inlineStr">
        <is>
          <t>시드:매출파일2021.09~26.06 원작료항목 정산기준매출 합(26.07당월제외)/요율은 계약서 검증필요</t>
        </is>
      </c>
    </row>
    <row r="5">
      <c r="A5" t="inlineStr">
        <is>
          <t>주인공의 여동생이다</t>
        </is>
      </c>
      <c r="B5" t="inlineStr">
        <is>
          <t>2026-05</t>
        </is>
      </c>
      <c r="E5" t="n">
        <v>254801517</v>
      </c>
      <c r="F5" t="inlineStr">
        <is>
          <t>SEED</t>
        </is>
      </c>
      <c r="G5" t="inlineStr">
        <is>
          <t>정산기준매출</t>
        </is>
      </c>
      <c r="K5" t="inlineStr">
        <is>
          <t>시드</t>
        </is>
      </c>
      <c r="L5" t="inlineStr">
        <is>
          <t>시드:매출파일2021.09~26.06 원작료항목 정산기준매출 합(26.07당월제외)/요율은 계약서 검증필요</t>
        </is>
      </c>
    </row>
    <row r="6">
      <c r="A6" t="inlineStr">
        <is>
          <t>빼앗긴 가문의 주인이 되려 합니다</t>
        </is>
      </c>
      <c r="B6" t="inlineStr">
        <is>
          <t>2026-05</t>
        </is>
      </c>
      <c r="E6" t="n">
        <v>244416508</v>
      </c>
      <c r="F6" t="inlineStr">
        <is>
          <t>SEED</t>
        </is>
      </c>
      <c r="G6" t="inlineStr">
        <is>
          <t>정산기준매출</t>
        </is>
      </c>
      <c r="K6" t="inlineStr">
        <is>
          <t>시드</t>
        </is>
      </c>
      <c r="L6" t="inlineStr">
        <is>
          <t>시드:매출파일2021.09~26.06 원작료항목 정산기준매출 합(26.07당월제외)/요율은 계약서 검증필요</t>
        </is>
      </c>
    </row>
    <row r="7">
      <c r="A7" t="inlineStr">
        <is>
          <t>여보, 그건 당신의 오해 같은데요</t>
        </is>
      </c>
      <c r="B7" t="inlineStr">
        <is>
          <t>2026-05</t>
        </is>
      </c>
      <c r="E7" t="n">
        <v>52781884</v>
      </c>
      <c r="F7" t="inlineStr">
        <is>
          <t>SEED</t>
        </is>
      </c>
      <c r="G7" t="inlineStr">
        <is>
          <t>정산기준매출</t>
        </is>
      </c>
      <c r="K7" t="inlineStr">
        <is>
          <t>시드</t>
        </is>
      </c>
      <c r="L7" t="inlineStr">
        <is>
          <t>시드:매출파일2021.09~26.06 원작료항목 정산기준매출 합(26.07당월제외)/요율은 계약서 검증필요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2026-06-17T04:57:09Z</dcterms:created>
  <dcterms:modified xmlns:dcterms="http://purl.org/dc/terms/" xmlns:xsi="http://www.w3.org/2001/XMLSchema-instance" xsi:type="dcterms:W3CDTF">2026-06-25T03:09:02Z</dcterms:modified>
  <cp:lastModifiedBy>신수연</cp:lastModifiedBy>
  <cp:revision>0</cp:revision>
</cp:coreProperties>
</file>