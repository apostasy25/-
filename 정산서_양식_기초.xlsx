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FBE4455-BA98-4FC3-B9B1-01AEF4561666}" xr6:coauthVersionLast="47" xr6:coauthVersionMax="47" xr10:uidLastSave="{00000000-0000-0000-0000-000000000000}"/>
  <bookViews>
    <workbookView xWindow="30612" yWindow="-108" windowWidth="30936" windowHeight="16896" tabRatio="599" firstSheet="1" activeTab="4" xr2:uid="{917DA723-B98A-4CE8-B88E-6D93EBE1CA63}"/>
  </bookViews>
  <sheets>
    <sheet name="2023.1Q_수정중" sheetId="7" state="hidden" r:id="rId1"/>
    <sheet name="테라핀_사업자(환율)" sheetId="23" r:id="rId2"/>
    <sheet name="테라핀_사업자" sheetId="24" r:id="rId3"/>
    <sheet name="테라핀_개인" sheetId="25" r:id="rId4"/>
    <sheet name="테라핀_해외" sheetId="26" r:id="rId5"/>
    <sheet name="수성_기초" sheetId="27" r:id="rId6"/>
    <sheet name="2024.4Q" sheetId="18" state="hidden" r:id="rId7"/>
    <sheet name="2024.3Q" sheetId="17" state="hidden" r:id="rId8"/>
    <sheet name="2024.2Q" sheetId="16" state="hidden" r:id="rId9"/>
    <sheet name="2024.1Q" sheetId="15" state="hidden" r:id="rId10"/>
    <sheet name="2023.4Q" sheetId="14" state="hidden" r:id="rId11"/>
    <sheet name="2023.3Q" sheetId="13" state="hidden" r:id="rId12"/>
    <sheet name="2023.2Q" sheetId="10" state="hidden" r:id="rId13"/>
    <sheet name="2023.1Q" sheetId="9" state="hidden" r:id="rId14"/>
    <sheet name="2022.4Q" sheetId="2" state="hidden" r:id="rId15"/>
  </sheets>
  <definedNames>
    <definedName name="_xlnm._FilterDatabase" localSheetId="4" hidden="1">테라핀_해외!$B$13:$M$19</definedName>
    <definedName name="_xlnm.Print_Area" localSheetId="14">'2022.4Q'!$A$1:$O$20</definedName>
    <definedName name="_xlnm.Print_Area" localSheetId="13">'2023.1Q'!$A$1:$N$19</definedName>
    <definedName name="_xlnm.Print_Area" localSheetId="0">'2023.1Q_수정중'!$A$1:$O$38</definedName>
    <definedName name="_xlnm.Print_Area" localSheetId="12">'2023.2Q'!$A$1:$N$20</definedName>
    <definedName name="_xlnm.Print_Area" localSheetId="11">'2023.3Q'!$A$1:$M$28</definedName>
    <definedName name="_xlnm.Print_Area" localSheetId="10">'2023.4Q'!$A$1:$M$25</definedName>
    <definedName name="_xlnm.Print_Area" localSheetId="9">'2024.1Q'!$A$1:$M$25</definedName>
    <definedName name="_xlnm.Print_Area" localSheetId="8">'2024.2Q'!$A$1:$M$25</definedName>
    <definedName name="_xlnm.Print_Area" localSheetId="7">'2024.3Q'!$A$1:$M$25</definedName>
    <definedName name="_xlnm.Print_Area" localSheetId="6">'2024.4Q'!$A$1:$M$29</definedName>
    <definedName name="_xlnm.Print_Area" localSheetId="1">'테라핀_사업자(환율)'!$A$1:$M$20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6" l="1"/>
  <c r="E8" i="26"/>
  <c r="L71" i="24"/>
  <c r="B9" i="23"/>
  <c r="B9" i="27"/>
  <c r="G6" i="27"/>
  <c r="I6" i="27" s="1"/>
  <c r="L16" i="27"/>
  <c r="H7" i="27" l="1"/>
  <c r="G7" i="27" l="1"/>
  <c r="I7" i="27"/>
  <c r="D8" i="26" l="1"/>
  <c r="K15" i="26"/>
  <c r="K16" i="26"/>
  <c r="K19" i="26"/>
  <c r="L19" i="26" s="1"/>
  <c r="K17" i="26" l="1"/>
  <c r="L17" i="26" s="1"/>
  <c r="K18" i="26"/>
  <c r="L18" i="26" s="1"/>
  <c r="L16" i="26"/>
  <c r="M15" i="26"/>
  <c r="M16" i="26" s="1"/>
  <c r="M17" i="26" s="1"/>
  <c r="M18" i="26" s="1"/>
  <c r="M19" i="26" s="1"/>
  <c r="L15" i="26"/>
  <c r="K20" i="26" l="1"/>
  <c r="L20" i="26"/>
  <c r="K15" i="25" l="1"/>
  <c r="K19" i="25"/>
  <c r="K21" i="25" s="1"/>
  <c r="I6" i="25" l="1"/>
  <c r="J6" i="25" l="1"/>
  <c r="K6" i="25" s="1"/>
  <c r="L6" i="25" l="1"/>
  <c r="G9" i="24"/>
  <c r="I9" i="24" s="1"/>
  <c r="B15" i="24"/>
  <c r="B24" i="24" l="1"/>
  <c r="B33" i="24" s="1"/>
  <c r="B42" i="24" l="1"/>
  <c r="B55" i="24" l="1"/>
  <c r="B64" i="24" s="1"/>
  <c r="B73" i="24" s="1"/>
  <c r="G6" i="24" l="1"/>
  <c r="H6" i="24" s="1"/>
  <c r="G7" i="24"/>
  <c r="H7" i="24" s="1"/>
  <c r="G8" i="24"/>
  <c r="H8" i="24" s="1"/>
  <c r="G10" i="24"/>
  <c r="G11" i="24"/>
  <c r="G12" i="24"/>
  <c r="H12" i="24" s="1"/>
  <c r="L17" i="24"/>
  <c r="L18" i="24"/>
  <c r="L19" i="24"/>
  <c r="L20" i="24"/>
  <c r="L21" i="24"/>
  <c r="L53" i="24"/>
  <c r="L62" i="24"/>
  <c r="L22" i="24" l="1"/>
  <c r="M53" i="24"/>
  <c r="H10" i="24"/>
  <c r="I10" i="24" s="1"/>
  <c r="H11" i="24"/>
  <c r="I11" i="24" s="1"/>
  <c r="I8" i="24"/>
  <c r="I7" i="24"/>
  <c r="I12" i="24"/>
  <c r="I6" i="24"/>
  <c r="G13" i="24"/>
  <c r="I13" i="24" l="1"/>
  <c r="H13" i="24"/>
  <c r="Q14" i="23" l="1"/>
  <c r="Q13" i="23"/>
  <c r="Q12" i="23" l="1"/>
  <c r="Q11" i="23"/>
  <c r="Q16" i="23" s="1"/>
  <c r="G6" i="23" l="1"/>
  <c r="I6" i="23" s="1"/>
  <c r="I7" i="23" s="1"/>
  <c r="Q18" i="18"/>
  <c r="Q17" i="18"/>
  <c r="Q16" i="18"/>
  <c r="Q15" i="18"/>
  <c r="Q14" i="18"/>
  <c r="G7" i="23" l="1"/>
  <c r="K6" i="23"/>
  <c r="K7" i="23" s="1"/>
  <c r="Q21" i="18"/>
  <c r="Q23" i="18" l="1"/>
  <c r="Q22" i="18"/>
  <c r="Q20" i="18"/>
  <c r="Q19" i="18"/>
  <c r="Q13" i="18"/>
  <c r="L13" i="18"/>
  <c r="Q12" i="18"/>
  <c r="L12" i="18"/>
  <c r="Q11" i="18"/>
  <c r="L11" i="18"/>
  <c r="Q25" i="18" l="1"/>
  <c r="G6" i="18" s="1"/>
  <c r="O19" i="17"/>
  <c r="O18" i="17"/>
  <c r="O17" i="17"/>
  <c r="G7" i="18" l="1"/>
  <c r="I6" i="18"/>
  <c r="I7" i="18" s="1"/>
  <c r="Q19" i="17"/>
  <c r="Q18" i="17"/>
  <c r="Q17" i="17"/>
  <c r="O16" i="17"/>
  <c r="Q16" i="17" s="1"/>
  <c r="O15" i="17"/>
  <c r="Q15" i="17" s="1"/>
  <c r="O14" i="17"/>
  <c r="Q14" i="17" s="1"/>
  <c r="Q13" i="17"/>
  <c r="L13" i="17"/>
  <c r="Q12" i="17"/>
  <c r="L12" i="17"/>
  <c r="Q11" i="17"/>
  <c r="L11" i="17"/>
  <c r="Q19" i="16"/>
  <c r="Q18" i="16"/>
  <c r="Q17" i="16"/>
  <c r="O16" i="16"/>
  <c r="Q16" i="16" s="1"/>
  <c r="O15" i="16"/>
  <c r="Q15" i="16" s="1"/>
  <c r="O14" i="16"/>
  <c r="Q14" i="16" s="1"/>
  <c r="Q13" i="16"/>
  <c r="L13" i="16"/>
  <c r="Q12" i="16"/>
  <c r="L12" i="16"/>
  <c r="Q11" i="16"/>
  <c r="L11" i="16"/>
  <c r="O14" i="15"/>
  <c r="K6" i="18" l="1"/>
  <c r="K7" i="18" s="1"/>
  <c r="Q21" i="17"/>
  <c r="G6" i="17" s="1"/>
  <c r="G7" i="17" s="1"/>
  <c r="Q21" i="16"/>
  <c r="G6" i="16"/>
  <c r="Q19" i="15"/>
  <c r="Q18" i="15"/>
  <c r="Q17" i="15"/>
  <c r="O16" i="15"/>
  <c r="Q16" i="15" s="1"/>
  <c r="O15" i="15"/>
  <c r="Q15" i="15" s="1"/>
  <c r="Q13" i="15"/>
  <c r="L13" i="15"/>
  <c r="Q12" i="15"/>
  <c r="L12" i="15"/>
  <c r="Q11" i="15"/>
  <c r="L11" i="15"/>
  <c r="O15" i="14"/>
  <c r="I6" i="17" l="1"/>
  <c r="I7" i="17" s="1"/>
  <c r="G7" i="16"/>
  <c r="I6" i="16"/>
  <c r="I7" i="16" s="1"/>
  <c r="L16" i="14"/>
  <c r="O16" i="14" s="1"/>
  <c r="Q16" i="14" s="1"/>
  <c r="Q13" i="14"/>
  <c r="L13" i="14"/>
  <c r="Q12" i="14"/>
  <c r="L12" i="14"/>
  <c r="Q11" i="14"/>
  <c r="L11" i="14"/>
  <c r="Q13" i="13"/>
  <c r="N21" i="13"/>
  <c r="K6" i="17" l="1"/>
  <c r="K7" i="17" s="1"/>
  <c r="K6" i="16"/>
  <c r="K7" i="16" s="1"/>
  <c r="N20" i="13"/>
  <c r="N19" i="13" l="1"/>
  <c r="L18" i="13"/>
  <c r="N18" i="13" s="1"/>
  <c r="N17" i="13" l="1"/>
  <c r="N16" i="13"/>
  <c r="N15" i="13"/>
  <c r="L14" i="13" l="1"/>
  <c r="L23" i="13"/>
  <c r="L13" i="13"/>
  <c r="L12" i="13"/>
  <c r="L11" i="13"/>
  <c r="N14" i="13" l="1"/>
  <c r="O14" i="13" s="1"/>
  <c r="Q22" i="13" l="1"/>
  <c r="Q21" i="13"/>
  <c r="Q20" i="13"/>
  <c r="Q19" i="13"/>
  <c r="Q18" i="13"/>
  <c r="Q17" i="13"/>
  <c r="Q16" i="13"/>
  <c r="Q14" i="13"/>
  <c r="Q12" i="13"/>
  <c r="Q11" i="13"/>
  <c r="L14" i="10" l="1"/>
  <c r="L13" i="10"/>
  <c r="L12" i="10"/>
  <c r="L11" i="10"/>
  <c r="L13" i="9"/>
  <c r="L12" i="9"/>
  <c r="L11" i="9"/>
  <c r="M11" i="2"/>
  <c r="L16" i="10" l="1"/>
  <c r="G6" i="10" s="1"/>
  <c r="H6" i="10" s="1"/>
  <c r="H7" i="10" s="1"/>
  <c r="L15" i="9"/>
  <c r="G6" i="9" s="1"/>
  <c r="G7" i="9" s="1"/>
  <c r="M14" i="2"/>
  <c r="M13" i="2"/>
  <c r="M12" i="2"/>
  <c r="M26" i="7"/>
  <c r="H7" i="7"/>
  <c r="G7" i="7"/>
  <c r="H6" i="7"/>
  <c r="G6" i="7"/>
  <c r="I6" i="7" s="1"/>
  <c r="I7" i="7" s="1"/>
  <c r="G7" i="10" l="1"/>
  <c r="I6" i="10"/>
  <c r="I7" i="10" s="1"/>
  <c r="H6" i="9"/>
  <c r="H7" i="9" s="1"/>
  <c r="I6" i="9"/>
  <c r="I7" i="9" s="1"/>
  <c r="M16" i="2"/>
  <c r="G6" i="2" s="1"/>
  <c r="G7" i="2" s="1"/>
  <c r="H6" i="2" l="1"/>
  <c r="H7" i="2" s="1"/>
  <c r="I6" i="2" l="1"/>
  <c r="I7" i="2" s="1"/>
  <c r="Q15" i="13" l="1"/>
  <c r="Q24" i="13" s="1"/>
  <c r="G6" i="13" s="1"/>
  <c r="I6" i="13" l="1"/>
  <c r="I7" i="13" s="1"/>
  <c r="G7" i="13"/>
  <c r="K6" i="13" l="1"/>
  <c r="K7" i="13" s="1"/>
  <c r="L14" i="14" l="1"/>
  <c r="N14" i="14" s="1"/>
  <c r="O14" i="14" s="1"/>
  <c r="Q14" i="14" s="1"/>
  <c r="L15" i="14"/>
  <c r="Q15" i="14" s="1"/>
  <c r="N17" i="14"/>
  <c r="O17" i="14" s="1"/>
  <c r="Q17" i="14" s="1"/>
  <c r="N18" i="14"/>
  <c r="O18" i="14" s="1"/>
  <c r="Q18" i="14" s="1"/>
  <c r="L19" i="14" l="1"/>
  <c r="O19" i="14" s="1"/>
  <c r="Q19" i="14" s="1"/>
  <c r="Q21" i="14" s="1"/>
  <c r="G6" i="14" s="1"/>
  <c r="G7" i="14" l="1"/>
  <c r="I6" i="14"/>
  <c r="I7" i="14" s="1"/>
  <c r="K6" i="14" l="1"/>
  <c r="K7" i="14" s="1"/>
  <c r="Q14" i="15" l="1"/>
  <c r="Q21" i="15" s="1"/>
  <c r="G6" i="15" s="1"/>
  <c r="G7" i="15" l="1"/>
  <c r="I6" i="15"/>
  <c r="I7" i="15" s="1"/>
  <c r="K6" i="15" l="1"/>
  <c r="K7" i="15" s="1"/>
</calcChain>
</file>

<file path=xl/sharedStrings.xml><?xml version="1.0" encoding="utf-8"?>
<sst xmlns="http://schemas.openxmlformats.org/spreadsheetml/2006/main" count="1007" uniqueCount="186">
  <si>
    <t>증빙서류</t>
    <phoneticPr fontId="3" type="noConversion"/>
  </si>
  <si>
    <t>작성일자</t>
    <phoneticPr fontId="3" type="noConversion"/>
  </si>
  <si>
    <t>품목명</t>
    <phoneticPr fontId="3" type="noConversion"/>
  </si>
  <si>
    <t>공급가액</t>
    <phoneticPr fontId="3" type="noConversion"/>
  </si>
  <si>
    <t>부가세</t>
    <phoneticPr fontId="3" type="noConversion"/>
  </si>
  <si>
    <t>실지급액</t>
    <phoneticPr fontId="3" type="noConversion"/>
  </si>
  <si>
    <t>(세금)계산서 발송 이메일 주소</t>
    <phoneticPr fontId="3" type="noConversion"/>
  </si>
  <si>
    <t>마감일</t>
    <phoneticPr fontId="3" type="noConversion"/>
  </si>
  <si>
    <t>지급일</t>
    <phoneticPr fontId="3" type="noConversion"/>
  </si>
  <si>
    <t>합계</t>
    <phoneticPr fontId="3" type="noConversion"/>
  </si>
  <si>
    <t>(세금)계산서는 1장으로 발행해 주시되 품목 나눠 기재 부탁드립니다.</t>
    <phoneticPr fontId="3" type="noConversion"/>
  </si>
  <si>
    <t>순번</t>
  </si>
  <si>
    <t>국가</t>
    <phoneticPr fontId="3" type="noConversion"/>
  </si>
  <si>
    <t>구분</t>
  </si>
  <si>
    <t>플랫폼명</t>
  </si>
  <si>
    <t>작품명</t>
  </si>
  <si>
    <t>런칭일</t>
  </si>
  <si>
    <t>서비스월</t>
  </si>
  <si>
    <t>총매출</t>
    <phoneticPr fontId="3" type="noConversion"/>
  </si>
  <si>
    <t>코핀 RS율</t>
    <phoneticPr fontId="3" type="noConversion"/>
  </si>
  <si>
    <t>정산기준순매출</t>
  </si>
  <si>
    <t>원작사 RS율</t>
    <phoneticPr fontId="3" type="noConversion"/>
  </si>
  <si>
    <t>정산금액</t>
    <phoneticPr fontId="3" type="noConversion"/>
  </si>
  <si>
    <t>비고</t>
    <phoneticPr fontId="3" type="noConversion"/>
  </si>
  <si>
    <t>세금계산서</t>
    <phoneticPr fontId="3" type="noConversion"/>
  </si>
  <si>
    <t>1. 웹툰 &lt;경배의 꽃&gt; 원작료 정산 상세내역</t>
    <phoneticPr fontId="3" type="noConversion"/>
  </si>
  <si>
    <t>terapin_toonbill@terapinstudios.co.kr</t>
    <phoneticPr fontId="3" type="noConversion"/>
  </si>
  <si>
    <t>원작료_2023.1Q 정산 &lt;경배의 꽃&gt;</t>
    <phoneticPr fontId="3" type="noConversion"/>
  </si>
  <si>
    <t xml:space="preserve"> 2023.01월 정산</t>
    <phoneticPr fontId="3" type="noConversion"/>
  </si>
  <si>
    <t xml:space="preserve"> 2023.02월 정산</t>
    <phoneticPr fontId="3" type="noConversion"/>
  </si>
  <si>
    <t xml:space="preserve"> 2023.03월 정산</t>
    <phoneticPr fontId="3" type="noConversion"/>
  </si>
  <si>
    <t>2023년 1Q 리디북스 웹툰 원작료 정산서</t>
    <phoneticPr fontId="3" type="noConversion"/>
  </si>
  <si>
    <t>2023.04.05 정산서 발송</t>
    <phoneticPr fontId="3" type="noConversion"/>
  </si>
  <si>
    <t>2. 안내 및 참고사항</t>
    <phoneticPr fontId="3" type="noConversion"/>
  </si>
  <si>
    <t>원작료_2022.4Q 정산 &lt;경배의 꽃&gt;</t>
    <phoneticPr fontId="3" type="noConversion"/>
  </si>
  <si>
    <t>독점</t>
    <phoneticPr fontId="3" type="noConversion"/>
  </si>
  <si>
    <t>국내</t>
  </si>
  <si>
    <t>독점</t>
  </si>
  <si>
    <t>경배의 꽃</t>
  </si>
  <si>
    <t>2022년 11월</t>
  </si>
  <si>
    <t>테라핀 RS율</t>
    <phoneticPr fontId="3" type="noConversion"/>
  </si>
  <si>
    <t>북미</t>
    <phoneticPr fontId="3" type="noConversion"/>
  </si>
  <si>
    <t>만타</t>
    <phoneticPr fontId="3" type="noConversion"/>
  </si>
  <si>
    <t>-</t>
    <phoneticPr fontId="3" type="noConversion"/>
  </si>
  <si>
    <t>1. 분기별 정산주기</t>
    <phoneticPr fontId="3" type="noConversion"/>
  </si>
  <si>
    <t>2022년 12월</t>
    <phoneticPr fontId="3" type="noConversion"/>
  </si>
  <si>
    <r>
      <t xml:space="preserve">- </t>
    </r>
    <r>
      <rPr>
        <b/>
        <sz val="9"/>
        <color theme="1"/>
        <rFont val="맑은 고딕"/>
        <family val="3"/>
        <charset val="129"/>
        <scheme val="minor"/>
      </rPr>
      <t>정산서 발송일</t>
    </r>
    <r>
      <rPr>
        <sz val="9"/>
        <color theme="1"/>
        <rFont val="맑은 고딕"/>
        <family val="3"/>
        <charset val="129"/>
        <scheme val="minor"/>
      </rPr>
      <t xml:space="preserve"> : 매 분기 종료일의 익월 </t>
    </r>
    <r>
      <rPr>
        <u/>
        <sz val="9"/>
        <color theme="1"/>
        <rFont val="맑은 고딕"/>
        <family val="3"/>
        <charset val="129"/>
        <scheme val="minor"/>
      </rPr>
      <t>25일</t>
    </r>
    <r>
      <rPr>
        <sz val="9"/>
        <color theme="5"/>
        <rFont val="맑은 고딕"/>
        <family val="3"/>
        <charset val="129"/>
        <scheme val="minor"/>
      </rPr>
      <t xml:space="preserve"> </t>
    </r>
    <r>
      <rPr>
        <b/>
        <sz val="9"/>
        <color theme="5"/>
        <rFont val="맑은 고딕"/>
        <family val="3"/>
        <charset val="129"/>
        <scheme val="minor"/>
      </rPr>
      <t>(1월, 4월, 7월, 10월</t>
    </r>
    <r>
      <rPr>
        <sz val="9"/>
        <color theme="5"/>
        <rFont val="맑은 고딕"/>
        <family val="3"/>
        <charset val="129"/>
        <scheme val="minor"/>
      </rPr>
      <t>)</t>
    </r>
    <phoneticPr fontId="3" type="noConversion"/>
  </si>
  <si>
    <t>'만타' 플랫폼은 '정액제 및 회원제' 서비스 되고 있어 타 플랫폼과 달리 월별 매출이 발생하지 않습니다.</t>
    <phoneticPr fontId="3" type="noConversion"/>
  </si>
  <si>
    <t>2. 플랫폼 '만타' 정산금액</t>
    <phoneticPr fontId="3" type="noConversion"/>
  </si>
  <si>
    <t>리디</t>
    <phoneticPr fontId="3" type="noConversion"/>
  </si>
  <si>
    <r>
      <t xml:space="preserve">- </t>
    </r>
    <r>
      <rPr>
        <b/>
        <sz val="9"/>
        <color theme="1"/>
        <rFont val="맑은 고딕"/>
        <family val="3"/>
        <charset val="129"/>
        <scheme val="minor"/>
      </rPr>
      <t>정산금(원작료) 지급일</t>
    </r>
    <r>
      <rPr>
        <sz val="9"/>
        <color theme="1"/>
        <rFont val="맑은 고딕"/>
        <family val="3"/>
        <charset val="129"/>
        <scheme val="minor"/>
      </rPr>
      <t xml:space="preserve"> : 보고일 익월 </t>
    </r>
    <r>
      <rPr>
        <u/>
        <sz val="9"/>
        <color theme="1"/>
        <rFont val="맑은 고딕"/>
        <family val="3"/>
        <charset val="129"/>
        <scheme val="minor"/>
      </rPr>
      <t>10일</t>
    </r>
    <r>
      <rPr>
        <sz val="9"/>
        <color theme="5"/>
        <rFont val="맑은 고딕"/>
        <family val="3"/>
        <charset val="129"/>
        <scheme val="minor"/>
      </rPr>
      <t xml:space="preserve"> </t>
    </r>
    <r>
      <rPr>
        <b/>
        <sz val="9"/>
        <color theme="5"/>
        <rFont val="맑은 고딕"/>
        <family val="3"/>
        <charset val="129"/>
        <scheme val="minor"/>
      </rPr>
      <t>(2월, 5월, 8월, 11월</t>
    </r>
    <r>
      <rPr>
        <sz val="9"/>
        <color theme="5"/>
        <rFont val="맑은 고딕"/>
        <family val="3"/>
        <charset val="129"/>
        <scheme val="minor"/>
      </rPr>
      <t>)</t>
    </r>
    <phoneticPr fontId="3" type="noConversion"/>
  </si>
  <si>
    <t>선급금 형태의 MG가 아닌 단발성 콘텐츠 사용 대가를 매출로 인식하여 정산되는 점 참고 부탁드립니다.</t>
    <phoneticPr fontId="3" type="noConversion"/>
  </si>
  <si>
    <t>2022년 4분기 리디 웹툰 원작료 정산서</t>
    <phoneticPr fontId="3" type="noConversion"/>
  </si>
  <si>
    <t>영어 언어권(1차 선금+2차 잔금)</t>
    <phoneticPr fontId="3" type="noConversion"/>
  </si>
  <si>
    <t>스페인어, 프랑스어, 독일어 언어권(1차 선금)</t>
    <phoneticPr fontId="3" type="noConversion"/>
  </si>
  <si>
    <t>2023년 02월</t>
  </si>
  <si>
    <t>2023년 01월</t>
  </si>
  <si>
    <t>2023년 03월</t>
    <phoneticPr fontId="3" type="noConversion"/>
  </si>
  <si>
    <t>2023년 1Q 리디 웹툰 원작료 정산서</t>
    <phoneticPr fontId="3" type="noConversion"/>
  </si>
  <si>
    <t>2023년 2Q 리디 웹툰 원작료 정산서</t>
    <phoneticPr fontId="3" type="noConversion"/>
  </si>
  <si>
    <t>2023년 04월</t>
    <phoneticPr fontId="3" type="noConversion"/>
  </si>
  <si>
    <t>2023년 05월</t>
    <phoneticPr fontId="3" type="noConversion"/>
  </si>
  <si>
    <t>2023년 06월</t>
    <phoneticPr fontId="3" type="noConversion"/>
  </si>
  <si>
    <t>원작료_2023.2Q 정산 &lt;경배의 꽃&gt;</t>
    <phoneticPr fontId="3" type="noConversion"/>
  </si>
  <si>
    <t>북미</t>
  </si>
  <si>
    <t>만타</t>
  </si>
  <si>
    <t>스페인어, 프랑스어, 독일어 언어권(2차 잔금)</t>
    <phoneticPr fontId="3" type="noConversion"/>
  </si>
  <si>
    <t>2023년 3Q 리디 웹툰 원작료 정산서</t>
    <phoneticPr fontId="3" type="noConversion"/>
  </si>
  <si>
    <t>2023년 07월</t>
    <phoneticPr fontId="3" type="noConversion"/>
  </si>
  <si>
    <t>2023년 08월</t>
    <phoneticPr fontId="3" type="noConversion"/>
  </si>
  <si>
    <t>2023년 09월</t>
    <phoneticPr fontId="3" type="noConversion"/>
  </si>
  <si>
    <t>원작료_2023.3Q 정산 &lt;경배의 꽃&gt;</t>
    <phoneticPr fontId="3" type="noConversion"/>
  </si>
  <si>
    <t>일본</t>
    <phoneticPr fontId="3" type="noConversion"/>
  </si>
  <si>
    <t>코미코</t>
    <phoneticPr fontId="3" type="noConversion"/>
  </si>
  <si>
    <t>광고수익</t>
    <phoneticPr fontId="3" type="noConversion"/>
  </si>
  <si>
    <t>2. 코미코(재팬) 환율 안내</t>
    <phoneticPr fontId="3" type="noConversion"/>
  </si>
  <si>
    <r>
      <t xml:space="preserve"> - </t>
    </r>
    <r>
      <rPr>
        <b/>
        <sz val="9"/>
        <color theme="1"/>
        <rFont val="맑은 고딕"/>
        <family val="3"/>
        <charset val="129"/>
        <scheme val="minor"/>
      </rPr>
      <t>정산월 평균환율로 원화 매출액 산출</t>
    </r>
    <phoneticPr fontId="3" type="noConversion"/>
  </si>
  <si>
    <t>환율적용 : 월평균 매매기준율 (서울외국환중개 : http://www.smbs.biz/ExRate/MonAvgStdExRate.jsp)</t>
    <phoneticPr fontId="3" type="noConversion"/>
  </si>
  <si>
    <t>3. 코미코(재팬) 광고수익 안내</t>
    <phoneticPr fontId="3" type="noConversion"/>
  </si>
  <si>
    <t>- 동영상 광고 : 기다무 작품이 적용 대상으로 광고 시청 후 1회차 열람 가능 티켓</t>
    <phoneticPr fontId="3" type="noConversion"/>
  </si>
  <si>
    <t>- 무료회차 하단 광고 : 무료회차 內 원고 하단 배너 광고 삽입</t>
    <phoneticPr fontId="3" type="noConversion"/>
  </si>
  <si>
    <t>환율</t>
  </si>
  <si>
    <t>총매출(JPY)</t>
    <phoneticPr fontId="3" type="noConversion"/>
  </si>
  <si>
    <t>총매출(원화)</t>
    <phoneticPr fontId="3" type="noConversion"/>
  </si>
  <si>
    <t>정산금(JPY)</t>
    <phoneticPr fontId="3" type="noConversion"/>
  </si>
  <si>
    <t>tax(JPY, 10%)</t>
    <phoneticPr fontId="3" type="noConversion"/>
  </si>
  <si>
    <t>정산기준순매출(JPY)</t>
    <phoneticPr fontId="3" type="noConversion"/>
  </si>
  <si>
    <t>정산기준순매출(원화)</t>
    <phoneticPr fontId="3" type="noConversion"/>
  </si>
  <si>
    <t>2023년 4Q 리디 웹툰 원작료 정산서</t>
    <phoneticPr fontId="3" type="noConversion"/>
  </si>
  <si>
    <t>원작료_2023.4Q 정산 &lt;경배의 꽃&gt;</t>
    <phoneticPr fontId="3" type="noConversion"/>
  </si>
  <si>
    <t>2023년 10월</t>
    <phoneticPr fontId="3" type="noConversion"/>
  </si>
  <si>
    <t>2023년 11월</t>
    <phoneticPr fontId="3" type="noConversion"/>
  </si>
  <si>
    <t>2023년 12월</t>
    <phoneticPr fontId="3" type="noConversion"/>
  </si>
  <si>
    <t>2024년 1Q 리디 웹툰 원작료 정산서</t>
    <phoneticPr fontId="3" type="noConversion"/>
  </si>
  <si>
    <t>원작료_2024.1Q 정산 &lt;경배의 꽃&gt;</t>
    <phoneticPr fontId="3" type="noConversion"/>
  </si>
  <si>
    <t>168.108.73</t>
    <phoneticPr fontId="3" type="noConversion"/>
  </si>
  <si>
    <t>2024년 01월</t>
    <phoneticPr fontId="3" type="noConversion"/>
  </si>
  <si>
    <t>2024년 02월</t>
    <phoneticPr fontId="3" type="noConversion"/>
  </si>
  <si>
    <t>원작료_2024.2Q 정산 &lt;경배의 꽃&gt;</t>
    <phoneticPr fontId="3" type="noConversion"/>
  </si>
  <si>
    <t>2024년 2Q 리디 웹툰 원작료 정산서</t>
    <phoneticPr fontId="3" type="noConversion"/>
  </si>
  <si>
    <t>2024년 3Q 리디 웹툰 원작료 정산서</t>
    <phoneticPr fontId="3" type="noConversion"/>
  </si>
  <si>
    <t>원작료_2024.3Q 정산 &lt;경배의 꽃&gt;</t>
    <phoneticPr fontId="3" type="noConversion"/>
  </si>
  <si>
    <t>2024년 4Q 리디 웹툰 원작료 정산서</t>
    <phoneticPr fontId="3" type="noConversion"/>
  </si>
  <si>
    <t>원작료_2024.4Q 정산 &lt;경배의 꽃&gt;</t>
    <phoneticPr fontId="3" type="noConversion"/>
  </si>
  <si>
    <t>정산기준순매출
(JPY/USD)</t>
    <phoneticPr fontId="3" type="noConversion"/>
  </si>
  <si>
    <t>총매출
(JPY/USD)</t>
    <phoneticPr fontId="3" type="noConversion"/>
  </si>
  <si>
    <t>총매출
(원화)</t>
    <phoneticPr fontId="3" type="noConversion"/>
  </si>
  <si>
    <t>정산금
(JPY/USD)</t>
    <phoneticPr fontId="3" type="noConversion"/>
  </si>
  <si>
    <t>tax
(JPY, 10%)</t>
    <phoneticPr fontId="3" type="noConversion"/>
  </si>
  <si>
    <t>정산기준순매출
(원화)</t>
    <phoneticPr fontId="3" type="noConversion"/>
  </si>
  <si>
    <t xml:space="preserve"> '만타(북미)' 플랫폼의 정산금액이 (구독제 + 단건 결제) 형태로 서비스됩니다.</t>
    <phoneticPr fontId="3" type="noConversion"/>
  </si>
  <si>
    <t xml:space="preserve"> 그렇기 때문에 플랫폼으로부터 최소 보장 화수에 따른 '콘텐츠 사용 대가' 와 '단건 결제' 해당 금액을 매출 인식하여 정산되는 첨 참고 부탁드립니다.</t>
    <phoneticPr fontId="3" type="noConversion"/>
  </si>
  <si>
    <t>4.  [안내] 플랫폼 '만타' 서비스 형태 변경 안내</t>
    <phoneticPr fontId="3" type="noConversion"/>
  </si>
  <si>
    <t>4.  [안내] 플랫폼 '라라툰(이탈리아, 포르투갈), 투믹스글로벌(이탈리아, 포르투갈, 대만)' 매출 반영 안내의 건</t>
    <phoneticPr fontId="3" type="noConversion"/>
  </si>
  <si>
    <t xml:space="preserve"> 플랫폼 라라툰(이탈리아, 포르투갈), 투믹스글로벌(이탈리아, 포르투갈, 대만) 런칭 후 매출내역이 누락된 점을 확인하였습니다.</t>
    <phoneticPr fontId="3" type="noConversion"/>
  </si>
  <si>
    <t xml:space="preserve"> 업무에 혼란을 끼쳐드린 점 양해 부탁드리며, 금월 정산서 내 런칭 후 매출내역 확인 부탁드립니다.</t>
    <phoneticPr fontId="3" type="noConversion"/>
  </si>
  <si>
    <t>원작료_YYYY.1Q 정산 &lt;작품명&gt;</t>
    <phoneticPr fontId="3" type="noConversion"/>
  </si>
  <si>
    <t>YYYY년 1Q [업체명] 웹툰 원작료 정산서</t>
    <phoneticPr fontId="3" type="noConversion"/>
  </si>
  <si>
    <t>8. 참고사항</t>
    <phoneticPr fontId="3" type="noConversion"/>
  </si>
  <si>
    <t>런칭일</t>
    <phoneticPr fontId="3" type="noConversion"/>
  </si>
  <si>
    <t>작품명</t>
    <phoneticPr fontId="3" type="noConversion"/>
  </si>
  <si>
    <t>잔여 MG</t>
    <phoneticPr fontId="3" type="noConversion"/>
  </si>
  <si>
    <t>웹툰화 계약시 원작자 수익분배금 MG</t>
    <phoneticPr fontId="3" type="noConversion"/>
  </si>
  <si>
    <t xml:space="preserve">정산팀
terapin_toonbill@terapinstudios.co.kr </t>
    <phoneticPr fontId="3" type="noConversion"/>
  </si>
  <si>
    <t>YYYY년 MM월 [업체명] 웹툰 원작료 정산서</t>
    <phoneticPr fontId="3" type="noConversion"/>
  </si>
  <si>
    <t>해당 광고 수익 중 일부를 '창작지원금'이라는 이름으로 공유드립니다.</t>
  </si>
  <si>
    <t>작품의 개별 회차 하단 배너광고가 노출되고 있습니다.</t>
  </si>
  <si>
    <t>창작지원금이란?</t>
  </si>
  <si>
    <t>광고명</t>
    <phoneticPr fontId="3" type="noConversion"/>
  </si>
  <si>
    <t>2. 기타 원작료 정산 상세내역</t>
    <phoneticPr fontId="3" type="noConversion"/>
  </si>
  <si>
    <t>원작 RS율</t>
    <phoneticPr fontId="3" type="noConversion"/>
  </si>
  <si>
    <t>1. 웹툰 원작료 정산 상세내역</t>
    <phoneticPr fontId="3" type="noConversion"/>
  </si>
  <si>
    <t>정산서</t>
    <phoneticPr fontId="3" type="noConversion"/>
  </si>
  <si>
    <t>정산팀terapin_toonbill@terapinstudios.co.kr</t>
    <phoneticPr fontId="3" type="noConversion"/>
  </si>
  <si>
    <t>지방소득세</t>
    <phoneticPr fontId="3" type="noConversion"/>
  </si>
  <si>
    <t>소득세</t>
    <phoneticPr fontId="3" type="noConversion"/>
  </si>
  <si>
    <t>총 정산금액</t>
    <phoneticPr fontId="3" type="noConversion"/>
  </si>
  <si>
    <t>원작가명</t>
    <phoneticPr fontId="3" type="noConversion"/>
  </si>
  <si>
    <t>정산문의</t>
    <phoneticPr fontId="3" type="noConversion"/>
  </si>
  <si>
    <t>[작가명]
[메일주소]</t>
    <phoneticPr fontId="3" type="noConversion"/>
  </si>
  <si>
    <t>YYYY년 MM월 웹툰 원작료 정산서</t>
    <phoneticPr fontId="3" type="noConversion"/>
  </si>
  <si>
    <t>Total</t>
    <phoneticPr fontId="46" type="noConversion"/>
  </si>
  <si>
    <r>
      <rPr>
        <b/>
        <sz val="9"/>
        <rFont val="Arial Unicode MS"/>
        <family val="3"/>
        <charset val="129"/>
      </rPr>
      <t>잔여제작비(</t>
    </r>
    <r>
      <rPr>
        <b/>
        <sz val="9"/>
        <rFont val="Yu Gothic"/>
        <family val="3"/>
        <charset val="128"/>
      </rPr>
      <t>残余製作費</t>
    </r>
    <r>
      <rPr>
        <b/>
        <sz val="9"/>
        <rFont val="Arial Unicode MS"/>
        <family val="3"/>
        <charset val="129"/>
      </rPr>
      <t>)</t>
    </r>
    <r>
      <rPr>
        <b/>
        <sz val="9"/>
        <rFont val="맑은 고딕"/>
        <family val="3"/>
        <charset val="129"/>
        <scheme val="minor"/>
      </rPr>
      <t xml:space="preserve">
(JPY)</t>
    </r>
    <phoneticPr fontId="48" type="noConversion"/>
  </si>
  <si>
    <t>RS-Tax
(JPY)</t>
    <phoneticPr fontId="48" type="noConversion"/>
  </si>
  <si>
    <t>Tax
(JPY, 10%)</t>
    <phoneticPr fontId="48" type="noConversion"/>
  </si>
  <si>
    <t>RS
(JPY)</t>
    <phoneticPr fontId="48" type="noConversion"/>
  </si>
  <si>
    <t>RS(%)</t>
    <phoneticPr fontId="48" type="noConversion"/>
  </si>
  <si>
    <t>Revenue
(JPY)</t>
    <phoneticPr fontId="48" type="noConversion"/>
  </si>
  <si>
    <t>Rate</t>
    <phoneticPr fontId="48" type="noConversion"/>
  </si>
  <si>
    <t>Revenue
(KRW)</t>
    <phoneticPr fontId="48" type="noConversion"/>
  </si>
  <si>
    <t>Service Open</t>
    <phoneticPr fontId="48" type="noConversion"/>
  </si>
  <si>
    <t>Platform</t>
    <phoneticPr fontId="48" type="noConversion"/>
  </si>
  <si>
    <t>Title(KR)</t>
    <phoneticPr fontId="48" type="noConversion"/>
  </si>
  <si>
    <t>Month</t>
    <phoneticPr fontId="48" type="noConversion"/>
  </si>
  <si>
    <t xml:space="preserve">Excahnge Rate : Monthly average sales base rate ( http://www.smbs.biz/ExRate/MonAvgStdExRate.jsp) </t>
    <phoneticPr fontId="48" type="noConversion"/>
  </si>
  <si>
    <t>2. Accounts Detail</t>
    <phoneticPr fontId="48" type="noConversion"/>
  </si>
  <si>
    <t>JPY</t>
    <phoneticPr fontId="48" type="noConversion"/>
  </si>
  <si>
    <t>Add</t>
    <phoneticPr fontId="48" type="noConversion"/>
  </si>
  <si>
    <t>Currency</t>
    <phoneticPr fontId="46" type="noConversion"/>
  </si>
  <si>
    <t>RS-Tax</t>
    <phoneticPr fontId="46" type="noConversion"/>
  </si>
  <si>
    <t>Tax</t>
    <phoneticPr fontId="46" type="noConversion"/>
  </si>
  <si>
    <t>RS</t>
    <phoneticPr fontId="46" type="noConversion"/>
  </si>
  <si>
    <t>Month</t>
    <phoneticPr fontId="46" type="noConversion"/>
  </si>
  <si>
    <t>1. Invoice Information</t>
    <phoneticPr fontId="48" type="noConversion"/>
  </si>
  <si>
    <t>Revnue Report</t>
    <phoneticPr fontId="48" type="noConversion"/>
  </si>
  <si>
    <t>YYYY.MM</t>
    <phoneticPr fontId="3" type="noConversion"/>
  </si>
  <si>
    <r>
      <t>제작화수（制作話</t>
    </r>
    <r>
      <rPr>
        <b/>
        <sz val="9"/>
        <color rgb="FF000000"/>
        <rFont val="Yu Gothic"/>
        <family val="3"/>
        <charset val="128"/>
      </rPr>
      <t>数</t>
    </r>
    <r>
      <rPr>
        <b/>
        <sz val="9"/>
        <color rgb="FF000000"/>
        <rFont val="맑은 고딕"/>
        <family val="3"/>
        <charset val="129"/>
      </rPr>
      <t>) : 00 / 제작단가(</t>
    </r>
    <r>
      <rPr>
        <b/>
        <sz val="9"/>
        <color rgb="FF000000"/>
        <rFont val="Yu Gothic"/>
        <family val="3"/>
        <charset val="128"/>
      </rPr>
      <t>単価</t>
    </r>
    <r>
      <rPr>
        <b/>
        <sz val="9"/>
        <color rgb="FF000000"/>
        <rFont val="맑은 고딕"/>
        <family val="3"/>
        <charset val="129"/>
      </rPr>
      <t xml:space="preserve">) 000,000(JPY) / </t>
    </r>
    <r>
      <rPr>
        <b/>
        <sz val="9"/>
        <color indexed="8"/>
        <rFont val="맑은 고딕"/>
        <family val="3"/>
        <charset val="129"/>
        <scheme val="minor"/>
      </rPr>
      <t>제작총액(制作</t>
    </r>
    <r>
      <rPr>
        <b/>
        <sz val="9"/>
        <color rgb="FF000000"/>
        <rFont val="Yu Gothic"/>
        <family val="3"/>
        <charset val="128"/>
      </rPr>
      <t>総</t>
    </r>
    <r>
      <rPr>
        <b/>
        <sz val="9"/>
        <color rgb="FF000000"/>
        <rFont val="맑은 고딕"/>
        <family val="3"/>
        <charset val="129"/>
      </rPr>
      <t xml:space="preserve">額) : </t>
    </r>
    <r>
      <rPr>
        <b/>
        <sz val="9"/>
        <color indexed="8"/>
        <rFont val="맑은 고딕"/>
        <family val="3"/>
        <charset val="129"/>
        <scheme val="minor"/>
      </rPr>
      <t>0,000,000 (JPY)</t>
    </r>
    <phoneticPr fontId="46" type="noConversion"/>
  </si>
  <si>
    <t>구매 팝업 단계에서 광고 보면 무료 기능을 바로 사용할 수 있습니다.</t>
    <phoneticPr fontId="3" type="noConversion"/>
  </si>
  <si>
    <t>광고를 통해 열람한 에피소드는 최대 72시간까지 볼 수 있습니다.</t>
    <phoneticPr fontId="3" type="noConversion"/>
  </si>
  <si>
    <t>동영상 광고를 시청하면 하루에 3개의 에피소드를 무료로 열람할 수 있습니다.</t>
    <phoneticPr fontId="3" type="noConversion"/>
  </si>
  <si>
    <t xml:space="preserve">  [타파스] 광고수익 안내</t>
    <phoneticPr fontId="3" type="noConversion"/>
  </si>
  <si>
    <t>[카카오] 창작지원금 광고수익 안내</t>
  </si>
  <si>
    <t>해당 광고는 "웹툰 빅배너"라고 불리우는 상품으로 2015년 4월 정식 런칭 되었으며,</t>
  </si>
  <si>
    <t>작품 맨 아래를 보시면 정사각형 배너광고가 노출되고 있습니다.</t>
  </si>
  <si>
    <t xml:space="preserve"> [네이버웹툰] 창작지원금 광고 안내</t>
  </si>
  <si>
    <t xml:space="preserve"> 각 작품의 무료회차에 대해서 원고 하단에 배너형 광고 모듈이 삽입되어 있습니다.</t>
    <phoneticPr fontId="3" type="noConversion"/>
  </si>
  <si>
    <t xml:space="preserve"> 2. 무료회차 하단 광고</t>
    <phoneticPr fontId="3" type="noConversion"/>
  </si>
  <si>
    <t xml:space="preserve"> 광고 적용 가능할 경우, 광고를 시청 후 1편씩 추가로 연락할 수 있는 티켓을 획득하게 됩니다.</t>
    <phoneticPr fontId="3" type="noConversion"/>
  </si>
  <si>
    <t xml:space="preserve"> 기다무 주기가 24시간으로 설정되어 있을 경우 24시간마다 1편씩 관림이 가능하지만</t>
    <phoneticPr fontId="3" type="noConversion"/>
  </si>
  <si>
    <t xml:space="preserve"> 기다무가 적용된 작품들 대상으로 서비스되는 모델입니다.</t>
    <phoneticPr fontId="3" type="noConversion"/>
  </si>
  <si>
    <t xml:space="preserve"> 1. 동영상 광고</t>
    <phoneticPr fontId="3" type="noConversion"/>
  </si>
  <si>
    <t xml:space="preserve"> [포켓코믹스] 동영상+무료회차 하단 광고 안내</t>
    <phoneticPr fontId="3" type="noConversion"/>
  </si>
  <si>
    <t>합 계</t>
    <phoneticPr fontId="3" type="noConversion"/>
  </si>
  <si>
    <t>webtoonbill@soosung.com</t>
    <phoneticPr fontId="3" type="noConversion"/>
  </si>
  <si>
    <t>원작료_MM월 정산 &lt;작품명&gt;</t>
  </si>
  <si>
    <t>원작료_MM월 정산 &lt;작품명&gt;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</si>
</sst>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  <numFmt numFmtId="177" formatCode="mm&quot;월&quot;\ dd&quot;일&quot;"/>
    <numFmt numFmtId="178" formatCode="_-* #,##0.00_-;\-* #,##0.00_-;_-* &quot;-&quot;_-;_-@_-"/>
    <numFmt numFmtId="179" formatCode="_-* #,##0.0000_-;\-* #,##0.0000_-;_-* &quot;-&quot;_-;_-@_-"/>
    <numFmt numFmtId="180" formatCode="yyyy&quot;년&quot;\ mm&quot;월&quot;"/>
    <numFmt numFmtId="181" formatCode="yyyy&quot;년&quot;\ m&quot;월&quot;;@"/>
    <numFmt numFmtId="182" formatCode="#,##0.0000"/>
    <numFmt numFmtId="183" formatCode="yyyy/mm"/>
  </numFmts>
  <fonts count="5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0"/>
      <color rgb="FF000000"/>
      <name val="Arial"/>
      <family val="2"/>
    </font>
    <font>
      <u/>
      <sz val="9"/>
      <color theme="1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b/>
      <sz val="9"/>
      <color theme="5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8"/>
      <scheme val="minor"/>
    </font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i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u/>
      <sz val="10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i/>
      <u/>
      <sz val="11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Yu Gothic"/>
      <family val="3"/>
      <charset val="128"/>
    </font>
    <font>
      <b/>
      <sz val="9"/>
      <color rgb="FF000000"/>
      <name val="맑은 고딕"/>
      <family val="3"/>
      <charset val="129"/>
    </font>
    <font>
      <b/>
      <sz val="9"/>
      <name val="Arial Unicode MS"/>
      <family val="3"/>
      <charset val="129"/>
    </font>
    <font>
      <b/>
      <sz val="9"/>
      <name val="Yu Gothic"/>
      <family val="3"/>
      <charset val="128"/>
    </font>
    <font>
      <sz val="10"/>
      <color indexed="8"/>
      <name val="맑은 고딕"/>
      <family val="2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A12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546A"/>
        <bgColor indexed="64"/>
      </patternFill>
    </fill>
  </fills>
  <borders count="189">
    <border>
      <left/>
      <right/>
      <top/>
      <bottom/>
      <diagonal/>
    </border>
    <border>
      <left style="medium">
        <color theme="1"/>
      </left>
      <right style="hair">
        <color theme="0" tint="-0.14996795556505021"/>
      </right>
      <top style="medium">
        <color theme="1"/>
      </top>
      <bottom style="thin">
        <color theme="1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theme="1"/>
      </top>
      <bottom style="thin">
        <color theme="1"/>
      </bottom>
      <diagonal/>
    </border>
    <border>
      <left style="hair">
        <color theme="0" tint="-0.1499679555650502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 style="hair">
        <color theme="0" tint="-0.14996795556505021"/>
      </right>
      <top style="thin">
        <color theme="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thin">
        <color theme="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hair">
        <color theme="0" tint="-0.14996795556505021"/>
      </right>
      <top style="thin">
        <color theme="1"/>
      </top>
      <bottom style="medium">
        <color theme="1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theme="1"/>
      </top>
      <bottom style="medium">
        <color theme="1"/>
      </bottom>
      <diagonal/>
    </border>
    <border>
      <left style="hair">
        <color theme="0" tint="-0.1499679555650502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/>
      <bottom/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14996795556505021"/>
      </left>
      <right/>
      <top style="medium">
        <color theme="1"/>
      </top>
      <bottom style="thin">
        <color theme="1"/>
      </bottom>
      <diagonal/>
    </border>
    <border>
      <left/>
      <right style="hair">
        <color theme="0" tint="-0.14996795556505021"/>
      </right>
      <top style="medium">
        <color theme="1"/>
      </top>
      <bottom style="thin">
        <color theme="1"/>
      </bottom>
      <diagonal/>
    </border>
    <border>
      <left style="hair">
        <color theme="0" tint="-0.14996795556505021"/>
      </left>
      <right/>
      <top style="thin">
        <color theme="1"/>
      </top>
      <bottom style="thin">
        <color theme="1"/>
      </bottom>
      <diagonal/>
    </border>
    <border>
      <left/>
      <right style="hair">
        <color theme="0" tint="-0.14996795556505021"/>
      </right>
      <top style="thin">
        <color theme="1"/>
      </top>
      <bottom style="thin">
        <color theme="1"/>
      </bottom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hair">
        <color theme="0" tint="-0.14996795556505021"/>
      </left>
      <right/>
      <top/>
      <bottom/>
      <diagonal/>
    </border>
    <border>
      <left style="thin">
        <color theme="6"/>
      </left>
      <right style="hair">
        <color theme="0" tint="-0.499984740745262"/>
      </right>
      <top style="thin">
        <color theme="6"/>
      </top>
      <bottom style="thin">
        <color theme="6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hair">
        <color theme="0" tint="-0.499984740745262"/>
      </left>
      <right style="hair">
        <color theme="6"/>
      </right>
      <top style="thin">
        <color theme="6"/>
      </top>
      <bottom style="thin">
        <color theme="6"/>
      </bottom>
      <diagonal/>
    </border>
    <border>
      <left style="hair">
        <color theme="6"/>
      </left>
      <right style="hair">
        <color theme="6"/>
      </right>
      <top style="thin">
        <color theme="6"/>
      </top>
      <bottom style="thin">
        <color theme="6"/>
      </bottom>
      <diagonal/>
    </border>
    <border>
      <left style="hair">
        <color theme="6"/>
      </left>
      <right/>
      <top style="thin">
        <color theme="6"/>
      </top>
      <bottom style="thin">
        <color theme="6"/>
      </bottom>
      <diagonal/>
    </border>
    <border>
      <left style="hair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6"/>
      </right>
      <top style="thin">
        <color theme="6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6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6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6"/>
      </right>
      <top style="thin">
        <color theme="6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6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6"/>
      </right>
      <top/>
      <bottom/>
      <diagonal/>
    </border>
    <border>
      <left style="thin">
        <color theme="6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6"/>
      </left>
      <right style="hair">
        <color theme="0" tint="-0.499984740745262"/>
      </right>
      <top/>
      <bottom/>
      <diagonal/>
    </border>
    <border>
      <left/>
      <right style="hair">
        <color theme="0" tint="-0.14996795556505021"/>
      </right>
      <top/>
      <bottom/>
      <diagonal/>
    </border>
    <border>
      <left style="hair">
        <color theme="0" tint="-0.14996795556505021"/>
      </left>
      <right style="hair">
        <color theme="0" tint="-0.14996795556505021"/>
      </right>
      <top/>
      <bottom/>
      <diagonal/>
    </border>
    <border>
      <left style="medium">
        <color indexed="64"/>
      </left>
      <right style="hair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hair">
        <color theme="0" tint="-0.1499679555650502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theme="0" tint="-0.1499679555650502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theme="0" tint="-0.14996795556505021"/>
      </right>
      <top style="thin">
        <color indexed="64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indexed="64"/>
      </top>
      <bottom style="medium">
        <color indexed="64"/>
      </bottom>
      <diagonal/>
    </border>
    <border>
      <left style="hair">
        <color theme="0" tint="-0.1499679555650502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6"/>
      </right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hair">
        <color theme="6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6"/>
      </top>
      <bottom style="thin">
        <color theme="0" tint="-0.249977111117893"/>
      </bottom>
      <diagonal/>
    </border>
    <border>
      <left/>
      <right/>
      <top style="thin">
        <color theme="6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6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6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6" tint="0.39991454817346722"/>
      </left>
      <right style="thin">
        <color theme="6" tint="0.39991454817346722"/>
      </right>
      <top/>
      <bottom style="thin">
        <color theme="6" tint="0.39991454817346722"/>
      </bottom>
      <diagonal/>
    </border>
    <border>
      <left style="hair">
        <color theme="0" tint="-0.499984740745262"/>
      </left>
      <right style="medium">
        <color theme="1"/>
      </right>
      <top/>
      <bottom style="thin">
        <color theme="1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1"/>
      </bottom>
      <diagonal/>
    </border>
    <border>
      <left/>
      <right style="hair">
        <color theme="0" tint="-0.499984740745262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14996795556505021"/>
      </right>
      <top/>
      <bottom style="hair">
        <color theme="0" tint="-0.499984740745262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hair">
        <color theme="0" tint="-0.499984740745262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hair">
        <color theme="0" tint="-0.499984740745262"/>
      </left>
      <right style="medium">
        <color theme="1"/>
      </right>
      <top style="thin">
        <color theme="1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1"/>
      </top>
      <bottom/>
      <diagonal/>
    </border>
    <border>
      <left/>
      <right style="hair">
        <color theme="0" tint="-0.49998474074526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hair">
        <color theme="0" tint="-0.14996795556505021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theme="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theme="1"/>
      </top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 style="hair">
        <color theme="1" tint="0.499984740745262"/>
      </left>
      <right style="medium">
        <color rgb="FFFF0000"/>
      </right>
      <top/>
      <bottom style="medium">
        <color rgb="FFFF0000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medium">
        <color rgb="FFFF0000"/>
      </bottom>
      <diagonal/>
    </border>
    <border>
      <left style="hair">
        <color theme="6"/>
      </left>
      <right style="hair">
        <color theme="1" tint="0.499984740745262"/>
      </right>
      <top style="medium">
        <color theme="1" tint="0.499984740745262"/>
      </top>
      <bottom style="medium">
        <color rgb="FFFF0000"/>
      </bottom>
      <diagonal/>
    </border>
    <border>
      <left/>
      <right/>
      <top style="medium">
        <color theme="1" tint="0.499984740745262"/>
      </top>
      <bottom style="medium">
        <color rgb="FFFF0000"/>
      </bottom>
      <diagonal/>
    </border>
    <border>
      <left style="medium">
        <color rgb="FFFF0000"/>
      </left>
      <right style="hair">
        <color theme="0" tint="-0.34998626667073579"/>
      </right>
      <top style="medium">
        <color theme="1" tint="0.499984740745262"/>
      </top>
      <bottom style="medium">
        <color rgb="FFFF0000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/>
      <bottom style="medium">
        <color theme="1" tint="0.499984740745262"/>
      </bottom>
      <diagonal/>
    </border>
    <border>
      <left style="hair">
        <color theme="1" tint="0.499984740745262"/>
      </left>
      <right style="medium">
        <color rgb="FFFF0000"/>
      </right>
      <top style="medium">
        <color rgb="FFFF0000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medium">
        <color rgb="FFFF0000"/>
      </top>
      <bottom style="medium">
        <color theme="1" tint="0.499984740745262"/>
      </bottom>
      <diagonal/>
    </border>
    <border>
      <left style="hair">
        <color theme="6"/>
      </left>
      <right style="hair">
        <color theme="1" tint="0.499984740745262"/>
      </right>
      <top style="medium">
        <color rgb="FFFF0000"/>
      </top>
      <bottom style="medium">
        <color theme="1" tint="0.499984740745262"/>
      </bottom>
      <diagonal/>
    </border>
    <border>
      <left/>
      <right/>
      <top style="medium">
        <color rgb="FFFF0000"/>
      </top>
      <bottom style="medium">
        <color theme="1" tint="0.499984740745262"/>
      </bottom>
      <diagonal/>
    </border>
    <border>
      <left style="medium">
        <color rgb="FFFF0000"/>
      </left>
      <right style="hair">
        <color theme="0" tint="-0.34998626667073579"/>
      </right>
      <top style="medium">
        <color rgb="FFFF0000"/>
      </top>
      <bottom style="medium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14996795556505021"/>
      </left>
      <right/>
      <top style="hair">
        <color theme="0" tint="-0.34998626667073579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thin">
        <color theme="1"/>
      </top>
      <bottom style="hair">
        <color theme="0" tint="-0.499984740745262"/>
      </bottom>
      <diagonal/>
    </border>
    <border>
      <left/>
      <right style="hair">
        <color theme="0" tint="-0.14996795556505021"/>
      </right>
      <top style="thin">
        <color theme="1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theme="1"/>
      </top>
      <bottom style="hair">
        <color theme="0" tint="-0.499984740745262"/>
      </bottom>
      <diagonal/>
    </border>
    <border>
      <left style="hair">
        <color indexed="64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medium">
        <color theme="1"/>
      </top>
      <bottom style="thin">
        <color theme="1"/>
      </bottom>
      <diagonal/>
    </border>
    <border>
      <left/>
      <right style="hair">
        <color indexed="64"/>
      </right>
      <top style="medium">
        <color theme="1"/>
      </top>
      <bottom style="thin">
        <color theme="1"/>
      </bottom>
      <diagonal/>
    </border>
    <border>
      <left style="hair">
        <color indexed="64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 style="hair">
        <color theme="0" tint="-0.14996795556505021"/>
      </left>
      <right style="hair">
        <color indexed="64"/>
      </right>
      <top style="medium">
        <color theme="1"/>
      </top>
      <bottom style="thin">
        <color theme="1"/>
      </bottom>
      <diagonal/>
    </border>
    <border>
      <left style="hair">
        <color indexed="64"/>
      </left>
      <right style="hair">
        <color theme="0" tint="-0.14996795556505021"/>
      </right>
      <top style="medium">
        <color theme="1"/>
      </top>
      <bottom style="thin">
        <color theme="1"/>
      </bottom>
      <diagonal/>
    </border>
  </borders>
  <cellStyleXfs count="7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20" fillId="0" borderId="0" applyFont="0" applyFill="0" applyBorder="0" applyAlignment="0" applyProtection="0"/>
    <xf numFmtId="0" fontId="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0" fillId="0" borderId="0"/>
    <xf numFmtId="0" fontId="21" fillId="0" borderId="0" applyNumberForma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/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38" fontId="3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4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>
      <alignment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41" fontId="7" fillId="4" borderId="2" xfId="1" applyFont="1" applyFill="1" applyBorder="1" applyAlignment="1">
      <alignment horizontal="center" vertical="center"/>
    </xf>
    <xf numFmtId="41" fontId="7" fillId="4" borderId="3" xfId="1" applyFont="1" applyFill="1" applyBorder="1" applyAlignment="1">
      <alignment horizontal="center" vertical="center"/>
    </xf>
    <xf numFmtId="41" fontId="8" fillId="5" borderId="7" xfId="1" applyFont="1" applyFill="1" applyBorder="1" applyAlignment="1">
      <alignment horizontal="center" vertical="center"/>
    </xf>
    <xf numFmtId="41" fontId="8" fillId="6" borderId="7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41" fontId="13" fillId="7" borderId="1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8" borderId="14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/>
    </xf>
    <xf numFmtId="41" fontId="10" fillId="0" borderId="18" xfId="4" applyFont="1" applyFill="1" applyBorder="1" applyAlignment="1">
      <alignment horizontal="right" vertical="center"/>
    </xf>
    <xf numFmtId="41" fontId="10" fillId="0" borderId="18" xfId="4" applyFont="1" applyFill="1" applyBorder="1" applyAlignment="1">
      <alignment horizontal="center" vertical="center"/>
    </xf>
    <xf numFmtId="176" fontId="15" fillId="2" borderId="18" xfId="4" applyNumberFormat="1" applyFont="1" applyFill="1" applyBorder="1" applyAlignment="1">
      <alignment horizontal="right" vertical="center"/>
    </xf>
    <xf numFmtId="0" fontId="15" fillId="0" borderId="19" xfId="0" applyFont="1" applyBorder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41" fontId="18" fillId="9" borderId="15" xfId="1" applyFont="1" applyFill="1" applyBorder="1" applyAlignment="1">
      <alignment horizontal="right" vertical="center"/>
    </xf>
    <xf numFmtId="0" fontId="2" fillId="9" borderId="16" xfId="0" applyFont="1" applyFill="1" applyBorder="1">
      <alignment vertical="center"/>
    </xf>
    <xf numFmtId="14" fontId="9" fillId="0" borderId="6" xfId="0" applyNumberFormat="1" applyFont="1" applyBorder="1" applyAlignment="1">
      <alignment horizontal="center" vertical="center"/>
    </xf>
    <xf numFmtId="14" fontId="12" fillId="0" borderId="8" xfId="0" applyNumberFormat="1" applyFont="1" applyBorder="1" applyAlignment="1">
      <alignment horizontal="center" vertical="center" wrapText="1"/>
    </xf>
    <xf numFmtId="14" fontId="11" fillId="0" borderId="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4" fontId="17" fillId="0" borderId="18" xfId="3" applyNumberFormat="1" applyFont="1" applyBorder="1" applyAlignment="1">
      <alignment horizontal="center" vertical="center"/>
    </xf>
    <xf numFmtId="9" fontId="10" fillId="0" borderId="18" xfId="2" applyFont="1" applyFill="1" applyBorder="1" applyAlignment="1">
      <alignment horizontal="center" vertical="center"/>
    </xf>
    <xf numFmtId="9" fontId="10" fillId="0" borderId="18" xfId="2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4" fontId="17" fillId="0" borderId="26" xfId="3" applyNumberFormat="1" applyFont="1" applyBorder="1" applyAlignment="1">
      <alignment horizontal="center" vertical="center"/>
    </xf>
    <xf numFmtId="41" fontId="10" fillId="0" borderId="26" xfId="4" applyFont="1" applyFill="1" applyBorder="1" applyAlignment="1">
      <alignment horizontal="right" vertical="center"/>
    </xf>
    <xf numFmtId="9" fontId="10" fillId="0" borderId="26" xfId="2" applyFont="1" applyFill="1" applyBorder="1" applyAlignment="1">
      <alignment horizontal="center" vertical="center"/>
    </xf>
    <xf numFmtId="41" fontId="10" fillId="0" borderId="26" xfId="4" applyFont="1" applyFill="1" applyBorder="1" applyAlignment="1">
      <alignment horizontal="center" vertical="center"/>
    </xf>
    <xf numFmtId="9" fontId="10" fillId="0" borderId="26" xfId="2" applyFont="1" applyBorder="1" applyAlignment="1">
      <alignment horizontal="center" vertical="center"/>
    </xf>
    <xf numFmtId="176" fontId="15" fillId="2" borderId="26" xfId="4" applyNumberFormat="1" applyFont="1" applyFill="1" applyBorder="1" applyAlignment="1">
      <alignment horizontal="right" vertical="center"/>
    </xf>
    <xf numFmtId="0" fontId="15" fillId="0" borderId="21" xfId="0" applyFont="1" applyBorder="1" applyAlignment="1">
      <alignment horizontal="center" vertical="center"/>
    </xf>
    <xf numFmtId="0" fontId="15" fillId="0" borderId="33" xfId="0" applyFont="1" applyBorder="1">
      <alignment vertical="center"/>
    </xf>
    <xf numFmtId="0" fontId="15" fillId="0" borderId="30" xfId="0" applyFont="1" applyBorder="1">
      <alignment vertical="center"/>
    </xf>
    <xf numFmtId="0" fontId="2" fillId="0" borderId="34" xfId="0" applyFont="1" applyBorder="1">
      <alignment vertical="center"/>
    </xf>
    <xf numFmtId="0" fontId="15" fillId="2" borderId="36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10" fillId="2" borderId="37" xfId="0" applyFont="1" applyFill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0" borderId="37" xfId="0" applyFont="1" applyBorder="1" applyAlignment="1">
      <alignment horizontal="left" vertical="center" indent="1"/>
    </xf>
    <xf numFmtId="0" fontId="10" fillId="0" borderId="36" xfId="0" quotePrefix="1" applyFont="1" applyBorder="1" applyAlignment="1">
      <alignment horizontal="left" vertical="center" indent="1"/>
    </xf>
    <xf numFmtId="0" fontId="10" fillId="0" borderId="39" xfId="0" applyFont="1" applyBorder="1">
      <alignment vertical="center"/>
    </xf>
    <xf numFmtId="0" fontId="10" fillId="0" borderId="40" xfId="0" applyFont="1" applyBorder="1">
      <alignment vertical="center"/>
    </xf>
    <xf numFmtId="0" fontId="27" fillId="0" borderId="0" xfId="0" applyFont="1">
      <alignment vertical="center"/>
    </xf>
    <xf numFmtId="0" fontId="10" fillId="0" borderId="38" xfId="0" quotePrefix="1" applyFont="1" applyBorder="1" applyAlignment="1">
      <alignment horizontal="left" vertical="center" indent="1"/>
    </xf>
    <xf numFmtId="41" fontId="26" fillId="0" borderId="19" xfId="1" applyFont="1" applyBorder="1" applyAlignment="1">
      <alignment horizontal="left" vertical="center"/>
    </xf>
    <xf numFmtId="41" fontId="26" fillId="0" borderId="19" xfId="1" applyFont="1" applyBorder="1" applyAlignment="1">
      <alignment horizontal="left" vertical="center" wrapText="1"/>
    </xf>
    <xf numFmtId="0" fontId="15" fillId="2" borderId="41" xfId="0" applyFont="1" applyFill="1" applyBorder="1" applyAlignment="1">
      <alignment horizontal="left" vertical="center" indent="1"/>
    </xf>
    <xf numFmtId="0" fontId="15" fillId="2" borderId="42" xfId="0" applyFont="1" applyFill="1" applyBorder="1" applyAlignment="1">
      <alignment horizontal="left" vertical="center" indent="1"/>
    </xf>
    <xf numFmtId="0" fontId="10" fillId="2" borderId="42" xfId="0" applyFont="1" applyFill="1" applyBorder="1" applyAlignment="1">
      <alignment horizontal="left" vertical="center" indent="1"/>
    </xf>
    <xf numFmtId="0" fontId="10" fillId="2" borderId="43" xfId="0" applyFont="1" applyFill="1" applyBorder="1" applyAlignment="1">
      <alignment horizontal="left" vertical="center" indent="1"/>
    </xf>
    <xf numFmtId="41" fontId="26" fillId="0" borderId="19" xfId="1" applyFont="1" applyBorder="1" applyAlignment="1">
      <alignment horizontal="left" vertical="center" shrinkToFit="1"/>
    </xf>
    <xf numFmtId="0" fontId="28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177" fontId="29" fillId="0" borderId="0" xfId="0" applyNumberFormat="1" applyFont="1" applyAlignment="1">
      <alignment horizontal="center" vertical="center"/>
    </xf>
    <xf numFmtId="0" fontId="29" fillId="0" borderId="0" xfId="0" applyFont="1">
      <alignment vertical="center"/>
    </xf>
    <xf numFmtId="0" fontId="15" fillId="2" borderId="49" xfId="0" applyFont="1" applyFill="1" applyBorder="1" applyAlignment="1">
      <alignment horizontal="left" vertical="center" indent="1"/>
    </xf>
    <xf numFmtId="0" fontId="15" fillId="2" borderId="48" xfId="0" applyFont="1" applyFill="1" applyBorder="1" applyAlignment="1">
      <alignment horizontal="left" vertical="center" indent="1"/>
    </xf>
    <xf numFmtId="0" fontId="10" fillId="2" borderId="48" xfId="0" applyFont="1" applyFill="1" applyBorder="1" applyAlignment="1">
      <alignment horizontal="left" vertical="center" indent="1"/>
    </xf>
    <xf numFmtId="0" fontId="10" fillId="2" borderId="50" xfId="0" applyFont="1" applyFill="1" applyBorder="1" applyAlignment="1">
      <alignment horizontal="left" vertical="center" indent="1"/>
    </xf>
    <xf numFmtId="0" fontId="10" fillId="0" borderId="51" xfId="0" quotePrefix="1" applyFont="1" applyBorder="1">
      <alignment vertical="center"/>
    </xf>
    <xf numFmtId="0" fontId="10" fillId="0" borderId="0" xfId="0" applyFont="1">
      <alignment vertical="center"/>
    </xf>
    <xf numFmtId="0" fontId="10" fillId="0" borderId="52" xfId="0" applyFont="1" applyBorder="1">
      <alignment vertical="center"/>
    </xf>
    <xf numFmtId="0" fontId="10" fillId="0" borderId="0" xfId="0" quotePrefix="1" applyFont="1">
      <alignment vertical="center"/>
    </xf>
    <xf numFmtId="0" fontId="15" fillId="8" borderId="57" xfId="0" applyFont="1" applyFill="1" applyBorder="1" applyAlignment="1">
      <alignment horizontal="center" vertical="center"/>
    </xf>
    <xf numFmtId="0" fontId="9" fillId="8" borderId="58" xfId="0" applyFont="1" applyFill="1" applyBorder="1" applyAlignment="1">
      <alignment horizontal="center" vertical="center"/>
    </xf>
    <xf numFmtId="0" fontId="9" fillId="8" borderId="60" xfId="0" applyFont="1" applyFill="1" applyBorder="1" applyAlignment="1">
      <alignment horizontal="center" vertical="center"/>
    </xf>
    <xf numFmtId="0" fontId="32" fillId="10" borderId="61" xfId="5" applyFont="1" applyFill="1" applyBorder="1" applyAlignment="1">
      <alignment horizontal="center" vertical="center"/>
    </xf>
    <xf numFmtId="0" fontId="32" fillId="10" borderId="61" xfId="5" applyFont="1" applyFill="1" applyBorder="1" applyAlignment="1">
      <alignment horizontal="center" vertical="center" wrapText="1"/>
    </xf>
    <xf numFmtId="0" fontId="32" fillId="10" borderId="59" xfId="60" applyFont="1" applyFill="1" applyBorder="1" applyAlignment="1">
      <alignment horizontal="center" vertical="center" wrapText="1"/>
    </xf>
    <xf numFmtId="0" fontId="32" fillId="10" borderId="62" xfId="5" applyFont="1" applyFill="1" applyBorder="1" applyAlignment="1">
      <alignment horizontal="center" vertical="center" wrapText="1"/>
    </xf>
    <xf numFmtId="0" fontId="32" fillId="10" borderId="62" xfId="5" applyFont="1" applyFill="1" applyBorder="1" applyAlignment="1">
      <alignment horizontal="center" vertical="center"/>
    </xf>
    <xf numFmtId="0" fontId="32" fillId="10" borderId="63" xfId="5" applyFont="1" applyFill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14" fontId="9" fillId="0" borderId="75" xfId="0" applyNumberFormat="1" applyFont="1" applyBorder="1" applyAlignment="1">
      <alignment horizontal="center" vertical="center"/>
    </xf>
    <xf numFmtId="14" fontId="11" fillId="0" borderId="75" xfId="0" applyNumberFormat="1" applyFont="1" applyBorder="1" applyAlignment="1">
      <alignment horizontal="center" vertical="center"/>
    </xf>
    <xf numFmtId="0" fontId="7" fillId="4" borderId="77" xfId="0" applyFont="1" applyFill="1" applyBorder="1" applyAlignment="1">
      <alignment horizontal="center" vertical="center"/>
    </xf>
    <xf numFmtId="41" fontId="7" fillId="4" borderId="77" xfId="1" applyFont="1" applyFill="1" applyBorder="1" applyAlignment="1">
      <alignment horizontal="center" vertical="center"/>
    </xf>
    <xf numFmtId="41" fontId="7" fillId="4" borderId="81" xfId="1" applyFont="1" applyFill="1" applyBorder="1" applyAlignment="1">
      <alignment horizontal="center" vertical="center"/>
    </xf>
    <xf numFmtId="14" fontId="12" fillId="0" borderId="83" xfId="0" applyNumberFormat="1" applyFont="1" applyBorder="1" applyAlignment="1">
      <alignment horizontal="center" vertical="center" wrapText="1"/>
    </xf>
    <xf numFmtId="41" fontId="26" fillId="0" borderId="89" xfId="1" applyFont="1" applyFill="1" applyBorder="1" applyAlignment="1">
      <alignment horizontal="left" vertical="center"/>
    </xf>
    <xf numFmtId="41" fontId="10" fillId="0" borderId="18" xfId="1" applyFont="1" applyFill="1" applyBorder="1" applyAlignment="1">
      <alignment horizontal="right" vertical="center"/>
    </xf>
    <xf numFmtId="41" fontId="10" fillId="0" borderId="18" xfId="1" applyFont="1" applyFill="1" applyBorder="1" applyAlignment="1">
      <alignment horizontal="center" vertical="center"/>
    </xf>
    <xf numFmtId="41" fontId="15" fillId="0" borderId="66" xfId="1" applyFont="1" applyFill="1" applyBorder="1" applyAlignment="1">
      <alignment horizontal="center" vertical="center"/>
    </xf>
    <xf numFmtId="41" fontId="10" fillId="0" borderId="64" xfId="1" applyFont="1" applyFill="1" applyBorder="1" applyAlignment="1">
      <alignment horizontal="center" vertical="center"/>
    </xf>
    <xf numFmtId="41" fontId="15" fillId="0" borderId="67" xfId="1" applyFont="1" applyFill="1" applyBorder="1" applyAlignment="1">
      <alignment horizontal="center" vertical="center"/>
    </xf>
    <xf numFmtId="41" fontId="10" fillId="0" borderId="26" xfId="1" applyFont="1" applyFill="1" applyBorder="1" applyAlignment="1">
      <alignment horizontal="right" vertical="center"/>
    </xf>
    <xf numFmtId="41" fontId="10" fillId="0" borderId="26" xfId="1" applyFont="1" applyFill="1" applyBorder="1" applyAlignment="1">
      <alignment horizontal="center" vertical="center"/>
    </xf>
    <xf numFmtId="41" fontId="10" fillId="0" borderId="65" xfId="1" applyFont="1" applyFill="1" applyBorder="1" applyAlignment="1">
      <alignment horizontal="center" vertical="center"/>
    </xf>
    <xf numFmtId="41" fontId="15" fillId="9" borderId="91" xfId="1" applyFont="1" applyFill="1" applyBorder="1" applyAlignment="1">
      <alignment horizontal="right" vertical="center"/>
    </xf>
    <xf numFmtId="41" fontId="15" fillId="2" borderId="69" xfId="1" applyFont="1" applyFill="1" applyBorder="1" applyAlignment="1">
      <alignment horizontal="center" vertical="center"/>
    </xf>
    <xf numFmtId="41" fontId="15" fillId="2" borderId="70" xfId="1" applyFont="1" applyFill="1" applyBorder="1" applyAlignment="1">
      <alignment horizontal="center" vertical="center"/>
    </xf>
    <xf numFmtId="41" fontId="15" fillId="2" borderId="71" xfId="1" applyFont="1" applyFill="1" applyBorder="1" applyAlignment="1">
      <alignment horizontal="center" vertical="center"/>
    </xf>
    <xf numFmtId="179" fontId="10" fillId="0" borderId="68" xfId="1" applyNumberFormat="1" applyFont="1" applyFill="1" applyBorder="1" applyAlignment="1">
      <alignment horizontal="left" vertical="center"/>
    </xf>
    <xf numFmtId="41" fontId="10" fillId="0" borderId="68" xfId="1" applyFont="1" applyFill="1" applyBorder="1" applyAlignment="1">
      <alignment horizontal="left" vertical="center"/>
    </xf>
    <xf numFmtId="178" fontId="10" fillId="0" borderId="18" xfId="1" applyNumberFormat="1" applyFont="1" applyFill="1" applyBorder="1" applyAlignment="1">
      <alignment horizontal="right" vertical="center"/>
    </xf>
    <xf numFmtId="178" fontId="10" fillId="0" borderId="18" xfId="1" applyNumberFormat="1" applyFont="1" applyFill="1" applyBorder="1" applyAlignment="1">
      <alignment horizontal="center" vertical="center"/>
    </xf>
    <xf numFmtId="178" fontId="10" fillId="0" borderId="64" xfId="1" applyNumberFormat="1" applyFont="1" applyFill="1" applyBorder="1" applyAlignment="1">
      <alignment horizontal="center" vertical="center"/>
    </xf>
    <xf numFmtId="180" fontId="10" fillId="0" borderId="18" xfId="0" applyNumberFormat="1" applyFont="1" applyBorder="1" applyAlignment="1">
      <alignment horizontal="center" vertical="center"/>
    </xf>
    <xf numFmtId="178" fontId="10" fillId="0" borderId="68" xfId="1" applyNumberFormat="1" applyFont="1" applyFill="1" applyBorder="1" applyAlignment="1">
      <alignment horizontal="left" vertical="center"/>
    </xf>
    <xf numFmtId="0" fontId="10" fillId="0" borderId="98" xfId="0" applyFont="1" applyBorder="1">
      <alignment vertical="center"/>
    </xf>
    <xf numFmtId="0" fontId="10" fillId="0" borderId="99" xfId="0" applyFont="1" applyBorder="1">
      <alignment vertical="center"/>
    </xf>
    <xf numFmtId="0" fontId="15" fillId="11" borderId="94" xfId="0" applyFont="1" applyFill="1" applyBorder="1">
      <alignment vertical="center"/>
    </xf>
    <xf numFmtId="0" fontId="15" fillId="11" borderId="100" xfId="0" applyFont="1" applyFill="1" applyBorder="1">
      <alignment vertical="center"/>
    </xf>
    <xf numFmtId="0" fontId="15" fillId="11" borderId="101" xfId="0" applyFont="1" applyFill="1" applyBorder="1">
      <alignment vertical="center"/>
    </xf>
    <xf numFmtId="0" fontId="0" fillId="0" borderId="102" xfId="0" applyBorder="1">
      <alignment vertical="center"/>
    </xf>
    <xf numFmtId="0" fontId="0" fillId="0" borderId="96" xfId="0" applyBorder="1">
      <alignment vertical="center"/>
    </xf>
    <xf numFmtId="41" fontId="15" fillId="11" borderId="93" xfId="1" applyFont="1" applyFill="1" applyBorder="1" applyAlignment="1">
      <alignment vertical="center"/>
    </xf>
    <xf numFmtId="41" fontId="10" fillId="0" borderId="95" xfId="1" quotePrefix="1" applyFont="1" applyBorder="1">
      <alignment vertical="center"/>
    </xf>
    <xf numFmtId="41" fontId="10" fillId="0" borderId="97" xfId="1" applyFont="1" applyBorder="1">
      <alignment vertical="center"/>
    </xf>
    <xf numFmtId="0" fontId="15" fillId="11" borderId="49" xfId="0" applyFont="1" applyFill="1" applyBorder="1" applyAlignment="1">
      <alignment horizontal="left" vertical="center" indent="1"/>
    </xf>
    <xf numFmtId="0" fontId="15" fillId="11" borderId="48" xfId="0" applyFont="1" applyFill="1" applyBorder="1" applyAlignment="1">
      <alignment horizontal="left" vertical="center" indent="1"/>
    </xf>
    <xf numFmtId="0" fontId="10" fillId="11" borderId="48" xfId="0" applyFont="1" applyFill="1" applyBorder="1" applyAlignment="1">
      <alignment horizontal="left" vertical="center" indent="1"/>
    </xf>
    <xf numFmtId="0" fontId="10" fillId="11" borderId="50" xfId="0" applyFont="1" applyFill="1" applyBorder="1" applyAlignment="1">
      <alignment horizontal="left" vertical="center" indent="1"/>
    </xf>
    <xf numFmtId="0" fontId="33" fillId="0" borderId="0" xfId="0" applyFont="1">
      <alignment vertical="center"/>
    </xf>
    <xf numFmtId="41" fontId="15" fillId="0" borderId="95" xfId="1" applyFont="1" applyFill="1" applyBorder="1" applyAlignment="1">
      <alignment vertical="center"/>
    </xf>
    <xf numFmtId="0" fontId="15" fillId="0" borderId="0" xfId="0" applyFont="1">
      <alignment vertical="center"/>
    </xf>
    <xf numFmtId="0" fontId="15" fillId="0" borderId="96" xfId="0" applyFont="1" applyBorder="1">
      <alignment vertical="center"/>
    </xf>
    <xf numFmtId="0" fontId="10" fillId="0" borderId="96" xfId="0" applyFont="1" applyBorder="1">
      <alignment vertical="center"/>
    </xf>
    <xf numFmtId="41" fontId="10" fillId="0" borderId="95" xfId="1" applyFont="1" applyBorder="1">
      <alignment vertical="center"/>
    </xf>
    <xf numFmtId="41" fontId="34" fillId="0" borderId="103" xfId="1" applyFont="1" applyFill="1" applyBorder="1" applyAlignment="1">
      <alignment vertical="center"/>
    </xf>
    <xf numFmtId="0" fontId="10" fillId="0" borderId="104" xfId="0" applyFont="1" applyBorder="1" applyAlignment="1">
      <alignment horizontal="left" vertical="center" indent="1"/>
    </xf>
    <xf numFmtId="0" fontId="10" fillId="0" borderId="105" xfId="0" applyFont="1" applyBorder="1" applyAlignment="1">
      <alignment horizontal="left" vertical="center" indent="1"/>
    </xf>
    <xf numFmtId="0" fontId="10" fillId="0" borderId="106" xfId="0" applyFont="1" applyBorder="1" applyAlignment="1">
      <alignment horizontal="left" vertical="center" indent="1"/>
    </xf>
    <xf numFmtId="0" fontId="10" fillId="0" borderId="107" xfId="0" applyFont="1" applyBorder="1" applyAlignment="1">
      <alignment horizontal="left" vertical="center" indent="1"/>
    </xf>
    <xf numFmtId="0" fontId="10" fillId="0" borderId="36" xfId="0" applyFont="1" applyBorder="1" applyAlignment="1">
      <alignment horizontal="left" vertical="center" indent="1"/>
    </xf>
    <xf numFmtId="0" fontId="15" fillId="11" borderId="108" xfId="0" applyFont="1" applyFill="1" applyBorder="1">
      <alignment vertical="center"/>
    </xf>
    <xf numFmtId="0" fontId="15" fillId="11" borderId="23" xfId="0" applyFont="1" applyFill="1" applyBorder="1">
      <alignment vertical="center"/>
    </xf>
    <xf numFmtId="0" fontId="15" fillId="11" borderId="22" xfId="0" applyFont="1" applyFill="1" applyBorder="1">
      <alignment vertical="center"/>
    </xf>
    <xf numFmtId="41" fontId="26" fillId="0" borderId="30" xfId="4" applyFont="1" applyFill="1" applyBorder="1" applyAlignment="1">
      <alignment horizontal="left" vertical="center"/>
    </xf>
    <xf numFmtId="41" fontId="26" fillId="0" borderId="111" xfId="4" applyFont="1" applyFill="1" applyBorder="1" applyAlignment="1">
      <alignment horizontal="left" vertical="center"/>
    </xf>
    <xf numFmtId="41" fontId="15" fillId="2" borderId="112" xfId="4" applyFont="1" applyFill="1" applyBorder="1" applyAlignment="1">
      <alignment horizontal="right" vertical="center"/>
    </xf>
    <xf numFmtId="9" fontId="10" fillId="0" borderId="112" xfId="2" applyFont="1" applyFill="1" applyBorder="1" applyAlignment="1">
      <alignment horizontal="center" vertical="center"/>
    </xf>
    <xf numFmtId="41" fontId="10" fillId="0" borderId="112" xfId="4" applyFont="1" applyFill="1" applyBorder="1" applyAlignment="1">
      <alignment horizontal="center" vertical="center"/>
    </xf>
    <xf numFmtId="41" fontId="10" fillId="0" borderId="112" xfId="4" applyFont="1" applyFill="1" applyBorder="1" applyAlignment="1">
      <alignment horizontal="right" vertical="center"/>
    </xf>
    <xf numFmtId="181" fontId="10" fillId="0" borderId="111" xfId="0" applyNumberFormat="1" applyFont="1" applyBorder="1" applyAlignment="1">
      <alignment horizontal="center" vertical="center"/>
    </xf>
    <xf numFmtId="14" fontId="10" fillId="0" borderId="111" xfId="0" applyNumberFormat="1" applyFont="1" applyBorder="1" applyAlignment="1">
      <alignment horizontal="center" vertical="center"/>
    </xf>
    <xf numFmtId="0" fontId="10" fillId="0" borderId="112" xfId="0" applyFont="1" applyBorder="1" applyAlignment="1">
      <alignment horizontal="center" vertical="center"/>
    </xf>
    <xf numFmtId="181" fontId="10" fillId="0" borderId="112" xfId="0" applyNumberFormat="1" applyFont="1" applyBorder="1" applyAlignment="1">
      <alignment horizontal="center" vertical="center" wrapText="1"/>
    </xf>
    <xf numFmtId="0" fontId="34" fillId="0" borderId="112" xfId="0" applyFont="1" applyBorder="1" applyAlignment="1">
      <alignment horizontal="center" vertical="center"/>
    </xf>
    <xf numFmtId="0" fontId="10" fillId="0" borderId="113" xfId="0" applyFont="1" applyBorder="1" applyAlignment="1">
      <alignment horizontal="center" vertical="center"/>
    </xf>
    <xf numFmtId="180" fontId="10" fillId="0" borderId="111" xfId="0" applyNumberFormat="1" applyFont="1" applyBorder="1" applyAlignment="1">
      <alignment horizontal="center" vertical="center"/>
    </xf>
    <xf numFmtId="0" fontId="9" fillId="8" borderId="110" xfId="0" applyFont="1" applyFill="1" applyBorder="1" applyAlignment="1">
      <alignment horizontal="center" vertical="center"/>
    </xf>
    <xf numFmtId="9" fontId="36" fillId="0" borderId="112" xfId="2" applyFont="1" applyFill="1" applyBorder="1" applyAlignment="1">
      <alignment horizontal="center" vertical="center"/>
    </xf>
    <xf numFmtId="41" fontId="34" fillId="0" borderId="114" xfId="4" applyFont="1" applyFill="1" applyBorder="1" applyAlignment="1">
      <alignment horizontal="right" vertical="center"/>
    </xf>
    <xf numFmtId="0" fontId="34" fillId="0" borderId="114" xfId="0" applyFont="1" applyBorder="1" applyAlignment="1">
      <alignment horizontal="center" vertical="center"/>
    </xf>
    <xf numFmtId="0" fontId="37" fillId="0" borderId="114" xfId="5" applyFont="1" applyBorder="1" applyAlignment="1">
      <alignment horizontal="center" vertical="center"/>
    </xf>
    <xf numFmtId="41" fontId="26" fillId="0" borderId="115" xfId="4" applyFont="1" applyBorder="1" applyAlignment="1">
      <alignment horizontal="left" vertical="center" wrapText="1"/>
    </xf>
    <xf numFmtId="41" fontId="26" fillId="0" borderId="116" xfId="4" applyFont="1" applyBorder="1" applyAlignment="1">
      <alignment horizontal="left" vertical="center" wrapText="1"/>
    </xf>
    <xf numFmtId="180" fontId="34" fillId="0" borderId="111" xfId="0" applyNumberFormat="1" applyFont="1" applyBorder="1" applyAlignment="1">
      <alignment horizontal="center" vertical="center"/>
    </xf>
    <xf numFmtId="41" fontId="34" fillId="0" borderId="112" xfId="4" applyFont="1" applyFill="1" applyBorder="1" applyAlignment="1">
      <alignment horizontal="right" vertical="center"/>
    </xf>
    <xf numFmtId="0" fontId="37" fillId="0" borderId="112" xfId="5" applyFont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 wrapText="1"/>
    </xf>
    <xf numFmtId="0" fontId="9" fillId="11" borderId="15" xfId="0" applyFont="1" applyFill="1" applyBorder="1" applyAlignment="1">
      <alignment horizontal="center" vertical="center"/>
    </xf>
    <xf numFmtId="0" fontId="9" fillId="11" borderId="110" xfId="0" applyFont="1" applyFill="1" applyBorder="1" applyAlignment="1">
      <alignment horizontal="center" vertical="center"/>
    </xf>
    <xf numFmtId="0" fontId="15" fillId="11" borderId="14" xfId="0" applyFont="1" applyFill="1" applyBorder="1" applyAlignment="1">
      <alignment horizontal="center" vertical="center"/>
    </xf>
    <xf numFmtId="41" fontId="15" fillId="2" borderId="114" xfId="4" applyFont="1" applyFill="1" applyBorder="1" applyAlignment="1">
      <alignment horizontal="right" vertical="center"/>
    </xf>
    <xf numFmtId="9" fontId="36" fillId="0" borderId="114" xfId="2" applyFont="1" applyFill="1" applyBorder="1" applyAlignment="1">
      <alignment horizontal="center" vertical="center"/>
    </xf>
    <xf numFmtId="41" fontId="10" fillId="0" borderId="114" xfId="4" applyFont="1" applyFill="1" applyBorder="1" applyAlignment="1">
      <alignment horizontal="center" vertical="center"/>
    </xf>
    <xf numFmtId="14" fontId="34" fillId="0" borderId="122" xfId="0" applyNumberFormat="1" applyFont="1" applyBorder="1" applyAlignment="1">
      <alignment horizontal="center" vertical="center"/>
    </xf>
    <xf numFmtId="0" fontId="10" fillId="0" borderId="122" xfId="0" applyFont="1" applyBorder="1" applyAlignment="1">
      <alignment horizontal="center" vertical="center"/>
    </xf>
    <xf numFmtId="0" fontId="10" fillId="0" borderId="114" xfId="0" applyFont="1" applyBorder="1" applyAlignment="1">
      <alignment horizontal="center" vertical="center"/>
    </xf>
    <xf numFmtId="0" fontId="10" fillId="0" borderId="123" xfId="0" applyFont="1" applyBorder="1" applyAlignment="1">
      <alignment horizontal="center" vertical="center"/>
    </xf>
    <xf numFmtId="41" fontId="26" fillId="0" borderId="124" xfId="4" applyFont="1" applyBorder="1" applyAlignment="1">
      <alignment horizontal="left" vertical="center"/>
    </xf>
    <xf numFmtId="41" fontId="26" fillId="0" borderId="122" xfId="4" applyFont="1" applyBorder="1" applyAlignment="1">
      <alignment horizontal="left" vertical="center"/>
    </xf>
    <xf numFmtId="0" fontId="10" fillId="0" borderId="103" xfId="0" applyFont="1" applyBorder="1" applyAlignment="1">
      <alignment horizontal="center" vertical="center" shrinkToFit="1"/>
    </xf>
    <xf numFmtId="41" fontId="38" fillId="9" borderId="15" xfId="1" applyFont="1" applyFill="1" applyBorder="1" applyAlignment="1">
      <alignment horizontal="right" vertical="center"/>
    </xf>
    <xf numFmtId="180" fontId="10" fillId="0" borderId="103" xfId="0" applyNumberFormat="1" applyFont="1" applyBorder="1" applyAlignment="1">
      <alignment horizontal="center" vertical="center" shrinkToFit="1"/>
    </xf>
    <xf numFmtId="41" fontId="15" fillId="9" borderId="112" xfId="4" applyFont="1" applyFill="1" applyBorder="1" applyAlignment="1">
      <alignment horizontal="right" vertical="center"/>
    </xf>
    <xf numFmtId="9" fontId="10" fillId="9" borderId="112" xfId="2" applyFont="1" applyFill="1" applyBorder="1" applyAlignment="1">
      <alignment horizontal="center" vertical="center"/>
    </xf>
    <xf numFmtId="41" fontId="10" fillId="9" borderId="112" xfId="4" applyFont="1" applyFill="1" applyBorder="1" applyAlignment="1">
      <alignment horizontal="center" vertical="center"/>
    </xf>
    <xf numFmtId="41" fontId="10" fillId="9" borderId="112" xfId="4" applyFont="1" applyFill="1" applyBorder="1" applyAlignment="1">
      <alignment horizontal="right" vertical="center"/>
    </xf>
    <xf numFmtId="180" fontId="10" fillId="9" borderId="111" xfId="0" applyNumberFormat="1" applyFont="1" applyFill="1" applyBorder="1" applyAlignment="1">
      <alignment horizontal="center" vertical="center" shrinkToFit="1"/>
    </xf>
    <xf numFmtId="14" fontId="10" fillId="9" borderId="111" xfId="0" applyNumberFormat="1" applyFont="1" applyFill="1" applyBorder="1" applyAlignment="1">
      <alignment horizontal="center" vertical="center"/>
    </xf>
    <xf numFmtId="0" fontId="10" fillId="9" borderId="112" xfId="0" applyFont="1" applyFill="1" applyBorder="1" applyAlignment="1">
      <alignment horizontal="center" vertical="center"/>
    </xf>
    <xf numFmtId="181" fontId="10" fillId="9" borderId="112" xfId="0" applyNumberFormat="1" applyFont="1" applyFill="1" applyBorder="1" applyAlignment="1">
      <alignment horizontal="center" vertical="center" wrapText="1"/>
    </xf>
    <xf numFmtId="0" fontId="34" fillId="9" borderId="112" xfId="0" applyFont="1" applyFill="1" applyBorder="1" applyAlignment="1">
      <alignment horizontal="center" vertical="center"/>
    </xf>
    <xf numFmtId="0" fontId="10" fillId="9" borderId="113" xfId="0" applyFont="1" applyFill="1" applyBorder="1" applyAlignment="1">
      <alignment horizontal="center" vertical="center"/>
    </xf>
    <xf numFmtId="180" fontId="10" fillId="9" borderId="111" xfId="0" applyNumberFormat="1" applyFont="1" applyFill="1" applyBorder="1" applyAlignment="1">
      <alignment horizontal="center" vertical="center"/>
    </xf>
    <xf numFmtId="181" fontId="10" fillId="9" borderId="111" xfId="0" applyNumberFormat="1" applyFont="1" applyFill="1" applyBorder="1" applyAlignment="1">
      <alignment horizontal="center" vertical="center"/>
    </xf>
    <xf numFmtId="176" fontId="15" fillId="12" borderId="18" xfId="4" applyNumberFormat="1" applyFont="1" applyFill="1" applyBorder="1" applyAlignment="1">
      <alignment horizontal="right" vertical="center"/>
    </xf>
    <xf numFmtId="0" fontId="10" fillId="12" borderId="17" xfId="0" applyFont="1" applyFill="1" applyBorder="1" applyAlignment="1">
      <alignment horizontal="center" vertical="center"/>
    </xf>
    <xf numFmtId="41" fontId="26" fillId="0" borderId="30" xfId="4" applyFont="1" applyFill="1" applyBorder="1" applyAlignment="1">
      <alignment horizontal="center" vertical="center"/>
    </xf>
    <xf numFmtId="41" fontId="26" fillId="0" borderId="111" xfId="4" applyFont="1" applyFill="1" applyBorder="1" applyAlignment="1">
      <alignment horizontal="center" vertical="center"/>
    </xf>
    <xf numFmtId="41" fontId="10" fillId="0" borderId="112" xfId="1" applyFont="1" applyFill="1" applyBorder="1" applyAlignment="1">
      <alignment horizontal="center" vertical="center"/>
    </xf>
    <xf numFmtId="41" fontId="10" fillId="0" borderId="112" xfId="1" applyFont="1" applyFill="1" applyBorder="1" applyAlignment="1">
      <alignment horizontal="right" vertical="center"/>
    </xf>
    <xf numFmtId="14" fontId="37" fillId="0" borderId="103" xfId="0" applyNumberFormat="1" applyFont="1" applyBorder="1" applyAlignment="1">
      <alignment horizontal="center" vertical="center" shrinkToFit="1"/>
    </xf>
    <xf numFmtId="180" fontId="10" fillId="0" borderId="126" xfId="0" applyNumberFormat="1" applyFont="1" applyBorder="1" applyAlignment="1">
      <alignment horizontal="center" vertical="center" shrinkToFit="1"/>
    </xf>
    <xf numFmtId="41" fontId="8" fillId="6" borderId="131" xfId="1" applyFont="1" applyFill="1" applyBorder="1" applyAlignment="1">
      <alignment horizontal="center" vertical="center"/>
    </xf>
    <xf numFmtId="41" fontId="8" fillId="5" borderId="132" xfId="1" applyFont="1" applyFill="1" applyBorder="1" applyAlignment="1">
      <alignment horizontal="center" vertical="center"/>
    </xf>
    <xf numFmtId="0" fontId="41" fillId="0" borderId="0" xfId="76" applyFill="1">
      <alignment vertical="center"/>
    </xf>
    <xf numFmtId="14" fontId="12" fillId="0" borderId="136" xfId="0" applyNumberFormat="1" applyFont="1" applyBorder="1" applyAlignment="1">
      <alignment horizontal="center" vertical="center" wrapText="1"/>
    </xf>
    <xf numFmtId="41" fontId="8" fillId="6" borderId="140" xfId="1" applyFont="1" applyFill="1" applyBorder="1" applyAlignment="1">
      <alignment horizontal="center" vertical="center"/>
    </xf>
    <xf numFmtId="41" fontId="8" fillId="6" borderId="141" xfId="1" applyFont="1" applyFill="1" applyBorder="1" applyAlignment="1">
      <alignment horizontal="center" vertical="center"/>
    </xf>
    <xf numFmtId="0" fontId="7" fillId="4" borderId="143" xfId="0" applyFont="1" applyFill="1" applyBorder="1" applyAlignment="1">
      <alignment horizontal="center" vertical="center"/>
    </xf>
    <xf numFmtId="0" fontId="7" fillId="4" borderId="143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left"/>
    </xf>
    <xf numFmtId="0" fontId="8" fillId="0" borderId="132" xfId="0" applyFont="1" applyBorder="1" applyAlignment="1">
      <alignment horizontal="left" vertical="center" indent="1"/>
    </xf>
    <xf numFmtId="0" fontId="8" fillId="0" borderId="140" xfId="0" applyFont="1" applyBorder="1" applyAlignment="1">
      <alignment horizontal="left" vertical="center" indent="1"/>
    </xf>
    <xf numFmtId="0" fontId="15" fillId="0" borderId="145" xfId="0" applyFont="1" applyBorder="1">
      <alignment vertical="center"/>
    </xf>
    <xf numFmtId="0" fontId="10" fillId="0" borderId="42" xfId="0" applyFont="1" applyBorder="1" applyAlignment="1">
      <alignment horizontal="left" vertical="center" indent="1"/>
    </xf>
    <xf numFmtId="0" fontId="10" fillId="0" borderId="144" xfId="0" applyFont="1" applyBorder="1" applyAlignment="1">
      <alignment horizontal="left" vertical="center" indent="1"/>
    </xf>
    <xf numFmtId="0" fontId="2" fillId="0" borderId="107" xfId="0" applyFont="1" applyBorder="1">
      <alignment vertical="center"/>
    </xf>
    <xf numFmtId="0" fontId="10" fillId="0" borderId="146" xfId="0" applyFont="1" applyBorder="1" applyAlignment="1">
      <alignment horizontal="left" vertical="center" indent="1"/>
    </xf>
    <xf numFmtId="0" fontId="14" fillId="0" borderId="0" xfId="0" applyFont="1" applyAlignment="1">
      <alignment vertical="top"/>
    </xf>
    <xf numFmtId="41" fontId="10" fillId="0" borderId="20" xfId="4" applyFont="1" applyBorder="1" applyAlignment="1">
      <alignment horizontal="left" vertical="center"/>
    </xf>
    <xf numFmtId="14" fontId="37" fillId="0" borderId="112" xfId="0" applyNumberFormat="1" applyFont="1" applyBorder="1" applyAlignment="1">
      <alignment horizontal="center" vertical="center"/>
    </xf>
    <xf numFmtId="41" fontId="10" fillId="0" borderId="19" xfId="4" applyFont="1" applyBorder="1" applyAlignment="1">
      <alignment horizontal="left" vertical="center"/>
    </xf>
    <xf numFmtId="41" fontId="15" fillId="2" borderId="18" xfId="4" applyFont="1" applyFill="1" applyBorder="1" applyAlignment="1">
      <alignment horizontal="right" vertical="center"/>
    </xf>
    <xf numFmtId="9" fontId="36" fillId="0" borderId="18" xfId="2" applyFont="1" applyFill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41" fontId="15" fillId="2" borderId="18" xfId="1" applyFont="1" applyFill="1" applyBorder="1" applyAlignment="1">
      <alignment horizontal="right" vertical="center"/>
    </xf>
    <xf numFmtId="41" fontId="43" fillId="6" borderId="148" xfId="0" applyNumberFormat="1" applyFont="1" applyFill="1" applyBorder="1">
      <alignment vertical="center"/>
    </xf>
    <xf numFmtId="41" fontId="8" fillId="6" borderId="149" xfId="1" applyFont="1" applyFill="1" applyBorder="1" applyAlignment="1">
      <alignment horizontal="center" vertical="center"/>
    </xf>
    <xf numFmtId="41" fontId="8" fillId="6" borderId="150" xfId="1" applyFont="1" applyFill="1" applyBorder="1" applyAlignment="1">
      <alignment vertical="center"/>
    </xf>
    <xf numFmtId="41" fontId="8" fillId="6" borderId="151" xfId="1" applyFont="1" applyFill="1" applyBorder="1" applyAlignment="1">
      <alignment vertical="center"/>
    </xf>
    <xf numFmtId="41" fontId="8" fillId="6" borderId="152" xfId="1" applyFont="1" applyFill="1" applyBorder="1" applyAlignment="1">
      <alignment horizontal="center" vertical="center"/>
    </xf>
    <xf numFmtId="0" fontId="8" fillId="0" borderId="155" xfId="0" applyFont="1" applyBorder="1" applyAlignment="1">
      <alignment horizontal="center" vertical="center" wrapText="1"/>
    </xf>
    <xf numFmtId="0" fontId="7" fillId="13" borderId="157" xfId="0" applyFont="1" applyFill="1" applyBorder="1" applyAlignment="1">
      <alignment horizontal="center" vertical="center" wrapText="1"/>
    </xf>
    <xf numFmtId="0" fontId="7" fillId="13" borderId="158" xfId="0" applyFont="1" applyFill="1" applyBorder="1" applyAlignment="1">
      <alignment horizontal="center" vertical="center"/>
    </xf>
    <xf numFmtId="0" fontId="7" fillId="13" borderId="159" xfId="0" applyFont="1" applyFill="1" applyBorder="1" applyAlignment="1">
      <alignment horizontal="center" vertical="center" wrapText="1"/>
    </xf>
    <xf numFmtId="0" fontId="7" fillId="13" borderId="160" xfId="0" applyFont="1" applyFill="1" applyBorder="1" applyAlignment="1">
      <alignment horizontal="center" vertical="center" wrapText="1"/>
    </xf>
    <xf numFmtId="0" fontId="7" fillId="13" borderId="161" xfId="0" applyFont="1" applyFill="1" applyBorder="1" applyAlignment="1">
      <alignment horizontal="center" vertical="center" wrapText="1"/>
    </xf>
    <xf numFmtId="0" fontId="7" fillId="3" borderId="162" xfId="0" applyFont="1" applyFill="1" applyBorder="1" applyAlignment="1">
      <alignment horizontal="center" vertical="center"/>
    </xf>
    <xf numFmtId="0" fontId="31" fillId="0" borderId="0" xfId="59">
      <alignment vertical="center"/>
    </xf>
    <xf numFmtId="0" fontId="44" fillId="0" borderId="0" xfId="59" applyFont="1">
      <alignment vertical="center"/>
    </xf>
    <xf numFmtId="4" fontId="45" fillId="11" borderId="164" xfId="59" applyNumberFormat="1" applyFont="1" applyFill="1" applyBorder="1">
      <alignment vertical="center"/>
    </xf>
    <xf numFmtId="0" fontId="45" fillId="11" borderId="164" xfId="59" applyFont="1" applyFill="1" applyBorder="1">
      <alignment vertical="center"/>
    </xf>
    <xf numFmtId="3" fontId="45" fillId="11" borderId="164" xfId="59" applyNumberFormat="1" applyFont="1" applyFill="1" applyBorder="1">
      <alignment vertical="center"/>
    </xf>
    <xf numFmtId="4" fontId="38" fillId="0" borderId="167" xfId="59" applyNumberFormat="1" applyFont="1" applyBorder="1">
      <alignment vertical="center"/>
    </xf>
    <xf numFmtId="4" fontId="47" fillId="0" borderId="167" xfId="59" applyNumberFormat="1" applyFont="1" applyBorder="1">
      <alignment vertical="center"/>
    </xf>
    <xf numFmtId="9" fontId="47" fillId="0" borderId="167" xfId="59" applyNumberFormat="1" applyFont="1" applyBorder="1" applyAlignment="1">
      <alignment horizontal="center" vertical="center"/>
    </xf>
    <xf numFmtId="182" fontId="47" fillId="0" borderId="167" xfId="59" applyNumberFormat="1" applyFont="1" applyBorder="1" applyAlignment="1">
      <alignment horizontal="center" vertical="center"/>
    </xf>
    <xf numFmtId="41" fontId="47" fillId="0" borderId="167" xfId="69" applyFont="1" applyBorder="1">
      <alignment vertical="center"/>
    </xf>
    <xf numFmtId="14" fontId="47" fillId="0" borderId="167" xfId="59" applyNumberFormat="1" applyFont="1" applyBorder="1" applyAlignment="1">
      <alignment horizontal="center" vertical="center"/>
    </xf>
    <xf numFmtId="0" fontId="47" fillId="0" borderId="167" xfId="59" applyFont="1" applyBorder="1" applyAlignment="1">
      <alignment horizontal="center" vertical="center"/>
    </xf>
    <xf numFmtId="183" fontId="47" fillId="0" borderId="167" xfId="59" applyNumberFormat="1" applyFont="1" applyBorder="1" applyAlignment="1">
      <alignment horizontal="center" vertical="center"/>
    </xf>
    <xf numFmtId="4" fontId="47" fillId="0" borderId="164" xfId="59" applyNumberFormat="1" applyFont="1" applyBorder="1">
      <alignment vertical="center"/>
    </xf>
    <xf numFmtId="0" fontId="18" fillId="11" borderId="164" xfId="59" applyFont="1" applyFill="1" applyBorder="1" applyAlignment="1">
      <alignment horizontal="center" vertical="center" wrapText="1"/>
    </xf>
    <xf numFmtId="0" fontId="18" fillId="11" borderId="164" xfId="59" applyFont="1" applyFill="1" applyBorder="1" applyAlignment="1">
      <alignment horizontal="center" vertical="center"/>
    </xf>
    <xf numFmtId="0" fontId="53" fillId="0" borderId="0" xfId="59" applyFont="1">
      <alignment vertical="center"/>
    </xf>
    <xf numFmtId="0" fontId="45" fillId="0" borderId="0" xfId="59" applyFont="1" applyAlignment="1">
      <alignment horizontal="right"/>
    </xf>
    <xf numFmtId="180" fontId="43" fillId="0" borderId="0" xfId="59" applyNumberFormat="1" applyFont="1">
      <alignment vertical="center"/>
    </xf>
    <xf numFmtId="0" fontId="6" fillId="0" borderId="0" xfId="59" applyFont="1">
      <alignment vertical="center"/>
    </xf>
    <xf numFmtId="3" fontId="36" fillId="0" borderId="0" xfId="59" applyNumberFormat="1" applyFont="1">
      <alignment vertical="center"/>
    </xf>
    <xf numFmtId="0" fontId="6" fillId="0" borderId="0" xfId="59" applyFont="1" applyAlignment="1">
      <alignment horizontal="center" vertical="center"/>
    </xf>
    <xf numFmtId="0" fontId="54" fillId="0" borderId="0" xfId="59" applyFont="1" applyAlignment="1">
      <alignment horizontal="center" vertical="center"/>
    </xf>
    <xf numFmtId="0" fontId="18" fillId="0" borderId="169" xfId="59" applyFont="1" applyBorder="1" applyAlignment="1">
      <alignment horizontal="center" vertical="center"/>
    </xf>
    <xf numFmtId="4" fontId="18" fillId="0" borderId="169" xfId="59" applyNumberFormat="1" applyFont="1" applyBorder="1">
      <alignment vertical="center"/>
    </xf>
    <xf numFmtId="0" fontId="36" fillId="0" borderId="169" xfId="59" applyFont="1" applyBorder="1" applyAlignment="1">
      <alignment horizontal="center" vertical="center"/>
    </xf>
    <xf numFmtId="4" fontId="36" fillId="0" borderId="169" xfId="59" applyNumberFormat="1" applyFont="1" applyBorder="1">
      <alignment vertical="center"/>
    </xf>
    <xf numFmtId="0" fontId="55" fillId="14" borderId="170" xfId="59" applyFont="1" applyFill="1" applyBorder="1" applyAlignment="1">
      <alignment horizontal="center" vertical="center"/>
    </xf>
    <xf numFmtId="0" fontId="6" fillId="0" borderId="173" xfId="59" applyFont="1" applyBorder="1" applyAlignment="1">
      <alignment horizontal="center" vertical="center"/>
    </xf>
    <xf numFmtId="0" fontId="6" fillId="0" borderId="173" xfId="59" applyFont="1" applyBorder="1">
      <alignment vertical="center"/>
    </xf>
    <xf numFmtId="180" fontId="5" fillId="0" borderId="173" xfId="59" applyNumberFormat="1" applyFont="1" applyBorder="1" applyAlignment="1">
      <alignment horizontal="left" vertical="center"/>
    </xf>
    <xf numFmtId="0" fontId="15" fillId="11" borderId="174" xfId="0" applyFont="1" applyFill="1" applyBorder="1">
      <alignment vertical="center"/>
    </xf>
    <xf numFmtId="0" fontId="10" fillId="0" borderId="145" xfId="0" applyFont="1" applyBorder="1" applyAlignment="1">
      <alignment horizontal="left" vertical="center" indent="1"/>
    </xf>
    <xf numFmtId="0" fontId="15" fillId="0" borderId="147" xfId="0" applyFont="1" applyBorder="1" applyAlignment="1">
      <alignment horizontal="left" vertical="center" indent="1"/>
    </xf>
    <xf numFmtId="41" fontId="15" fillId="11" borderId="175" xfId="77" applyFont="1" applyFill="1" applyBorder="1">
      <alignment vertical="center"/>
    </xf>
    <xf numFmtId="0" fontId="15" fillId="0" borderId="145" xfId="0" applyFont="1" applyBorder="1" applyAlignment="1">
      <alignment horizontal="left" vertical="center" indent="1"/>
    </xf>
    <xf numFmtId="0" fontId="15" fillId="11" borderId="176" xfId="0" applyFont="1" applyFill="1" applyBorder="1">
      <alignment vertical="center"/>
    </xf>
    <xf numFmtId="0" fontId="15" fillId="11" borderId="177" xfId="0" applyFont="1" applyFill="1" applyBorder="1">
      <alignment vertical="center"/>
    </xf>
    <xf numFmtId="0" fontId="2" fillId="0" borderId="145" xfId="0" applyFont="1" applyBorder="1">
      <alignment vertical="center"/>
    </xf>
    <xf numFmtId="0" fontId="10" fillId="0" borderId="145" xfId="0" applyFont="1" applyBorder="1">
      <alignment vertical="center"/>
    </xf>
    <xf numFmtId="41" fontId="26" fillId="0" borderId="20" xfId="4" applyFont="1" applyBorder="1" applyAlignment="1">
      <alignment horizontal="left" vertical="center"/>
    </xf>
    <xf numFmtId="14" fontId="47" fillId="0" borderId="18" xfId="3" applyNumberFormat="1" applyFont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9" fontId="6" fillId="0" borderId="0" xfId="2" applyFont="1" applyFill="1">
      <alignment vertical="center"/>
    </xf>
    <xf numFmtId="0" fontId="56" fillId="0" borderId="0" xfId="0" applyFont="1">
      <alignment vertical="center"/>
    </xf>
    <xf numFmtId="41" fontId="8" fillId="15" borderId="178" xfId="1" applyFont="1" applyFill="1" applyBorder="1" applyAlignment="1">
      <alignment horizontal="center" vertical="center"/>
    </xf>
    <xf numFmtId="41" fontId="8" fillId="15" borderId="179" xfId="1" applyFont="1" applyFill="1" applyBorder="1" applyAlignment="1">
      <alignment horizontal="center" vertical="center"/>
    </xf>
    <xf numFmtId="41" fontId="7" fillId="16" borderId="182" xfId="1" applyFont="1" applyFill="1" applyBorder="1" applyAlignment="1">
      <alignment horizontal="center" vertical="center"/>
    </xf>
    <xf numFmtId="41" fontId="7" fillId="16" borderId="183" xfId="1" applyFont="1" applyFill="1" applyBorder="1" applyAlignment="1">
      <alignment horizontal="center" vertical="center"/>
    </xf>
    <xf numFmtId="0" fontId="7" fillId="16" borderId="186" xfId="0" applyFont="1" applyFill="1" applyBorder="1" applyAlignment="1">
      <alignment horizontal="center" vertical="center"/>
    </xf>
    <xf numFmtId="0" fontId="7" fillId="16" borderId="184" xfId="0" applyFont="1" applyFill="1" applyBorder="1" applyAlignment="1">
      <alignment horizontal="center" vertical="center" wrapText="1"/>
    </xf>
    <xf numFmtId="0" fontId="7" fillId="16" borderId="183" xfId="0" applyFont="1" applyFill="1" applyBorder="1" applyAlignment="1">
      <alignment horizontal="center" vertical="center"/>
    </xf>
    <xf numFmtId="14" fontId="9" fillId="0" borderId="137" xfId="0" applyNumberFormat="1" applyFont="1" applyBorder="1" applyAlignment="1">
      <alignment horizontal="center" vertical="center"/>
    </xf>
    <xf numFmtId="14" fontId="11" fillId="0" borderId="142" xfId="1" applyNumberFormat="1" applyFont="1" applyFill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38" xfId="0" applyFont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6" borderId="44" xfId="0" applyFont="1" applyFill="1" applyBorder="1" applyAlignment="1">
      <alignment horizontal="center" vertical="center" wrapText="1"/>
    </xf>
    <xf numFmtId="0" fontId="7" fillId="16" borderId="188" xfId="0" applyFont="1" applyFill="1" applyBorder="1" applyAlignment="1">
      <alignment horizontal="center" vertical="center"/>
    </xf>
    <xf numFmtId="0" fontId="7" fillId="16" borderId="187" xfId="0" applyFont="1" applyFill="1" applyBorder="1" applyAlignment="1">
      <alignment horizontal="center" vertical="center"/>
    </xf>
    <xf numFmtId="41" fontId="7" fillId="16" borderId="185" xfId="1" applyFont="1" applyFill="1" applyBorder="1" applyAlignment="1">
      <alignment horizontal="center" vertical="center"/>
    </xf>
    <xf numFmtId="41" fontId="7" fillId="16" borderId="184" xfId="1" applyFont="1" applyFill="1" applyBorder="1" applyAlignment="1">
      <alignment horizontal="center" vertical="center"/>
    </xf>
    <xf numFmtId="0" fontId="8" fillId="0" borderId="181" xfId="0" applyFont="1" applyBorder="1" applyAlignment="1">
      <alignment horizontal="left" vertical="center" indent="1"/>
    </xf>
    <xf numFmtId="0" fontId="8" fillId="0" borderId="180" xfId="0" applyFont="1" applyBorder="1" applyAlignment="1">
      <alignment horizontal="left" vertical="center" indent="1"/>
    </xf>
    <xf numFmtId="0" fontId="10" fillId="0" borderId="142" xfId="0" applyFont="1" applyBorder="1" applyAlignment="1">
      <alignment horizontal="center" vertical="center" wrapText="1"/>
    </xf>
    <xf numFmtId="0" fontId="10" fillId="0" borderId="139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41" fontId="7" fillId="4" borderId="2" xfId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7" fillId="4" borderId="76" xfId="0" applyFont="1" applyFill="1" applyBorder="1" applyAlignment="1">
      <alignment horizontal="center" vertical="center" wrapText="1"/>
    </xf>
    <xf numFmtId="0" fontId="7" fillId="4" borderId="77" xfId="0" applyFont="1" applyFill="1" applyBorder="1" applyAlignment="1">
      <alignment horizontal="center" vertical="center" wrapText="1"/>
    </xf>
    <xf numFmtId="0" fontId="7" fillId="4" borderId="77" xfId="0" applyFont="1" applyFill="1" applyBorder="1" applyAlignment="1">
      <alignment horizontal="center" vertical="center"/>
    </xf>
    <xf numFmtId="0" fontId="7" fillId="4" borderId="78" xfId="0" applyFont="1" applyFill="1" applyBorder="1" applyAlignment="1">
      <alignment horizontal="center" vertical="center" wrapText="1"/>
    </xf>
    <xf numFmtId="0" fontId="7" fillId="4" borderId="79" xfId="0" applyFont="1" applyFill="1" applyBorder="1" applyAlignment="1">
      <alignment horizontal="center" vertical="center" wrapText="1"/>
    </xf>
    <xf numFmtId="0" fontId="7" fillId="4" borderId="78" xfId="0" applyFont="1" applyFill="1" applyBorder="1" applyAlignment="1">
      <alignment horizontal="center" vertical="center"/>
    </xf>
    <xf numFmtId="0" fontId="7" fillId="4" borderId="79" xfId="0" applyFont="1" applyFill="1" applyBorder="1" applyAlignment="1">
      <alignment horizontal="center" vertical="center"/>
    </xf>
    <xf numFmtId="41" fontId="7" fillId="4" borderId="78" xfId="1" applyFont="1" applyFill="1" applyBorder="1" applyAlignment="1">
      <alignment horizontal="center" vertical="center"/>
    </xf>
    <xf numFmtId="41" fontId="7" fillId="4" borderId="79" xfId="1" applyFont="1" applyFill="1" applyBorder="1" applyAlignment="1">
      <alignment horizontal="center" vertical="center"/>
    </xf>
    <xf numFmtId="41" fontId="7" fillId="4" borderId="80" xfId="1" applyFont="1" applyFill="1" applyBorder="1" applyAlignment="1">
      <alignment horizontal="center" vertical="center"/>
    </xf>
    <xf numFmtId="0" fontId="8" fillId="0" borderId="8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41" fontId="8" fillId="5" borderId="56" xfId="1" applyFont="1" applyFill="1" applyBorder="1" applyAlignment="1">
      <alignment horizontal="center" vertical="center"/>
    </xf>
    <xf numFmtId="41" fontId="8" fillId="5" borderId="0" xfId="1" applyFont="1" applyFill="1" applyBorder="1" applyAlignment="1">
      <alignment horizontal="center" vertical="center"/>
    </xf>
    <xf numFmtId="41" fontId="8" fillId="6" borderId="56" xfId="1" applyFont="1" applyFill="1" applyBorder="1" applyAlignment="1">
      <alignment horizontal="center" vertical="center"/>
    </xf>
    <xf numFmtId="41" fontId="8" fillId="6" borderId="0" xfId="1" applyFont="1" applyFill="1" applyBorder="1" applyAlignment="1">
      <alignment horizontal="center" vertical="center"/>
    </xf>
    <xf numFmtId="0" fontId="10" fillId="0" borderId="51" xfId="0" quotePrefix="1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52" xfId="0" applyFont="1" applyBorder="1" applyAlignment="1">
      <alignment horizontal="left" vertical="center" indent="1"/>
    </xf>
    <xf numFmtId="0" fontId="10" fillId="0" borderId="53" xfId="0" quotePrefix="1" applyFont="1" applyBorder="1" applyAlignment="1">
      <alignment horizontal="left" vertical="center" indent="1"/>
    </xf>
    <xf numFmtId="0" fontId="10" fillId="0" borderId="54" xfId="0" applyFont="1" applyBorder="1" applyAlignment="1">
      <alignment horizontal="left" vertical="center" indent="1"/>
    </xf>
    <xf numFmtId="0" fontId="10" fillId="0" borderId="55" xfId="0" applyFont="1" applyBorder="1" applyAlignment="1">
      <alignment horizontal="left" vertical="center" indent="1"/>
    </xf>
    <xf numFmtId="49" fontId="10" fillId="0" borderId="51" xfId="0" quotePrefix="1" applyNumberFormat="1" applyFont="1" applyBorder="1" applyAlignment="1">
      <alignment horizontal="left" vertical="center" wrapText="1" indent="1"/>
    </xf>
    <xf numFmtId="49" fontId="10" fillId="0" borderId="0" xfId="0" applyNumberFormat="1" applyFont="1" applyAlignment="1">
      <alignment horizontal="left" vertical="center" indent="1"/>
    </xf>
    <xf numFmtId="49" fontId="10" fillId="0" borderId="52" xfId="0" applyNumberFormat="1" applyFont="1" applyBorder="1" applyAlignment="1">
      <alignment horizontal="left" vertical="center" indent="1"/>
    </xf>
    <xf numFmtId="49" fontId="10" fillId="0" borderId="53" xfId="0" quotePrefix="1" applyNumberFormat="1" applyFont="1" applyBorder="1" applyAlignment="1">
      <alignment horizontal="left" vertical="center" indent="1"/>
    </xf>
    <xf numFmtId="49" fontId="10" fillId="0" borderId="54" xfId="0" applyNumberFormat="1" applyFont="1" applyBorder="1" applyAlignment="1">
      <alignment horizontal="left" vertical="center" indent="1"/>
    </xf>
    <xf numFmtId="49" fontId="10" fillId="0" borderId="55" xfId="0" applyNumberFormat="1" applyFont="1" applyBorder="1" applyAlignment="1">
      <alignment horizontal="left" vertical="center" indent="1"/>
    </xf>
    <xf numFmtId="0" fontId="13" fillId="7" borderId="84" xfId="0" applyFont="1" applyFill="1" applyBorder="1" applyAlignment="1">
      <alignment horizontal="center" vertical="center" wrapText="1"/>
    </xf>
    <xf numFmtId="0" fontId="13" fillId="7" borderId="85" xfId="0" applyFont="1" applyFill="1" applyBorder="1" applyAlignment="1">
      <alignment horizontal="center" vertical="center" wrapText="1"/>
    </xf>
    <xf numFmtId="41" fontId="13" fillId="7" borderId="86" xfId="0" applyNumberFormat="1" applyFont="1" applyFill="1" applyBorder="1" applyAlignment="1">
      <alignment horizontal="center" vertical="center"/>
    </xf>
    <xf numFmtId="41" fontId="13" fillId="7" borderId="87" xfId="0" applyNumberFormat="1" applyFont="1" applyFill="1" applyBorder="1" applyAlignment="1">
      <alignment horizontal="center" vertical="center"/>
    </xf>
    <xf numFmtId="0" fontId="13" fillId="7" borderId="92" xfId="0" applyFont="1" applyFill="1" applyBorder="1" applyAlignment="1">
      <alignment horizontal="center" vertical="center"/>
    </xf>
    <xf numFmtId="0" fontId="13" fillId="7" borderId="87" xfId="0" applyFont="1" applyFill="1" applyBorder="1" applyAlignment="1">
      <alignment horizontal="center" vertical="center"/>
    </xf>
    <xf numFmtId="0" fontId="13" fillId="7" borderId="88" xfId="0" applyFont="1" applyFill="1" applyBorder="1" applyAlignment="1">
      <alignment horizontal="center" vertical="center"/>
    </xf>
    <xf numFmtId="0" fontId="15" fillId="9" borderId="90" xfId="0" applyFont="1" applyFill="1" applyBorder="1" applyAlignment="1">
      <alignment horizontal="center" vertical="center"/>
    </xf>
    <xf numFmtId="0" fontId="15" fillId="9" borderId="59" xfId="0" applyFont="1" applyFill="1" applyBorder="1" applyAlignment="1">
      <alignment horizontal="center" vertical="center"/>
    </xf>
    <xf numFmtId="0" fontId="15" fillId="9" borderId="91" xfId="0" applyFont="1" applyFill="1" applyBorder="1" applyAlignment="1">
      <alignment horizontal="center" vertical="center"/>
    </xf>
    <xf numFmtId="0" fontId="15" fillId="11" borderId="110" xfId="0" applyFont="1" applyFill="1" applyBorder="1" applyAlignment="1">
      <alignment horizontal="center" vertical="center"/>
    </xf>
    <xf numFmtId="0" fontId="15" fillId="11" borderId="109" xfId="0" applyFont="1" applyFill="1" applyBorder="1" applyAlignment="1">
      <alignment horizontal="center" vertical="center"/>
    </xf>
    <xf numFmtId="0" fontId="2" fillId="9" borderId="110" xfId="0" applyFont="1" applyFill="1" applyBorder="1" applyAlignment="1">
      <alignment horizontal="center" vertical="center"/>
    </xf>
    <xf numFmtId="0" fontId="2" fillId="9" borderId="109" xfId="0" applyFont="1" applyFill="1" applyBorder="1" applyAlignment="1">
      <alignment horizontal="center" vertical="center"/>
    </xf>
    <xf numFmtId="0" fontId="15" fillId="8" borderId="110" xfId="0" applyFont="1" applyFill="1" applyBorder="1" applyAlignment="1">
      <alignment horizontal="center" vertical="center"/>
    </xf>
    <xf numFmtId="0" fontId="15" fillId="8" borderId="109" xfId="0" applyFont="1" applyFill="1" applyBorder="1" applyAlignment="1">
      <alignment horizontal="center" vertical="center"/>
    </xf>
    <xf numFmtId="41" fontId="26" fillId="0" borderId="119" xfId="4" applyFont="1" applyBorder="1" applyAlignment="1">
      <alignment horizontal="left" vertical="center"/>
    </xf>
    <xf numFmtId="41" fontId="26" fillId="0" borderId="33" xfId="4" applyFont="1" applyBorder="1" applyAlignment="1">
      <alignment horizontal="left" vertical="center"/>
    </xf>
    <xf numFmtId="41" fontId="26" fillId="0" borderId="111" xfId="4" applyFont="1" applyBorder="1" applyAlignment="1">
      <alignment horizontal="left" vertical="center"/>
    </xf>
    <xf numFmtId="41" fontId="26" fillId="0" borderId="30" xfId="4" applyFont="1" applyBorder="1" applyAlignment="1">
      <alignment horizontal="left" vertical="center"/>
    </xf>
    <xf numFmtId="0" fontId="35" fillId="9" borderId="110" xfId="0" applyFont="1" applyFill="1" applyBorder="1" applyAlignment="1">
      <alignment horizontal="center" vertical="center"/>
    </xf>
    <xf numFmtId="0" fontId="35" fillId="9" borderId="109" xfId="0" applyFont="1" applyFill="1" applyBorder="1" applyAlignment="1">
      <alignment horizontal="center" vertical="center"/>
    </xf>
    <xf numFmtId="41" fontId="26" fillId="9" borderId="111" xfId="4" applyFont="1" applyFill="1" applyBorder="1" applyAlignment="1">
      <alignment horizontal="left" vertical="center"/>
    </xf>
    <xf numFmtId="41" fontId="26" fillId="9" borderId="30" xfId="4" applyFont="1" applyFill="1" applyBorder="1" applyAlignment="1">
      <alignment horizontal="left" vertical="center"/>
    </xf>
    <xf numFmtId="41" fontId="26" fillId="0" borderId="121" xfId="4" applyFont="1" applyBorder="1" applyAlignment="1">
      <alignment horizontal="left" vertical="center"/>
    </xf>
    <xf numFmtId="41" fontId="26" fillId="0" borderId="120" xfId="4" applyFont="1" applyBorder="1" applyAlignment="1">
      <alignment horizontal="left" vertical="center"/>
    </xf>
    <xf numFmtId="41" fontId="26" fillId="0" borderId="111" xfId="4" applyFont="1" applyFill="1" applyBorder="1" applyAlignment="1">
      <alignment horizontal="left" vertical="center"/>
    </xf>
    <xf numFmtId="41" fontId="26" fillId="0" borderId="30" xfId="4" applyFont="1" applyFill="1" applyBorder="1" applyAlignment="1">
      <alignment horizontal="left" vertical="center"/>
    </xf>
    <xf numFmtId="41" fontId="10" fillId="12" borderId="119" xfId="1" applyFont="1" applyFill="1" applyBorder="1" applyAlignment="1">
      <alignment horizontal="center" vertical="center"/>
    </xf>
    <xf numFmtId="41" fontId="10" fillId="12" borderId="32" xfId="1" applyFont="1" applyFill="1" applyBorder="1" applyAlignment="1">
      <alignment horizontal="center" vertical="center"/>
    </xf>
    <xf numFmtId="41" fontId="10" fillId="12" borderId="35" xfId="1" applyFont="1" applyFill="1" applyBorder="1" applyAlignment="1">
      <alignment horizontal="center" vertical="center"/>
    </xf>
    <xf numFmtId="0" fontId="15" fillId="12" borderId="119" xfId="0" applyFont="1" applyFill="1" applyBorder="1" applyAlignment="1">
      <alignment horizontal="center" vertical="center"/>
    </xf>
    <xf numFmtId="0" fontId="15" fillId="12" borderId="33" xfId="0" applyFont="1" applyFill="1" applyBorder="1" applyAlignment="1">
      <alignment horizontal="center" vertical="center"/>
    </xf>
    <xf numFmtId="41" fontId="26" fillId="9" borderId="111" xfId="4" applyFont="1" applyFill="1" applyBorder="1" applyAlignment="1">
      <alignment horizontal="center" vertical="center"/>
    </xf>
    <xf numFmtId="41" fontId="26" fillId="9" borderId="30" xfId="4" applyFont="1" applyFill="1" applyBorder="1" applyAlignment="1">
      <alignment horizontal="center" vertical="center"/>
    </xf>
    <xf numFmtId="41" fontId="26" fillId="0" borderId="125" xfId="4" applyFont="1" applyBorder="1" applyAlignment="1">
      <alignment horizontal="left" vertical="center" wrapText="1"/>
    </xf>
    <xf numFmtId="41" fontId="26" fillId="0" borderId="43" xfId="4" applyFont="1" applyBorder="1" applyAlignment="1">
      <alignment horizontal="left" vertical="center" wrapText="1"/>
    </xf>
    <xf numFmtId="41" fontId="26" fillId="0" borderId="118" xfId="4" applyFont="1" applyBorder="1" applyAlignment="1">
      <alignment horizontal="left" vertical="center" wrapText="1"/>
    </xf>
    <xf numFmtId="41" fontId="26" fillId="0" borderId="117" xfId="4" applyFont="1" applyBorder="1" applyAlignment="1">
      <alignment horizontal="left" vertical="center" wrapText="1"/>
    </xf>
    <xf numFmtId="0" fontId="39" fillId="9" borderId="110" xfId="0" applyFont="1" applyFill="1" applyBorder="1" applyAlignment="1">
      <alignment horizontal="center" vertical="center"/>
    </xf>
    <xf numFmtId="0" fontId="39" fillId="9" borderId="109" xfId="0" applyFont="1" applyFill="1" applyBorder="1" applyAlignment="1">
      <alignment horizontal="center" vertical="center"/>
    </xf>
    <xf numFmtId="41" fontId="26" fillId="0" borderId="111" xfId="4" applyFont="1" applyFill="1" applyBorder="1" applyAlignment="1">
      <alignment horizontal="center" vertical="center"/>
    </xf>
    <xf numFmtId="41" fontId="26" fillId="0" borderId="30" xfId="4" applyFont="1" applyFill="1" applyBorder="1" applyAlignment="1">
      <alignment horizontal="center" vertical="center"/>
    </xf>
    <xf numFmtId="0" fontId="40" fillId="0" borderId="111" xfId="0" applyFont="1" applyBorder="1" applyAlignment="1">
      <alignment horizontal="left" vertical="center"/>
    </xf>
    <xf numFmtId="0" fontId="40" fillId="0" borderId="30" xfId="0" applyFont="1" applyBorder="1" applyAlignment="1">
      <alignment horizontal="left" vertical="center"/>
    </xf>
    <xf numFmtId="14" fontId="11" fillId="0" borderId="137" xfId="1" applyNumberFormat="1" applyFont="1" applyFill="1" applyBorder="1" applyAlignment="1">
      <alignment horizontal="center" vertical="center"/>
    </xf>
    <xf numFmtId="14" fontId="11" fillId="0" borderId="26" xfId="1" applyNumberFormat="1" applyFont="1" applyFill="1" applyBorder="1" applyAlignment="1">
      <alignment horizontal="center" vertical="center"/>
    </xf>
    <xf numFmtId="14" fontId="11" fillId="0" borderId="128" xfId="1" applyNumberFormat="1" applyFont="1" applyFill="1" applyBorder="1" applyAlignment="1">
      <alignment horizontal="center" vertical="center"/>
    </xf>
    <xf numFmtId="14" fontId="12" fillId="0" borderId="136" xfId="0" applyNumberFormat="1" applyFont="1" applyBorder="1" applyAlignment="1">
      <alignment horizontal="center" vertical="center" wrapText="1"/>
    </xf>
    <xf numFmtId="14" fontId="12" fillId="0" borderId="134" xfId="0" applyNumberFormat="1" applyFont="1" applyBorder="1" applyAlignment="1">
      <alignment horizontal="center" vertical="center" wrapText="1"/>
    </xf>
    <xf numFmtId="14" fontId="12" fillId="0" borderId="127" xfId="0" applyNumberFormat="1" applyFont="1" applyBorder="1" applyAlignment="1">
      <alignment horizontal="center" vertical="center" wrapText="1"/>
    </xf>
    <xf numFmtId="0" fontId="7" fillId="4" borderId="143" xfId="0" applyFont="1" applyFill="1" applyBorder="1" applyAlignment="1">
      <alignment horizontal="center" vertical="center"/>
    </xf>
    <xf numFmtId="0" fontId="8" fillId="0" borderId="139" xfId="0" applyFont="1" applyBorder="1" applyAlignment="1">
      <alignment horizontal="center" vertical="center" wrapText="1"/>
    </xf>
    <xf numFmtId="0" fontId="8" fillId="0" borderId="13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33" xfId="0" applyFont="1" applyBorder="1" applyAlignment="1">
      <alignment horizontal="center" vertical="center" wrapText="1"/>
    </xf>
    <xf numFmtId="0" fontId="8" fillId="0" borderId="130" xfId="0" applyFont="1" applyBorder="1" applyAlignment="1">
      <alignment horizontal="center" vertical="center" wrapText="1"/>
    </xf>
    <xf numFmtId="14" fontId="9" fillId="0" borderId="142" xfId="0" applyNumberFormat="1" applyFont="1" applyBorder="1" applyAlignment="1">
      <alignment horizontal="center" vertical="center"/>
    </xf>
    <xf numFmtId="14" fontId="9" fillId="0" borderId="26" xfId="0" applyNumberFormat="1" applyFont="1" applyBorder="1" applyAlignment="1">
      <alignment horizontal="center" vertical="center"/>
    </xf>
    <xf numFmtId="14" fontId="9" fillId="0" borderId="128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 wrapText="1"/>
    </xf>
    <xf numFmtId="0" fontId="8" fillId="0" borderId="129" xfId="0" applyFont="1" applyBorder="1" applyAlignment="1">
      <alignment horizontal="center" vertical="center" wrapText="1"/>
    </xf>
    <xf numFmtId="0" fontId="7" fillId="3" borderId="163" xfId="0" applyFont="1" applyFill="1" applyBorder="1" applyAlignment="1">
      <alignment horizontal="center" vertical="center"/>
    </xf>
    <xf numFmtId="0" fontId="7" fillId="3" borderId="162" xfId="0" applyFont="1" applyFill="1" applyBorder="1" applyAlignment="1">
      <alignment horizontal="center" vertical="center"/>
    </xf>
    <xf numFmtId="0" fontId="7" fillId="3" borderId="154" xfId="0" applyFont="1" applyFill="1" applyBorder="1" applyAlignment="1">
      <alignment horizontal="center" vertical="center"/>
    </xf>
    <xf numFmtId="0" fontId="7" fillId="3" borderId="153" xfId="0" applyFont="1" applyFill="1" applyBorder="1" applyAlignment="1">
      <alignment horizontal="center" vertical="center"/>
    </xf>
    <xf numFmtId="0" fontId="8" fillId="0" borderId="156" xfId="0" applyFont="1" applyBorder="1" applyAlignment="1">
      <alignment horizontal="center" vertical="center" wrapText="1"/>
    </xf>
    <xf numFmtId="0" fontId="8" fillId="0" borderId="155" xfId="0" applyFont="1" applyBorder="1" applyAlignment="1">
      <alignment horizontal="center" vertical="center"/>
    </xf>
    <xf numFmtId="0" fontId="8" fillId="0" borderId="154" xfId="0" applyFont="1" applyBorder="1" applyAlignment="1">
      <alignment horizontal="center" vertical="center"/>
    </xf>
    <xf numFmtId="0" fontId="8" fillId="0" borderId="153" xfId="0" applyFont="1" applyBorder="1" applyAlignment="1">
      <alignment horizontal="center" vertical="center"/>
    </xf>
    <xf numFmtId="0" fontId="55" fillId="14" borderId="172" xfId="59" applyFont="1" applyFill="1" applyBorder="1" applyAlignment="1">
      <alignment horizontal="center" vertical="center"/>
    </xf>
    <xf numFmtId="0" fontId="55" fillId="14" borderId="171" xfId="59" applyFont="1" applyFill="1" applyBorder="1" applyAlignment="1">
      <alignment horizontal="center" vertical="center"/>
    </xf>
    <xf numFmtId="2" fontId="36" fillId="0" borderId="169" xfId="59" applyNumberFormat="1" applyFont="1" applyBorder="1" applyAlignment="1">
      <alignment horizontal="center" vertical="center"/>
    </xf>
    <xf numFmtId="180" fontId="18" fillId="0" borderId="169" xfId="59" applyNumberFormat="1" applyFont="1" applyBorder="1" applyAlignment="1">
      <alignment horizontal="center" vertical="center"/>
    </xf>
    <xf numFmtId="183" fontId="45" fillId="0" borderId="166" xfId="59" applyNumberFormat="1" applyFont="1" applyBorder="1" applyAlignment="1">
      <alignment horizontal="center" vertical="center"/>
    </xf>
    <xf numFmtId="183" fontId="45" fillId="0" borderId="165" xfId="59" applyNumberFormat="1" applyFont="1" applyBorder="1" applyAlignment="1">
      <alignment horizontal="center" vertical="center"/>
    </xf>
    <xf numFmtId="183" fontId="45" fillId="0" borderId="168" xfId="59" applyNumberFormat="1" applyFont="1" applyBorder="1" applyAlignment="1">
      <alignment horizontal="center" vertical="center"/>
    </xf>
    <xf numFmtId="0" fontId="45" fillId="11" borderId="166" xfId="59" applyFont="1" applyFill="1" applyBorder="1" applyAlignment="1">
      <alignment horizontal="center" vertical="center"/>
    </xf>
    <xf numFmtId="0" fontId="45" fillId="11" borderId="165" xfId="59" applyFont="1" applyFill="1" applyBorder="1" applyAlignment="1">
      <alignment horizontal="center" vertical="center"/>
    </xf>
    <xf numFmtId="0" fontId="10" fillId="0" borderId="36" xfId="0" quotePrefix="1" applyFont="1" applyBorder="1" applyAlignment="1">
      <alignment horizontal="left" vertical="center" indent="1"/>
    </xf>
    <xf numFmtId="0" fontId="10" fillId="0" borderId="37" xfId="0" applyFont="1" applyBorder="1" applyAlignment="1">
      <alignment horizontal="left" vertical="center" indent="1"/>
    </xf>
    <xf numFmtId="41" fontId="7" fillId="4" borderId="44" xfId="1" applyFont="1" applyFill="1" applyBorder="1" applyAlignment="1">
      <alignment horizontal="center" vertical="center"/>
    </xf>
    <xf numFmtId="41" fontId="7" fillId="4" borderId="45" xfId="1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</cellXfs>
  <cellStyles count="78">
    <cellStyle name="백분율" xfId="2" builtinId="5"/>
    <cellStyle name="백분율 2" xfId="9" xr:uid="{25852F0E-5509-4E40-88F4-90C9703E8F12}"/>
    <cellStyle name="백분율 2 2" xfId="64" xr:uid="{AAEBBFD6-5E4C-457C-9C53-E6EFA06BC0E9}"/>
    <cellStyle name="백분율 4 2" xfId="6" xr:uid="{12018565-D263-49FB-9C89-D413ED4ED878}"/>
    <cellStyle name="쉼표 [0]" xfId="1" builtinId="6"/>
    <cellStyle name="쉼표 [0] 2" xfId="11" xr:uid="{7CF57215-739F-45EF-879D-86C1F1680D6C}"/>
    <cellStyle name="쉼표 [0] 2 2" xfId="12" xr:uid="{4CEDF282-61A9-4352-88E6-B546700EB21A}"/>
    <cellStyle name="쉼표 [0] 2 2 2" xfId="17" xr:uid="{8A2B0A40-F715-452E-B39C-F1E3716672D3}"/>
    <cellStyle name="쉼표 [0] 2 2 2 2" xfId="19" xr:uid="{76A0992E-1B63-4333-895E-2BEDCA666E56}"/>
    <cellStyle name="쉼표 [0] 2 2 2 2 2" xfId="41" xr:uid="{02EFA88C-F699-4152-B984-31A3CA55D4F6}"/>
    <cellStyle name="쉼표 [0] 2 2 2 2 2 2" xfId="4" xr:uid="{6906279A-AC0C-4E5A-B807-6BB92A348E6E}"/>
    <cellStyle name="쉼표 [0] 2 2 2 2 2 2 2" xfId="54" xr:uid="{B19A521B-12D1-4EB5-BFEE-31396712A208}"/>
    <cellStyle name="쉼표 [0] 2 2 2 2 3" xfId="50" xr:uid="{1A5F3DDC-80A5-421A-8A99-6EA419F76DCE}"/>
    <cellStyle name="쉼표 [0] 2 2 2 2 4" xfId="31" xr:uid="{BBF4C479-5EE6-4F2A-8C8F-0D963EB1719E}"/>
    <cellStyle name="쉼표 [0] 2 2 2 3" xfId="21" xr:uid="{51CEEC6C-0959-4B0B-8E15-5FC580D1EDD3}"/>
    <cellStyle name="쉼표 [0] 2 2 2 3 2" xfId="42" xr:uid="{028E765C-3883-40F5-A8F6-14E4804AE80C}"/>
    <cellStyle name="쉼표 [0] 2 2 2 3 3" xfId="51" xr:uid="{DF0344C5-D75C-4A6C-B76D-C7E53179FA96}"/>
    <cellStyle name="쉼표 [0] 2 2 2 3 4" xfId="32" xr:uid="{1E358FA6-9094-479E-A6E3-CA4F75161141}"/>
    <cellStyle name="쉼표 [0] 2 2 2 4" xfId="23" xr:uid="{CC959700-BD17-453C-B60F-A9AFF2AF17C8}"/>
    <cellStyle name="쉼표 [0] 2 2 2 4 2" xfId="43" xr:uid="{1DB56674-A40D-45FC-A8B2-BDFB31007CF2}"/>
    <cellStyle name="쉼표 [0] 2 2 2 4 3" xfId="52" xr:uid="{6C978BEC-4830-467E-B69D-896A47278956}"/>
    <cellStyle name="쉼표 [0] 2 2 2 4 4" xfId="33" xr:uid="{79017297-7CC7-462F-8B89-68A36DFA1E76}"/>
    <cellStyle name="쉼표 [0] 2 2 2 5" xfId="40" xr:uid="{E0C2717B-F235-41B6-BEF5-D80DED739368}"/>
    <cellStyle name="쉼표 [0] 2 2 2 6" xfId="49" xr:uid="{3091E205-8F43-4019-AAC6-6B28812CD969}"/>
    <cellStyle name="쉼표 [0] 2 2 2 7" xfId="30" xr:uid="{3D7E05E9-5142-497C-979D-88524E7C95EC}"/>
    <cellStyle name="쉼표 [0] 2 2 3" xfId="38" xr:uid="{52600639-F38B-446A-A419-BC5F06B4A98C}"/>
    <cellStyle name="쉼표 [0] 2 2 4" xfId="47" xr:uid="{641B4FC0-A255-4810-9910-5060524229DA}"/>
    <cellStyle name="쉼표 [0] 2 2 5" xfId="28" xr:uid="{A51DCD81-CE9F-4463-BA5E-3686DD4B7F22}"/>
    <cellStyle name="쉼표 [0] 2 2 6" xfId="69" xr:uid="{00BCEE0C-6443-4D82-87CF-B7161322636B}"/>
    <cellStyle name="쉼표 [0] 2 3" xfId="37" xr:uid="{8C6DF835-7565-4209-A229-C89001AEF408}"/>
    <cellStyle name="쉼표 [0] 2 4" xfId="46" xr:uid="{33D73C88-B08E-4FAC-BADD-97C5B3CEEC73}"/>
    <cellStyle name="쉼표 [0] 2 5" xfId="27" xr:uid="{35DE4A90-77DD-4378-B470-820F2A9687BC}"/>
    <cellStyle name="쉼표 [0] 2 6" xfId="58" xr:uid="{44E07A60-D8CB-4F07-9B7B-0100142434F6}"/>
    <cellStyle name="쉼표 [0] 3" xfId="13" xr:uid="{387C2A38-7458-410E-B64F-5F991F5F3860}"/>
    <cellStyle name="쉼표 [0] 3 2" xfId="39" xr:uid="{1DF8CDCD-33D3-4E76-9D83-2F1B6A90FF12}"/>
    <cellStyle name="쉼표 [0] 3 3" xfId="48" xr:uid="{50BD60BC-5BA2-422F-9614-5E632C848D81}"/>
    <cellStyle name="쉼표 [0] 3 4" xfId="29" xr:uid="{8E35F9F5-3A82-488E-BF76-6725528FD657}"/>
    <cellStyle name="쉼표 [0] 3 5" xfId="62" xr:uid="{0E89F0EF-08CF-473A-B8CC-28D8C00386CC}"/>
    <cellStyle name="쉼표 [0] 3 6" xfId="67" xr:uid="{73366A91-FD3C-4856-8EAC-1D1AD6FC2334}"/>
    <cellStyle name="쉼표 [0] 3 7" xfId="70" xr:uid="{AB7CBE36-EE6C-4988-BB84-65FA09E5B21C}"/>
    <cellStyle name="쉼표 [0] 3 8" xfId="74" xr:uid="{B1CADE67-B041-4EC0-8E86-2BB8775ED0EA}"/>
    <cellStyle name="쉼표 [0] 4" xfId="25" xr:uid="{87A5F6A5-1D46-4408-BE80-E2A18DB5412B}"/>
    <cellStyle name="쉼표 [0] 4 2" xfId="44" xr:uid="{EBF69DC3-5304-4B8E-8B0D-E4F26E73F255}"/>
    <cellStyle name="쉼표 [0] 4 3" xfId="53" xr:uid="{EC7643A5-EF71-4E97-B05F-623193C377AD}"/>
    <cellStyle name="쉼표 [0] 4 4" xfId="34" xr:uid="{1663CCD1-B719-469E-A18D-1340E1C445A2}"/>
    <cellStyle name="쉼표 [0] 5" xfId="36" xr:uid="{42941C1A-84C3-45A9-9393-D3582843F5C6}"/>
    <cellStyle name="쉼표 [0] 5 3" xfId="55" xr:uid="{3D5344EB-4E6C-4159-8B78-42A53086B6E8}"/>
    <cellStyle name="쉼표 [0] 6" xfId="45" xr:uid="{97D4C317-9B05-4230-9B2B-9AC95750C1E8}"/>
    <cellStyle name="쉼표 [0] 6 2" xfId="63" xr:uid="{15963413-61D2-4281-BA56-1FFD8370FFC7}"/>
    <cellStyle name="쉼표 [0] 6 2 2" xfId="73" xr:uid="{C4BC6282-8C40-4AF9-94E7-1BE059C55E89}"/>
    <cellStyle name="쉼표 [0] 6 3" xfId="68" xr:uid="{27C375D8-26BD-43D8-A6D3-C6457A91CE75}"/>
    <cellStyle name="쉼표 [0] 6 4" xfId="71" xr:uid="{F4143593-33F2-453F-A101-25C0BCEB8B3A}"/>
    <cellStyle name="쉼표 [0] 6 5" xfId="75" xr:uid="{D8D43022-76BF-4386-A00B-0256BB86B1F4}"/>
    <cellStyle name="쉼표 [0] 7" xfId="26" xr:uid="{83492A79-CF18-494F-A87A-1BB77FAEFD66}"/>
    <cellStyle name="쉼표 [0] 8" xfId="7" xr:uid="{E875D6C0-8D32-4B50-A01E-028283C6DB18}"/>
    <cellStyle name="쉼표 [0] 9 2" xfId="77" xr:uid="{A002186D-3F19-4ED3-80A8-F51ABACBAFB0}"/>
    <cellStyle name="표준" xfId="0" builtinId="0"/>
    <cellStyle name="표준 2" xfId="3" xr:uid="{6303D2AA-3D3E-4A47-9A4D-7890EC389219}"/>
    <cellStyle name="표준 2 2" xfId="10" xr:uid="{0089E682-5A7F-4E12-8FD0-DC8E85B15B11}"/>
    <cellStyle name="표준 2 2 2" xfId="16" xr:uid="{BBF22905-57FA-4FB4-93B1-F1F80EC52C5D}"/>
    <cellStyle name="표준 2 2 2 2" xfId="18" xr:uid="{00D2A9B1-00A8-4599-8F85-BA607FD06EAE}"/>
    <cellStyle name="표준 2 2 2 3" xfId="20" xr:uid="{511EDBEA-3E60-4941-AC04-2871EAC5D2E3}"/>
    <cellStyle name="표준 2 2 2 4" xfId="22" xr:uid="{A4EABBE0-5067-4C25-A4C7-4884EF85D5FC}"/>
    <cellStyle name="표준 2 2 2 5" xfId="24" xr:uid="{A7E42C14-2156-4859-9C92-966098CF8450}"/>
    <cellStyle name="표준 2 2 3" xfId="59" xr:uid="{C1EB4E8B-0643-45B3-AC62-5BE55431FC37}"/>
    <cellStyle name="표준 2 3" xfId="35" xr:uid="{33EA5EDC-6D5A-4FF8-9DCA-9DD7FF46DF95}"/>
    <cellStyle name="표준 2 3 2" xfId="61" xr:uid="{C043DCBC-736A-4271-82E5-B9588BC41C52}"/>
    <cellStyle name="표준 2 4" xfId="66" xr:uid="{2FE78ADE-05FC-4446-9907-56AD056B378B}"/>
    <cellStyle name="표준 2 5" xfId="57" xr:uid="{C44F7213-70B5-4E93-B1B4-74BE050D3F0B}"/>
    <cellStyle name="표준 3" xfId="14" xr:uid="{44CC71CD-9915-46B5-8A4E-3398F7A53180}"/>
    <cellStyle name="표준 3 2" xfId="65" xr:uid="{F41F96BA-0542-4BEA-B431-01D7863DCACD}"/>
    <cellStyle name="표준 3 3" xfId="60" xr:uid="{8857B742-1F03-4CB6-B846-A0361970D01F}"/>
    <cellStyle name="표준 4" xfId="8" xr:uid="{2C3E50D2-EEE4-4247-AE6E-F50270F528F0}"/>
    <cellStyle name="표준 4 2" xfId="5" xr:uid="{BEE202D8-01CD-4CA9-845B-784DFB9362E9}"/>
    <cellStyle name="표준 4 2 2" xfId="72" xr:uid="{2AB8DACC-1929-40F3-BE47-5CE11BC2E4F0}"/>
    <cellStyle name="표준 5" xfId="56" xr:uid="{F3E0F9A6-AE8F-4296-9B50-8A2D1F132F25}"/>
    <cellStyle name="하이퍼링크" xfId="76" builtinId="8"/>
    <cellStyle name="하이퍼링크 2" xfId="15" xr:uid="{C0D440E3-3CA0-452E-BE19-3009D860EB2C}"/>
  </cellStyles>
  <dxfs count="24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0"/>
      </font>
      <fill>
        <patternFill>
          <bgColor theme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double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</dxfs>
  <tableStyles count="2" defaultTableStyle="TableStyleMedium2" defaultPivotStyle="PivotStyleLight16">
    <tableStyle name="Invisible" pivot="0" table="0" count="0" xr9:uid="{E7B31738-0BCF-45D0-8F70-6397A670BED7}"/>
    <tableStyle name="표 스타일 1" pivot="0" count="2" xr9:uid="{8C9B333C-D34E-4531-B157-F67A20B4ACA4}">
      <tableStyleElement type="wholeTable" dxfId="23"/>
      <tableStyleElement type="headerRow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512059</xdr:colOff>
      <xdr:row>1</xdr:row>
      <xdr:rowOff>1</xdr:rowOff>
    </xdr:from>
    <xdr:to>
      <xdr:col>14</xdr:col>
      <xdr:colOff>133350</xdr:colOff>
      <xdr:row>2</xdr:row>
      <xdr:rowOff>19051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8583DDE-11A2-4EDB-ABAD-44E025FBB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14913859" y="123826"/>
          <a:ext cx="1583441" cy="400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502534</xdr:colOff>
      <xdr:row>1</xdr:row>
      <xdr:rowOff>9525</xdr:rowOff>
    </xdr:from>
    <xdr:to>
      <xdr:col>17</xdr:col>
      <xdr:colOff>0</xdr:colOff>
      <xdr:row>2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02D4910-9079-468C-896B-53EFC34045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14456659" y="133350"/>
          <a:ext cx="1650116" cy="400050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23</xdr:row>
      <xdr:rowOff>0</xdr:rowOff>
    </xdr:from>
    <xdr:to>
      <xdr:col>9</xdr:col>
      <xdr:colOff>353491</xdr:colOff>
      <xdr:row>29</xdr:row>
      <xdr:rowOff>9742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4F1824D-1EE9-B05F-B637-41949689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9667875"/>
          <a:ext cx="7640116" cy="15527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9</xdr:col>
      <xdr:colOff>286803</xdr:colOff>
      <xdr:row>37</xdr:row>
      <xdr:rowOff>66936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E091D81-316F-B642-5F29-A2BA5D9C8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11468100"/>
          <a:ext cx="7544853" cy="18671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874009</xdr:colOff>
      <xdr:row>1</xdr:row>
      <xdr:rowOff>0</xdr:rowOff>
    </xdr:from>
    <xdr:ext cx="1579631" cy="400050"/>
    <xdr:pic>
      <xdr:nvPicPr>
        <xdr:cNvPr id="2" name="그림 1">
          <a:extLst>
            <a:ext uri="{FF2B5EF4-FFF2-40B4-BE49-F238E27FC236}">
              <a16:creationId xmlns:a16="http://schemas.microsoft.com/office/drawing/2014/main" id="{62E86BC5-8D6E-4EDC-B092-F7D62AF16F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8913109" y="220980"/>
          <a:ext cx="1579631" cy="4000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495300</xdr:colOff>
      <xdr:row>1</xdr:row>
      <xdr:rowOff>9525</xdr:rowOff>
    </xdr:from>
    <xdr:ext cx="1463040" cy="381000"/>
    <xdr:pic>
      <xdr:nvPicPr>
        <xdr:cNvPr id="2" name="그림 1">
          <a:extLst>
            <a:ext uri="{FF2B5EF4-FFF2-40B4-BE49-F238E27FC236}">
              <a16:creationId xmlns:a16="http://schemas.microsoft.com/office/drawing/2014/main" id="{D7F103B5-6CAC-47DE-B590-50E68EBB6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8039100" y="230505"/>
          <a:ext cx="1463040" cy="381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276382</xdr:colOff>
      <xdr:row>1</xdr:row>
      <xdr:rowOff>0</xdr:rowOff>
    </xdr:from>
    <xdr:ext cx="1257143" cy="352381"/>
    <xdr:pic>
      <xdr:nvPicPr>
        <xdr:cNvPr id="2" name="그림 1">
          <a:extLst>
            <a:ext uri="{FF2B5EF4-FFF2-40B4-BE49-F238E27FC236}">
              <a16:creationId xmlns:a16="http://schemas.microsoft.com/office/drawing/2014/main" id="{BE78CA8B-ABE9-468B-8B00-2816527D8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3102" y="220980"/>
          <a:ext cx="1257143" cy="35238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1253367</xdr:colOff>
      <xdr:row>1</xdr:row>
      <xdr:rowOff>0</xdr:rowOff>
    </xdr:from>
    <xdr:ext cx="2076573" cy="381000"/>
    <xdr:pic>
      <xdr:nvPicPr>
        <xdr:cNvPr id="2" name="그림 1">
          <a:extLst>
            <a:ext uri="{FF2B5EF4-FFF2-40B4-BE49-F238E27FC236}">
              <a16:creationId xmlns:a16="http://schemas.microsoft.com/office/drawing/2014/main" id="{CE3B1A9B-12CA-493C-A2F3-9DBA53317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3287" y="220980"/>
          <a:ext cx="2076573" cy="3810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502534</xdr:colOff>
      <xdr:row>1</xdr:row>
      <xdr:rowOff>9525</xdr:rowOff>
    </xdr:from>
    <xdr:to>
      <xdr:col>17</xdr:col>
      <xdr:colOff>0</xdr:colOff>
      <xdr:row>2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3B453B-8468-4BB1-BB15-47B3470A2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14894809" y="133350"/>
          <a:ext cx="1650116" cy="400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9</xdr:col>
      <xdr:colOff>391593</xdr:colOff>
      <xdr:row>39</xdr:row>
      <xdr:rowOff>57409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6CC7156-BEE0-551D-EAED-36807AEAF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7610475"/>
          <a:ext cx="7649643" cy="185763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190239</xdr:rowOff>
    </xdr:from>
    <xdr:to>
      <xdr:col>9</xdr:col>
      <xdr:colOff>448751</xdr:colOff>
      <xdr:row>47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2FDAB71-43EB-6BC4-0D84-A1C10ACA1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9600939"/>
          <a:ext cx="7706801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502534</xdr:colOff>
      <xdr:row>1</xdr:row>
      <xdr:rowOff>9525</xdr:rowOff>
    </xdr:from>
    <xdr:to>
      <xdr:col>17</xdr:col>
      <xdr:colOff>0</xdr:colOff>
      <xdr:row>2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8AF6547-EFBB-4E60-B7EC-7202107573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14894809" y="133350"/>
          <a:ext cx="1650116" cy="400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9</xdr:col>
      <xdr:colOff>370521</xdr:colOff>
      <xdr:row>35</xdr:row>
      <xdr:rowOff>95013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8992DAD-BAF8-5156-52EC-981611AA2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6496050"/>
          <a:ext cx="7628571" cy="18952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502534</xdr:colOff>
      <xdr:row>1</xdr:row>
      <xdr:rowOff>9525</xdr:rowOff>
    </xdr:from>
    <xdr:to>
      <xdr:col>17</xdr:col>
      <xdr:colOff>0</xdr:colOff>
      <xdr:row>2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0A50364-DFFB-4ED7-864B-90BCF8669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14894809" y="133350"/>
          <a:ext cx="1650116" cy="400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104538</xdr:rowOff>
    </xdr:from>
    <xdr:to>
      <xdr:col>8</xdr:col>
      <xdr:colOff>715343</xdr:colOff>
      <xdr:row>35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117EEB0-31A1-25F4-37D5-B1FEA9E79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00588"/>
          <a:ext cx="6935168" cy="16956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502534</xdr:colOff>
      <xdr:row>1</xdr:row>
      <xdr:rowOff>0</xdr:rowOff>
    </xdr:from>
    <xdr:to>
      <xdr:col>17</xdr:col>
      <xdr:colOff>0</xdr:colOff>
      <xdr:row>2</xdr:row>
      <xdr:rowOff>19050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75F36AD-9AF4-48F7-BEC8-9F989412F8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15628234" y="123825"/>
          <a:ext cx="1650116" cy="400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8</xdr:col>
      <xdr:colOff>371475</xdr:colOff>
      <xdr:row>35</xdr:row>
      <xdr:rowOff>161925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F00EBDC-3ED0-1547-D30E-71FCA890C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715125"/>
          <a:ext cx="6858000" cy="1704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502534</xdr:colOff>
      <xdr:row>1</xdr:row>
      <xdr:rowOff>0</xdr:rowOff>
    </xdr:from>
    <xdr:to>
      <xdr:col>17</xdr:col>
      <xdr:colOff>0</xdr:colOff>
      <xdr:row>2</xdr:row>
      <xdr:rowOff>19050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791E47-2CA0-4240-A2E6-6CCA631E8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15628234" y="123825"/>
          <a:ext cx="1650116" cy="400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8</xdr:col>
      <xdr:colOff>418237</xdr:colOff>
      <xdr:row>35</xdr:row>
      <xdr:rowOff>180760</xdr:rowOff>
    </xdr:to>
    <xdr:pic>
      <xdr:nvPicPr>
        <xdr:cNvPr id="3" name="그림 2" descr="텍스트, 스크린샷, 번호, 폰트이(가) 표시된 사진&#10;&#10;자동 생성된 설명">
          <a:extLst>
            <a:ext uri="{FF2B5EF4-FFF2-40B4-BE49-F238E27FC236}">
              <a16:creationId xmlns:a16="http://schemas.microsoft.com/office/drawing/2014/main" id="{D29D53E2-C262-CB21-1B61-1EF8F522F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6715125"/>
          <a:ext cx="6904762" cy="17238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502534</xdr:colOff>
      <xdr:row>1</xdr:row>
      <xdr:rowOff>0</xdr:rowOff>
    </xdr:from>
    <xdr:to>
      <xdr:col>17</xdr:col>
      <xdr:colOff>0</xdr:colOff>
      <xdr:row>2</xdr:row>
      <xdr:rowOff>19050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8E41D99-254B-4415-BA56-B67A64059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15628234" y="123825"/>
          <a:ext cx="1650116" cy="400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238385</xdr:rowOff>
    </xdr:from>
    <xdr:to>
      <xdr:col>8</xdr:col>
      <xdr:colOff>380142</xdr:colOff>
      <xdr:row>40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229652A-475C-16CA-C5AC-F09E73586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7467860"/>
          <a:ext cx="6866667" cy="207619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635884</xdr:colOff>
      <xdr:row>1</xdr:row>
      <xdr:rowOff>0</xdr:rowOff>
    </xdr:from>
    <xdr:to>
      <xdr:col>13</xdr:col>
      <xdr:colOff>0</xdr:colOff>
      <xdr:row>2</xdr:row>
      <xdr:rowOff>19050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E3E05D-1122-4ED1-81B3-8922947799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12913609" y="123825"/>
          <a:ext cx="1583441" cy="4000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635884</xdr:colOff>
      <xdr:row>1</xdr:row>
      <xdr:rowOff>0</xdr:rowOff>
    </xdr:from>
    <xdr:to>
      <xdr:col>13</xdr:col>
      <xdr:colOff>0</xdr:colOff>
      <xdr:row>2</xdr:row>
      <xdr:rowOff>19050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BB3E1A7-FECC-4A31-9C72-E38A2955FC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13056484" y="123825"/>
          <a:ext cx="1583441" cy="4000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512059</xdr:colOff>
      <xdr:row>1</xdr:row>
      <xdr:rowOff>1</xdr:rowOff>
    </xdr:from>
    <xdr:to>
      <xdr:col>13</xdr:col>
      <xdr:colOff>2095500</xdr:colOff>
      <xdr:row>2</xdr:row>
      <xdr:rowOff>19051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187AC3-790B-404A-BB9E-7FC8BED035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67" b="23003"/>
        <a:stretch/>
      </xdr:blipFill>
      <xdr:spPr>
        <a:xfrm>
          <a:off x="14675734" y="123826"/>
          <a:ext cx="1583441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963F-EAB1-4953-910B-E57A2F4EBF31}">
  <sheetPr>
    <tabColor theme="1"/>
  </sheetPr>
  <dimension ref="B1:P31"/>
  <sheetViews>
    <sheetView showGridLines="0" zoomScaleNormal="100" workbookViewId="0">
      <selection activeCell="E31" sqref="E31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22.59765625" style="1" customWidth="1"/>
    <col min="6" max="6" width="30" style="1" customWidth="1"/>
    <col min="7" max="8" width="15.3984375" style="1" customWidth="1"/>
    <col min="9" max="9" width="14.69921875" style="1" customWidth="1"/>
    <col min="10" max="10" width="17.09765625" style="1" customWidth="1"/>
    <col min="11" max="11" width="14.59765625" style="1" bestFit="1" customWidth="1"/>
    <col min="12" max="12" width="13.09765625" style="1" bestFit="1" customWidth="1"/>
    <col min="13" max="13" width="16.09765625" style="1" bestFit="1" customWidth="1"/>
    <col min="14" max="14" width="25.69921875" style="1" customWidth="1"/>
    <col min="15" max="16" width="2.59765625" style="1" customWidth="1"/>
    <col min="17" max="17" width="10.5" style="1" bestFit="1" customWidth="1"/>
    <col min="18" max="16384" width="9" style="1"/>
  </cols>
  <sheetData>
    <row r="1" spans="2:16" ht="9.9" customHeight="1"/>
    <row r="2" spans="2:16" s="5" customFormat="1" ht="30" customHeight="1">
      <c r="B2" s="2" t="s">
        <v>31</v>
      </c>
      <c r="C2" s="2"/>
      <c r="D2" s="2"/>
      <c r="E2" s="3"/>
      <c r="F2" s="4"/>
      <c r="G2" s="4"/>
      <c r="H2" s="4" t="s">
        <v>32</v>
      </c>
      <c r="I2" s="4"/>
      <c r="J2" s="4"/>
      <c r="K2" s="4"/>
      <c r="L2" s="4"/>
      <c r="M2" s="4"/>
      <c r="N2" s="4"/>
    </row>
    <row r="3" spans="2:16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6" ht="9.9" customHeight="1" thickBot="1"/>
    <row r="5" spans="2:16" ht="18.75" customHeight="1">
      <c r="B5" s="317" t="s">
        <v>0</v>
      </c>
      <c r="C5" s="318"/>
      <c r="D5" s="8" t="s">
        <v>1</v>
      </c>
      <c r="E5" s="319" t="s">
        <v>2</v>
      </c>
      <c r="F5" s="319"/>
      <c r="G5" s="7" t="s">
        <v>3</v>
      </c>
      <c r="H5" s="7" t="s">
        <v>4</v>
      </c>
      <c r="I5" s="8" t="s">
        <v>5</v>
      </c>
      <c r="J5" s="320" t="s">
        <v>6</v>
      </c>
      <c r="K5" s="320"/>
      <c r="L5" s="320"/>
      <c r="M5" s="9" t="s">
        <v>7</v>
      </c>
      <c r="N5" s="10" t="s">
        <v>8</v>
      </c>
    </row>
    <row r="6" spans="2:16" ht="18.75" customHeight="1">
      <c r="B6" s="305" t="s">
        <v>24</v>
      </c>
      <c r="C6" s="321"/>
      <c r="D6" s="30">
        <v>45021</v>
      </c>
      <c r="E6" s="322" t="s">
        <v>27</v>
      </c>
      <c r="F6" s="322"/>
      <c r="G6" s="11">
        <f>M26</f>
        <v>0</v>
      </c>
      <c r="H6" s="12">
        <f>G6*10%</f>
        <v>0</v>
      </c>
      <c r="I6" s="12">
        <f>SUM(G6:H6)</f>
        <v>0</v>
      </c>
      <c r="J6" s="323" t="s">
        <v>26</v>
      </c>
      <c r="K6" s="323"/>
      <c r="L6" s="323"/>
      <c r="M6" s="32">
        <v>45026</v>
      </c>
      <c r="N6" s="31">
        <v>45031</v>
      </c>
      <c r="O6" s="14"/>
    </row>
    <row r="7" spans="2:16" ht="18.75" customHeight="1" thickBot="1">
      <c r="B7" s="301" t="s">
        <v>9</v>
      </c>
      <c r="C7" s="302"/>
      <c r="D7" s="302"/>
      <c r="E7" s="302"/>
      <c r="F7" s="302"/>
      <c r="G7" s="15">
        <f>SUM(G6:G6)</f>
        <v>0</v>
      </c>
      <c r="H7" s="15">
        <f>SUM(H6:H6)</f>
        <v>0</v>
      </c>
      <c r="I7" s="15">
        <f>SUM(I6:I6)</f>
        <v>0</v>
      </c>
      <c r="J7" s="324" t="s">
        <v>10</v>
      </c>
      <c r="K7" s="303"/>
      <c r="L7" s="303"/>
      <c r="M7" s="303"/>
      <c r="N7" s="304"/>
      <c r="O7" s="16"/>
    </row>
    <row r="8" spans="2:16" ht="12.9" customHeight="1"/>
    <row r="9" spans="2:16">
      <c r="B9" s="17" t="s">
        <v>25</v>
      </c>
      <c r="C9" s="17"/>
    </row>
    <row r="10" spans="2:16" s="13" customFormat="1" ht="20.25" customHeight="1">
      <c r="B10" s="18" t="s">
        <v>11</v>
      </c>
      <c r="C10" s="19" t="s">
        <v>12</v>
      </c>
      <c r="D10" s="19" t="s">
        <v>13</v>
      </c>
      <c r="E10" s="19" t="s">
        <v>14</v>
      </c>
      <c r="F10" s="19" t="s">
        <v>15</v>
      </c>
      <c r="G10" s="19" t="s">
        <v>16</v>
      </c>
      <c r="H10" s="19" t="s">
        <v>17</v>
      </c>
      <c r="I10" s="19" t="s">
        <v>18</v>
      </c>
      <c r="J10" s="19" t="s">
        <v>19</v>
      </c>
      <c r="K10" s="19" t="s">
        <v>20</v>
      </c>
      <c r="L10" s="19" t="s">
        <v>21</v>
      </c>
      <c r="M10" s="20" t="s">
        <v>22</v>
      </c>
      <c r="N10" s="21" t="s">
        <v>23</v>
      </c>
    </row>
    <row r="11" spans="2:16" s="13" customFormat="1" ht="18" customHeight="1">
      <c r="B11" s="325" t="s">
        <v>28</v>
      </c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7"/>
      <c r="N11" s="47"/>
      <c r="P11" s="26"/>
    </row>
    <row r="12" spans="2:16" s="13" customFormat="1" ht="20.25" customHeight="1">
      <c r="B12" s="33"/>
      <c r="C12" s="34"/>
      <c r="D12" s="34"/>
      <c r="E12" s="34"/>
      <c r="F12" s="34"/>
      <c r="G12" s="35"/>
      <c r="H12" s="34"/>
      <c r="I12" s="22"/>
      <c r="J12" s="36"/>
      <c r="K12" s="23"/>
      <c r="L12" s="37"/>
      <c r="M12" s="24"/>
      <c r="N12" s="25"/>
      <c r="P12" s="26"/>
    </row>
    <row r="13" spans="2:16" s="13" customFormat="1" ht="20.25" customHeight="1">
      <c r="B13" s="33"/>
      <c r="C13" s="34"/>
      <c r="D13" s="34"/>
      <c r="E13" s="34"/>
      <c r="F13" s="34"/>
      <c r="G13" s="35"/>
      <c r="H13" s="34"/>
      <c r="I13" s="22"/>
      <c r="J13" s="36"/>
      <c r="K13" s="23"/>
      <c r="L13" s="37"/>
      <c r="M13" s="24"/>
      <c r="N13" s="25"/>
      <c r="P13" s="26"/>
    </row>
    <row r="14" spans="2:16" s="13" customFormat="1" ht="20.25" customHeight="1">
      <c r="B14" s="33"/>
      <c r="C14" s="34"/>
      <c r="D14" s="34"/>
      <c r="E14" s="34"/>
      <c r="F14" s="34"/>
      <c r="G14" s="35"/>
      <c r="H14" s="34"/>
      <c r="I14" s="22"/>
      <c r="J14" s="36"/>
      <c r="K14" s="23"/>
      <c r="L14" s="37"/>
      <c r="M14" s="24"/>
      <c r="N14" s="25"/>
      <c r="P14" s="26"/>
    </row>
    <row r="15" spans="2:16" s="13" customFormat="1" ht="20.25" customHeight="1">
      <c r="B15" s="33"/>
      <c r="C15" s="34"/>
      <c r="D15" s="34"/>
      <c r="E15" s="34"/>
      <c r="F15" s="34"/>
      <c r="G15" s="35"/>
      <c r="H15" s="34"/>
      <c r="I15" s="22"/>
      <c r="J15" s="36"/>
      <c r="K15" s="23"/>
      <c r="L15" s="37"/>
      <c r="M15" s="24"/>
      <c r="N15" s="25"/>
      <c r="P15" s="26"/>
    </row>
    <row r="16" spans="2:16" s="13" customFormat="1" ht="18" customHeight="1">
      <c r="B16" s="328" t="s">
        <v>29</v>
      </c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30"/>
      <c r="N16" s="48"/>
      <c r="P16" s="26"/>
    </row>
    <row r="17" spans="2:16" s="13" customFormat="1" ht="20.25" customHeight="1">
      <c r="B17" s="33"/>
      <c r="C17" s="34"/>
      <c r="D17" s="34"/>
      <c r="E17" s="34"/>
      <c r="F17" s="34"/>
      <c r="G17" s="35"/>
      <c r="H17" s="34"/>
      <c r="I17" s="22"/>
      <c r="J17" s="36"/>
      <c r="K17" s="23"/>
      <c r="L17" s="37"/>
      <c r="M17" s="24"/>
      <c r="N17" s="27"/>
    </row>
    <row r="18" spans="2:16" s="13" customFormat="1" ht="20.25" customHeight="1">
      <c r="B18" s="33"/>
      <c r="C18" s="34"/>
      <c r="D18" s="34"/>
      <c r="E18" s="34"/>
      <c r="F18" s="34"/>
      <c r="G18" s="35"/>
      <c r="H18" s="34"/>
      <c r="I18" s="22"/>
      <c r="J18" s="36"/>
      <c r="K18" s="23"/>
      <c r="L18" s="37"/>
      <c r="M18" s="24"/>
      <c r="N18" s="27"/>
    </row>
    <row r="19" spans="2:16" s="13" customFormat="1" ht="20.25" customHeight="1">
      <c r="B19" s="33"/>
      <c r="C19" s="34"/>
      <c r="D19" s="34"/>
      <c r="E19" s="34"/>
      <c r="F19" s="34"/>
      <c r="G19" s="35"/>
      <c r="H19" s="34"/>
      <c r="I19" s="22"/>
      <c r="J19" s="36"/>
      <c r="K19" s="23"/>
      <c r="L19" s="37"/>
      <c r="M19" s="24"/>
      <c r="N19" s="27"/>
    </row>
    <row r="20" spans="2:16" s="13" customFormat="1" ht="20.25" customHeight="1">
      <c r="B20" s="33"/>
      <c r="C20" s="34"/>
      <c r="D20" s="34"/>
      <c r="E20" s="34"/>
      <c r="F20" s="34"/>
      <c r="G20" s="35"/>
      <c r="H20" s="34"/>
      <c r="I20" s="22"/>
      <c r="J20" s="36"/>
      <c r="K20" s="23"/>
      <c r="L20" s="37"/>
      <c r="M20" s="24"/>
      <c r="N20" s="27"/>
    </row>
    <row r="21" spans="2:16" s="13" customFormat="1" ht="18" customHeight="1">
      <c r="B21" s="328" t="s">
        <v>30</v>
      </c>
      <c r="C21" s="329"/>
      <c r="D21" s="329"/>
      <c r="E21" s="329"/>
      <c r="F21" s="329"/>
      <c r="G21" s="329"/>
      <c r="H21" s="329"/>
      <c r="I21" s="329"/>
      <c r="J21" s="329"/>
      <c r="K21" s="329"/>
      <c r="L21" s="329"/>
      <c r="M21" s="330"/>
      <c r="N21" s="48"/>
      <c r="P21" s="26"/>
    </row>
    <row r="22" spans="2:16" s="13" customFormat="1" ht="20.25" customHeight="1">
      <c r="B22" s="33"/>
      <c r="C22" s="34"/>
      <c r="D22" s="34"/>
      <c r="E22" s="34"/>
      <c r="F22" s="34"/>
      <c r="G22" s="35"/>
      <c r="H22" s="34"/>
      <c r="I22" s="22"/>
      <c r="J22" s="36"/>
      <c r="K22" s="23"/>
      <c r="L22" s="37"/>
      <c r="M22" s="24"/>
      <c r="N22" s="27"/>
    </row>
    <row r="23" spans="2:16" s="13" customFormat="1" ht="20.25" customHeight="1">
      <c r="B23" s="33"/>
      <c r="C23" s="34"/>
      <c r="D23" s="34"/>
      <c r="E23" s="34"/>
      <c r="F23" s="34"/>
      <c r="G23" s="35"/>
      <c r="H23" s="34"/>
      <c r="I23" s="22"/>
      <c r="J23" s="36"/>
      <c r="K23" s="23"/>
      <c r="L23" s="37"/>
      <c r="M23" s="24"/>
      <c r="N23" s="27"/>
    </row>
    <row r="24" spans="2:16" s="13" customFormat="1" ht="20.25" customHeight="1">
      <c r="B24" s="33"/>
      <c r="C24" s="34"/>
      <c r="D24" s="34"/>
      <c r="E24" s="34"/>
      <c r="F24" s="34"/>
      <c r="G24" s="35"/>
      <c r="H24" s="34"/>
      <c r="I24" s="22"/>
      <c r="J24" s="36"/>
      <c r="K24" s="23"/>
      <c r="L24" s="37"/>
      <c r="M24" s="24"/>
      <c r="N24" s="27"/>
    </row>
    <row r="25" spans="2:16" s="13" customFormat="1" ht="20.25" customHeight="1">
      <c r="B25" s="38"/>
      <c r="C25" s="39"/>
      <c r="D25" s="39"/>
      <c r="E25" s="39"/>
      <c r="F25" s="39"/>
      <c r="G25" s="40"/>
      <c r="H25" s="39"/>
      <c r="I25" s="41"/>
      <c r="J25" s="42"/>
      <c r="K25" s="43"/>
      <c r="L25" s="44"/>
      <c r="M25" s="45"/>
      <c r="N25" s="46"/>
    </row>
    <row r="26" spans="2:16" ht="20.25" customHeight="1">
      <c r="B26" s="298" t="s">
        <v>9</v>
      </c>
      <c r="C26" s="299"/>
      <c r="D26" s="299"/>
      <c r="E26" s="299"/>
      <c r="F26" s="299"/>
      <c r="G26" s="299"/>
      <c r="H26" s="299"/>
      <c r="I26" s="299"/>
      <c r="J26" s="299"/>
      <c r="K26" s="299"/>
      <c r="L26" s="300"/>
      <c r="M26" s="28">
        <f>SUM(M12:M25)</f>
        <v>0</v>
      </c>
      <c r="N26" s="29"/>
    </row>
    <row r="27" spans="2:16" ht="12.9" customHeight="1"/>
    <row r="31" spans="2:16">
      <c r="I31" s="49"/>
    </row>
  </sheetData>
  <mergeCells count="12">
    <mergeCell ref="B26:L26"/>
    <mergeCell ref="B5:C5"/>
    <mergeCell ref="E5:F5"/>
    <mergeCell ref="J5:L5"/>
    <mergeCell ref="B6:C6"/>
    <mergeCell ref="E6:F6"/>
    <mergeCell ref="J6:L6"/>
    <mergeCell ref="B7:F7"/>
    <mergeCell ref="J7:N7"/>
    <mergeCell ref="B11:M11"/>
    <mergeCell ref="B16:M16"/>
    <mergeCell ref="B21:M21"/>
  </mergeCells>
  <phoneticPr fontId="3" type="noConversion"/>
  <conditionalFormatting sqref="I5 G6">
    <cfRule type="expression" dxfId="21" priority="1">
      <formula>#REF!&lt;0</formula>
    </cfRule>
  </conditionalFormatting>
  <pageMargins left="0.7" right="0.7" top="0.75" bottom="0.75" header="0.3" footer="0.3"/>
  <pageSetup paperSize="9" scale="3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3AF2-8638-45CF-AA72-305B89FFFEC8}">
  <sheetPr>
    <tabColor theme="1"/>
    <pageSetUpPr fitToPage="1"/>
  </sheetPr>
  <dimension ref="B1:Q50"/>
  <sheetViews>
    <sheetView showGridLines="0" zoomScaleNormal="100" workbookViewId="0">
      <selection activeCell="F14" sqref="F14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13.19921875" style="1" customWidth="1"/>
    <col min="6" max="6" width="18.5" style="1" customWidth="1"/>
    <col min="7" max="12" width="13.59765625" style="1" customWidth="1"/>
    <col min="13" max="13" width="9.69921875" style="1" bestFit="1" customWidth="1"/>
    <col min="14" max="14" width="14.3984375" style="1" customWidth="1"/>
    <col min="15" max="15" width="15.59765625" style="1" customWidth="1"/>
    <col min="16" max="16" width="12.59765625" style="1" customWidth="1"/>
    <col min="17" max="17" width="15.59765625" style="1" customWidth="1"/>
    <col min="18" max="18" width="2.69921875" style="1" customWidth="1"/>
    <col min="19" max="16384" width="9" style="1"/>
  </cols>
  <sheetData>
    <row r="1" spans="2:17" ht="9.9" customHeight="1"/>
    <row r="2" spans="2:17" s="5" customFormat="1" ht="30" customHeight="1">
      <c r="B2" s="2" t="s">
        <v>117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17" ht="9.9" customHeight="1" thickBot="1"/>
    <row r="5" spans="2:17" ht="18.75" customHeight="1">
      <c r="B5" s="333" t="s">
        <v>0</v>
      </c>
      <c r="C5" s="334"/>
      <c r="D5" s="95" t="s">
        <v>1</v>
      </c>
      <c r="E5" s="335" t="s">
        <v>2</v>
      </c>
      <c r="F5" s="335"/>
      <c r="G5" s="336" t="s">
        <v>3</v>
      </c>
      <c r="H5" s="337"/>
      <c r="I5" s="336" t="s">
        <v>4</v>
      </c>
      <c r="J5" s="337"/>
      <c r="K5" s="338" t="s">
        <v>5</v>
      </c>
      <c r="L5" s="339"/>
      <c r="M5" s="340" t="s">
        <v>6</v>
      </c>
      <c r="N5" s="341"/>
      <c r="O5" s="342"/>
      <c r="P5" s="96" t="s">
        <v>7</v>
      </c>
      <c r="Q5" s="97" t="s">
        <v>8</v>
      </c>
    </row>
    <row r="6" spans="2:17" ht="21.9" customHeight="1">
      <c r="B6" s="343"/>
      <c r="C6" s="344"/>
      <c r="D6" s="93"/>
      <c r="E6" s="345" t="s">
        <v>116</v>
      </c>
      <c r="F6" s="345"/>
      <c r="G6" s="346">
        <f>Q16</f>
        <v>0</v>
      </c>
      <c r="H6" s="347"/>
      <c r="I6" s="348">
        <f>ROUND(G6*10%,0)</f>
        <v>0</v>
      </c>
      <c r="J6" s="349"/>
      <c r="K6" s="348">
        <f>G6+I6</f>
        <v>0</v>
      </c>
      <c r="L6" s="349"/>
      <c r="M6" s="331" t="s">
        <v>26</v>
      </c>
      <c r="N6" s="323"/>
      <c r="O6" s="332"/>
      <c r="P6" s="94"/>
      <c r="Q6" s="98"/>
    </row>
    <row r="7" spans="2:17" ht="18.75" customHeight="1" thickBot="1">
      <c r="B7" s="362" t="s">
        <v>9</v>
      </c>
      <c r="C7" s="363"/>
      <c r="D7" s="363"/>
      <c r="E7" s="363"/>
      <c r="F7" s="363"/>
      <c r="G7" s="364">
        <f>SUM(G6)</f>
        <v>0</v>
      </c>
      <c r="H7" s="365"/>
      <c r="I7" s="364">
        <f>SUM(I6)</f>
        <v>0</v>
      </c>
      <c r="J7" s="365"/>
      <c r="K7" s="364">
        <f>SUM(K6)</f>
        <v>0</v>
      </c>
      <c r="L7" s="365"/>
      <c r="M7" s="366" t="s">
        <v>10</v>
      </c>
      <c r="N7" s="367"/>
      <c r="O7" s="367"/>
      <c r="P7" s="367"/>
      <c r="Q7" s="368"/>
    </row>
    <row r="8" spans="2:17" ht="12.9" customHeight="1"/>
    <row r="9" spans="2:17">
      <c r="B9" s="17" t="str">
        <f>COUNTIF($B$1:B8,"*. 웹툰*")+1&amp;". 웹툰 &lt;작품명&gt; 원작료 정산 상세내역"</f>
        <v>1. 웹툰 &lt;작품명&gt; 원작료 정산 상세내역</v>
      </c>
      <c r="C9" s="17"/>
    </row>
    <row r="10" spans="2:17" s="13" customFormat="1" ht="31.2">
      <c r="B10" s="82" t="s">
        <v>11</v>
      </c>
      <c r="C10" s="83" t="s">
        <v>12</v>
      </c>
      <c r="D10" s="83" t="s">
        <v>13</v>
      </c>
      <c r="E10" s="83" t="s">
        <v>14</v>
      </c>
      <c r="F10" s="83" t="s">
        <v>15</v>
      </c>
      <c r="G10" s="83" t="s">
        <v>16</v>
      </c>
      <c r="H10" s="84" t="s">
        <v>17</v>
      </c>
      <c r="I10" s="86" t="s">
        <v>105</v>
      </c>
      <c r="J10" s="86" t="s">
        <v>106</v>
      </c>
      <c r="K10" s="86" t="s">
        <v>107</v>
      </c>
      <c r="L10" s="87" t="s">
        <v>108</v>
      </c>
      <c r="M10" s="88" t="s">
        <v>81</v>
      </c>
      <c r="N10" s="88" t="s">
        <v>104</v>
      </c>
      <c r="O10" s="88" t="s">
        <v>109</v>
      </c>
      <c r="P10" s="90" t="s">
        <v>21</v>
      </c>
      <c r="Q10" s="90" t="s">
        <v>22</v>
      </c>
    </row>
    <row r="11" spans="2:17" s="13" customFormat="1" ht="20.25" customHeight="1">
      <c r="B11" s="91"/>
      <c r="C11" s="34"/>
      <c r="D11" s="34"/>
      <c r="E11" s="34"/>
      <c r="F11" s="34"/>
      <c r="G11" s="35"/>
      <c r="H11" s="117"/>
      <c r="I11" s="100"/>
      <c r="J11" s="101"/>
      <c r="K11" s="101"/>
      <c r="L11" s="100"/>
      <c r="M11" s="102"/>
      <c r="N11" s="103"/>
      <c r="O11" s="101"/>
      <c r="P11" s="36"/>
      <c r="Q11" s="109">
        <f>ROUND(O11*P11,0)</f>
        <v>0</v>
      </c>
    </row>
    <row r="12" spans="2:17" s="13" customFormat="1" ht="20.25" customHeight="1">
      <c r="B12" s="91"/>
      <c r="C12" s="34"/>
      <c r="D12" s="34"/>
      <c r="E12" s="34"/>
      <c r="F12" s="34"/>
      <c r="G12" s="35"/>
      <c r="H12" s="117"/>
      <c r="I12" s="100"/>
      <c r="J12" s="101"/>
      <c r="K12" s="101"/>
      <c r="L12" s="100"/>
      <c r="M12" s="104"/>
      <c r="N12" s="103"/>
      <c r="O12" s="101"/>
      <c r="P12" s="36"/>
      <c r="Q12" s="110">
        <f>ROUND(O12*P12,0)</f>
        <v>0</v>
      </c>
    </row>
    <row r="13" spans="2:17" s="13" customFormat="1" ht="20.25" customHeight="1">
      <c r="B13" s="91"/>
      <c r="C13" s="34"/>
      <c r="D13" s="34"/>
      <c r="E13" s="34"/>
      <c r="F13" s="34"/>
      <c r="G13" s="35"/>
      <c r="H13" s="117"/>
      <c r="I13" s="114"/>
      <c r="J13" s="101"/>
      <c r="K13" s="115"/>
      <c r="L13" s="114"/>
      <c r="M13" s="116"/>
      <c r="N13" s="116"/>
      <c r="O13" s="101"/>
      <c r="P13" s="36"/>
      <c r="Q13" s="110">
        <f t="shared" ref="Q13:Q14" si="0">ROUND(O13*P13,0)</f>
        <v>0</v>
      </c>
    </row>
    <row r="14" spans="2:17" s="13" customFormat="1" ht="20.25" customHeight="1">
      <c r="B14" s="91"/>
      <c r="C14" s="34"/>
      <c r="D14" s="34"/>
      <c r="E14" s="34"/>
      <c r="F14" s="34"/>
      <c r="G14" s="35"/>
      <c r="H14" s="117"/>
      <c r="I14" s="114"/>
      <c r="J14" s="101"/>
      <c r="K14" s="115"/>
      <c r="L14" s="114"/>
      <c r="M14" s="116"/>
      <c r="N14" s="116"/>
      <c r="O14" s="101"/>
      <c r="P14" s="36"/>
      <c r="Q14" s="110">
        <f t="shared" si="0"/>
        <v>0</v>
      </c>
    </row>
    <row r="15" spans="2:17" s="13" customFormat="1" ht="20.25" customHeight="1">
      <c r="B15" s="92"/>
      <c r="C15" s="39"/>
      <c r="D15" s="39"/>
      <c r="E15" s="39"/>
      <c r="F15" s="39"/>
      <c r="G15" s="40"/>
      <c r="H15" s="39"/>
      <c r="I15" s="105"/>
      <c r="J15" s="106"/>
      <c r="K15" s="106"/>
      <c r="L15" s="100"/>
      <c r="M15" s="99"/>
      <c r="N15" s="107"/>
      <c r="O15" s="106"/>
      <c r="P15" s="42"/>
      <c r="Q15" s="111"/>
    </row>
    <row r="16" spans="2:17" ht="20.25" customHeight="1">
      <c r="B16" s="369" t="s">
        <v>9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/>
      <c r="M16" s="370"/>
      <c r="N16" s="370"/>
      <c r="O16" s="370"/>
      <c r="P16" s="371"/>
      <c r="Q16" s="108">
        <f>SUM(Q11:Q15)</f>
        <v>0</v>
      </c>
    </row>
    <row r="17" spans="2:13" ht="11.25" customHeight="1"/>
    <row r="18" spans="2:13">
      <c r="B18" s="17" t="s">
        <v>33</v>
      </c>
      <c r="C18" s="17"/>
    </row>
    <row r="19" spans="2:13" ht="20.100000000000001" customHeight="1">
      <c r="B19" s="129" t="s">
        <v>44</v>
      </c>
      <c r="C19" s="130"/>
      <c r="D19" s="131"/>
      <c r="E19" s="131"/>
      <c r="F19" s="131"/>
      <c r="G19" s="131"/>
      <c r="H19" s="131"/>
      <c r="I19" s="131"/>
      <c r="J19" s="131"/>
      <c r="K19" s="131"/>
      <c r="L19" s="131"/>
      <c r="M19" s="132"/>
    </row>
    <row r="20" spans="2:13" ht="20.25" customHeight="1">
      <c r="B20" s="350" t="s">
        <v>46</v>
      </c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2"/>
    </row>
    <row r="21" spans="2:13" ht="20.25" customHeight="1">
      <c r="B21" s="353" t="s">
        <v>50</v>
      </c>
      <c r="C21" s="354"/>
      <c r="D21" s="354"/>
      <c r="E21" s="354"/>
      <c r="F21" s="354"/>
      <c r="G21" s="354"/>
      <c r="H21" s="354"/>
      <c r="I21" s="354"/>
      <c r="J21" s="354"/>
      <c r="K21" s="354"/>
      <c r="L21" s="354"/>
      <c r="M21" s="355"/>
    </row>
    <row r="22" spans="2:13" ht="20.100000000000001" customHeight="1">
      <c r="B22" s="129" t="s">
        <v>75</v>
      </c>
      <c r="C22" s="130"/>
      <c r="D22" s="131"/>
      <c r="E22" s="131"/>
      <c r="F22" s="131"/>
      <c r="G22" s="131"/>
      <c r="H22" s="131"/>
      <c r="I22" s="131"/>
      <c r="J22" s="131"/>
      <c r="K22" s="131"/>
      <c r="L22" s="131"/>
      <c r="M22" s="132"/>
    </row>
    <row r="23" spans="2:13" ht="20.25" customHeight="1">
      <c r="B23" s="78" t="s">
        <v>76</v>
      </c>
      <c r="C23" s="79"/>
      <c r="D23" s="79"/>
      <c r="E23" s="81" t="s">
        <v>77</v>
      </c>
      <c r="F23" s="79"/>
      <c r="G23" s="79"/>
      <c r="H23" s="79"/>
      <c r="I23" s="79"/>
      <c r="J23" s="79"/>
      <c r="K23" s="79"/>
      <c r="L23" s="79"/>
      <c r="M23" s="80"/>
    </row>
    <row r="24" spans="2:13" ht="20.25" customHeight="1">
      <c r="B24" s="78"/>
      <c r="C24" s="79"/>
      <c r="D24" s="79"/>
      <c r="E24" s="81"/>
      <c r="F24" s="79"/>
      <c r="G24" s="79"/>
      <c r="H24" s="79"/>
      <c r="I24" s="79"/>
      <c r="J24" s="79"/>
      <c r="K24" s="79"/>
      <c r="L24" s="79"/>
      <c r="M24" s="80"/>
    </row>
    <row r="25" spans="2:13" ht="20.25" customHeight="1">
      <c r="B25" s="78"/>
      <c r="C25" s="79"/>
      <c r="D25" s="79"/>
      <c r="E25" s="81"/>
      <c r="F25" s="79"/>
      <c r="G25" s="79"/>
      <c r="H25" s="79"/>
      <c r="I25" s="79"/>
      <c r="J25" s="79"/>
      <c r="K25" s="79"/>
      <c r="L25" s="79"/>
      <c r="M25" s="80"/>
    </row>
    <row r="26" spans="2:13" ht="20.25" customHeight="1">
      <c r="B26" s="78"/>
      <c r="C26" s="79"/>
      <c r="D26" s="79"/>
      <c r="E26" s="81"/>
      <c r="F26" s="79"/>
      <c r="G26" s="79"/>
      <c r="H26" s="79"/>
      <c r="I26" s="79"/>
      <c r="J26" s="79"/>
      <c r="K26" s="79"/>
      <c r="L26" s="79"/>
      <c r="M26" s="80"/>
    </row>
    <row r="27" spans="2:13" ht="20.25" customHeight="1">
      <c r="B27" s="78"/>
      <c r="C27" s="79"/>
      <c r="D27" s="79"/>
      <c r="E27" s="81"/>
      <c r="F27" s="79"/>
      <c r="G27" s="79"/>
      <c r="H27" s="79"/>
      <c r="I27" s="79"/>
      <c r="J27" s="79"/>
      <c r="K27" s="79"/>
      <c r="L27" s="79"/>
      <c r="M27" s="80"/>
    </row>
    <row r="28" spans="2:13" ht="20.25" customHeight="1">
      <c r="B28" s="78"/>
      <c r="C28" s="79"/>
      <c r="D28" s="79"/>
      <c r="E28" s="81"/>
      <c r="F28" s="79"/>
      <c r="G28" s="79"/>
      <c r="H28" s="79"/>
      <c r="I28" s="79"/>
      <c r="J28" s="79"/>
      <c r="K28" s="79"/>
      <c r="L28" s="79"/>
      <c r="M28" s="80"/>
    </row>
    <row r="29" spans="2:13" ht="20.25" customHeight="1">
      <c r="B29" s="78"/>
      <c r="C29" s="79"/>
      <c r="D29" s="79"/>
      <c r="E29" s="81"/>
      <c r="F29" s="79"/>
      <c r="G29" s="79"/>
      <c r="H29" s="79"/>
      <c r="I29" s="79"/>
      <c r="J29" s="79"/>
      <c r="K29" s="79"/>
      <c r="L29" s="79"/>
      <c r="M29" s="80"/>
    </row>
    <row r="30" spans="2:13" ht="20.25" customHeight="1">
      <c r="B30" s="78"/>
      <c r="C30" s="79"/>
      <c r="D30" s="79"/>
      <c r="E30" s="81"/>
      <c r="F30" s="79"/>
      <c r="G30" s="79"/>
      <c r="H30" s="79"/>
      <c r="I30" s="79"/>
      <c r="J30" s="79"/>
      <c r="K30" s="79"/>
      <c r="L30" s="79"/>
      <c r="M30" s="80"/>
    </row>
    <row r="31" spans="2:13" ht="20.25" customHeight="1">
      <c r="B31" s="78"/>
      <c r="C31" s="79"/>
      <c r="D31" s="79"/>
      <c r="E31" s="81"/>
      <c r="F31" s="79"/>
      <c r="G31" s="79"/>
      <c r="H31" s="79"/>
      <c r="I31" s="79"/>
      <c r="J31" s="79"/>
      <c r="K31" s="79"/>
      <c r="L31" s="79"/>
      <c r="M31" s="80"/>
    </row>
    <row r="32" spans="2:13" ht="20.25" customHeight="1">
      <c r="B32" s="78"/>
      <c r="C32" s="79"/>
      <c r="D32" s="79"/>
      <c r="E32" s="81"/>
      <c r="F32" s="79"/>
      <c r="G32" s="79"/>
      <c r="H32" s="79"/>
      <c r="I32" s="79"/>
      <c r="J32" s="79"/>
      <c r="K32" s="79"/>
      <c r="L32" s="79"/>
      <c r="M32" s="80"/>
    </row>
    <row r="33" spans="2:16" ht="20.25" customHeight="1">
      <c r="B33" s="78"/>
      <c r="C33" s="79"/>
      <c r="D33" s="79"/>
      <c r="E33" s="81"/>
      <c r="F33" s="79"/>
      <c r="G33" s="79"/>
      <c r="H33" s="79"/>
      <c r="I33" s="79"/>
      <c r="J33" s="79"/>
      <c r="K33" s="79"/>
      <c r="L33" s="79"/>
      <c r="M33" s="80"/>
    </row>
    <row r="34" spans="2:16" ht="20.25" customHeight="1">
      <c r="B34" s="78"/>
      <c r="C34" s="79"/>
      <c r="D34" s="79"/>
      <c r="E34" s="81"/>
      <c r="F34" s="79"/>
      <c r="G34" s="79"/>
      <c r="H34" s="79"/>
      <c r="I34" s="79"/>
      <c r="J34" s="79"/>
      <c r="K34" s="79"/>
      <c r="L34" s="79"/>
      <c r="M34" s="80"/>
    </row>
    <row r="35" spans="2:16" ht="20.25" customHeight="1">
      <c r="B35" s="78"/>
      <c r="C35" s="79"/>
      <c r="D35" s="79"/>
      <c r="E35" s="81"/>
      <c r="F35" s="79"/>
      <c r="G35" s="79"/>
      <c r="H35" s="79"/>
      <c r="I35" s="79"/>
      <c r="J35" s="79"/>
      <c r="K35" s="79"/>
      <c r="L35" s="79"/>
      <c r="M35" s="80"/>
    </row>
    <row r="36" spans="2:16" ht="20.25" customHeight="1">
      <c r="B36" s="78"/>
      <c r="C36" s="79"/>
      <c r="D36" s="79"/>
      <c r="E36" s="81"/>
      <c r="F36" s="79"/>
      <c r="G36" s="79"/>
      <c r="H36" s="133"/>
      <c r="I36" s="79"/>
      <c r="J36" s="79"/>
      <c r="K36" s="79"/>
      <c r="L36" s="79"/>
      <c r="M36" s="80"/>
    </row>
    <row r="37" spans="2:16" ht="20.25" customHeight="1">
      <c r="B37" s="78"/>
      <c r="C37" s="79"/>
      <c r="D37" s="79"/>
      <c r="E37" s="81"/>
      <c r="F37" s="79"/>
      <c r="G37" s="79"/>
      <c r="H37" s="79"/>
      <c r="I37" s="79"/>
      <c r="J37" s="79"/>
      <c r="K37" s="79"/>
      <c r="L37" s="79"/>
      <c r="M37" s="80"/>
    </row>
    <row r="38" spans="2:16" ht="20.25" customHeight="1">
      <c r="B38" s="78"/>
      <c r="C38" s="79"/>
      <c r="D38" s="79"/>
      <c r="E38" s="81"/>
      <c r="F38" s="79"/>
      <c r="G38" s="79"/>
      <c r="H38" s="79"/>
      <c r="I38" s="79"/>
      <c r="J38" s="79"/>
      <c r="K38" s="79"/>
      <c r="L38" s="79"/>
      <c r="M38" s="80"/>
    </row>
    <row r="39" spans="2:16" ht="9" customHeight="1">
      <c r="B39" s="78"/>
      <c r="C39" s="79"/>
      <c r="D39" s="79"/>
      <c r="E39" s="81"/>
      <c r="F39" s="79"/>
      <c r="G39" s="79"/>
      <c r="H39" s="79"/>
      <c r="I39" s="79"/>
      <c r="J39" s="79"/>
      <c r="K39" s="79"/>
      <c r="L39" s="79"/>
      <c r="M39" s="80"/>
    </row>
    <row r="40" spans="2:16" ht="20.100000000000001" customHeight="1">
      <c r="B40" s="129" t="s">
        <v>78</v>
      </c>
      <c r="C40" s="130"/>
      <c r="D40" s="131"/>
      <c r="E40" s="131"/>
      <c r="F40" s="131"/>
      <c r="G40" s="131"/>
      <c r="H40" s="131"/>
      <c r="I40" s="131"/>
      <c r="J40" s="131"/>
      <c r="K40" s="131"/>
      <c r="L40" s="131"/>
      <c r="M40" s="132"/>
    </row>
    <row r="41" spans="2:16" ht="20.25" customHeight="1">
      <c r="B41" s="356" t="s">
        <v>79</v>
      </c>
      <c r="C41" s="357"/>
      <c r="D41" s="357"/>
      <c r="E41" s="357"/>
      <c r="F41" s="357"/>
      <c r="G41" s="357"/>
      <c r="H41" s="357"/>
      <c r="I41" s="357"/>
      <c r="J41" s="357"/>
      <c r="K41" s="357"/>
      <c r="L41" s="357"/>
      <c r="M41" s="358"/>
    </row>
    <row r="42" spans="2:16" ht="20.25" customHeight="1">
      <c r="B42" s="359" t="s">
        <v>80</v>
      </c>
      <c r="C42" s="360"/>
      <c r="D42" s="360"/>
      <c r="E42" s="360"/>
      <c r="F42" s="360"/>
      <c r="G42" s="360"/>
      <c r="H42" s="360"/>
      <c r="I42" s="360"/>
      <c r="J42" s="360"/>
      <c r="K42" s="360"/>
      <c r="L42" s="360"/>
      <c r="M42" s="361"/>
    </row>
    <row r="43" spans="2:16" hidden="1">
      <c r="B43" s="126" t="s">
        <v>112</v>
      </c>
      <c r="C43" s="121"/>
      <c r="D43" s="121"/>
      <c r="E43" s="121"/>
      <c r="F43" s="121"/>
      <c r="G43" s="121"/>
      <c r="H43" s="121"/>
      <c r="I43" s="121"/>
      <c r="J43" s="121"/>
      <c r="K43" s="123"/>
      <c r="L43" s="121"/>
      <c r="M43" s="122"/>
      <c r="N43"/>
      <c r="O43"/>
      <c r="P43"/>
    </row>
    <row r="44" spans="2:16" hidden="1">
      <c r="B44" s="127" t="s">
        <v>110</v>
      </c>
      <c r="C44" s="79"/>
      <c r="D44" s="79"/>
      <c r="E44" s="79"/>
      <c r="F44" s="79"/>
      <c r="G44" s="79"/>
      <c r="H44" s="79"/>
      <c r="I44" s="79"/>
      <c r="J44" s="79"/>
      <c r="K44" s="124"/>
      <c r="L44"/>
      <c r="M44" s="125"/>
      <c r="N44"/>
      <c r="O44"/>
      <c r="P44"/>
    </row>
    <row r="45" spans="2:16" hidden="1">
      <c r="B45" s="128" t="s">
        <v>111</v>
      </c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20"/>
    </row>
    <row r="46" spans="2:16" hidden="1">
      <c r="B46" s="126" t="s">
        <v>113</v>
      </c>
      <c r="C46" s="121"/>
      <c r="D46" s="121"/>
      <c r="E46" s="121"/>
      <c r="F46" s="121"/>
      <c r="G46" s="121"/>
      <c r="H46" s="121"/>
      <c r="I46" s="121"/>
      <c r="J46" s="121"/>
      <c r="K46" s="123"/>
      <c r="L46" s="121"/>
      <c r="M46" s="122"/>
      <c r="N46"/>
      <c r="O46"/>
      <c r="P46"/>
    </row>
    <row r="47" spans="2:16" ht="5.25" hidden="1" customHeight="1">
      <c r="B47" s="134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6"/>
      <c r="N47"/>
      <c r="O47"/>
      <c r="P47"/>
    </row>
    <row r="48" spans="2:16" hidden="1">
      <c r="B48" s="127" t="s">
        <v>114</v>
      </c>
      <c r="C48" s="79"/>
      <c r="D48" s="79"/>
      <c r="E48" s="79"/>
      <c r="F48" s="79"/>
      <c r="G48" s="79"/>
      <c r="H48" s="79"/>
      <c r="I48" s="79"/>
      <c r="J48" s="79"/>
      <c r="K48"/>
      <c r="L48"/>
      <c r="M48" s="125"/>
      <c r="N48"/>
      <c r="O48"/>
      <c r="P48"/>
    </row>
    <row r="49" spans="2:13" hidden="1">
      <c r="B49" s="138" t="s">
        <v>115</v>
      </c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137"/>
    </row>
    <row r="50" spans="2:13" ht="6.75" hidden="1" customHeight="1">
      <c r="B50" s="128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20"/>
    </row>
  </sheetData>
  <mergeCells count="22">
    <mergeCell ref="B20:M20"/>
    <mergeCell ref="B21:M21"/>
    <mergeCell ref="B41:M41"/>
    <mergeCell ref="B42:M42"/>
    <mergeCell ref="B7:F7"/>
    <mergeCell ref="G7:H7"/>
    <mergeCell ref="I7:J7"/>
    <mergeCell ref="K7:L7"/>
    <mergeCell ref="M7:Q7"/>
    <mergeCell ref="B16:P16"/>
    <mergeCell ref="M6:O6"/>
    <mergeCell ref="B5:C5"/>
    <mergeCell ref="E5:F5"/>
    <mergeCell ref="G5:H5"/>
    <mergeCell ref="I5:J5"/>
    <mergeCell ref="K5:L5"/>
    <mergeCell ref="M5:O5"/>
    <mergeCell ref="B6:C6"/>
    <mergeCell ref="E6:F6"/>
    <mergeCell ref="G6:H6"/>
    <mergeCell ref="I6:J6"/>
    <mergeCell ref="K6:L6"/>
  </mergeCells>
  <phoneticPr fontId="3" type="noConversion"/>
  <conditionalFormatting sqref="G6">
    <cfRule type="expression" dxfId="20" priority="2">
      <formula>#REF!&lt;0</formula>
    </cfRule>
  </conditionalFormatting>
  <conditionalFormatting sqref="K5">
    <cfRule type="expression" dxfId="19" priority="1">
      <formula>#REF!&lt;0</formula>
    </cfRule>
  </conditionalFormatting>
  <pageMargins left="0.7" right="0.7" top="0.75" bottom="0.75" header="0.3" footer="0.3"/>
  <pageSetup paperSize="9"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349C-4875-4599-8E56-311216FB0966}">
  <sheetPr>
    <tabColor theme="1"/>
    <pageSetUpPr fitToPage="1"/>
  </sheetPr>
  <dimension ref="B1:P81"/>
  <sheetViews>
    <sheetView showGridLines="0" topLeftCell="A60" zoomScaleNormal="100" workbookViewId="0">
      <selection activeCell="B80" sqref="B80:K80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23.19921875" style="1" customWidth="1"/>
    <col min="6" max="6" width="26.59765625" style="1" customWidth="1"/>
    <col min="7" max="10" width="14.59765625" style="1" customWidth="1"/>
    <col min="11" max="11" width="10.59765625" style="1" customWidth="1"/>
    <col min="12" max="12" width="14.59765625" style="1" customWidth="1"/>
    <col min="13" max="14" width="16.09765625" style="1" customWidth="1"/>
    <col min="15" max="16" width="2.59765625" style="1" customWidth="1"/>
    <col min="17" max="17" width="10.5" style="1" bestFit="1" customWidth="1"/>
    <col min="18" max="16384" width="9" style="1"/>
  </cols>
  <sheetData>
    <row r="1" spans="2:15" ht="9.9" customHeight="1"/>
    <row r="2" spans="2:15" s="5" customFormat="1" ht="30" customHeight="1">
      <c r="B2" s="2" t="s">
        <v>124</v>
      </c>
      <c r="C2" s="2"/>
      <c r="D2" s="2"/>
      <c r="E2" s="3"/>
      <c r="F2" s="4"/>
      <c r="G2" s="4"/>
      <c r="H2" s="215"/>
      <c r="I2" s="4"/>
      <c r="J2" s="4"/>
      <c r="K2" s="4"/>
      <c r="L2" s="4"/>
      <c r="M2" s="4"/>
      <c r="N2" s="4"/>
    </row>
    <row r="3" spans="2:15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5" ht="9.9" customHeight="1" thickBot="1"/>
    <row r="5" spans="2:15" ht="18.75" customHeight="1">
      <c r="B5" s="317" t="s">
        <v>0</v>
      </c>
      <c r="C5" s="318"/>
      <c r="D5" s="8" t="s">
        <v>1</v>
      </c>
      <c r="E5" s="413" t="s">
        <v>2</v>
      </c>
      <c r="F5" s="413"/>
      <c r="G5" s="214" t="s">
        <v>3</v>
      </c>
      <c r="H5" s="214" t="s">
        <v>4</v>
      </c>
      <c r="I5" s="213" t="s">
        <v>5</v>
      </c>
      <c r="J5" s="320" t="s">
        <v>6</v>
      </c>
      <c r="K5" s="320"/>
      <c r="L5" s="320"/>
      <c r="M5" s="9" t="s">
        <v>7</v>
      </c>
      <c r="N5" s="10" t="s">
        <v>8</v>
      </c>
    </row>
    <row r="6" spans="2:15" ht="18.75" customHeight="1">
      <c r="B6" s="305"/>
      <c r="C6" s="414"/>
      <c r="D6" s="419"/>
      <c r="E6" s="216" t="s">
        <v>185</v>
      </c>
      <c r="F6" s="217"/>
      <c r="G6" s="208">
        <f>SUMIFS($L:$L,$F:$F,_xlfn.TEXTBEFORE(_xlfn.TEXTAFTER(E6,"&lt;"),"&gt;"))</f>
        <v>0</v>
      </c>
      <c r="H6" s="212">
        <f>ROUND(G6*10%,0)</f>
        <v>0</v>
      </c>
      <c r="I6" s="211">
        <f>G6+H6</f>
        <v>0</v>
      </c>
      <c r="J6" s="414" t="s">
        <v>123</v>
      </c>
      <c r="K6" s="414"/>
      <c r="L6" s="306"/>
      <c r="M6" s="407"/>
      <c r="N6" s="410"/>
      <c r="O6" s="14"/>
    </row>
    <row r="7" spans="2:15" ht="18.75" customHeight="1">
      <c r="B7" s="415"/>
      <c r="C7" s="416"/>
      <c r="D7" s="420"/>
      <c r="E7" s="216" t="s">
        <v>185</v>
      </c>
      <c r="F7" s="217"/>
      <c r="G7" s="208">
        <f>SUMIFS($L:$L,$F:$F,_xlfn.TEXTBEFORE(_xlfn.TEXTAFTER(E7,"&lt;"),"&gt;"))</f>
        <v>0</v>
      </c>
      <c r="H7" s="207">
        <f>ROUND(G7*10%,0)</f>
        <v>0</v>
      </c>
      <c r="I7" s="207">
        <f>G7+H7</f>
        <v>0</v>
      </c>
      <c r="J7" s="416"/>
      <c r="K7" s="416"/>
      <c r="L7" s="422"/>
      <c r="M7" s="408"/>
      <c r="N7" s="411"/>
      <c r="O7" s="14"/>
    </row>
    <row r="8" spans="2:15" ht="18.75" customHeight="1">
      <c r="B8" s="415"/>
      <c r="C8" s="416"/>
      <c r="D8" s="420"/>
      <c r="E8" s="216" t="s">
        <v>185</v>
      </c>
      <c r="F8" s="217"/>
      <c r="G8" s="208">
        <f>SUMIFS($L:$L,$F:$F,_xlfn.TEXTBEFORE(_xlfn.TEXTAFTER(E8,"&lt;"),"&gt;"))</f>
        <v>0</v>
      </c>
      <c r="H8" s="207">
        <f>ROUND(G8*10%,0)</f>
        <v>0</v>
      </c>
      <c r="I8" s="207">
        <f>G8+H8</f>
        <v>0</v>
      </c>
      <c r="J8" s="416"/>
      <c r="K8" s="416"/>
      <c r="L8" s="422"/>
      <c r="M8" s="408"/>
      <c r="N8" s="411"/>
      <c r="O8" s="14"/>
    </row>
    <row r="9" spans="2:15" ht="18.75" customHeight="1">
      <c r="B9" s="415"/>
      <c r="C9" s="416"/>
      <c r="D9" s="420"/>
      <c r="E9" s="216" t="s">
        <v>185</v>
      </c>
      <c r="F9" s="217"/>
      <c r="G9" s="208" t="e">
        <f>IF(#REF!&lt;0,0,#REF!)</f>
        <v>#REF!</v>
      </c>
      <c r="H9" s="207">
        <v>0</v>
      </c>
      <c r="I9" s="207" t="e">
        <f>IF(SUM(G9:H9)=0,"MG 차감중",SUM(G9:H9))</f>
        <v>#REF!</v>
      </c>
      <c r="J9" s="416"/>
      <c r="K9" s="416"/>
      <c r="L9" s="422"/>
      <c r="M9" s="408"/>
      <c r="N9" s="411"/>
      <c r="O9" s="14"/>
    </row>
    <row r="10" spans="2:15" ht="18.75" customHeight="1">
      <c r="B10" s="415"/>
      <c r="C10" s="416"/>
      <c r="D10" s="420"/>
      <c r="E10" s="216" t="s">
        <v>185</v>
      </c>
      <c r="F10" s="217"/>
      <c r="G10" s="208">
        <f>SUMIFS($L:$L,$F:$F,_xlfn.TEXTBEFORE(_xlfn.TEXTAFTER(E10,"&lt;"),"&gt;"))</f>
        <v>0</v>
      </c>
      <c r="H10" s="207">
        <f>ROUND(G10*10%,0)</f>
        <v>0</v>
      </c>
      <c r="I10" s="207">
        <f>G10+H10</f>
        <v>0</v>
      </c>
      <c r="J10" s="416"/>
      <c r="K10" s="416"/>
      <c r="L10" s="422"/>
      <c r="M10" s="408"/>
      <c r="N10" s="411"/>
      <c r="O10" s="14"/>
    </row>
    <row r="11" spans="2:15" ht="18.75" customHeight="1">
      <c r="B11" s="415"/>
      <c r="C11" s="416"/>
      <c r="D11" s="420"/>
      <c r="E11" s="216" t="s">
        <v>185</v>
      </c>
      <c r="F11" s="217"/>
      <c r="G11" s="208">
        <f>SUMIFS($L:$L,$F:$F,_xlfn.TEXTBEFORE(_xlfn.TEXTAFTER(E11,"&lt;"),"&gt;"))</f>
        <v>0</v>
      </c>
      <c r="H11" s="207">
        <f>ROUND(G11*10%,0)</f>
        <v>0</v>
      </c>
      <c r="I11" s="207">
        <f>G11+H11</f>
        <v>0</v>
      </c>
      <c r="J11" s="416"/>
      <c r="K11" s="416"/>
      <c r="L11" s="422"/>
      <c r="M11" s="408"/>
      <c r="N11" s="411"/>
      <c r="O11" s="209"/>
    </row>
    <row r="12" spans="2:15" ht="18.75" customHeight="1">
      <c r="B12" s="417"/>
      <c r="C12" s="418"/>
      <c r="D12" s="421"/>
      <c r="E12" s="216" t="s">
        <v>185</v>
      </c>
      <c r="F12" s="217"/>
      <c r="G12" s="208">
        <f>SUMIFS($L:$L,$F:$F,_xlfn.TEXTBEFORE(_xlfn.TEXTAFTER(E12,"&lt;"),"&gt;"))</f>
        <v>0</v>
      </c>
      <c r="H12" s="207">
        <f>ROUND(G12*10%,0)</f>
        <v>0</v>
      </c>
      <c r="I12" s="207">
        <f>G12+H12</f>
        <v>0</v>
      </c>
      <c r="J12" s="418"/>
      <c r="K12" s="418"/>
      <c r="L12" s="423"/>
      <c r="M12" s="409"/>
      <c r="N12" s="412"/>
      <c r="O12" s="14"/>
    </row>
    <row r="13" spans="2:15" ht="18.75" customHeight="1" thickBot="1">
      <c r="B13" s="301" t="s">
        <v>9</v>
      </c>
      <c r="C13" s="302"/>
      <c r="D13" s="302"/>
      <c r="E13" s="302"/>
      <c r="F13" s="302"/>
      <c r="G13" s="15" t="e">
        <f>SUM(G6:G12)</f>
        <v>#REF!</v>
      </c>
      <c r="H13" s="15">
        <f>SUM(H6:H12)</f>
        <v>0</v>
      </c>
      <c r="I13" s="15" t="e">
        <f>SUM(I6:I12)</f>
        <v>#REF!</v>
      </c>
      <c r="J13" s="324" t="s">
        <v>10</v>
      </c>
      <c r="K13" s="303"/>
      <c r="L13" s="303"/>
      <c r="M13" s="303"/>
      <c r="N13" s="304"/>
      <c r="O13" s="16"/>
    </row>
    <row r="14" spans="2:15" ht="12.9" customHeight="1"/>
    <row r="15" spans="2:15">
      <c r="B15" s="17" t="str">
        <f>COUNTIF($B$1:B14,"*. 웹툰*")+1&amp;". 웹툰 &lt;작품명&gt; 원작료 정산 상세내역"</f>
        <v>1. 웹툰 &lt;작품명&gt; 원작료 정산 상세내역</v>
      </c>
      <c r="C15" s="17"/>
    </row>
    <row r="16" spans="2:15" s="13" customFormat="1" ht="20.25" customHeight="1">
      <c r="B16" s="18" t="s">
        <v>11</v>
      </c>
      <c r="C16" s="19" t="s">
        <v>12</v>
      </c>
      <c r="D16" s="19" t="s">
        <v>13</v>
      </c>
      <c r="E16" s="19" t="s">
        <v>14</v>
      </c>
      <c r="F16" s="19" t="s">
        <v>15</v>
      </c>
      <c r="G16" s="161" t="s">
        <v>119</v>
      </c>
      <c r="H16" s="161" t="s">
        <v>17</v>
      </c>
      <c r="I16" s="19" t="s">
        <v>18</v>
      </c>
      <c r="J16" s="19" t="s">
        <v>20</v>
      </c>
      <c r="K16" s="19" t="s">
        <v>21</v>
      </c>
      <c r="L16" s="20" t="s">
        <v>22</v>
      </c>
      <c r="M16" s="376" t="s">
        <v>23</v>
      </c>
      <c r="N16" s="377"/>
    </row>
    <row r="17" spans="2:14" s="13" customFormat="1" ht="20.25" customHeight="1">
      <c r="B17" s="159"/>
      <c r="C17" s="184"/>
      <c r="D17" s="184"/>
      <c r="E17" s="184"/>
      <c r="F17" s="184"/>
      <c r="G17" s="205"/>
      <c r="H17" s="206"/>
      <c r="I17" s="139"/>
      <c r="J17" s="203"/>
      <c r="K17" s="151"/>
      <c r="L17" s="150">
        <f>ROUND(J17*K17,0)</f>
        <v>0</v>
      </c>
      <c r="M17" s="405"/>
      <c r="N17" s="406"/>
    </row>
    <row r="18" spans="2:14" s="13" customFormat="1" ht="20.25" customHeight="1">
      <c r="B18" s="159"/>
      <c r="C18" s="184"/>
      <c r="D18" s="184"/>
      <c r="E18" s="184"/>
      <c r="F18" s="184"/>
      <c r="G18" s="205"/>
      <c r="H18" s="206"/>
      <c r="I18" s="139"/>
      <c r="J18" s="203"/>
      <c r="K18" s="162"/>
      <c r="L18" s="150">
        <f>ROUND(J18*K18,0)</f>
        <v>0</v>
      </c>
      <c r="M18" s="388"/>
      <c r="N18" s="389"/>
    </row>
    <row r="19" spans="2:14" s="13" customFormat="1" ht="20.25" customHeight="1">
      <c r="B19" s="159"/>
      <c r="C19" s="184"/>
      <c r="D19" s="184"/>
      <c r="E19" s="184"/>
      <c r="F19" s="184"/>
      <c r="G19" s="205"/>
      <c r="H19" s="186"/>
      <c r="I19" s="139"/>
      <c r="J19" s="203"/>
      <c r="K19" s="162"/>
      <c r="L19" s="150">
        <f>ROUND(J19*K19,0)</f>
        <v>0</v>
      </c>
      <c r="M19" s="388"/>
      <c r="N19" s="389"/>
    </row>
    <row r="20" spans="2:14" s="13" customFormat="1" ht="20.25" customHeight="1">
      <c r="B20" s="159"/>
      <c r="C20" s="184"/>
      <c r="D20" s="184"/>
      <c r="E20" s="184"/>
      <c r="F20" s="184"/>
      <c r="G20" s="205"/>
      <c r="H20" s="186"/>
      <c r="I20" s="139"/>
      <c r="J20" s="203"/>
      <c r="K20" s="162"/>
      <c r="L20" s="150">
        <f>ROUND(J20*K20,0)</f>
        <v>0</v>
      </c>
      <c r="M20" s="388"/>
      <c r="N20" s="389"/>
    </row>
    <row r="21" spans="2:14" s="13" customFormat="1" ht="20.25" customHeight="1">
      <c r="B21" s="159"/>
      <c r="C21" s="184"/>
      <c r="D21" s="184"/>
      <c r="E21" s="184"/>
      <c r="F21" s="184"/>
      <c r="G21" s="205"/>
      <c r="H21" s="186"/>
      <c r="I21" s="139"/>
      <c r="J21" s="203"/>
      <c r="K21" s="162"/>
      <c r="L21" s="150">
        <f>ROUND(J21*K21,0)</f>
        <v>0</v>
      </c>
      <c r="M21" s="388"/>
      <c r="N21" s="389"/>
    </row>
    <row r="22" spans="2:14" ht="20.25" customHeight="1">
      <c r="B22" s="298"/>
      <c r="C22" s="299"/>
      <c r="D22" s="299"/>
      <c r="E22" s="299"/>
      <c r="F22" s="299"/>
      <c r="G22" s="299"/>
      <c r="H22" s="299"/>
      <c r="I22" s="299"/>
      <c r="J22" s="299"/>
      <c r="K22" s="300"/>
      <c r="L22" s="28">
        <f>SUM(L17:L21)</f>
        <v>0</v>
      </c>
      <c r="M22" s="401"/>
      <c r="N22" s="402"/>
    </row>
    <row r="23" spans="2:14" ht="12.9" customHeight="1">
      <c r="H23" s="54"/>
    </row>
    <row r="24" spans="2:14">
      <c r="B24" s="17" t="str">
        <f>COUNTIF($B$1:B23,"*. 웹툰*")+1&amp;". 웹툰 &lt;작품명&gt; 원작료 정산 상세내역"</f>
        <v>2. 웹툰 &lt;작품명&gt; 원작료 정산 상세내역</v>
      </c>
      <c r="C24" s="17"/>
    </row>
    <row r="25" spans="2:14" s="13" customFormat="1" ht="20.25" customHeight="1">
      <c r="B25" s="18" t="s">
        <v>11</v>
      </c>
      <c r="C25" s="19" t="s">
        <v>12</v>
      </c>
      <c r="D25" s="19" t="s">
        <v>13</v>
      </c>
      <c r="E25" s="19" t="s">
        <v>14</v>
      </c>
      <c r="F25" s="19" t="s">
        <v>15</v>
      </c>
      <c r="G25" s="161" t="s">
        <v>119</v>
      </c>
      <c r="H25" s="161" t="s">
        <v>17</v>
      </c>
      <c r="I25" s="19" t="s">
        <v>18</v>
      </c>
      <c r="J25" s="19" t="s">
        <v>20</v>
      </c>
      <c r="K25" s="19" t="s">
        <v>21</v>
      </c>
      <c r="L25" s="20" t="s">
        <v>22</v>
      </c>
      <c r="M25" s="376" t="s">
        <v>23</v>
      </c>
      <c r="N25" s="377"/>
    </row>
    <row r="26" spans="2:14" s="13" customFormat="1" ht="20.25" customHeight="1">
      <c r="B26" s="159"/>
      <c r="C26" s="156"/>
      <c r="D26" s="156"/>
      <c r="E26" s="156"/>
      <c r="F26" s="156"/>
      <c r="G26" s="155"/>
      <c r="H26" s="160"/>
      <c r="I26" s="153"/>
      <c r="J26" s="152"/>
      <c r="K26" s="151"/>
      <c r="L26" s="150"/>
      <c r="M26" s="403"/>
      <c r="N26" s="404"/>
    </row>
    <row r="27" spans="2:14" s="13" customFormat="1" ht="20.25" customHeight="1">
      <c r="B27" s="159"/>
      <c r="C27" s="156"/>
      <c r="D27" s="156"/>
      <c r="E27" s="156"/>
      <c r="F27" s="156"/>
      <c r="G27" s="155"/>
      <c r="H27" s="160"/>
      <c r="I27" s="153"/>
      <c r="J27" s="152"/>
      <c r="K27" s="151"/>
      <c r="L27" s="150"/>
      <c r="M27" s="202"/>
      <c r="N27" s="201"/>
    </row>
    <row r="28" spans="2:14" s="13" customFormat="1" ht="20.25" customHeight="1">
      <c r="B28" s="159"/>
      <c r="C28" s="156"/>
      <c r="D28" s="156"/>
      <c r="E28" s="156"/>
      <c r="F28" s="156"/>
      <c r="G28" s="155"/>
      <c r="H28" s="160"/>
      <c r="I28" s="153"/>
      <c r="J28" s="152"/>
      <c r="K28" s="151"/>
      <c r="L28" s="150"/>
      <c r="M28" s="388"/>
      <c r="N28" s="389"/>
    </row>
    <row r="29" spans="2:14" s="13" customFormat="1" ht="20.25" customHeight="1">
      <c r="B29" s="159"/>
      <c r="C29" s="156"/>
      <c r="D29" s="156"/>
      <c r="E29" s="156"/>
      <c r="F29" s="156"/>
      <c r="G29" s="155"/>
      <c r="H29" s="160"/>
      <c r="I29" s="153"/>
      <c r="J29" s="152"/>
      <c r="K29" s="151"/>
      <c r="L29" s="150"/>
      <c r="M29" s="388"/>
      <c r="N29" s="389"/>
    </row>
    <row r="30" spans="2:14" s="13" customFormat="1" ht="20.25" customHeight="1">
      <c r="B30" s="159"/>
      <c r="C30" s="156"/>
      <c r="D30" s="156"/>
      <c r="E30" s="156"/>
      <c r="F30" s="156"/>
      <c r="G30" s="155"/>
      <c r="H30" s="160"/>
      <c r="I30" s="153"/>
      <c r="J30" s="152"/>
      <c r="K30" s="151"/>
      <c r="L30" s="150"/>
      <c r="M30" s="388"/>
      <c r="N30" s="389"/>
    </row>
    <row r="31" spans="2:14" ht="20.25" customHeight="1">
      <c r="B31" s="298"/>
      <c r="C31" s="299"/>
      <c r="D31" s="299"/>
      <c r="E31" s="299"/>
      <c r="F31" s="299"/>
      <c r="G31" s="299"/>
      <c r="H31" s="299"/>
      <c r="I31" s="299"/>
      <c r="J31" s="299"/>
      <c r="K31" s="300"/>
      <c r="L31" s="28"/>
      <c r="M31" s="401"/>
      <c r="N31" s="402"/>
    </row>
    <row r="32" spans="2:14" ht="12.9" customHeight="1">
      <c r="H32" s="54"/>
    </row>
    <row r="33" spans="2:16">
      <c r="B33" s="17" t="str">
        <f>COUNTIF($B$1:B32,"*. 웹툰*")+1&amp;". 웹툰 &lt;작품명&gt; 원작료 정산 상세내역"</f>
        <v>3. 웹툰 &lt;작품명&gt; 원작료 정산 상세내역</v>
      </c>
      <c r="C33" s="17"/>
    </row>
    <row r="34" spans="2:16" s="13" customFormat="1" ht="20.25" customHeight="1">
      <c r="B34" s="18" t="s">
        <v>11</v>
      </c>
      <c r="C34" s="19" t="s">
        <v>12</v>
      </c>
      <c r="D34" s="19" t="s">
        <v>13</v>
      </c>
      <c r="E34" s="19" t="s">
        <v>14</v>
      </c>
      <c r="F34" s="19" t="s">
        <v>15</v>
      </c>
      <c r="G34" s="161" t="s">
        <v>119</v>
      </c>
      <c r="H34" s="161" t="s">
        <v>17</v>
      </c>
      <c r="I34" s="19" t="s">
        <v>18</v>
      </c>
      <c r="J34" s="19" t="s">
        <v>20</v>
      </c>
      <c r="K34" s="19" t="s">
        <v>21</v>
      </c>
      <c r="L34" s="20" t="s">
        <v>22</v>
      </c>
      <c r="M34" s="376" t="s">
        <v>23</v>
      </c>
      <c r="N34" s="377"/>
    </row>
    <row r="35" spans="2:16" s="13" customFormat="1" ht="20.25" customHeight="1">
      <c r="B35" s="159"/>
      <c r="C35" s="158"/>
      <c r="D35" s="158"/>
      <c r="E35" s="157"/>
      <c r="F35" s="156"/>
      <c r="G35" s="155"/>
      <c r="H35" s="160"/>
      <c r="I35" s="204"/>
      <c r="J35" s="203"/>
      <c r="K35" s="151"/>
      <c r="L35" s="150"/>
      <c r="M35" s="149"/>
      <c r="N35" s="148"/>
    </row>
    <row r="36" spans="2:16" s="13" customFormat="1" ht="20.25" customHeight="1">
      <c r="B36" s="159"/>
      <c r="C36" s="158"/>
      <c r="D36" s="158"/>
      <c r="E36" s="157"/>
      <c r="F36" s="156"/>
      <c r="G36" s="155"/>
      <c r="H36" s="160"/>
      <c r="I36" s="204"/>
      <c r="J36" s="203"/>
      <c r="K36" s="151"/>
      <c r="L36" s="150"/>
      <c r="M36" s="149"/>
      <c r="N36" s="148"/>
    </row>
    <row r="37" spans="2:16" s="13" customFormat="1" ht="20.25" customHeight="1">
      <c r="B37" s="159"/>
      <c r="C37" s="158"/>
      <c r="D37" s="158"/>
      <c r="E37" s="157"/>
      <c r="F37" s="156"/>
      <c r="G37" s="155"/>
      <c r="H37" s="160"/>
      <c r="I37" s="204"/>
      <c r="J37" s="203"/>
      <c r="K37" s="151"/>
      <c r="L37" s="150"/>
      <c r="M37" s="388"/>
      <c r="N37" s="389"/>
    </row>
    <row r="38" spans="2:16" s="13" customFormat="1" ht="20.25" customHeight="1">
      <c r="B38" s="159"/>
      <c r="C38" s="158"/>
      <c r="D38" s="158"/>
      <c r="E38" s="157"/>
      <c r="F38" s="156"/>
      <c r="G38" s="155"/>
      <c r="H38" s="160"/>
      <c r="I38" s="204"/>
      <c r="J38" s="203"/>
      <c r="K38" s="151"/>
      <c r="L38" s="150"/>
      <c r="M38" s="388"/>
      <c r="N38" s="389"/>
    </row>
    <row r="39" spans="2:16" s="13" customFormat="1" ht="20.25" customHeight="1">
      <c r="B39" s="159"/>
      <c r="C39" s="158"/>
      <c r="D39" s="158"/>
      <c r="E39" s="157"/>
      <c r="F39" s="156"/>
      <c r="G39" s="155"/>
      <c r="H39" s="160"/>
      <c r="I39" s="204"/>
      <c r="J39" s="203"/>
      <c r="K39" s="151"/>
      <c r="L39" s="150"/>
      <c r="M39" s="388"/>
      <c r="N39" s="389"/>
    </row>
    <row r="40" spans="2:16" ht="20.25" customHeight="1">
      <c r="B40" s="298"/>
      <c r="C40" s="299"/>
      <c r="D40" s="299"/>
      <c r="E40" s="299"/>
      <c r="F40" s="299"/>
      <c r="G40" s="299"/>
      <c r="H40" s="299"/>
      <c r="I40" s="299"/>
      <c r="J40" s="299"/>
      <c r="K40" s="300"/>
      <c r="L40" s="28"/>
      <c r="M40" s="401"/>
      <c r="N40" s="402"/>
    </row>
    <row r="41" spans="2:16" ht="12.9" customHeight="1">
      <c r="H41" s="54"/>
    </row>
    <row r="42" spans="2:16">
      <c r="B42" s="17" t="str">
        <f>COUNTIF($B$1:B41,"*. 웹툰*")+1&amp;". 웹툰 &lt;작품명&gt; 원작료 정산 상세내역"</f>
        <v>4. 웹툰 &lt;작품명&gt; 원작료 정산 상세내역</v>
      </c>
      <c r="C42" s="17"/>
    </row>
    <row r="43" spans="2:16" s="13" customFormat="1" ht="20.25" customHeight="1">
      <c r="B43" s="18" t="s">
        <v>11</v>
      </c>
      <c r="C43" s="19" t="s">
        <v>12</v>
      </c>
      <c r="D43" s="19" t="s">
        <v>13</v>
      </c>
      <c r="E43" s="19" t="s">
        <v>14</v>
      </c>
      <c r="F43" s="19" t="s">
        <v>15</v>
      </c>
      <c r="G43" s="161" t="s">
        <v>119</v>
      </c>
      <c r="H43" s="161" t="s">
        <v>17</v>
      </c>
      <c r="I43" s="19" t="s">
        <v>18</v>
      </c>
      <c r="J43" s="19" t="s">
        <v>20</v>
      </c>
      <c r="K43" s="19" t="s">
        <v>21</v>
      </c>
      <c r="L43" s="20" t="s">
        <v>22</v>
      </c>
      <c r="M43" s="376" t="s">
        <v>23</v>
      </c>
      <c r="N43" s="377"/>
    </row>
    <row r="44" spans="2:16" s="13" customFormat="1" ht="20.25" customHeight="1">
      <c r="B44" s="200">
        <v>0</v>
      </c>
      <c r="C44" s="390" t="s">
        <v>122</v>
      </c>
      <c r="D44" s="391"/>
      <c r="E44" s="391"/>
      <c r="F44" s="391"/>
      <c r="G44" s="391"/>
      <c r="H44" s="391"/>
      <c r="I44" s="391"/>
      <c r="J44" s="391"/>
      <c r="K44" s="392"/>
      <c r="L44" s="199">
        <v>3000000</v>
      </c>
      <c r="M44" s="393"/>
      <c r="N44" s="394"/>
      <c r="P44" s="26"/>
    </row>
    <row r="45" spans="2:16" s="13" customFormat="1" ht="20.25" customHeight="1">
      <c r="B45" s="196"/>
      <c r="C45" s="195"/>
      <c r="D45" s="195"/>
      <c r="E45" s="194"/>
      <c r="F45" s="193"/>
      <c r="G45" s="192"/>
      <c r="H45" s="197"/>
      <c r="I45" s="190"/>
      <c r="J45" s="189"/>
      <c r="K45" s="188"/>
      <c r="L45" s="187"/>
      <c r="M45" s="395"/>
      <c r="N45" s="396"/>
    </row>
    <row r="46" spans="2:16" s="13" customFormat="1" ht="20.25" customHeight="1">
      <c r="B46" s="196"/>
      <c r="C46" s="195"/>
      <c r="D46" s="195"/>
      <c r="E46" s="194"/>
      <c r="F46" s="193"/>
      <c r="G46" s="192"/>
      <c r="H46" s="198"/>
      <c r="I46" s="190"/>
      <c r="J46" s="189"/>
      <c r="K46" s="188"/>
      <c r="L46" s="187"/>
      <c r="M46" s="395"/>
      <c r="N46" s="396"/>
    </row>
    <row r="47" spans="2:16" s="13" customFormat="1" ht="20.25" customHeight="1">
      <c r="B47" s="196"/>
      <c r="C47" s="195"/>
      <c r="D47" s="195"/>
      <c r="E47" s="194"/>
      <c r="F47" s="193"/>
      <c r="G47" s="192"/>
      <c r="H47" s="191"/>
      <c r="I47" s="190"/>
      <c r="J47" s="189"/>
      <c r="K47" s="188"/>
      <c r="L47" s="187"/>
      <c r="M47" s="384"/>
      <c r="N47" s="385"/>
    </row>
    <row r="48" spans="2:16" s="13" customFormat="1" ht="20.25" customHeight="1">
      <c r="B48" s="196"/>
      <c r="C48" s="195"/>
      <c r="D48" s="195"/>
      <c r="E48" s="194"/>
      <c r="F48" s="193"/>
      <c r="G48" s="192"/>
      <c r="H48" s="191"/>
      <c r="I48" s="190"/>
      <c r="J48" s="189"/>
      <c r="K48" s="188"/>
      <c r="L48" s="187"/>
      <c r="M48" s="384"/>
      <c r="N48" s="385"/>
    </row>
    <row r="49" spans="2:14" s="13" customFormat="1" ht="20.25" customHeight="1">
      <c r="B49" s="159"/>
      <c r="C49" s="158"/>
      <c r="D49" s="158"/>
      <c r="E49" s="157"/>
      <c r="F49" s="156"/>
      <c r="G49" s="155"/>
      <c r="H49" s="186"/>
      <c r="I49" s="153"/>
      <c r="J49" s="152"/>
      <c r="K49" s="151"/>
      <c r="L49" s="150"/>
      <c r="M49" s="388"/>
      <c r="N49" s="389"/>
    </row>
    <row r="50" spans="2:14" s="13" customFormat="1" ht="20.25" customHeight="1">
      <c r="B50" s="159"/>
      <c r="C50" s="158"/>
      <c r="D50" s="158"/>
      <c r="E50" s="157"/>
      <c r="F50" s="156"/>
      <c r="G50" s="155"/>
      <c r="H50" s="186"/>
      <c r="I50" s="153"/>
      <c r="J50" s="152"/>
      <c r="K50" s="151"/>
      <c r="L50" s="150"/>
      <c r="M50" s="149"/>
      <c r="N50" s="148"/>
    </row>
    <row r="51" spans="2:14" s="13" customFormat="1" ht="20.25" customHeight="1">
      <c r="B51" s="159"/>
      <c r="C51" s="158"/>
      <c r="D51" s="158"/>
      <c r="E51" s="157"/>
      <c r="F51" s="156"/>
      <c r="G51" s="155"/>
      <c r="H51" s="186"/>
      <c r="I51" s="153"/>
      <c r="J51" s="152"/>
      <c r="K51" s="151"/>
      <c r="L51" s="150"/>
      <c r="M51" s="388"/>
      <c r="N51" s="389"/>
    </row>
    <row r="52" spans="2:14" s="13" customFormat="1" ht="20.25" customHeight="1">
      <c r="B52" s="159"/>
      <c r="C52" s="158"/>
      <c r="D52" s="158"/>
      <c r="E52" s="157"/>
      <c r="F52" s="156"/>
      <c r="G52" s="155"/>
      <c r="H52" s="154"/>
      <c r="I52" s="153"/>
      <c r="J52" s="152"/>
      <c r="K52" s="151"/>
      <c r="L52" s="150"/>
      <c r="M52" s="149"/>
      <c r="N52" s="148"/>
    </row>
    <row r="53" spans="2:14" ht="20.25" customHeight="1">
      <c r="B53" s="298" t="s">
        <v>121</v>
      </c>
      <c r="C53" s="299"/>
      <c r="D53" s="299"/>
      <c r="E53" s="299"/>
      <c r="F53" s="299"/>
      <c r="G53" s="299"/>
      <c r="H53" s="299"/>
      <c r="I53" s="299"/>
      <c r="J53" s="299"/>
      <c r="K53" s="300"/>
      <c r="L53" s="185">
        <f>SUM(L45:L52)-L44</f>
        <v>-3000000</v>
      </c>
      <c r="M53" s="382" t="str">
        <f>IF(L53&lt;0,"MG 차감중","")</f>
        <v>MG 차감중</v>
      </c>
      <c r="N53" s="383"/>
    </row>
    <row r="54" spans="2:14" ht="12.9" customHeight="1">
      <c r="H54" s="54"/>
    </row>
    <row r="55" spans="2:14">
      <c r="B55" s="17" t="str">
        <f>COUNTIF($B$1:B54,"*. 웹툰*")+1&amp;". 웹툰 &lt;작품명&gt; 원작료 정산 상세내역"</f>
        <v>5. 웹툰 &lt;작품명&gt; 원작료 정산 상세내역</v>
      </c>
      <c r="C55" s="17"/>
      <c r="H55" s="54"/>
    </row>
    <row r="56" spans="2:14" ht="20.25" customHeight="1">
      <c r="B56" s="174" t="s">
        <v>11</v>
      </c>
      <c r="C56" s="172" t="s">
        <v>12</v>
      </c>
      <c r="D56" s="172" t="s">
        <v>13</v>
      </c>
      <c r="E56" s="172" t="s">
        <v>14</v>
      </c>
      <c r="F56" s="172" t="s">
        <v>120</v>
      </c>
      <c r="G56" s="161" t="s">
        <v>119</v>
      </c>
      <c r="H56" s="173" t="s">
        <v>17</v>
      </c>
      <c r="I56" s="172" t="s">
        <v>18</v>
      </c>
      <c r="J56" s="172" t="s">
        <v>20</v>
      </c>
      <c r="K56" s="172" t="s">
        <v>21</v>
      </c>
      <c r="L56" s="171" t="s">
        <v>22</v>
      </c>
      <c r="M56" s="372" t="s">
        <v>23</v>
      </c>
      <c r="N56" s="373"/>
    </row>
    <row r="57" spans="2:14" s="13" customFormat="1" ht="20.25" customHeight="1">
      <c r="B57" s="159"/>
      <c r="C57" s="184"/>
      <c r="D57" s="170"/>
      <c r="E57" s="158"/>
      <c r="F57" s="156"/>
      <c r="G57" s="155"/>
      <c r="H57" s="160"/>
      <c r="I57" s="169"/>
      <c r="J57" s="152"/>
      <c r="K57" s="162"/>
      <c r="L57" s="150"/>
      <c r="M57" s="397"/>
      <c r="N57" s="398"/>
    </row>
    <row r="58" spans="2:14" s="13" customFormat="1" ht="20.25" customHeight="1">
      <c r="B58" s="159"/>
      <c r="C58" s="158"/>
      <c r="D58" s="170"/>
      <c r="E58" s="158"/>
      <c r="F58" s="156"/>
      <c r="G58" s="155"/>
      <c r="H58" s="160"/>
      <c r="I58" s="169"/>
      <c r="J58" s="152"/>
      <c r="K58" s="162"/>
      <c r="L58" s="150"/>
      <c r="M58" s="399"/>
      <c r="N58" s="400"/>
    </row>
    <row r="59" spans="2:14" s="13" customFormat="1" ht="20.25" customHeight="1">
      <c r="B59" s="159"/>
      <c r="C59" s="158"/>
      <c r="D59" s="170"/>
      <c r="E59" s="158"/>
      <c r="F59" s="156"/>
      <c r="G59" s="155"/>
      <c r="H59" s="160"/>
      <c r="I59" s="169"/>
      <c r="J59" s="152"/>
      <c r="K59" s="162"/>
      <c r="L59" s="150"/>
      <c r="M59" s="183"/>
      <c r="N59" s="182"/>
    </row>
    <row r="60" spans="2:14" s="13" customFormat="1" ht="20.25" customHeight="1">
      <c r="B60" s="159"/>
      <c r="C60" s="158"/>
      <c r="D60" s="170"/>
      <c r="E60" s="158"/>
      <c r="F60" s="156"/>
      <c r="G60" s="155"/>
      <c r="H60" s="160"/>
      <c r="I60" s="169"/>
      <c r="J60" s="152"/>
      <c r="K60" s="162"/>
      <c r="L60" s="150"/>
      <c r="M60" s="183"/>
      <c r="N60" s="182"/>
    </row>
    <row r="61" spans="2:14" s="13" customFormat="1" ht="20.25" customHeight="1">
      <c r="B61" s="181"/>
      <c r="C61" s="164"/>
      <c r="D61" s="165"/>
      <c r="E61" s="164"/>
      <c r="F61" s="180"/>
      <c r="G61" s="179"/>
      <c r="H61" s="178"/>
      <c r="I61" s="163"/>
      <c r="J61" s="177"/>
      <c r="K61" s="176"/>
      <c r="L61" s="175"/>
      <c r="M61" s="386"/>
      <c r="N61" s="387"/>
    </row>
    <row r="62" spans="2:14" ht="20.25" customHeight="1">
      <c r="B62" s="298" t="s">
        <v>9</v>
      </c>
      <c r="C62" s="299"/>
      <c r="D62" s="299"/>
      <c r="E62" s="299"/>
      <c r="F62" s="299"/>
      <c r="G62" s="299"/>
      <c r="H62" s="299"/>
      <c r="I62" s="299"/>
      <c r="J62" s="299"/>
      <c r="K62" s="300"/>
      <c r="L62" s="28">
        <f>SUM(L57:L61)</f>
        <v>0</v>
      </c>
      <c r="M62" s="374"/>
      <c r="N62" s="375"/>
    </row>
    <row r="63" spans="2:14" ht="12.9" customHeight="1">
      <c r="H63" s="54"/>
    </row>
    <row r="64" spans="2:14">
      <c r="B64" s="17" t="str">
        <f>COUNTIF($B$1:B63,"*. 웹툰*")+1&amp;". 웹툰 &lt;작품명&gt; 원작료 정산 상세내역"</f>
        <v>6. 웹툰 &lt;작품명&gt; 원작료 정산 상세내역</v>
      </c>
      <c r="C64" s="17"/>
      <c r="H64" s="54"/>
    </row>
    <row r="65" spans="2:14" ht="20.25" customHeight="1">
      <c r="B65" s="174" t="s">
        <v>11</v>
      </c>
      <c r="C65" s="172" t="s">
        <v>12</v>
      </c>
      <c r="D65" s="172" t="s">
        <v>13</v>
      </c>
      <c r="E65" s="172" t="s">
        <v>14</v>
      </c>
      <c r="F65" s="172" t="s">
        <v>120</v>
      </c>
      <c r="G65" s="161" t="s">
        <v>119</v>
      </c>
      <c r="H65" s="173" t="s">
        <v>17</v>
      </c>
      <c r="I65" s="172" t="s">
        <v>18</v>
      </c>
      <c r="J65" s="172" t="s">
        <v>20</v>
      </c>
      <c r="K65" s="172" t="s">
        <v>21</v>
      </c>
      <c r="L65" s="171" t="s">
        <v>22</v>
      </c>
      <c r="M65" s="372" t="s">
        <v>23</v>
      </c>
      <c r="N65" s="373"/>
    </row>
    <row r="66" spans="2:14" s="13" customFormat="1" ht="20.25" customHeight="1">
      <c r="B66" s="159"/>
      <c r="C66" s="158"/>
      <c r="D66" s="170"/>
      <c r="E66" s="158"/>
      <c r="F66" s="156"/>
      <c r="G66" s="155"/>
      <c r="H66" s="160"/>
      <c r="I66" s="169"/>
      <c r="J66" s="152"/>
      <c r="K66" s="162"/>
      <c r="L66" s="150"/>
      <c r="M66" s="378"/>
      <c r="N66" s="379"/>
    </row>
    <row r="67" spans="2:14" s="13" customFormat="1" ht="20.25" customHeight="1">
      <c r="B67" s="159"/>
      <c r="C67" s="158"/>
      <c r="D67" s="170"/>
      <c r="E67" s="158"/>
      <c r="F67" s="156"/>
      <c r="G67" s="155"/>
      <c r="H67" s="160"/>
      <c r="I67" s="169"/>
      <c r="J67" s="152"/>
      <c r="K67" s="162"/>
      <c r="L67" s="150"/>
      <c r="M67" s="380"/>
      <c r="N67" s="381"/>
    </row>
    <row r="68" spans="2:14" s="13" customFormat="1" ht="20.25" customHeight="1">
      <c r="B68" s="159"/>
      <c r="C68" s="158"/>
      <c r="D68" s="170"/>
      <c r="E68" s="158"/>
      <c r="F68" s="156"/>
      <c r="G68" s="155"/>
      <c r="H68" s="160"/>
      <c r="I68" s="169"/>
      <c r="J68" s="152"/>
      <c r="K68" s="162"/>
      <c r="L68" s="150"/>
      <c r="M68" s="380"/>
      <c r="N68" s="381"/>
    </row>
    <row r="69" spans="2:14" s="13" customFormat="1" ht="20.25" customHeight="1">
      <c r="B69" s="159"/>
      <c r="C69" s="164"/>
      <c r="D69" s="165"/>
      <c r="E69" s="164"/>
      <c r="F69" s="156"/>
      <c r="G69" s="155"/>
      <c r="H69" s="168"/>
      <c r="I69" s="163"/>
      <c r="J69" s="152"/>
      <c r="K69" s="162"/>
      <c r="L69" s="150"/>
      <c r="M69" s="167"/>
      <c r="N69" s="166"/>
    </row>
    <row r="70" spans="2:14" s="13" customFormat="1" ht="20.25" customHeight="1">
      <c r="B70" s="159"/>
      <c r="C70" s="164"/>
      <c r="D70" s="165"/>
      <c r="E70" s="164"/>
      <c r="F70" s="156"/>
      <c r="G70" s="155"/>
      <c r="H70" s="168"/>
      <c r="I70" s="163"/>
      <c r="J70" s="152"/>
      <c r="K70" s="162"/>
      <c r="L70" s="150"/>
      <c r="M70" s="167"/>
      <c r="N70" s="166"/>
    </row>
    <row r="71" spans="2:14" ht="20.25" customHeight="1">
      <c r="B71" s="298" t="s">
        <v>9</v>
      </c>
      <c r="C71" s="299"/>
      <c r="D71" s="299"/>
      <c r="E71" s="299"/>
      <c r="F71" s="299"/>
      <c r="G71" s="299"/>
      <c r="H71" s="299"/>
      <c r="I71" s="299"/>
      <c r="J71" s="299"/>
      <c r="K71" s="300"/>
      <c r="L71" s="28">
        <f>SUM(L66:L70)</f>
        <v>0</v>
      </c>
      <c r="M71" s="374"/>
      <c r="N71" s="375"/>
    </row>
    <row r="72" spans="2:14" ht="9.9" customHeight="1"/>
    <row r="73" spans="2:14">
      <c r="B73" s="17" t="str">
        <f>COUNTIF($B$1:B72,"*. 웹툰*")+1&amp;". 웹툰 &lt;작품명&gt; 원작료 정산 상세내역"</f>
        <v>7. 웹툰 &lt;작품명&gt; 원작료 정산 상세내역</v>
      </c>
      <c r="C73" s="17"/>
    </row>
    <row r="74" spans="2:14" s="13" customFormat="1" ht="20.25" customHeight="1">
      <c r="B74" s="18" t="s">
        <v>11</v>
      </c>
      <c r="C74" s="19" t="s">
        <v>12</v>
      </c>
      <c r="D74" s="19" t="s">
        <v>13</v>
      </c>
      <c r="E74" s="19" t="s">
        <v>14</v>
      </c>
      <c r="F74" s="19" t="s">
        <v>15</v>
      </c>
      <c r="G74" s="161" t="s">
        <v>119</v>
      </c>
      <c r="H74" s="161" t="s">
        <v>17</v>
      </c>
      <c r="I74" s="19" t="s">
        <v>18</v>
      </c>
      <c r="J74" s="19" t="s">
        <v>20</v>
      </c>
      <c r="K74" s="19" t="s">
        <v>21</v>
      </c>
      <c r="L74" s="20" t="s">
        <v>22</v>
      </c>
      <c r="M74" s="376" t="s">
        <v>23</v>
      </c>
      <c r="N74" s="377"/>
    </row>
    <row r="75" spans="2:14" s="13" customFormat="1" ht="20.25" customHeight="1">
      <c r="B75" s="159"/>
      <c r="C75" s="158"/>
      <c r="D75" s="158"/>
      <c r="E75" s="157"/>
      <c r="F75" s="156"/>
      <c r="G75" s="155"/>
      <c r="H75" s="160"/>
      <c r="I75" s="153"/>
      <c r="J75" s="152"/>
      <c r="K75" s="151"/>
      <c r="L75" s="150"/>
      <c r="M75" s="149"/>
      <c r="N75" s="148"/>
    </row>
    <row r="76" spans="2:14" s="13" customFormat="1" ht="20.25" customHeight="1">
      <c r="B76" s="159"/>
      <c r="C76" s="158"/>
      <c r="D76" s="158"/>
      <c r="E76" s="157"/>
      <c r="F76" s="156"/>
      <c r="G76" s="155"/>
      <c r="H76" s="160"/>
      <c r="I76" s="153"/>
      <c r="J76" s="152"/>
      <c r="K76" s="151"/>
      <c r="L76" s="150"/>
      <c r="M76" s="149"/>
      <c r="N76" s="148"/>
    </row>
    <row r="77" spans="2:14" s="13" customFormat="1" ht="20.25" customHeight="1">
      <c r="B77" s="159"/>
      <c r="C77" s="158"/>
      <c r="D77" s="158"/>
      <c r="E77" s="157"/>
      <c r="F77" s="156"/>
      <c r="G77" s="155"/>
      <c r="H77" s="160"/>
      <c r="I77" s="153"/>
      <c r="J77" s="152"/>
      <c r="K77" s="151"/>
      <c r="L77" s="150"/>
      <c r="M77" s="149"/>
      <c r="N77" s="148"/>
    </row>
    <row r="78" spans="2:14" s="13" customFormat="1" ht="20.25" customHeight="1">
      <c r="B78" s="159"/>
      <c r="C78" s="158"/>
      <c r="D78" s="158"/>
      <c r="E78" s="157"/>
      <c r="F78" s="156"/>
      <c r="G78" s="155"/>
      <c r="H78" s="160"/>
      <c r="I78" s="153"/>
      <c r="J78" s="152"/>
      <c r="K78" s="151"/>
      <c r="L78" s="150"/>
      <c r="M78" s="149"/>
      <c r="N78" s="148"/>
    </row>
    <row r="79" spans="2:14" s="13" customFormat="1" ht="20.25" customHeight="1">
      <c r="B79" s="159"/>
      <c r="C79" s="158"/>
      <c r="D79" s="158"/>
      <c r="E79" s="157"/>
      <c r="F79" s="156"/>
      <c r="G79" s="155"/>
      <c r="H79" s="160"/>
      <c r="I79" s="153"/>
      <c r="J79" s="152"/>
      <c r="K79" s="151"/>
      <c r="L79" s="150"/>
      <c r="M79" s="149"/>
      <c r="N79" s="148"/>
    </row>
    <row r="80" spans="2:14" ht="20.25" customHeight="1">
      <c r="B80" s="298"/>
      <c r="C80" s="299"/>
      <c r="D80" s="299"/>
      <c r="E80" s="299"/>
      <c r="F80" s="299"/>
      <c r="G80" s="299"/>
      <c r="H80" s="299"/>
      <c r="I80" s="299"/>
      <c r="J80" s="299"/>
      <c r="K80" s="300"/>
      <c r="L80" s="28"/>
      <c r="M80" s="382"/>
      <c r="N80" s="383"/>
    </row>
    <row r="81" ht="9.9" customHeight="1"/>
  </sheetData>
  <mergeCells count="57">
    <mergeCell ref="M6:M12"/>
    <mergeCell ref="N6:N12"/>
    <mergeCell ref="B13:F13"/>
    <mergeCell ref="B5:C5"/>
    <mergeCell ref="E5:F5"/>
    <mergeCell ref="J5:L5"/>
    <mergeCell ref="B6:C12"/>
    <mergeCell ref="D6:D12"/>
    <mergeCell ref="J6:L12"/>
    <mergeCell ref="J13:N13"/>
    <mergeCell ref="M16:N16"/>
    <mergeCell ref="M17:N17"/>
    <mergeCell ref="M18:N18"/>
    <mergeCell ref="B22:K22"/>
    <mergeCell ref="M22:N22"/>
    <mergeCell ref="M19:N19"/>
    <mergeCell ref="M30:N30"/>
    <mergeCell ref="M20:N20"/>
    <mergeCell ref="M21:N21"/>
    <mergeCell ref="M38:N38"/>
    <mergeCell ref="M39:N39"/>
    <mergeCell ref="M28:N28"/>
    <mergeCell ref="M25:N25"/>
    <mergeCell ref="M26:N26"/>
    <mergeCell ref="M29:N29"/>
    <mergeCell ref="B31:K31"/>
    <mergeCell ref="M31:N31"/>
    <mergeCell ref="M34:N34"/>
    <mergeCell ref="M37:N37"/>
    <mergeCell ref="B53:K53"/>
    <mergeCell ref="M53:N53"/>
    <mergeCell ref="M47:N47"/>
    <mergeCell ref="B40:K40"/>
    <mergeCell ref="M40:N40"/>
    <mergeCell ref="M43:N43"/>
    <mergeCell ref="C44:K44"/>
    <mergeCell ref="M44:N44"/>
    <mergeCell ref="M45:N45"/>
    <mergeCell ref="M56:N56"/>
    <mergeCell ref="M57:N57"/>
    <mergeCell ref="M46:N46"/>
    <mergeCell ref="B80:K80"/>
    <mergeCell ref="M80:N80"/>
    <mergeCell ref="M48:N48"/>
    <mergeCell ref="M61:N61"/>
    <mergeCell ref="B62:K62"/>
    <mergeCell ref="M62:N62"/>
    <mergeCell ref="M49:N49"/>
    <mergeCell ref="M51:N51"/>
    <mergeCell ref="M58:N58"/>
    <mergeCell ref="M65:N65"/>
    <mergeCell ref="B71:K71"/>
    <mergeCell ref="M71:N71"/>
    <mergeCell ref="M74:N74"/>
    <mergeCell ref="M66:N66"/>
    <mergeCell ref="M67:N67"/>
    <mergeCell ref="M68:N68"/>
  </mergeCells>
  <phoneticPr fontId="3" type="noConversion"/>
  <conditionalFormatting sqref="I5 G6:H12">
    <cfRule type="expression" dxfId="18" priority="1">
      <formula>#REF!&lt;0</formula>
    </cfRule>
  </conditionalFormatting>
  <pageMargins left="0.7" right="0.7" top="0.75" bottom="0.75" header="0.3" footer="0.3"/>
  <pageSetup paperSize="9" scale="4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E781-311C-49A4-8775-DAA51B1420F2}">
  <sheetPr>
    <tabColor theme="1"/>
    <pageSetUpPr fitToPage="1"/>
  </sheetPr>
  <dimension ref="B1:N21"/>
  <sheetViews>
    <sheetView showGridLines="0" workbookViewId="0">
      <selection activeCell="L6" sqref="L6"/>
    </sheetView>
  </sheetViews>
  <sheetFormatPr defaultColWidth="9" defaultRowHeight="17.399999999999999"/>
  <cols>
    <col min="1" max="1" width="2.59765625" style="1" customWidth="1"/>
    <col min="2" max="2" width="5.59765625" style="1" customWidth="1"/>
    <col min="3" max="4" width="11.8984375" style="1" customWidth="1"/>
    <col min="5" max="5" width="20.09765625" style="1" bestFit="1" customWidth="1"/>
    <col min="6" max="6" width="20.3984375" style="1" customWidth="1"/>
    <col min="7" max="8" width="15.3984375" style="1" customWidth="1"/>
    <col min="9" max="11" width="15.59765625" style="1" customWidth="1"/>
    <col min="12" max="12" width="25.69921875" style="1" customWidth="1"/>
    <col min="13" max="14" width="2.59765625" style="1" customWidth="1"/>
    <col min="15" max="15" width="10.5" style="1" bestFit="1" customWidth="1"/>
    <col min="16" max="16384" width="9" style="1"/>
  </cols>
  <sheetData>
    <row r="1" spans="2:14" ht="9.9" customHeight="1"/>
    <row r="2" spans="2:14" s="5" customFormat="1" ht="30">
      <c r="B2" s="2" t="s">
        <v>140</v>
      </c>
      <c r="C2" s="2"/>
      <c r="D2" s="2"/>
      <c r="E2" s="3"/>
      <c r="F2" s="4"/>
      <c r="G2" s="4"/>
      <c r="H2" s="4"/>
      <c r="I2" s="4"/>
      <c r="J2" s="4"/>
      <c r="K2" s="4"/>
      <c r="L2" s="4"/>
    </row>
    <row r="3" spans="2:14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14" ht="18" thickBot="1"/>
    <row r="5" spans="2:14" s="54" customFormat="1" ht="32.25" customHeight="1" thickBot="1">
      <c r="B5" s="424" t="s">
        <v>138</v>
      </c>
      <c r="C5" s="425"/>
      <c r="D5" s="425"/>
      <c r="E5" s="243" t="s">
        <v>137</v>
      </c>
      <c r="F5" s="426" t="s">
        <v>120</v>
      </c>
      <c r="G5" s="427"/>
      <c r="H5" s="242" t="s">
        <v>0</v>
      </c>
      <c r="I5" s="241" t="s">
        <v>136</v>
      </c>
      <c r="J5" s="240" t="s">
        <v>135</v>
      </c>
      <c r="K5" s="239" t="s">
        <v>134</v>
      </c>
      <c r="L5" s="238" t="s">
        <v>5</v>
      </c>
    </row>
    <row r="6" spans="2:14" ht="32.25" customHeight="1" thickBot="1">
      <c r="B6" s="428" t="s">
        <v>133</v>
      </c>
      <c r="C6" s="429"/>
      <c r="D6" s="429"/>
      <c r="E6" s="237" t="s">
        <v>139</v>
      </c>
      <c r="F6" s="430"/>
      <c r="G6" s="431"/>
      <c r="H6" s="236" t="s">
        <v>132</v>
      </c>
      <c r="I6" s="235">
        <f>K15+K21</f>
        <v>0</v>
      </c>
      <c r="J6" s="234">
        <f>ROUNDDOWN(I6*0.03,-1)</f>
        <v>0</v>
      </c>
      <c r="K6" s="233">
        <f>ROUNDDOWN(J6*10%,-1)</f>
        <v>0</v>
      </c>
      <c r="L6" s="232">
        <f>I6-J6-K6</f>
        <v>0</v>
      </c>
    </row>
    <row r="7" spans="2:14" ht="12.9" customHeight="1"/>
    <row r="8" spans="2:14">
      <c r="B8" s="17" t="s">
        <v>131</v>
      </c>
      <c r="C8" s="17"/>
    </row>
    <row r="9" spans="2:14" s="13" customFormat="1" ht="20.25" customHeight="1">
      <c r="B9" s="174" t="s">
        <v>11</v>
      </c>
      <c r="C9" s="172" t="s">
        <v>12</v>
      </c>
      <c r="D9" s="172" t="s">
        <v>13</v>
      </c>
      <c r="E9" s="172" t="s">
        <v>14</v>
      </c>
      <c r="F9" s="172" t="s">
        <v>15</v>
      </c>
      <c r="G9" s="172" t="s">
        <v>16</v>
      </c>
      <c r="H9" s="172" t="s">
        <v>17</v>
      </c>
      <c r="I9" s="172" t="s">
        <v>20</v>
      </c>
      <c r="J9" s="172" t="s">
        <v>130</v>
      </c>
      <c r="K9" s="171" t="s">
        <v>22</v>
      </c>
      <c r="L9" s="230" t="s">
        <v>23</v>
      </c>
    </row>
    <row r="10" spans="2:14" s="13" customFormat="1" ht="20.25" customHeight="1">
      <c r="B10" s="33"/>
      <c r="C10" s="34"/>
      <c r="D10" s="34"/>
      <c r="E10" s="34"/>
      <c r="F10" s="34"/>
      <c r="G10" s="35"/>
      <c r="H10" s="117"/>
      <c r="I10" s="101"/>
      <c r="J10" s="37"/>
      <c r="K10" s="231"/>
      <c r="L10" s="25"/>
      <c r="N10" s="26"/>
    </row>
    <row r="11" spans="2:14" s="13" customFormat="1" ht="20.25" customHeight="1">
      <c r="B11" s="33"/>
      <c r="C11" s="34"/>
      <c r="D11" s="34"/>
      <c r="E11" s="34"/>
      <c r="F11" s="34"/>
      <c r="G11" s="35"/>
      <c r="H11" s="117"/>
      <c r="I11" s="101"/>
      <c r="J11" s="37"/>
      <c r="K11" s="231"/>
      <c r="L11" s="63"/>
      <c r="N11" s="26"/>
    </row>
    <row r="12" spans="2:14" s="13" customFormat="1" ht="20.25" customHeight="1">
      <c r="B12" s="33"/>
      <c r="C12" s="34"/>
      <c r="D12" s="34"/>
      <c r="E12" s="34"/>
      <c r="F12" s="34"/>
      <c r="G12" s="35"/>
      <c r="H12" s="117"/>
      <c r="I12" s="101"/>
      <c r="J12" s="37"/>
      <c r="K12" s="231"/>
      <c r="L12" s="63"/>
      <c r="N12" s="26"/>
    </row>
    <row r="13" spans="2:14" s="13" customFormat="1" ht="20.25" customHeight="1">
      <c r="B13" s="33"/>
      <c r="C13" s="34"/>
      <c r="D13" s="34"/>
      <c r="E13" s="34"/>
      <c r="F13" s="34"/>
      <c r="G13" s="35"/>
      <c r="H13" s="117"/>
      <c r="I13" s="101"/>
      <c r="J13" s="37"/>
      <c r="K13" s="231"/>
      <c r="L13" s="63"/>
      <c r="N13" s="26"/>
    </row>
    <row r="14" spans="2:14" s="13" customFormat="1" ht="20.25" customHeight="1">
      <c r="B14" s="33"/>
      <c r="C14" s="34"/>
      <c r="D14" s="34"/>
      <c r="E14" s="34"/>
      <c r="F14" s="34"/>
      <c r="G14" s="35"/>
      <c r="H14" s="117"/>
      <c r="I14" s="101"/>
      <c r="J14" s="37"/>
      <c r="K14" s="231"/>
      <c r="L14" s="63"/>
      <c r="N14" s="26"/>
    </row>
    <row r="15" spans="2:14" ht="20.25" customHeight="1">
      <c r="B15" s="298" t="s">
        <v>9</v>
      </c>
      <c r="C15" s="299"/>
      <c r="D15" s="299"/>
      <c r="E15" s="299"/>
      <c r="F15" s="299"/>
      <c r="G15" s="299"/>
      <c r="H15" s="299"/>
      <c r="I15" s="299"/>
      <c r="J15" s="300"/>
      <c r="K15" s="28">
        <f>SUM(K10:K14)</f>
        <v>0</v>
      </c>
      <c r="L15" s="29"/>
    </row>
    <row r="16" spans="2:14" ht="12.9" customHeight="1"/>
    <row r="17" spans="2:12">
      <c r="B17" s="17" t="s">
        <v>129</v>
      </c>
      <c r="C17" s="17"/>
    </row>
    <row r="18" spans="2:12" ht="20.25" customHeight="1">
      <c r="B18" s="174" t="s">
        <v>11</v>
      </c>
      <c r="C18" s="172" t="s">
        <v>12</v>
      </c>
      <c r="D18" s="172" t="s">
        <v>13</v>
      </c>
      <c r="E18" s="172" t="s">
        <v>14</v>
      </c>
      <c r="F18" s="172" t="s">
        <v>128</v>
      </c>
      <c r="G18" s="172" t="s">
        <v>16</v>
      </c>
      <c r="H18" s="172" t="s">
        <v>17</v>
      </c>
      <c r="I18" s="172" t="s">
        <v>20</v>
      </c>
      <c r="J18" s="172" t="s">
        <v>21</v>
      </c>
      <c r="K18" s="171" t="s">
        <v>22</v>
      </c>
      <c r="L18" s="230" t="s">
        <v>23</v>
      </c>
    </row>
    <row r="19" spans="2:12" ht="20.25" customHeight="1">
      <c r="B19" s="33"/>
      <c r="C19" s="229"/>
      <c r="D19" s="34"/>
      <c r="E19" s="229"/>
      <c r="F19" s="34"/>
      <c r="G19" s="229"/>
      <c r="H19" s="34"/>
      <c r="I19" s="23"/>
      <c r="J19" s="228"/>
      <c r="K19" s="227">
        <f>I19*J19</f>
        <v>0</v>
      </c>
      <c r="L19" s="226"/>
    </row>
    <row r="20" spans="2:12" ht="20.25" customHeight="1">
      <c r="B20" s="159"/>
      <c r="C20" s="158"/>
      <c r="D20" s="156"/>
      <c r="E20" s="158"/>
      <c r="F20" s="156"/>
      <c r="G20" s="225"/>
      <c r="H20" s="156"/>
      <c r="I20" s="152"/>
      <c r="J20" s="162"/>
      <c r="K20" s="150"/>
      <c r="L20" s="224"/>
    </row>
    <row r="21" spans="2:12" ht="20.25" customHeight="1">
      <c r="B21" s="298" t="s">
        <v>9</v>
      </c>
      <c r="C21" s="299"/>
      <c r="D21" s="299"/>
      <c r="E21" s="299"/>
      <c r="F21" s="299"/>
      <c r="G21" s="299"/>
      <c r="H21" s="299"/>
      <c r="I21" s="299"/>
      <c r="J21" s="300"/>
      <c r="K21" s="28">
        <f>SUM(K19:K20)</f>
        <v>0</v>
      </c>
      <c r="L21" s="29"/>
    </row>
  </sheetData>
  <mergeCells count="6">
    <mergeCell ref="B21:J21"/>
    <mergeCell ref="B5:D5"/>
    <mergeCell ref="F5:G5"/>
    <mergeCell ref="B6:D6"/>
    <mergeCell ref="F6:G6"/>
    <mergeCell ref="B15:J15"/>
  </mergeCells>
  <phoneticPr fontId="3" type="noConversion"/>
  <conditionalFormatting sqref="H6">
    <cfRule type="expression" dxfId="17" priority="1">
      <formula>#REF!&lt;0</formula>
    </cfRule>
  </conditionalFormatting>
  <pageMargins left="0.19685039370078741" right="0.19685039370078741" top="0.19685039370078741" bottom="0.19685039370078741" header="0.31496062992125984" footer="0.31496062992125984"/>
  <pageSetup paperSize="9" scale="7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3F39-ACB5-445D-A5BF-749EB9011FE1}">
  <sheetPr>
    <tabColor theme="1"/>
    <pageSetUpPr fitToPage="1"/>
  </sheetPr>
  <dimension ref="B1:Q39"/>
  <sheetViews>
    <sheetView showGridLines="0" tabSelected="1" zoomScaleNormal="100" workbookViewId="0">
      <selection activeCell="H25" sqref="H25"/>
    </sheetView>
  </sheetViews>
  <sheetFormatPr defaultRowHeight="17.399999999999999"/>
  <cols>
    <col min="1" max="1" width="1.59765625" style="244" customWidth="1"/>
    <col min="2" max="2" width="12.5" style="244" customWidth="1"/>
    <col min="3" max="3" width="21.59765625" style="244" bestFit="1" customWidth="1"/>
    <col min="4" max="4" width="19.8984375" style="244" bestFit="1" customWidth="1"/>
    <col min="5" max="5" width="13.59765625" style="244" bestFit="1" customWidth="1"/>
    <col min="6" max="6" width="12.5" style="244" customWidth="1"/>
    <col min="7" max="8" width="13.69921875" style="244" customWidth="1"/>
    <col min="9" max="9" width="12.09765625" style="244" customWidth="1"/>
    <col min="10" max="11" width="13.69921875" style="244" customWidth="1"/>
    <col min="12" max="12" width="10" style="244" customWidth="1"/>
    <col min="13" max="13" width="20.09765625" style="244" customWidth="1"/>
    <col min="14" max="16384" width="8.796875" style="244"/>
  </cols>
  <sheetData>
    <row r="1" spans="2:17" ht="7.5" customHeight="1"/>
    <row r="2" spans="2:17" s="263" customFormat="1" ht="31.5" customHeight="1" thickBot="1">
      <c r="B2" s="274" t="s">
        <v>164</v>
      </c>
      <c r="C2" s="274"/>
      <c r="D2" s="274"/>
      <c r="E2" s="273"/>
      <c r="F2" s="273"/>
      <c r="G2" s="273"/>
      <c r="H2" s="273"/>
      <c r="I2" s="272"/>
      <c r="J2" s="272"/>
      <c r="K2" s="272"/>
      <c r="L2" s="272"/>
      <c r="M2" s="272"/>
      <c r="N2" s="264"/>
      <c r="O2" s="264"/>
      <c r="P2" s="264"/>
      <c r="Q2" s="264"/>
    </row>
    <row r="3" spans="2:17" s="263" customFormat="1" ht="18" thickTop="1">
      <c r="B3" s="262"/>
      <c r="C3" s="262"/>
      <c r="D3" s="262"/>
      <c r="I3" s="265"/>
      <c r="J3" s="265"/>
      <c r="K3" s="265"/>
      <c r="L3" s="265"/>
      <c r="M3" s="265"/>
      <c r="N3" s="264"/>
      <c r="O3" s="264"/>
      <c r="P3" s="264"/>
      <c r="Q3" s="264"/>
    </row>
    <row r="4" spans="2:17" s="263" customFormat="1">
      <c r="B4" s="262" t="s">
        <v>163</v>
      </c>
      <c r="C4" s="262"/>
      <c r="D4" s="262"/>
      <c r="I4" s="265"/>
      <c r="J4" s="265"/>
      <c r="K4" s="265"/>
      <c r="L4" s="265"/>
      <c r="M4" s="265"/>
      <c r="N4" s="264"/>
      <c r="O4" s="264"/>
      <c r="P4" s="264"/>
      <c r="Q4" s="264"/>
    </row>
    <row r="5" spans="2:17" ht="3.75" customHeight="1">
      <c r="B5" s="260"/>
    </row>
    <row r="6" spans="2:17" s="263" customFormat="1" ht="16.5" customHeight="1">
      <c r="B6" s="432" t="s">
        <v>162</v>
      </c>
      <c r="C6" s="433"/>
      <c r="D6" s="271" t="s">
        <v>161</v>
      </c>
      <c r="E6" s="271" t="s">
        <v>160</v>
      </c>
      <c r="F6" s="271" t="s">
        <v>159</v>
      </c>
      <c r="G6" s="271" t="s">
        <v>158</v>
      </c>
      <c r="H6" s="265"/>
      <c r="I6" s="265"/>
      <c r="J6" s="265"/>
      <c r="L6" s="266"/>
      <c r="M6" s="266"/>
      <c r="N6" s="264"/>
      <c r="O6" s="264"/>
    </row>
    <row r="7" spans="2:17" s="263" customFormat="1" ht="16.5" customHeight="1">
      <c r="B7" s="434" t="s">
        <v>165</v>
      </c>
      <c r="C7" s="434"/>
      <c r="D7" s="270">
        <v>0</v>
      </c>
      <c r="E7" s="270">
        <v>0</v>
      </c>
      <c r="F7" s="270">
        <v>0</v>
      </c>
      <c r="G7" s="269" t="s">
        <v>156</v>
      </c>
      <c r="H7" s="265"/>
      <c r="I7" s="265"/>
      <c r="J7" s="265"/>
      <c r="L7" s="266"/>
      <c r="M7" s="266"/>
      <c r="N7" s="264"/>
      <c r="O7" s="264"/>
    </row>
    <row r="8" spans="2:17" s="263" customFormat="1">
      <c r="B8" s="435" t="s">
        <v>157</v>
      </c>
      <c r="C8" s="435"/>
      <c r="D8" s="268">
        <f>J20</f>
        <v>0</v>
      </c>
      <c r="E8" s="268">
        <f>K20</f>
        <v>0</v>
      </c>
      <c r="F8" s="268">
        <f>L20</f>
        <v>0</v>
      </c>
      <c r="G8" s="267" t="s">
        <v>156</v>
      </c>
      <c r="H8" s="265"/>
      <c r="I8" s="265"/>
      <c r="J8" s="265"/>
      <c r="L8" s="266"/>
      <c r="M8" s="266"/>
      <c r="N8" s="264"/>
      <c r="O8" s="264"/>
    </row>
    <row r="9" spans="2:17" s="263" customFormat="1">
      <c r="C9" s="262"/>
      <c r="D9" s="262"/>
      <c r="I9" s="265"/>
      <c r="J9" s="265"/>
      <c r="K9" s="265"/>
      <c r="L9" s="265"/>
      <c r="M9" s="265"/>
      <c r="N9" s="264"/>
      <c r="O9" s="264"/>
      <c r="P9" s="264"/>
      <c r="Q9" s="264"/>
    </row>
    <row r="10" spans="2:17" s="263" customFormat="1">
      <c r="C10" s="262"/>
      <c r="D10" s="262"/>
      <c r="I10" s="265"/>
      <c r="J10" s="265"/>
      <c r="K10" s="265"/>
      <c r="L10" s="265"/>
      <c r="M10" s="265"/>
      <c r="N10" s="264"/>
      <c r="O10" s="264"/>
      <c r="P10" s="264"/>
      <c r="Q10" s="264"/>
    </row>
    <row r="11" spans="2:17">
      <c r="B11" s="262" t="s">
        <v>155</v>
      </c>
      <c r="L11" s="261"/>
      <c r="M11" s="261" t="s">
        <v>154</v>
      </c>
    </row>
    <row r="12" spans="2:17" ht="3.75" customHeight="1">
      <c r="B12" s="260"/>
    </row>
    <row r="13" spans="2:17" ht="30" customHeight="1">
      <c r="B13" s="259" t="s">
        <v>153</v>
      </c>
      <c r="C13" s="259" t="s">
        <v>152</v>
      </c>
      <c r="D13" s="259" t="s">
        <v>151</v>
      </c>
      <c r="E13" s="259" t="s">
        <v>150</v>
      </c>
      <c r="F13" s="258" t="s">
        <v>149</v>
      </c>
      <c r="G13" s="258" t="s">
        <v>148</v>
      </c>
      <c r="H13" s="258" t="s">
        <v>147</v>
      </c>
      <c r="I13" s="258" t="s">
        <v>146</v>
      </c>
      <c r="J13" s="258" t="s">
        <v>145</v>
      </c>
      <c r="K13" s="258" t="s">
        <v>144</v>
      </c>
      <c r="L13" s="258" t="s">
        <v>143</v>
      </c>
      <c r="M13" s="258" t="s">
        <v>142</v>
      </c>
    </row>
    <row r="14" spans="2:17" ht="16.5" customHeight="1">
      <c r="B14" s="436" t="s">
        <v>166</v>
      </c>
      <c r="C14" s="437"/>
      <c r="D14" s="437"/>
      <c r="E14" s="437"/>
      <c r="F14" s="437"/>
      <c r="G14" s="437"/>
      <c r="H14" s="437"/>
      <c r="I14" s="437"/>
      <c r="J14" s="437"/>
      <c r="K14" s="437"/>
      <c r="L14" s="438"/>
      <c r="M14" s="257">
        <v>0</v>
      </c>
    </row>
    <row r="15" spans="2:17" ht="16.5" customHeight="1">
      <c r="B15" s="256"/>
      <c r="C15" s="256"/>
      <c r="D15" s="255"/>
      <c r="E15" s="254"/>
      <c r="F15" s="253"/>
      <c r="G15" s="252"/>
      <c r="H15" s="250"/>
      <c r="I15" s="251"/>
      <c r="J15" s="250"/>
      <c r="K15" s="250">
        <f>ROUND(J15*10%,0)</f>
        <v>0</v>
      </c>
      <c r="L15" s="250">
        <f>J15-K15</f>
        <v>0</v>
      </c>
      <c r="M15" s="249">
        <f>M14-J15</f>
        <v>0</v>
      </c>
    </row>
    <row r="16" spans="2:17" ht="16.5" customHeight="1">
      <c r="B16" s="256"/>
      <c r="C16" s="256"/>
      <c r="D16" s="255"/>
      <c r="E16" s="254"/>
      <c r="F16" s="253"/>
      <c r="G16" s="252"/>
      <c r="H16" s="250"/>
      <c r="I16" s="251"/>
      <c r="J16" s="250"/>
      <c r="K16" s="250">
        <f>ROUND(J16*10%,0)</f>
        <v>0</v>
      </c>
      <c r="L16" s="250">
        <f>J16-K16</f>
        <v>0</v>
      </c>
      <c r="M16" s="249">
        <f>M15-J16</f>
        <v>0</v>
      </c>
    </row>
    <row r="17" spans="2:13" ht="16.5" customHeight="1">
      <c r="B17" s="256"/>
      <c r="C17" s="256"/>
      <c r="D17" s="255"/>
      <c r="E17" s="254"/>
      <c r="F17" s="253"/>
      <c r="G17" s="252"/>
      <c r="H17" s="250"/>
      <c r="I17" s="251"/>
      <c r="J17" s="250"/>
      <c r="K17" s="250">
        <f>ROUND(J17*10%,0)</f>
        <v>0</v>
      </c>
      <c r="L17" s="250">
        <f>J17-K17</f>
        <v>0</v>
      </c>
      <c r="M17" s="249">
        <f>M16-J17</f>
        <v>0</v>
      </c>
    </row>
    <row r="18" spans="2:13" ht="16.5" customHeight="1">
      <c r="B18" s="256"/>
      <c r="C18" s="256"/>
      <c r="D18" s="255"/>
      <c r="E18" s="254"/>
      <c r="F18" s="253"/>
      <c r="G18" s="252"/>
      <c r="H18" s="250"/>
      <c r="I18" s="251"/>
      <c r="J18" s="250"/>
      <c r="K18" s="250">
        <f>ROUND(J18*10%,0)</f>
        <v>0</v>
      </c>
      <c r="L18" s="250">
        <f>J18-K18</f>
        <v>0</v>
      </c>
      <c r="M18" s="249">
        <f>M17-J18</f>
        <v>0</v>
      </c>
    </row>
    <row r="19" spans="2:13" ht="16.5" customHeight="1">
      <c r="B19" s="256"/>
      <c r="C19" s="256"/>
      <c r="D19" s="255"/>
      <c r="E19" s="254"/>
      <c r="F19" s="253"/>
      <c r="G19" s="252"/>
      <c r="H19" s="250"/>
      <c r="I19" s="251"/>
      <c r="J19" s="250"/>
      <c r="K19" s="250">
        <f>ROUND(J19*10%,0)</f>
        <v>0</v>
      </c>
      <c r="L19" s="250">
        <f>J19-K19</f>
        <v>0</v>
      </c>
      <c r="M19" s="249">
        <f>M18-J19</f>
        <v>0</v>
      </c>
    </row>
    <row r="20" spans="2:13" ht="16.5" customHeight="1">
      <c r="B20" s="439" t="s">
        <v>141</v>
      </c>
      <c r="C20" s="440"/>
      <c r="D20" s="440"/>
      <c r="E20" s="440"/>
      <c r="F20" s="248"/>
      <c r="G20" s="247"/>
      <c r="H20" s="246"/>
      <c r="I20" s="247"/>
      <c r="J20" s="246"/>
      <c r="K20" s="246">
        <f>SUBTOTAL(9,K14:K19)</f>
        <v>0</v>
      </c>
      <c r="L20" s="246">
        <f>SUBTOTAL(9,L14:L19)</f>
        <v>0</v>
      </c>
      <c r="M20" s="246"/>
    </row>
    <row r="39" spans="10:10">
      <c r="J39" s="245"/>
    </row>
  </sheetData>
  <mergeCells count="5">
    <mergeCell ref="B6:C6"/>
    <mergeCell ref="B7:C7"/>
    <mergeCell ref="B8:C8"/>
    <mergeCell ref="B14:L14"/>
    <mergeCell ref="B20:E20"/>
  </mergeCells>
  <phoneticPr fontId="3" type="noConversion"/>
  <pageMargins left="0.7" right="0.7" top="0.75" bottom="0.75" header="0.3" footer="0.3"/>
  <pageSetup paperSize="9" scale="52" fitToHeight="0"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B6DA-B9DC-459E-A21E-E922F356BDC8}">
  <sheetPr>
    <tabColor theme="1"/>
    <pageSetUpPr fitToPage="1"/>
  </sheetPr>
  <dimension ref="B1:T39"/>
  <sheetViews>
    <sheetView showGridLines="0" zoomScaleNormal="100" workbookViewId="0">
      <selection activeCell="C48" sqref="C48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22.59765625" style="1" customWidth="1"/>
    <col min="6" max="6" width="30" style="1" customWidth="1"/>
    <col min="7" max="10" width="16.59765625" style="1" customWidth="1"/>
    <col min="11" max="11" width="13.09765625" style="1" bestFit="1" customWidth="1"/>
    <col min="12" max="12" width="17.59765625" style="1" customWidth="1"/>
    <col min="13" max="13" width="26.09765625" style="1" customWidth="1"/>
    <col min="14" max="15" width="2.59765625" style="1" customWidth="1"/>
    <col min="16" max="16" width="10.5" style="1" bestFit="1" customWidth="1"/>
    <col min="17" max="16384" width="9" style="1"/>
  </cols>
  <sheetData>
    <row r="1" spans="2:20" ht="9.9" customHeight="1"/>
    <row r="2" spans="2:20" s="5" customFormat="1" ht="30" customHeight="1">
      <c r="B2" s="2" t="s">
        <v>124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</row>
    <row r="3" spans="2:20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20" ht="9.9" customHeight="1" thickBot="1"/>
    <row r="5" spans="2:20" ht="18.75" customHeight="1">
      <c r="B5" s="307" t="s">
        <v>0</v>
      </c>
      <c r="C5" s="308"/>
      <c r="D5" s="295" t="s">
        <v>1</v>
      </c>
      <c r="E5" s="309" t="s">
        <v>2</v>
      </c>
      <c r="F5" s="310"/>
      <c r="G5" s="294" t="s">
        <v>3</v>
      </c>
      <c r="H5" s="294" t="s">
        <v>4</v>
      </c>
      <c r="I5" s="293" t="s">
        <v>5</v>
      </c>
      <c r="J5" s="311" t="s">
        <v>6</v>
      </c>
      <c r="K5" s="312"/>
      <c r="L5" s="292" t="s">
        <v>7</v>
      </c>
      <c r="M5" s="291" t="s">
        <v>8</v>
      </c>
    </row>
    <row r="6" spans="2:20" ht="18.75" customHeight="1">
      <c r="B6" s="305"/>
      <c r="C6" s="306"/>
      <c r="D6" s="296"/>
      <c r="E6" s="313" t="s">
        <v>184</v>
      </c>
      <c r="F6" s="314"/>
      <c r="G6" s="290">
        <f ca="1">SUMIF(C10:L15,C11,L10:L15)</f>
        <v>0</v>
      </c>
      <c r="H6" s="290">
        <v>0</v>
      </c>
      <c r="I6" s="289">
        <f ca="1">SUM(G6:H6)</f>
        <v>0</v>
      </c>
      <c r="J6" s="315" t="s">
        <v>183</v>
      </c>
      <c r="K6" s="316"/>
      <c r="L6" s="297"/>
      <c r="M6" s="210"/>
      <c r="N6" s="14"/>
    </row>
    <row r="7" spans="2:20" ht="18.75" customHeight="1" thickBot="1">
      <c r="B7" s="301" t="s">
        <v>182</v>
      </c>
      <c r="C7" s="302"/>
      <c r="D7" s="302"/>
      <c r="E7" s="302"/>
      <c r="F7" s="302"/>
      <c r="G7" s="15">
        <f ca="1">SUM(G6:G6)</f>
        <v>0</v>
      </c>
      <c r="H7" s="15">
        <f>SUM(H6:H6)</f>
        <v>0</v>
      </c>
      <c r="I7" s="15">
        <f ca="1">SUM(I6:I6)</f>
        <v>0</v>
      </c>
      <c r="J7" s="303"/>
      <c r="K7" s="303"/>
      <c r="L7" s="303"/>
      <c r="M7" s="304"/>
      <c r="N7" s="16"/>
      <c r="P7" s="288"/>
      <c r="Q7" s="287"/>
      <c r="R7"/>
      <c r="S7" s="17"/>
      <c r="T7" s="286"/>
    </row>
    <row r="8" spans="2:20" ht="12.9" customHeight="1">
      <c r="P8" s="288"/>
      <c r="Q8" s="287"/>
      <c r="R8"/>
      <c r="S8" s="17"/>
      <c r="T8" s="286"/>
    </row>
    <row r="9" spans="2:20">
      <c r="B9" s="17" t="str">
        <f>COUNTIF($B$1:B8,"*. 웹툰*")+1&amp;". 웹툰 &lt;작품명&gt; 원작료 정산 상세내역"</f>
        <v>1. 웹툰 &lt;작품명&gt; 원작료 정산 상세내역</v>
      </c>
      <c r="C9" s="17"/>
    </row>
    <row r="10" spans="2:20" ht="20.25" customHeight="1">
      <c r="B10" s="174" t="s">
        <v>11</v>
      </c>
      <c r="C10" s="172" t="s">
        <v>12</v>
      </c>
      <c r="D10" s="172" t="s">
        <v>13</v>
      </c>
      <c r="E10" s="172" t="s">
        <v>14</v>
      </c>
      <c r="F10" s="172" t="s">
        <v>120</v>
      </c>
      <c r="G10" s="172" t="s">
        <v>16</v>
      </c>
      <c r="H10" s="172" t="s">
        <v>17</v>
      </c>
      <c r="I10" s="172" t="s">
        <v>18</v>
      </c>
      <c r="J10" s="172" t="s">
        <v>20</v>
      </c>
      <c r="K10" s="172" t="s">
        <v>21</v>
      </c>
      <c r="L10" s="171" t="s">
        <v>22</v>
      </c>
      <c r="M10" s="230" t="s">
        <v>23</v>
      </c>
    </row>
    <row r="11" spans="2:20" s="13" customFormat="1" ht="20.25" customHeight="1">
      <c r="B11" s="33"/>
      <c r="C11" s="34"/>
      <c r="D11" s="34"/>
      <c r="E11" s="34"/>
      <c r="F11" s="34"/>
      <c r="G11" s="285"/>
      <c r="H11" s="117"/>
      <c r="I11" s="22"/>
      <c r="J11" s="23"/>
      <c r="K11" s="37"/>
      <c r="L11" s="150"/>
      <c r="M11" s="284"/>
    </row>
    <row r="12" spans="2:20" s="13" customFormat="1" ht="20.25" customHeight="1">
      <c r="B12" s="33"/>
      <c r="C12" s="34"/>
      <c r="D12" s="34"/>
      <c r="E12" s="34"/>
      <c r="F12" s="34"/>
      <c r="G12" s="285"/>
      <c r="H12" s="117"/>
      <c r="I12" s="22"/>
      <c r="J12" s="23"/>
      <c r="K12" s="37"/>
      <c r="L12" s="150"/>
      <c r="M12" s="284"/>
    </row>
    <row r="13" spans="2:20" s="13" customFormat="1" ht="20.25" customHeight="1">
      <c r="B13" s="33"/>
      <c r="C13" s="34"/>
      <c r="D13" s="34"/>
      <c r="E13" s="34"/>
      <c r="F13" s="34"/>
      <c r="G13" s="285"/>
      <c r="H13" s="117"/>
      <c r="I13" s="22"/>
      <c r="J13" s="23"/>
      <c r="K13" s="37"/>
      <c r="L13" s="150"/>
      <c r="M13" s="284"/>
    </row>
    <row r="14" spans="2:20" s="13" customFormat="1" ht="20.25" customHeight="1">
      <c r="B14" s="33"/>
      <c r="C14" s="34"/>
      <c r="D14" s="34"/>
      <c r="E14" s="34"/>
      <c r="F14" s="34"/>
      <c r="G14" s="285"/>
      <c r="H14" s="117"/>
      <c r="I14" s="22"/>
      <c r="J14" s="23"/>
      <c r="K14" s="37"/>
      <c r="L14" s="150"/>
      <c r="M14" s="284"/>
    </row>
    <row r="15" spans="2:20" ht="20.25" customHeight="1">
      <c r="B15" s="159"/>
      <c r="C15" s="158"/>
      <c r="D15" s="156"/>
      <c r="E15" s="158"/>
      <c r="F15" s="156"/>
      <c r="G15" s="225"/>
      <c r="H15" s="156"/>
      <c r="I15" s="169"/>
      <c r="J15" s="152"/>
      <c r="K15" s="162"/>
      <c r="L15" s="150"/>
      <c r="M15" s="284"/>
    </row>
    <row r="16" spans="2:20" ht="20.25" customHeight="1">
      <c r="B16" s="298" t="s">
        <v>9</v>
      </c>
      <c r="C16" s="299"/>
      <c r="D16" s="299"/>
      <c r="E16" s="299"/>
      <c r="F16" s="299"/>
      <c r="G16" s="299"/>
      <c r="H16" s="299"/>
      <c r="I16" s="299"/>
      <c r="J16" s="299"/>
      <c r="K16" s="300"/>
      <c r="L16" s="28">
        <f>SUM(L11:L15)</f>
        <v>0</v>
      </c>
      <c r="M16" s="29"/>
    </row>
    <row r="17" spans="2:15" ht="12.9" customHeight="1"/>
    <row r="18" spans="2:15" hidden="1">
      <c r="B18" s="223" t="s">
        <v>118</v>
      </c>
      <c r="C18" s="17"/>
      <c r="D18"/>
      <c r="E18"/>
      <c r="F18"/>
      <c r="G18"/>
      <c r="H18"/>
      <c r="I18"/>
      <c r="J18"/>
      <c r="K18"/>
      <c r="L18"/>
      <c r="M18"/>
      <c r="N18"/>
      <c r="O18"/>
    </row>
    <row r="19" spans="2:15" hidden="1">
      <c r="B19" s="281" t="s">
        <v>181</v>
      </c>
      <c r="C19" s="280"/>
      <c r="D19" s="280"/>
      <c r="E19" s="280"/>
      <c r="F19" s="280"/>
      <c r="G19" s="275"/>
    </row>
    <row r="20" spans="2:15" hidden="1">
      <c r="B20" s="218" t="s">
        <v>180</v>
      </c>
      <c r="C20" s="79"/>
      <c r="D20" s="79"/>
      <c r="E20" s="79"/>
      <c r="F20" s="79"/>
      <c r="G20" s="221"/>
    </row>
    <row r="21" spans="2:15" hidden="1">
      <c r="B21" s="283" t="s">
        <v>179</v>
      </c>
      <c r="C21" s="79"/>
      <c r="D21" s="79"/>
      <c r="E21" s="79"/>
      <c r="F21" s="79"/>
      <c r="G21" s="221"/>
    </row>
    <row r="22" spans="2:15" hidden="1">
      <c r="B22" s="283" t="s">
        <v>178</v>
      </c>
      <c r="C22" s="56"/>
      <c r="D22" s="56"/>
      <c r="E22" s="56"/>
      <c r="F22" s="56"/>
      <c r="G22" s="221"/>
    </row>
    <row r="23" spans="2:15" hidden="1">
      <c r="B23" s="283" t="s">
        <v>177</v>
      </c>
      <c r="C23" s="56"/>
      <c r="D23" s="56"/>
      <c r="E23" s="56"/>
      <c r="F23" s="56"/>
      <c r="G23" s="221"/>
    </row>
    <row r="24" spans="2:15" hidden="1">
      <c r="B24" s="218" t="s">
        <v>176</v>
      </c>
      <c r="C24" s="56"/>
      <c r="D24" s="56"/>
      <c r="E24" s="56"/>
      <c r="F24" s="56"/>
      <c r="G24" s="221"/>
    </row>
    <row r="25" spans="2:15" hidden="1">
      <c r="B25" s="283" t="s">
        <v>175</v>
      </c>
      <c r="C25" s="56"/>
      <c r="D25" s="56"/>
      <c r="E25" s="56"/>
      <c r="F25" s="56"/>
      <c r="G25" s="221"/>
    </row>
    <row r="26" spans="2:15" hidden="1">
      <c r="B26" s="282"/>
      <c r="G26" s="221"/>
    </row>
    <row r="27" spans="2:15" hidden="1">
      <c r="B27" s="281" t="s">
        <v>174</v>
      </c>
      <c r="C27" s="280"/>
      <c r="D27" s="280"/>
      <c r="E27" s="280"/>
      <c r="F27" s="280"/>
      <c r="G27" s="275"/>
      <c r="H27" s="81"/>
      <c r="I27" s="79"/>
      <c r="J27" s="79"/>
      <c r="K27" s="79"/>
      <c r="L27" s="79"/>
    </row>
    <row r="28" spans="2:15" hidden="1">
      <c r="B28" s="279" t="s">
        <v>127</v>
      </c>
      <c r="C28" s="56"/>
      <c r="D28" s="56"/>
      <c r="E28" s="56"/>
      <c r="F28" s="56"/>
      <c r="G28" s="143"/>
      <c r="H28" s="81"/>
      <c r="I28" s="79"/>
      <c r="J28" s="79"/>
      <c r="K28" s="79"/>
      <c r="L28" s="79"/>
    </row>
    <row r="29" spans="2:15" hidden="1">
      <c r="B29" s="276" t="s">
        <v>173</v>
      </c>
      <c r="C29" s="56"/>
      <c r="D29" s="56"/>
      <c r="E29" s="56"/>
      <c r="F29" s="56"/>
      <c r="G29" s="143"/>
      <c r="H29" s="81"/>
      <c r="I29" s="79"/>
      <c r="J29" s="79"/>
      <c r="K29" s="79"/>
      <c r="L29" s="79"/>
    </row>
    <row r="30" spans="2:15" hidden="1">
      <c r="B30" s="276" t="s">
        <v>172</v>
      </c>
      <c r="C30" s="56"/>
      <c r="D30" s="56"/>
      <c r="E30" s="56"/>
      <c r="F30" s="56"/>
      <c r="G30" s="143"/>
      <c r="H30" s="81"/>
      <c r="I30" s="79"/>
      <c r="J30" s="79"/>
      <c r="K30" s="79"/>
      <c r="L30" s="79"/>
    </row>
    <row r="31" spans="2:15" hidden="1">
      <c r="B31" s="220" t="s">
        <v>125</v>
      </c>
      <c r="C31" s="141"/>
      <c r="D31" s="141"/>
      <c r="E31" s="141"/>
      <c r="F31" s="141"/>
      <c r="G31" s="140"/>
      <c r="H31" s="81"/>
      <c r="I31" s="79"/>
      <c r="J31" s="79"/>
      <c r="K31" s="79"/>
      <c r="L31" s="79"/>
    </row>
    <row r="32" spans="2:15" hidden="1">
      <c r="B32" s="278" t="s">
        <v>171</v>
      </c>
      <c r="C32" s="146"/>
      <c r="D32" s="146"/>
      <c r="E32" s="146"/>
      <c r="F32" s="146"/>
      <c r="G32" s="145"/>
      <c r="H32"/>
      <c r="I32"/>
      <c r="J32"/>
      <c r="K32"/>
      <c r="L32"/>
      <c r="M32"/>
      <c r="N32"/>
      <c r="O32"/>
    </row>
    <row r="33" spans="2:15" hidden="1">
      <c r="B33" s="277" t="s">
        <v>127</v>
      </c>
      <c r="C33" s="219"/>
      <c r="D33" s="219"/>
      <c r="E33" s="219"/>
      <c r="F33" s="219"/>
      <c r="G33" s="222"/>
      <c r="H33"/>
      <c r="I33"/>
      <c r="J33"/>
      <c r="K33"/>
      <c r="L33"/>
      <c r="M33"/>
      <c r="N33"/>
      <c r="O33"/>
    </row>
    <row r="34" spans="2:15" hidden="1">
      <c r="B34" s="276" t="s">
        <v>126</v>
      </c>
      <c r="C34" s="56"/>
      <c r="D34" s="56"/>
      <c r="E34" s="56"/>
      <c r="F34" s="56"/>
      <c r="G34" s="143"/>
      <c r="H34"/>
      <c r="I34"/>
      <c r="J34"/>
      <c r="K34"/>
      <c r="L34"/>
      <c r="M34"/>
      <c r="N34"/>
      <c r="O34"/>
    </row>
    <row r="35" spans="2:15" hidden="1">
      <c r="B35" s="220" t="s">
        <v>125</v>
      </c>
      <c r="C35" s="141"/>
      <c r="D35" s="141"/>
      <c r="E35" s="141"/>
      <c r="F35" s="141"/>
      <c r="G35" s="140"/>
      <c r="H35"/>
      <c r="I35"/>
      <c r="J35"/>
      <c r="K35"/>
      <c r="L35"/>
      <c r="M35"/>
      <c r="N35"/>
      <c r="O35"/>
    </row>
    <row r="36" spans="2:15" hidden="1">
      <c r="B36" s="147" t="s">
        <v>170</v>
      </c>
      <c r="C36" s="146"/>
      <c r="D36" s="146"/>
      <c r="E36" s="146"/>
      <c r="F36" s="146"/>
      <c r="G36" s="275"/>
    </row>
    <row r="37" spans="2:15" hidden="1">
      <c r="B37" s="144" t="s">
        <v>169</v>
      </c>
      <c r="C37" s="219"/>
      <c r="D37" s="219"/>
      <c r="E37" s="219"/>
      <c r="F37" s="219"/>
      <c r="G37" s="222"/>
    </row>
    <row r="38" spans="2:15" hidden="1">
      <c r="B38" s="144" t="s">
        <v>168</v>
      </c>
      <c r="C38" s="56"/>
      <c r="D38" s="56"/>
      <c r="E38" s="56"/>
      <c r="F38" s="56"/>
      <c r="G38" s="143"/>
    </row>
    <row r="39" spans="2:15" hidden="1">
      <c r="B39" s="142" t="s">
        <v>167</v>
      </c>
      <c r="C39" s="141"/>
      <c r="D39" s="141"/>
      <c r="E39" s="141"/>
      <c r="F39" s="141"/>
      <c r="G39" s="140"/>
    </row>
  </sheetData>
  <mergeCells count="9">
    <mergeCell ref="B16:K16"/>
    <mergeCell ref="B7:F7"/>
    <mergeCell ref="J7:M7"/>
    <mergeCell ref="B6:C6"/>
    <mergeCell ref="B5:C5"/>
    <mergeCell ref="E5:F5"/>
    <mergeCell ref="J5:K5"/>
    <mergeCell ref="E6:F6"/>
    <mergeCell ref="J6:K6"/>
  </mergeCells>
  <phoneticPr fontId="3" type="noConversion"/>
  <conditionalFormatting sqref="G6:H6">
    <cfRule type="expression" dxfId="16" priority="2">
      <formula>#REF!&lt;0</formula>
    </cfRule>
  </conditionalFormatting>
  <conditionalFormatting sqref="I5">
    <cfRule type="expression" dxfId="15" priority="1">
      <formula>#REF!&lt;0</formula>
    </cfRule>
  </conditionalFormatting>
  <pageMargins left="0.7" right="0.7" top="0.75" bottom="0.75" header="0.3" footer="0.3"/>
  <pageSetup paperSize="9" scale="5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E1E9-53A9-45BA-AC68-3E20A8630F02}">
  <sheetPr>
    <tabColor theme="1"/>
    <pageSetUpPr fitToPage="1"/>
  </sheetPr>
  <dimension ref="B1:Q54"/>
  <sheetViews>
    <sheetView showGridLines="0" zoomScaleNormal="100" workbookViewId="0">
      <selection activeCell="C17" sqref="C17:I17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13.19921875" style="1" customWidth="1"/>
    <col min="6" max="6" width="18.5" style="1" customWidth="1"/>
    <col min="7" max="12" width="13.59765625" style="1" customWidth="1"/>
    <col min="13" max="13" width="9.69921875" style="1" bestFit="1" customWidth="1"/>
    <col min="14" max="14" width="14.3984375" style="1" customWidth="1"/>
    <col min="15" max="15" width="15.59765625" style="1" customWidth="1"/>
    <col min="16" max="16" width="12.59765625" style="1" customWidth="1"/>
    <col min="17" max="17" width="15.59765625" style="1" customWidth="1"/>
    <col min="18" max="18" width="2.69921875" style="1" customWidth="1"/>
    <col min="19" max="16384" width="9" style="1"/>
  </cols>
  <sheetData>
    <row r="1" spans="2:17" ht="9.9" customHeight="1"/>
    <row r="2" spans="2:17" s="5" customFormat="1" ht="30" customHeight="1">
      <c r="B2" s="2" t="s">
        <v>102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17" ht="9.9" customHeight="1" thickBot="1"/>
    <row r="5" spans="2:17" ht="18.75" customHeight="1">
      <c r="B5" s="333" t="s">
        <v>0</v>
      </c>
      <c r="C5" s="334"/>
      <c r="D5" s="95" t="s">
        <v>1</v>
      </c>
      <c r="E5" s="335" t="s">
        <v>2</v>
      </c>
      <c r="F5" s="335"/>
      <c r="G5" s="336" t="s">
        <v>3</v>
      </c>
      <c r="H5" s="337"/>
      <c r="I5" s="336" t="s">
        <v>4</v>
      </c>
      <c r="J5" s="337"/>
      <c r="K5" s="338" t="s">
        <v>5</v>
      </c>
      <c r="L5" s="339"/>
      <c r="M5" s="340" t="s">
        <v>6</v>
      </c>
      <c r="N5" s="341"/>
      <c r="O5" s="342"/>
      <c r="P5" s="96" t="s">
        <v>7</v>
      </c>
      <c r="Q5" s="97" t="s">
        <v>8</v>
      </c>
    </row>
    <row r="6" spans="2:17" ht="21.9" customHeight="1">
      <c r="B6" s="343" t="s">
        <v>24</v>
      </c>
      <c r="C6" s="344"/>
      <c r="D6" s="93">
        <v>45682</v>
      </c>
      <c r="E6" s="345" t="s">
        <v>103</v>
      </c>
      <c r="F6" s="345"/>
      <c r="G6" s="346">
        <f>Q25</f>
        <v>1191497</v>
      </c>
      <c r="H6" s="347"/>
      <c r="I6" s="348">
        <f>ROUND(G6*10%,0)</f>
        <v>119150</v>
      </c>
      <c r="J6" s="349"/>
      <c r="K6" s="348">
        <f>G6+I6</f>
        <v>1310647</v>
      </c>
      <c r="L6" s="349"/>
      <c r="M6" s="331" t="s">
        <v>26</v>
      </c>
      <c r="N6" s="323"/>
      <c r="O6" s="332"/>
      <c r="P6" s="94">
        <v>45692</v>
      </c>
      <c r="Q6" s="98">
        <v>45698</v>
      </c>
    </row>
    <row r="7" spans="2:17" ht="18.75" customHeight="1" thickBot="1">
      <c r="B7" s="362" t="s">
        <v>9</v>
      </c>
      <c r="C7" s="363"/>
      <c r="D7" s="363"/>
      <c r="E7" s="363"/>
      <c r="F7" s="363"/>
      <c r="G7" s="364">
        <f>SUM(G6)</f>
        <v>1191497</v>
      </c>
      <c r="H7" s="365"/>
      <c r="I7" s="364">
        <f>SUM(I6)</f>
        <v>119150</v>
      </c>
      <c r="J7" s="365"/>
      <c r="K7" s="364">
        <f>SUM(K6)</f>
        <v>1310647</v>
      </c>
      <c r="L7" s="365"/>
      <c r="M7" s="366" t="s">
        <v>10</v>
      </c>
      <c r="N7" s="367"/>
      <c r="O7" s="367"/>
      <c r="P7" s="367"/>
      <c r="Q7" s="368"/>
    </row>
    <row r="8" spans="2:17" ht="12.9" customHeight="1"/>
    <row r="9" spans="2:17">
      <c r="B9" s="17" t="s">
        <v>25</v>
      </c>
      <c r="C9" s="17"/>
    </row>
    <row r="10" spans="2:17" s="13" customFormat="1" ht="31.2">
      <c r="B10" s="82" t="s">
        <v>11</v>
      </c>
      <c r="C10" s="83" t="s">
        <v>12</v>
      </c>
      <c r="D10" s="83" t="s">
        <v>13</v>
      </c>
      <c r="E10" s="83" t="s">
        <v>14</v>
      </c>
      <c r="F10" s="83" t="s">
        <v>15</v>
      </c>
      <c r="G10" s="83" t="s">
        <v>16</v>
      </c>
      <c r="H10" s="84" t="s">
        <v>17</v>
      </c>
      <c r="I10" s="86" t="s">
        <v>105</v>
      </c>
      <c r="J10" s="86" t="s">
        <v>106</v>
      </c>
      <c r="K10" s="86" t="s">
        <v>107</v>
      </c>
      <c r="L10" s="87" t="s">
        <v>108</v>
      </c>
      <c r="M10" s="88" t="s">
        <v>81</v>
      </c>
      <c r="N10" s="88" t="s">
        <v>104</v>
      </c>
      <c r="O10" s="88" t="s">
        <v>109</v>
      </c>
      <c r="P10" s="90" t="s">
        <v>21</v>
      </c>
      <c r="Q10" s="90" t="s">
        <v>22</v>
      </c>
    </row>
    <row r="11" spans="2:17" s="13" customFormat="1" ht="20.25" customHeight="1">
      <c r="B11" s="91">
        <v>1</v>
      </c>
      <c r="C11" s="34" t="s">
        <v>36</v>
      </c>
      <c r="D11" s="34" t="s">
        <v>37</v>
      </c>
      <c r="E11" s="34" t="s">
        <v>49</v>
      </c>
      <c r="F11" s="34" t="s">
        <v>38</v>
      </c>
      <c r="G11" s="35">
        <v>44878</v>
      </c>
      <c r="H11" s="117">
        <v>45566</v>
      </c>
      <c r="I11" s="100">
        <v>0</v>
      </c>
      <c r="J11" s="101">
        <v>1473032</v>
      </c>
      <c r="K11" s="101">
        <v>0</v>
      </c>
      <c r="L11" s="100">
        <f>ROUND(K11*10%,2)</f>
        <v>0</v>
      </c>
      <c r="M11" s="102">
        <v>0</v>
      </c>
      <c r="N11" s="103">
        <v>0</v>
      </c>
      <c r="O11" s="101">
        <v>883819</v>
      </c>
      <c r="P11" s="36">
        <v>0.1</v>
      </c>
      <c r="Q11" s="109">
        <f>ROUND(O11*P11,0)</f>
        <v>88382</v>
      </c>
    </row>
    <row r="12" spans="2:17" s="13" customFormat="1" ht="20.25" customHeight="1">
      <c r="B12" s="91">
        <v>2</v>
      </c>
      <c r="C12" s="34" t="s">
        <v>36</v>
      </c>
      <c r="D12" s="34" t="s">
        <v>37</v>
      </c>
      <c r="E12" s="34" t="s">
        <v>49</v>
      </c>
      <c r="F12" s="34" t="s">
        <v>38</v>
      </c>
      <c r="G12" s="35">
        <v>44878</v>
      </c>
      <c r="H12" s="117">
        <v>45597</v>
      </c>
      <c r="I12" s="100">
        <v>0</v>
      </c>
      <c r="J12" s="101">
        <v>95708</v>
      </c>
      <c r="K12" s="101">
        <v>0</v>
      </c>
      <c r="L12" s="100">
        <f>ROUND(K12*10%,2)</f>
        <v>0</v>
      </c>
      <c r="M12" s="104">
        <v>0</v>
      </c>
      <c r="N12" s="103">
        <v>0</v>
      </c>
      <c r="O12" s="101">
        <v>57829</v>
      </c>
      <c r="P12" s="36">
        <v>0.1</v>
      </c>
      <c r="Q12" s="110">
        <f>ROUND(O12*P12,0)</f>
        <v>5783</v>
      </c>
    </row>
    <row r="13" spans="2:17" s="13" customFormat="1" ht="20.25" customHeight="1">
      <c r="B13" s="91">
        <v>3</v>
      </c>
      <c r="C13" s="34" t="s">
        <v>36</v>
      </c>
      <c r="D13" s="34" t="s">
        <v>37</v>
      </c>
      <c r="E13" s="34" t="s">
        <v>49</v>
      </c>
      <c r="F13" s="34" t="s">
        <v>38</v>
      </c>
      <c r="G13" s="35">
        <v>44878</v>
      </c>
      <c r="H13" s="117">
        <v>45627</v>
      </c>
      <c r="I13" s="100">
        <v>0</v>
      </c>
      <c r="J13" s="101">
        <v>17723234</v>
      </c>
      <c r="K13" s="101">
        <v>0</v>
      </c>
      <c r="L13" s="100">
        <f t="shared" ref="L13" si="0">ROUND(K13*10%,2)</f>
        <v>0</v>
      </c>
      <c r="M13" s="113">
        <v>0</v>
      </c>
      <c r="N13" s="103">
        <v>0</v>
      </c>
      <c r="O13" s="101">
        <v>10633969</v>
      </c>
      <c r="P13" s="36">
        <v>0.1</v>
      </c>
      <c r="Q13" s="110">
        <f>ROUND(O13*P13,0)</f>
        <v>1063397</v>
      </c>
    </row>
    <row r="14" spans="2:17" s="13" customFormat="1" ht="20.25" customHeight="1">
      <c r="B14" s="91">
        <v>4</v>
      </c>
      <c r="C14" s="34" t="s">
        <v>41</v>
      </c>
      <c r="D14" s="34" t="s">
        <v>37</v>
      </c>
      <c r="E14" s="34" t="s">
        <v>42</v>
      </c>
      <c r="F14" s="34" t="s">
        <v>38</v>
      </c>
      <c r="G14" s="35" t="s">
        <v>43</v>
      </c>
      <c r="H14" s="117">
        <v>45536</v>
      </c>
      <c r="I14" s="114">
        <v>29.88</v>
      </c>
      <c r="J14" s="101">
        <v>39879</v>
      </c>
      <c r="K14" s="115">
        <v>0</v>
      </c>
      <c r="L14" s="100">
        <v>0</v>
      </c>
      <c r="M14" s="118">
        <v>1334.82</v>
      </c>
      <c r="N14" s="103">
        <v>0</v>
      </c>
      <c r="O14" s="101">
        <v>9970</v>
      </c>
      <c r="P14" s="36">
        <v>0.1</v>
      </c>
      <c r="Q14" s="110">
        <f t="shared" ref="Q14:Q18" si="1">ROUND(O14*P14,0)</f>
        <v>997</v>
      </c>
    </row>
    <row r="15" spans="2:17" s="13" customFormat="1" ht="20.25" customHeight="1">
      <c r="B15" s="91">
        <v>5</v>
      </c>
      <c r="C15" s="34" t="s">
        <v>41</v>
      </c>
      <c r="D15" s="34" t="s">
        <v>37</v>
      </c>
      <c r="E15" s="34" t="s">
        <v>42</v>
      </c>
      <c r="F15" s="34" t="s">
        <v>38</v>
      </c>
      <c r="G15" s="35" t="s">
        <v>43</v>
      </c>
      <c r="H15" s="117">
        <v>45566</v>
      </c>
      <c r="I15" s="114">
        <v>42.110672999999998</v>
      </c>
      <c r="J15" s="101">
        <v>57313</v>
      </c>
      <c r="K15" s="115">
        <v>0</v>
      </c>
      <c r="L15" s="100">
        <v>0</v>
      </c>
      <c r="M15" s="118">
        <v>1361</v>
      </c>
      <c r="N15" s="103">
        <v>0</v>
      </c>
      <c r="O15" s="101">
        <v>14328</v>
      </c>
      <c r="P15" s="36">
        <v>0.1</v>
      </c>
      <c r="Q15" s="110">
        <f t="shared" si="1"/>
        <v>1433</v>
      </c>
    </row>
    <row r="16" spans="2:17" s="13" customFormat="1" ht="20.25" customHeight="1">
      <c r="B16" s="91">
        <v>6</v>
      </c>
      <c r="C16" s="34" t="s">
        <v>41</v>
      </c>
      <c r="D16" s="34" t="s">
        <v>37</v>
      </c>
      <c r="E16" s="34" t="s">
        <v>42</v>
      </c>
      <c r="F16" s="34" t="s">
        <v>38</v>
      </c>
      <c r="G16" s="35" t="s">
        <v>43</v>
      </c>
      <c r="H16" s="117">
        <v>45597</v>
      </c>
      <c r="I16" s="114">
        <v>18.79</v>
      </c>
      <c r="J16" s="101">
        <v>26186</v>
      </c>
      <c r="K16" s="115">
        <v>0</v>
      </c>
      <c r="L16" s="100">
        <v>0</v>
      </c>
      <c r="M16" s="118">
        <v>1393.38</v>
      </c>
      <c r="N16" s="103">
        <v>0</v>
      </c>
      <c r="O16" s="101">
        <v>6547</v>
      </c>
      <c r="P16" s="36">
        <v>0.1</v>
      </c>
      <c r="Q16" s="110">
        <f t="shared" si="1"/>
        <v>655</v>
      </c>
    </row>
    <row r="17" spans="2:17" s="13" customFormat="1" ht="20.25" customHeight="1">
      <c r="B17" s="91">
        <v>7</v>
      </c>
      <c r="C17" s="34" t="s">
        <v>41</v>
      </c>
      <c r="D17" s="34" t="s">
        <v>37</v>
      </c>
      <c r="E17" s="34" t="s">
        <v>42</v>
      </c>
      <c r="F17" s="34" t="s">
        <v>38</v>
      </c>
      <c r="G17" s="35" t="s">
        <v>43</v>
      </c>
      <c r="H17" s="117">
        <v>45627</v>
      </c>
      <c r="I17" s="114">
        <v>18.86</v>
      </c>
      <c r="J17" s="101">
        <v>27050.996660000001</v>
      </c>
      <c r="K17" s="115">
        <v>0</v>
      </c>
      <c r="L17" s="100">
        <v>0</v>
      </c>
      <c r="M17" s="118">
        <v>1434.42</v>
      </c>
      <c r="N17" s="103">
        <v>0</v>
      </c>
      <c r="O17" s="101">
        <v>6763</v>
      </c>
      <c r="P17" s="36">
        <v>0.1</v>
      </c>
      <c r="Q17" s="110">
        <f t="shared" si="1"/>
        <v>676</v>
      </c>
    </row>
    <row r="18" spans="2:17" s="13" customFormat="1" ht="20.25" customHeight="1">
      <c r="B18" s="91">
        <v>8</v>
      </c>
      <c r="C18" s="34" t="s">
        <v>72</v>
      </c>
      <c r="D18" s="34" t="s">
        <v>35</v>
      </c>
      <c r="E18" s="34" t="s">
        <v>73</v>
      </c>
      <c r="F18" s="34" t="s">
        <v>38</v>
      </c>
      <c r="G18" s="35">
        <v>45071</v>
      </c>
      <c r="H18" s="117">
        <v>45566</v>
      </c>
      <c r="I18" s="114">
        <v>26868.76</v>
      </c>
      <c r="J18" s="101">
        <v>243638</v>
      </c>
      <c r="K18" s="115">
        <v>14664</v>
      </c>
      <c r="L18" s="114">
        <v>1466</v>
      </c>
      <c r="M18" s="112">
        <v>9.0677000000000003</v>
      </c>
      <c r="N18" s="116">
        <v>13198</v>
      </c>
      <c r="O18" s="101">
        <v>119675</v>
      </c>
      <c r="P18" s="36">
        <v>0.1</v>
      </c>
      <c r="Q18" s="110">
        <f t="shared" si="1"/>
        <v>11968</v>
      </c>
    </row>
    <row r="19" spans="2:17" s="13" customFormat="1" ht="20.25" customHeight="1">
      <c r="B19" s="91">
        <v>9</v>
      </c>
      <c r="C19" s="34" t="s">
        <v>72</v>
      </c>
      <c r="D19" s="34" t="s">
        <v>35</v>
      </c>
      <c r="E19" s="34" t="s">
        <v>73</v>
      </c>
      <c r="F19" s="34" t="s">
        <v>38</v>
      </c>
      <c r="G19" s="35">
        <v>45071</v>
      </c>
      <c r="H19" s="117">
        <v>45597</v>
      </c>
      <c r="I19" s="114">
        <v>24517.24</v>
      </c>
      <c r="J19" s="101">
        <v>222411</v>
      </c>
      <c r="K19" s="115">
        <v>13681</v>
      </c>
      <c r="L19" s="114">
        <v>1368</v>
      </c>
      <c r="M19" s="112">
        <v>9.0716000000000001</v>
      </c>
      <c r="N19" s="116">
        <v>12313</v>
      </c>
      <c r="O19" s="101">
        <v>111699</v>
      </c>
      <c r="P19" s="36">
        <v>0.1</v>
      </c>
      <c r="Q19" s="110">
        <f>ROUND(O19*P19,0)</f>
        <v>11170</v>
      </c>
    </row>
    <row r="20" spans="2:17" s="13" customFormat="1" ht="20.25" customHeight="1">
      <c r="B20" s="91">
        <v>10</v>
      </c>
      <c r="C20" s="34" t="s">
        <v>72</v>
      </c>
      <c r="D20" s="34" t="s">
        <v>35</v>
      </c>
      <c r="E20" s="34" t="s">
        <v>73</v>
      </c>
      <c r="F20" s="34" t="s">
        <v>38</v>
      </c>
      <c r="G20" s="35">
        <v>45071</v>
      </c>
      <c r="H20" s="117">
        <v>45627</v>
      </c>
      <c r="I20" s="114">
        <v>14438.75</v>
      </c>
      <c r="J20" s="101">
        <v>134894</v>
      </c>
      <c r="K20" s="115">
        <v>8042</v>
      </c>
      <c r="L20" s="114">
        <v>804</v>
      </c>
      <c r="M20" s="112">
        <v>9.3424999999999994</v>
      </c>
      <c r="N20" s="116">
        <v>7238</v>
      </c>
      <c r="O20" s="101">
        <v>67622</v>
      </c>
      <c r="P20" s="36">
        <v>0.1</v>
      </c>
      <c r="Q20" s="110">
        <f>ROUND(O20*P20,0)</f>
        <v>6762</v>
      </c>
    </row>
    <row r="21" spans="2:17" s="13" customFormat="1" ht="20.25" customHeight="1">
      <c r="B21" s="91">
        <v>11</v>
      </c>
      <c r="C21" s="34" t="s">
        <v>72</v>
      </c>
      <c r="D21" s="34" t="s">
        <v>74</v>
      </c>
      <c r="E21" s="34" t="s">
        <v>73</v>
      </c>
      <c r="F21" s="34" t="s">
        <v>38</v>
      </c>
      <c r="G21" s="35">
        <v>45071</v>
      </c>
      <c r="H21" s="117">
        <v>45536</v>
      </c>
      <c r="I21" s="114">
        <v>725.79</v>
      </c>
      <c r="J21" s="101">
        <v>6744</v>
      </c>
      <c r="K21" s="115">
        <v>146</v>
      </c>
      <c r="L21" s="114">
        <v>15</v>
      </c>
      <c r="M21" s="112">
        <v>9.2925000000000004</v>
      </c>
      <c r="N21" s="116">
        <v>131</v>
      </c>
      <c r="O21" s="101">
        <v>1217</v>
      </c>
      <c r="P21" s="36">
        <v>0.1</v>
      </c>
      <c r="Q21" s="110">
        <f t="shared" ref="Q21" si="2">ROUND(O21*P21,0)</f>
        <v>122</v>
      </c>
    </row>
    <row r="22" spans="2:17" s="13" customFormat="1" ht="20.25" customHeight="1">
      <c r="B22" s="91">
        <v>12</v>
      </c>
      <c r="C22" s="34" t="s">
        <v>72</v>
      </c>
      <c r="D22" s="34" t="s">
        <v>74</v>
      </c>
      <c r="E22" s="34" t="s">
        <v>73</v>
      </c>
      <c r="F22" s="34" t="s">
        <v>38</v>
      </c>
      <c r="G22" s="35">
        <v>45071</v>
      </c>
      <c r="H22" s="117">
        <v>45566</v>
      </c>
      <c r="I22" s="114">
        <v>549.86</v>
      </c>
      <c r="J22" s="101">
        <v>4986</v>
      </c>
      <c r="K22" s="115">
        <v>110</v>
      </c>
      <c r="L22" s="114">
        <v>11</v>
      </c>
      <c r="M22" s="112">
        <v>9.0677000000000003</v>
      </c>
      <c r="N22" s="116">
        <v>99</v>
      </c>
      <c r="O22" s="101">
        <v>898</v>
      </c>
      <c r="P22" s="36">
        <v>0.1</v>
      </c>
      <c r="Q22" s="110">
        <f t="shared" ref="Q22:Q23" si="3">ROUND(O22*P22,0)</f>
        <v>90</v>
      </c>
    </row>
    <row r="23" spans="2:17" s="13" customFormat="1" ht="20.25" customHeight="1">
      <c r="B23" s="91">
        <v>13</v>
      </c>
      <c r="C23" s="34" t="s">
        <v>72</v>
      </c>
      <c r="D23" s="34" t="s">
        <v>74</v>
      </c>
      <c r="E23" s="34" t="s">
        <v>73</v>
      </c>
      <c r="F23" s="34" t="s">
        <v>38</v>
      </c>
      <c r="G23" s="35">
        <v>45071</v>
      </c>
      <c r="H23" s="117">
        <v>45597</v>
      </c>
      <c r="I23" s="114">
        <v>379.51</v>
      </c>
      <c r="J23" s="101">
        <v>3443</v>
      </c>
      <c r="K23" s="115">
        <v>76</v>
      </c>
      <c r="L23" s="114">
        <v>8</v>
      </c>
      <c r="M23" s="112">
        <v>9.0716000000000001</v>
      </c>
      <c r="N23" s="116">
        <v>68</v>
      </c>
      <c r="O23" s="101">
        <v>617</v>
      </c>
      <c r="P23" s="36">
        <v>0.1</v>
      </c>
      <c r="Q23" s="110">
        <f t="shared" si="3"/>
        <v>62</v>
      </c>
    </row>
    <row r="24" spans="2:17" s="13" customFormat="1" ht="20.25" customHeight="1">
      <c r="B24" s="92"/>
      <c r="C24" s="39"/>
      <c r="D24" s="39"/>
      <c r="E24" s="39"/>
      <c r="F24" s="39"/>
      <c r="G24" s="40"/>
      <c r="H24" s="39"/>
      <c r="I24" s="105"/>
      <c r="J24" s="106"/>
      <c r="K24" s="106"/>
      <c r="L24" s="100"/>
      <c r="M24" s="99"/>
      <c r="N24" s="107"/>
      <c r="O24" s="106"/>
      <c r="P24" s="42"/>
      <c r="Q24" s="111"/>
    </row>
    <row r="25" spans="2:17" ht="20.25" customHeight="1">
      <c r="B25" s="369" t="s">
        <v>9</v>
      </c>
      <c r="C25" s="370"/>
      <c r="D25" s="370"/>
      <c r="E25" s="370"/>
      <c r="F25" s="370"/>
      <c r="G25" s="370"/>
      <c r="H25" s="370"/>
      <c r="I25" s="370"/>
      <c r="J25" s="370"/>
      <c r="K25" s="370"/>
      <c r="L25" s="370"/>
      <c r="M25" s="370"/>
      <c r="N25" s="370"/>
      <c r="O25" s="370"/>
      <c r="P25" s="371"/>
      <c r="Q25" s="108">
        <f>SUM(Q11:Q24)</f>
        <v>1191497</v>
      </c>
    </row>
    <row r="26" spans="2:17" ht="11.25" customHeight="1"/>
    <row r="27" spans="2:17">
      <c r="B27" s="17" t="s">
        <v>33</v>
      </c>
      <c r="C27" s="17"/>
    </row>
    <row r="28" spans="2:17" ht="20.100000000000001" customHeight="1">
      <c r="B28" s="129" t="s">
        <v>44</v>
      </c>
      <c r="C28" s="130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7" ht="20.25" customHeight="1">
      <c r="B29" s="350" t="s">
        <v>46</v>
      </c>
      <c r="C29" s="351"/>
      <c r="D29" s="351"/>
      <c r="E29" s="351"/>
      <c r="F29" s="351"/>
      <c r="G29" s="351"/>
      <c r="H29" s="351"/>
      <c r="I29" s="351"/>
      <c r="J29" s="351"/>
      <c r="K29" s="351"/>
      <c r="L29" s="351"/>
      <c r="M29" s="352"/>
    </row>
    <row r="30" spans="2:17" ht="20.25" customHeight="1">
      <c r="B30" s="353" t="s">
        <v>50</v>
      </c>
      <c r="C30" s="354"/>
      <c r="D30" s="354"/>
      <c r="E30" s="354"/>
      <c r="F30" s="354"/>
      <c r="G30" s="354"/>
      <c r="H30" s="354"/>
      <c r="I30" s="354"/>
      <c r="J30" s="354"/>
      <c r="K30" s="354"/>
      <c r="L30" s="354"/>
      <c r="M30" s="355"/>
    </row>
    <row r="31" spans="2:17" ht="20.100000000000001" customHeight="1">
      <c r="B31" s="129" t="s">
        <v>75</v>
      </c>
      <c r="C31" s="130"/>
      <c r="D31" s="131"/>
      <c r="E31" s="131"/>
      <c r="F31" s="131"/>
      <c r="G31" s="131"/>
      <c r="H31" s="131"/>
      <c r="I31" s="131"/>
      <c r="J31" s="131"/>
      <c r="K31" s="131"/>
      <c r="L31" s="131"/>
      <c r="M31" s="132"/>
    </row>
    <row r="32" spans="2:17" ht="20.25" customHeight="1">
      <c r="B32" s="78" t="s">
        <v>76</v>
      </c>
      <c r="C32" s="79"/>
      <c r="D32" s="79"/>
      <c r="E32" s="81" t="s">
        <v>77</v>
      </c>
      <c r="F32" s="79"/>
      <c r="G32" s="79"/>
      <c r="H32" s="79"/>
      <c r="I32" s="79"/>
      <c r="J32" s="79"/>
      <c r="K32" s="79"/>
      <c r="L32" s="79"/>
      <c r="M32" s="80"/>
    </row>
    <row r="33" spans="2:13" ht="20.25" customHeight="1">
      <c r="B33" s="78"/>
      <c r="C33" s="79"/>
      <c r="D33" s="79"/>
      <c r="E33" s="81"/>
      <c r="F33" s="79"/>
      <c r="G33" s="79"/>
      <c r="H33" s="79"/>
      <c r="I33" s="79"/>
      <c r="J33" s="79"/>
      <c r="K33" s="79"/>
      <c r="L33" s="79"/>
      <c r="M33" s="80"/>
    </row>
    <row r="34" spans="2:13" ht="20.25" customHeight="1">
      <c r="B34" s="78"/>
      <c r="C34" s="79"/>
      <c r="D34" s="79"/>
      <c r="E34" s="81"/>
      <c r="F34" s="79"/>
      <c r="G34" s="79"/>
      <c r="H34" s="79"/>
      <c r="I34" s="79"/>
      <c r="J34" s="79"/>
      <c r="K34" s="79"/>
      <c r="L34" s="79"/>
      <c r="M34" s="80"/>
    </row>
    <row r="35" spans="2:13" ht="20.25" customHeight="1">
      <c r="B35" s="78"/>
      <c r="C35" s="79"/>
      <c r="D35" s="79"/>
      <c r="E35" s="81"/>
      <c r="F35" s="79"/>
      <c r="G35" s="79"/>
      <c r="H35" s="79"/>
      <c r="I35" s="79"/>
      <c r="J35" s="79"/>
      <c r="K35" s="79"/>
      <c r="L35" s="79"/>
      <c r="M35" s="80"/>
    </row>
    <row r="36" spans="2:13" ht="20.25" customHeight="1">
      <c r="B36" s="78"/>
      <c r="C36" s="79"/>
      <c r="D36" s="79"/>
      <c r="E36" s="81"/>
      <c r="F36" s="79"/>
      <c r="G36" s="79"/>
      <c r="H36" s="79"/>
      <c r="I36" s="79"/>
      <c r="J36" s="79"/>
      <c r="K36" s="79"/>
      <c r="L36" s="79"/>
      <c r="M36" s="80"/>
    </row>
    <row r="37" spans="2:13" ht="20.25" customHeight="1">
      <c r="B37" s="78"/>
      <c r="C37" s="79"/>
      <c r="D37" s="79"/>
      <c r="E37" s="81"/>
      <c r="F37" s="79"/>
      <c r="G37" s="79"/>
      <c r="H37" s="79"/>
      <c r="I37" s="79"/>
      <c r="J37" s="79"/>
      <c r="K37" s="79"/>
      <c r="L37" s="79"/>
      <c r="M37" s="80"/>
    </row>
    <row r="38" spans="2:13" ht="20.25" customHeight="1">
      <c r="B38" s="78"/>
      <c r="C38" s="79"/>
      <c r="D38" s="79"/>
      <c r="E38" s="81"/>
      <c r="F38" s="79"/>
      <c r="G38" s="79"/>
      <c r="H38" s="79"/>
      <c r="I38" s="79"/>
      <c r="J38" s="79"/>
      <c r="K38" s="79"/>
      <c r="L38" s="79"/>
      <c r="M38" s="80"/>
    </row>
    <row r="39" spans="2:13" ht="20.25" customHeight="1">
      <c r="B39" s="78"/>
      <c r="C39" s="79"/>
      <c r="D39" s="79"/>
      <c r="E39" s="81"/>
      <c r="F39" s="79"/>
      <c r="G39" s="79"/>
      <c r="H39" s="79"/>
      <c r="I39" s="79"/>
      <c r="J39" s="79"/>
      <c r="K39" s="79"/>
      <c r="L39" s="79"/>
      <c r="M39" s="80"/>
    </row>
    <row r="40" spans="2:13" ht="20.25" customHeight="1">
      <c r="B40" s="78"/>
      <c r="C40" s="79"/>
      <c r="D40" s="79"/>
      <c r="E40" s="81"/>
      <c r="F40" s="79"/>
      <c r="G40" s="79"/>
      <c r="H40" s="79"/>
      <c r="I40" s="79"/>
      <c r="J40" s="79"/>
      <c r="K40" s="79"/>
      <c r="L40" s="79"/>
      <c r="M40" s="80"/>
    </row>
    <row r="41" spans="2:13" ht="20.25" customHeight="1">
      <c r="B41" s="78"/>
      <c r="C41" s="79"/>
      <c r="D41" s="79"/>
      <c r="E41" s="81"/>
      <c r="F41" s="79"/>
      <c r="G41" s="79"/>
      <c r="H41" s="79"/>
      <c r="I41" s="79"/>
      <c r="J41" s="79"/>
      <c r="K41" s="79"/>
      <c r="L41" s="79"/>
      <c r="M41" s="80"/>
    </row>
    <row r="42" spans="2:13" ht="20.25" customHeight="1">
      <c r="B42" s="78"/>
      <c r="C42" s="79"/>
      <c r="D42" s="79"/>
      <c r="E42" s="81"/>
      <c r="F42" s="79"/>
      <c r="G42" s="79"/>
      <c r="H42" s="79"/>
      <c r="I42" s="79"/>
      <c r="J42" s="79"/>
      <c r="K42" s="79"/>
      <c r="L42" s="79"/>
      <c r="M42" s="80"/>
    </row>
    <row r="43" spans="2:13" ht="20.25" customHeight="1">
      <c r="B43" s="78"/>
      <c r="C43" s="79"/>
      <c r="D43" s="79"/>
      <c r="E43" s="81"/>
      <c r="F43" s="79"/>
      <c r="G43" s="79"/>
      <c r="H43" s="79"/>
      <c r="I43" s="79"/>
      <c r="J43" s="79"/>
      <c r="K43" s="79"/>
      <c r="L43" s="79"/>
      <c r="M43" s="80"/>
    </row>
    <row r="44" spans="2:13" ht="20.25" customHeight="1">
      <c r="B44" s="78"/>
      <c r="C44" s="79"/>
      <c r="D44" s="79"/>
      <c r="E44" s="81"/>
      <c r="F44" s="79"/>
      <c r="G44" s="79"/>
      <c r="H44" s="79"/>
      <c r="I44" s="79"/>
      <c r="J44" s="79"/>
      <c r="K44" s="79"/>
      <c r="L44" s="79"/>
      <c r="M44" s="80"/>
    </row>
    <row r="45" spans="2:13" ht="20.25" customHeight="1">
      <c r="B45" s="78"/>
      <c r="C45" s="79"/>
      <c r="D45" s="79"/>
      <c r="E45" s="81"/>
      <c r="F45" s="79"/>
      <c r="G45" s="79"/>
      <c r="H45" s="79"/>
      <c r="I45" s="79"/>
      <c r="J45" s="79"/>
      <c r="K45" s="79"/>
      <c r="L45" s="79"/>
      <c r="M45" s="80"/>
    </row>
    <row r="46" spans="2:13" ht="20.25" customHeight="1">
      <c r="B46" s="78"/>
      <c r="C46" s="79"/>
      <c r="D46" s="79"/>
      <c r="E46" s="81"/>
      <c r="F46" s="79"/>
      <c r="G46" s="79"/>
      <c r="H46" s="79"/>
      <c r="I46" s="79"/>
      <c r="J46" s="79"/>
      <c r="K46" s="79"/>
      <c r="L46" s="79"/>
      <c r="M46" s="80"/>
    </row>
    <row r="47" spans="2:13" ht="20.25" customHeight="1">
      <c r="B47" s="78"/>
      <c r="C47" s="79"/>
      <c r="D47" s="79"/>
      <c r="E47" s="81"/>
      <c r="F47" s="79"/>
      <c r="G47" s="79"/>
      <c r="H47" s="79"/>
      <c r="I47" s="79"/>
      <c r="J47" s="79"/>
      <c r="K47" s="79"/>
      <c r="L47" s="79"/>
      <c r="M47" s="80"/>
    </row>
    <row r="48" spans="2:13" ht="9" customHeight="1">
      <c r="B48" s="78"/>
      <c r="C48" s="79"/>
      <c r="D48" s="79"/>
      <c r="E48" s="81"/>
      <c r="F48" s="79"/>
      <c r="G48" s="79"/>
      <c r="H48" s="79"/>
      <c r="I48" s="79"/>
      <c r="J48" s="79"/>
      <c r="K48" s="79"/>
      <c r="L48" s="79"/>
      <c r="M48" s="80"/>
    </row>
    <row r="49" spans="2:16" ht="20.100000000000001" customHeight="1">
      <c r="B49" s="129" t="s">
        <v>78</v>
      </c>
      <c r="C49" s="130"/>
      <c r="D49" s="131"/>
      <c r="E49" s="131"/>
      <c r="F49" s="131"/>
      <c r="G49" s="131"/>
      <c r="H49" s="131"/>
      <c r="I49" s="131"/>
      <c r="J49" s="131"/>
      <c r="K49" s="131"/>
      <c r="L49" s="131"/>
      <c r="M49" s="132"/>
    </row>
    <row r="50" spans="2:16" ht="20.25" customHeight="1">
      <c r="B50" s="356" t="s">
        <v>79</v>
      </c>
      <c r="C50" s="357"/>
      <c r="D50" s="357"/>
      <c r="E50" s="357"/>
      <c r="F50" s="357"/>
      <c r="G50" s="357"/>
      <c r="H50" s="357"/>
      <c r="I50" s="357"/>
      <c r="J50" s="357"/>
      <c r="K50" s="357"/>
      <c r="L50" s="357"/>
      <c r="M50" s="358"/>
    </row>
    <row r="51" spans="2:16" ht="20.25" customHeight="1">
      <c r="B51" s="359" t="s">
        <v>80</v>
      </c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1"/>
    </row>
    <row r="52" spans="2:16">
      <c r="B52" s="126" t="s">
        <v>112</v>
      </c>
      <c r="C52" s="121"/>
      <c r="D52" s="121"/>
      <c r="E52" s="121"/>
      <c r="F52" s="121"/>
      <c r="G52" s="121"/>
      <c r="H52" s="121"/>
      <c r="I52" s="121"/>
      <c r="J52" s="121"/>
      <c r="K52" s="123"/>
      <c r="L52" s="121"/>
      <c r="M52" s="122"/>
      <c r="N52"/>
      <c r="O52"/>
      <c r="P52"/>
    </row>
    <row r="53" spans="2:16">
      <c r="B53" s="127" t="s">
        <v>110</v>
      </c>
      <c r="C53" s="79"/>
      <c r="D53" s="79"/>
      <c r="E53" s="79"/>
      <c r="F53" s="79"/>
      <c r="G53" s="79"/>
      <c r="H53" s="79"/>
      <c r="I53" s="79"/>
      <c r="J53" s="79"/>
      <c r="K53" s="124"/>
      <c r="L53"/>
      <c r="M53" s="125"/>
      <c r="N53"/>
      <c r="O53"/>
      <c r="P53"/>
    </row>
    <row r="54" spans="2:16">
      <c r="B54" s="128" t="s">
        <v>111</v>
      </c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20"/>
    </row>
  </sheetData>
  <mergeCells count="22">
    <mergeCell ref="B29:M29"/>
    <mergeCell ref="B30:M30"/>
    <mergeCell ref="B50:M50"/>
    <mergeCell ref="B51:M51"/>
    <mergeCell ref="B7:F7"/>
    <mergeCell ref="G7:H7"/>
    <mergeCell ref="I7:J7"/>
    <mergeCell ref="K7:L7"/>
    <mergeCell ref="M7:Q7"/>
    <mergeCell ref="B25:P25"/>
    <mergeCell ref="M6:O6"/>
    <mergeCell ref="B5:C5"/>
    <mergeCell ref="E5:F5"/>
    <mergeCell ref="G5:H5"/>
    <mergeCell ref="I5:J5"/>
    <mergeCell ref="K5:L5"/>
    <mergeCell ref="M5:O5"/>
    <mergeCell ref="B6:C6"/>
    <mergeCell ref="E6:F6"/>
    <mergeCell ref="G6:H6"/>
    <mergeCell ref="I6:J6"/>
    <mergeCell ref="K6:L6"/>
  </mergeCells>
  <phoneticPr fontId="3" type="noConversion"/>
  <conditionalFormatting sqref="G6">
    <cfRule type="expression" dxfId="14" priority="2">
      <formula>#REF!&lt;0</formula>
    </cfRule>
  </conditionalFormatting>
  <conditionalFormatting sqref="K5">
    <cfRule type="expression" dxfId="13" priority="1">
      <formula>#REF!&lt;0</formula>
    </cfRule>
  </conditionalFormatting>
  <pageMargins left="0.7" right="0.7" top="0.75" bottom="0.75" header="0.3" footer="0.3"/>
  <pageSetup paperSize="9" scale="5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F70A-49D4-465C-80BF-FFED1200B8E0}">
  <sheetPr>
    <tabColor theme="1"/>
    <pageSetUpPr fitToPage="1"/>
  </sheetPr>
  <dimension ref="B1:Q41"/>
  <sheetViews>
    <sheetView showGridLines="0" topLeftCell="A12" zoomScaleNormal="100" workbookViewId="0">
      <selection activeCell="C17" sqref="C17:I17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13.19921875" style="1" customWidth="1"/>
    <col min="6" max="6" width="18.5" style="1" customWidth="1"/>
    <col min="7" max="12" width="13.59765625" style="1" customWidth="1"/>
    <col min="13" max="13" width="9.69921875" style="1" bestFit="1" customWidth="1"/>
    <col min="14" max="14" width="17.59765625" style="1" bestFit="1" customWidth="1"/>
    <col min="15" max="15" width="18.09765625" style="1" bestFit="1" customWidth="1"/>
    <col min="16" max="16" width="12.59765625" style="1" customWidth="1"/>
    <col min="17" max="17" width="15.59765625" style="1" customWidth="1"/>
    <col min="18" max="18" width="2.69921875" style="1" customWidth="1"/>
    <col min="19" max="16384" width="9" style="1"/>
  </cols>
  <sheetData>
    <row r="1" spans="2:17" ht="9.9" customHeight="1"/>
    <row r="2" spans="2:17" s="5" customFormat="1" ht="30" customHeight="1">
      <c r="B2" s="2" t="s">
        <v>100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17" ht="9.9" customHeight="1" thickBot="1"/>
    <row r="5" spans="2:17" ht="18.75" customHeight="1">
      <c r="B5" s="333" t="s">
        <v>0</v>
      </c>
      <c r="C5" s="334"/>
      <c r="D5" s="95" t="s">
        <v>1</v>
      </c>
      <c r="E5" s="335" t="s">
        <v>2</v>
      </c>
      <c r="F5" s="335"/>
      <c r="G5" s="336" t="s">
        <v>3</v>
      </c>
      <c r="H5" s="337"/>
      <c r="I5" s="336" t="s">
        <v>4</v>
      </c>
      <c r="J5" s="337"/>
      <c r="K5" s="338" t="s">
        <v>5</v>
      </c>
      <c r="L5" s="339"/>
      <c r="M5" s="340" t="s">
        <v>6</v>
      </c>
      <c r="N5" s="341"/>
      <c r="O5" s="342"/>
      <c r="P5" s="96" t="s">
        <v>7</v>
      </c>
      <c r="Q5" s="97" t="s">
        <v>8</v>
      </c>
    </row>
    <row r="6" spans="2:17" ht="21.9" customHeight="1">
      <c r="B6" s="343" t="s">
        <v>24</v>
      </c>
      <c r="C6" s="344"/>
      <c r="D6" s="93">
        <v>45590</v>
      </c>
      <c r="E6" s="345" t="s">
        <v>101</v>
      </c>
      <c r="F6" s="345"/>
      <c r="G6" s="346">
        <f>Q21</f>
        <v>92327</v>
      </c>
      <c r="H6" s="347"/>
      <c r="I6" s="348">
        <f>ROUND(G6*10%,0)</f>
        <v>9233</v>
      </c>
      <c r="J6" s="349"/>
      <c r="K6" s="348">
        <f>G6+I6</f>
        <v>101560</v>
      </c>
      <c r="L6" s="349"/>
      <c r="M6" s="331" t="s">
        <v>26</v>
      </c>
      <c r="N6" s="323"/>
      <c r="O6" s="332"/>
      <c r="P6" s="94">
        <v>45596</v>
      </c>
      <c r="Q6" s="98">
        <v>45604</v>
      </c>
    </row>
    <row r="7" spans="2:17" ht="18.75" customHeight="1" thickBot="1">
      <c r="B7" s="362" t="s">
        <v>9</v>
      </c>
      <c r="C7" s="363"/>
      <c r="D7" s="363"/>
      <c r="E7" s="363"/>
      <c r="F7" s="363"/>
      <c r="G7" s="364">
        <f>SUM(G6)</f>
        <v>92327</v>
      </c>
      <c r="H7" s="365"/>
      <c r="I7" s="364">
        <f>SUM(I6)</f>
        <v>9233</v>
      </c>
      <c r="J7" s="365"/>
      <c r="K7" s="364">
        <f>SUM(K6)</f>
        <v>101560</v>
      </c>
      <c r="L7" s="365"/>
      <c r="M7" s="366" t="s">
        <v>10</v>
      </c>
      <c r="N7" s="367"/>
      <c r="O7" s="367"/>
      <c r="P7" s="367"/>
      <c r="Q7" s="368"/>
    </row>
    <row r="8" spans="2:17" ht="12.9" customHeight="1"/>
    <row r="9" spans="2:17">
      <c r="B9" s="17" t="s">
        <v>25</v>
      </c>
      <c r="C9" s="17"/>
    </row>
    <row r="10" spans="2:17" s="13" customFormat="1" ht="20.25" customHeight="1">
      <c r="B10" s="82" t="s">
        <v>11</v>
      </c>
      <c r="C10" s="83" t="s">
        <v>12</v>
      </c>
      <c r="D10" s="83" t="s">
        <v>13</v>
      </c>
      <c r="E10" s="83" t="s">
        <v>14</v>
      </c>
      <c r="F10" s="83" t="s">
        <v>15</v>
      </c>
      <c r="G10" s="83" t="s">
        <v>16</v>
      </c>
      <c r="H10" s="84" t="s">
        <v>17</v>
      </c>
      <c r="I10" s="85" t="s">
        <v>82</v>
      </c>
      <c r="J10" s="85" t="s">
        <v>83</v>
      </c>
      <c r="K10" s="86" t="s">
        <v>84</v>
      </c>
      <c r="L10" s="87" t="s">
        <v>85</v>
      </c>
      <c r="M10" s="88" t="s">
        <v>81</v>
      </c>
      <c r="N10" s="89" t="s">
        <v>86</v>
      </c>
      <c r="O10" s="89" t="s">
        <v>87</v>
      </c>
      <c r="P10" s="90" t="s">
        <v>21</v>
      </c>
      <c r="Q10" s="90" t="s">
        <v>22</v>
      </c>
    </row>
    <row r="11" spans="2:17" s="13" customFormat="1" ht="20.25" customHeight="1">
      <c r="B11" s="91">
        <v>1</v>
      </c>
      <c r="C11" s="34" t="s">
        <v>36</v>
      </c>
      <c r="D11" s="34" t="s">
        <v>37</v>
      </c>
      <c r="E11" s="34" t="s">
        <v>49</v>
      </c>
      <c r="F11" s="34" t="s">
        <v>38</v>
      </c>
      <c r="G11" s="35">
        <v>44878</v>
      </c>
      <c r="H11" s="117">
        <v>45474</v>
      </c>
      <c r="I11" s="100">
        <v>0</v>
      </c>
      <c r="J11" s="101">
        <v>123828</v>
      </c>
      <c r="K11" s="101">
        <v>0</v>
      </c>
      <c r="L11" s="100">
        <f>ROUND(K11*10%,2)</f>
        <v>0</v>
      </c>
      <c r="M11" s="102">
        <v>0</v>
      </c>
      <c r="N11" s="103">
        <v>0</v>
      </c>
      <c r="O11" s="101">
        <v>74500</v>
      </c>
      <c r="P11" s="36">
        <v>0.1</v>
      </c>
      <c r="Q11" s="109">
        <f>ROUND(O11*P11,0)</f>
        <v>7450</v>
      </c>
    </row>
    <row r="12" spans="2:17" s="13" customFormat="1" ht="20.25" customHeight="1">
      <c r="B12" s="91">
        <v>2</v>
      </c>
      <c r="C12" s="34" t="s">
        <v>36</v>
      </c>
      <c r="D12" s="34" t="s">
        <v>37</v>
      </c>
      <c r="E12" s="34" t="s">
        <v>49</v>
      </c>
      <c r="F12" s="34" t="s">
        <v>38</v>
      </c>
      <c r="G12" s="35">
        <v>44878</v>
      </c>
      <c r="H12" s="117">
        <v>45505</v>
      </c>
      <c r="I12" s="100">
        <v>0</v>
      </c>
      <c r="J12" s="101">
        <v>148280</v>
      </c>
      <c r="K12" s="101">
        <v>0</v>
      </c>
      <c r="L12" s="100">
        <f>ROUND(K12*10%,2)</f>
        <v>0</v>
      </c>
      <c r="M12" s="104">
        <v>0</v>
      </c>
      <c r="N12" s="103">
        <v>0</v>
      </c>
      <c r="O12" s="101">
        <v>89039</v>
      </c>
      <c r="P12" s="36">
        <v>0.1</v>
      </c>
      <c r="Q12" s="110">
        <f>ROUND(O12*P12,0)</f>
        <v>8904</v>
      </c>
    </row>
    <row r="13" spans="2:17" s="13" customFormat="1" ht="20.25" customHeight="1">
      <c r="B13" s="91">
        <v>3</v>
      </c>
      <c r="C13" s="34" t="s">
        <v>36</v>
      </c>
      <c r="D13" s="34" t="s">
        <v>37</v>
      </c>
      <c r="E13" s="34" t="s">
        <v>49</v>
      </c>
      <c r="F13" s="34" t="s">
        <v>38</v>
      </c>
      <c r="G13" s="35">
        <v>44878</v>
      </c>
      <c r="H13" s="117">
        <v>45536</v>
      </c>
      <c r="I13" s="100">
        <v>0</v>
      </c>
      <c r="J13" s="101">
        <v>105832</v>
      </c>
      <c r="K13" s="101">
        <v>0</v>
      </c>
      <c r="L13" s="100">
        <f t="shared" ref="L13" si="0">ROUND(K13*10%,2)</f>
        <v>0</v>
      </c>
      <c r="M13" s="113">
        <v>0</v>
      </c>
      <c r="N13" s="103">
        <v>0</v>
      </c>
      <c r="O13" s="101">
        <v>63783</v>
      </c>
      <c r="P13" s="36">
        <v>0.1</v>
      </c>
      <c r="Q13" s="110">
        <f>ROUND(O13*P13,0)</f>
        <v>6378</v>
      </c>
    </row>
    <row r="14" spans="2:17" s="13" customFormat="1" ht="20.25" customHeight="1">
      <c r="B14" s="91">
        <v>4</v>
      </c>
      <c r="C14" s="34" t="s">
        <v>72</v>
      </c>
      <c r="D14" s="34" t="s">
        <v>35</v>
      </c>
      <c r="E14" s="34" t="s">
        <v>73</v>
      </c>
      <c r="F14" s="34" t="s">
        <v>38</v>
      </c>
      <c r="G14" s="35">
        <v>45071</v>
      </c>
      <c r="H14" s="117">
        <v>45474</v>
      </c>
      <c r="I14" s="114">
        <v>80938.95</v>
      </c>
      <c r="J14" s="101">
        <v>708458</v>
      </c>
      <c r="K14" s="115">
        <v>41588</v>
      </c>
      <c r="L14" s="114">
        <v>4159</v>
      </c>
      <c r="M14" s="112">
        <v>8.7530000000000001</v>
      </c>
      <c r="N14" s="116">
        <v>37429</v>
      </c>
      <c r="O14" s="101">
        <f t="shared" ref="O14:O19" si="1">N14*M14</f>
        <v>327616.03700000001</v>
      </c>
      <c r="P14" s="36">
        <v>0.1</v>
      </c>
      <c r="Q14" s="110">
        <f t="shared" ref="Q14:Q19" si="2">ROUND(O14*P14,0)</f>
        <v>32762</v>
      </c>
    </row>
    <row r="15" spans="2:17" s="13" customFormat="1" ht="20.25" customHeight="1">
      <c r="B15" s="91">
        <v>5</v>
      </c>
      <c r="C15" s="34" t="s">
        <v>72</v>
      </c>
      <c r="D15" s="34" t="s">
        <v>35</v>
      </c>
      <c r="E15" s="34" t="s">
        <v>73</v>
      </c>
      <c r="F15" s="34" t="s">
        <v>38</v>
      </c>
      <c r="G15" s="35">
        <v>45071</v>
      </c>
      <c r="H15" s="117">
        <v>45505</v>
      </c>
      <c r="I15" s="114">
        <v>36491.47</v>
      </c>
      <c r="J15" s="101">
        <v>337908</v>
      </c>
      <c r="K15" s="115">
        <v>20194</v>
      </c>
      <c r="L15" s="114">
        <v>2020</v>
      </c>
      <c r="M15" s="112">
        <v>9.2599</v>
      </c>
      <c r="N15" s="116">
        <v>18174</v>
      </c>
      <c r="O15" s="101">
        <f t="shared" si="1"/>
        <v>168289.42259999999</v>
      </c>
      <c r="P15" s="36">
        <v>0.1</v>
      </c>
      <c r="Q15" s="110">
        <f>ROUND(O15*P15,0)</f>
        <v>16829</v>
      </c>
    </row>
    <row r="16" spans="2:17" s="13" customFormat="1" ht="20.25" customHeight="1">
      <c r="B16" s="91">
        <v>6</v>
      </c>
      <c r="C16" s="34" t="s">
        <v>72</v>
      </c>
      <c r="D16" s="34" t="s">
        <v>35</v>
      </c>
      <c r="E16" s="34" t="s">
        <v>73</v>
      </c>
      <c r="F16" s="34" t="s">
        <v>38</v>
      </c>
      <c r="G16" s="35">
        <v>45071</v>
      </c>
      <c r="H16" s="117">
        <v>45536</v>
      </c>
      <c r="I16" s="114">
        <v>39768.639999999999</v>
      </c>
      <c r="J16" s="101">
        <v>369550</v>
      </c>
      <c r="K16" s="115">
        <v>21658</v>
      </c>
      <c r="L16" s="114">
        <v>2166</v>
      </c>
      <c r="M16" s="112">
        <v>9.2925000000000004</v>
      </c>
      <c r="N16" s="116">
        <v>19492</v>
      </c>
      <c r="O16" s="101">
        <f t="shared" si="1"/>
        <v>181129.41</v>
      </c>
      <c r="P16" s="36">
        <v>0.1</v>
      </c>
      <c r="Q16" s="110">
        <f>ROUND(O16*P16,0)</f>
        <v>18113</v>
      </c>
    </row>
    <row r="17" spans="2:17" s="13" customFormat="1" ht="20.25" customHeight="1">
      <c r="B17" s="91">
        <v>7</v>
      </c>
      <c r="C17" s="34" t="s">
        <v>72</v>
      </c>
      <c r="D17" s="34" t="s">
        <v>74</v>
      </c>
      <c r="E17" s="34" t="s">
        <v>73</v>
      </c>
      <c r="F17" s="34" t="s">
        <v>38</v>
      </c>
      <c r="G17" s="35">
        <v>45071</v>
      </c>
      <c r="H17" s="117">
        <v>45444</v>
      </c>
      <c r="I17" s="114">
        <v>5565.25</v>
      </c>
      <c r="J17" s="101">
        <v>48658</v>
      </c>
      <c r="K17" s="115">
        <v>1113</v>
      </c>
      <c r="L17" s="114">
        <v>111</v>
      </c>
      <c r="M17" s="112">
        <v>8.7431999999999999</v>
      </c>
      <c r="N17" s="116">
        <v>1002</v>
      </c>
      <c r="O17" s="101">
        <f t="shared" si="1"/>
        <v>8760.6864000000005</v>
      </c>
      <c r="P17" s="36">
        <v>0.1</v>
      </c>
      <c r="Q17" s="110">
        <f t="shared" si="2"/>
        <v>876</v>
      </c>
    </row>
    <row r="18" spans="2:17" s="13" customFormat="1" ht="20.25" customHeight="1">
      <c r="B18" s="91">
        <v>8</v>
      </c>
      <c r="C18" s="34" t="s">
        <v>72</v>
      </c>
      <c r="D18" s="34" t="s">
        <v>74</v>
      </c>
      <c r="E18" s="34" t="s">
        <v>73</v>
      </c>
      <c r="F18" s="34" t="s">
        <v>38</v>
      </c>
      <c r="G18" s="35">
        <v>45071</v>
      </c>
      <c r="H18" s="117">
        <v>45474</v>
      </c>
      <c r="I18" s="114">
        <v>5376.04</v>
      </c>
      <c r="J18" s="101">
        <v>47056</v>
      </c>
      <c r="K18" s="115">
        <v>1075</v>
      </c>
      <c r="L18" s="114">
        <v>107</v>
      </c>
      <c r="M18" s="112">
        <v>8.7530000000000001</v>
      </c>
      <c r="N18" s="116">
        <v>968</v>
      </c>
      <c r="O18" s="101">
        <f t="shared" si="1"/>
        <v>8472.9040000000005</v>
      </c>
      <c r="P18" s="36">
        <v>0.1</v>
      </c>
      <c r="Q18" s="110">
        <f t="shared" si="2"/>
        <v>847</v>
      </c>
    </row>
    <row r="19" spans="2:17" s="13" customFormat="1" ht="20.25" customHeight="1">
      <c r="B19" s="91">
        <v>9</v>
      </c>
      <c r="C19" s="34" t="s">
        <v>72</v>
      </c>
      <c r="D19" s="34" t="s">
        <v>74</v>
      </c>
      <c r="E19" s="34" t="s">
        <v>73</v>
      </c>
      <c r="F19" s="34" t="s">
        <v>38</v>
      </c>
      <c r="G19" s="35">
        <v>45071</v>
      </c>
      <c r="H19" s="117">
        <v>45505</v>
      </c>
      <c r="I19" s="114">
        <v>1003.02</v>
      </c>
      <c r="J19" s="101">
        <v>9288</v>
      </c>
      <c r="K19" s="115">
        <v>201</v>
      </c>
      <c r="L19" s="114">
        <v>20</v>
      </c>
      <c r="M19" s="112">
        <v>9.2599</v>
      </c>
      <c r="N19" s="116">
        <v>181</v>
      </c>
      <c r="O19" s="101">
        <f t="shared" si="1"/>
        <v>1676.0418999999999</v>
      </c>
      <c r="P19" s="36">
        <v>0.1</v>
      </c>
      <c r="Q19" s="110">
        <f t="shared" si="2"/>
        <v>168</v>
      </c>
    </row>
    <row r="20" spans="2:17" s="13" customFormat="1" ht="20.25" customHeight="1">
      <c r="B20" s="92"/>
      <c r="C20" s="39"/>
      <c r="D20" s="39"/>
      <c r="E20" s="39"/>
      <c r="F20" s="39"/>
      <c r="G20" s="40"/>
      <c r="H20" s="39"/>
      <c r="I20" s="105"/>
      <c r="J20" s="106"/>
      <c r="K20" s="106"/>
      <c r="L20" s="100"/>
      <c r="M20" s="99"/>
      <c r="N20" s="107"/>
      <c r="O20" s="106"/>
      <c r="P20" s="42"/>
      <c r="Q20" s="111"/>
    </row>
    <row r="21" spans="2:17" ht="20.25" customHeight="1">
      <c r="B21" s="369" t="s">
        <v>9</v>
      </c>
      <c r="C21" s="370"/>
      <c r="D21" s="370"/>
      <c r="E21" s="370"/>
      <c r="F21" s="370"/>
      <c r="G21" s="370"/>
      <c r="H21" s="370"/>
      <c r="I21" s="370"/>
      <c r="J21" s="370"/>
      <c r="K21" s="370"/>
      <c r="L21" s="370"/>
      <c r="M21" s="370"/>
      <c r="N21" s="370"/>
      <c r="O21" s="370"/>
      <c r="P21" s="371"/>
      <c r="Q21" s="108">
        <f>SUM(Q11:Q20)</f>
        <v>92327</v>
      </c>
    </row>
    <row r="22" spans="2:17" ht="11.25" customHeight="1"/>
    <row r="23" spans="2:17">
      <c r="B23" s="17" t="s">
        <v>33</v>
      </c>
      <c r="C23" s="17"/>
    </row>
    <row r="24" spans="2:17" ht="20.100000000000001" customHeight="1">
      <c r="B24" s="74" t="s">
        <v>44</v>
      </c>
      <c r="C24" s="75"/>
      <c r="D24" s="76"/>
      <c r="E24" s="76"/>
      <c r="F24" s="76"/>
      <c r="G24" s="76"/>
      <c r="H24" s="76"/>
      <c r="I24" s="76"/>
      <c r="J24" s="76"/>
      <c r="K24" s="76"/>
      <c r="L24" s="76"/>
      <c r="M24" s="77"/>
    </row>
    <row r="25" spans="2:17" ht="20.25" customHeight="1">
      <c r="B25" s="350" t="s">
        <v>46</v>
      </c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2"/>
    </row>
    <row r="26" spans="2:17" ht="20.25" customHeight="1">
      <c r="B26" s="353" t="s">
        <v>50</v>
      </c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5"/>
    </row>
    <row r="27" spans="2:17" ht="20.100000000000001" customHeight="1">
      <c r="B27" s="74" t="s">
        <v>75</v>
      </c>
      <c r="C27" s="75"/>
      <c r="D27" s="76"/>
      <c r="E27" s="76"/>
      <c r="F27" s="76"/>
      <c r="G27" s="76"/>
      <c r="H27" s="76"/>
      <c r="I27" s="76"/>
      <c r="J27" s="76"/>
      <c r="K27" s="76"/>
      <c r="L27" s="76"/>
      <c r="M27" s="77"/>
    </row>
    <row r="28" spans="2:17" ht="20.25" customHeight="1">
      <c r="B28" s="78" t="s">
        <v>76</v>
      </c>
      <c r="C28" s="79"/>
      <c r="D28" s="79"/>
      <c r="E28" s="81" t="s">
        <v>77</v>
      </c>
      <c r="F28" s="79"/>
      <c r="G28" s="79"/>
      <c r="H28" s="79"/>
      <c r="I28" s="79"/>
      <c r="J28" s="79"/>
      <c r="K28" s="79"/>
      <c r="L28" s="79"/>
      <c r="M28" s="80"/>
    </row>
    <row r="29" spans="2:17" ht="20.25" customHeight="1">
      <c r="B29" s="78"/>
      <c r="C29" s="79"/>
      <c r="D29" s="79"/>
      <c r="E29" s="81"/>
      <c r="F29" s="79"/>
      <c r="G29" s="79"/>
      <c r="H29" s="79"/>
      <c r="I29" s="79"/>
      <c r="J29" s="79"/>
      <c r="K29" s="79"/>
      <c r="L29" s="79"/>
      <c r="M29" s="80"/>
    </row>
    <row r="30" spans="2:17" ht="20.25" customHeight="1">
      <c r="B30" s="78"/>
      <c r="C30" s="79"/>
      <c r="D30" s="79"/>
      <c r="E30" s="81"/>
      <c r="F30" s="79"/>
      <c r="G30" s="79"/>
      <c r="H30" s="79"/>
      <c r="I30" s="79"/>
      <c r="J30" s="79"/>
      <c r="K30" s="79"/>
      <c r="L30" s="79"/>
      <c r="M30" s="80"/>
    </row>
    <row r="31" spans="2:17" ht="20.25" customHeight="1">
      <c r="B31" s="78"/>
      <c r="C31" s="79"/>
      <c r="D31" s="79"/>
      <c r="E31" s="81"/>
      <c r="F31" s="79"/>
      <c r="G31" s="79"/>
      <c r="H31" s="79"/>
      <c r="I31" s="79"/>
      <c r="J31" s="79"/>
      <c r="K31" s="79"/>
      <c r="L31" s="79"/>
      <c r="M31" s="80"/>
    </row>
    <row r="32" spans="2:17" ht="20.25" customHeight="1">
      <c r="B32" s="78"/>
      <c r="C32" s="79"/>
      <c r="D32" s="79"/>
      <c r="E32" s="81"/>
      <c r="F32" s="79"/>
      <c r="G32" s="79"/>
      <c r="H32" s="79"/>
      <c r="I32" s="79"/>
      <c r="J32" s="79"/>
      <c r="K32" s="79"/>
      <c r="L32" s="79"/>
      <c r="M32" s="80"/>
    </row>
    <row r="33" spans="2:13" ht="20.25" customHeight="1">
      <c r="B33" s="78"/>
      <c r="C33" s="79"/>
      <c r="D33" s="79"/>
      <c r="E33" s="81"/>
      <c r="F33" s="79"/>
      <c r="G33" s="79"/>
      <c r="H33" s="79"/>
      <c r="I33" s="79"/>
      <c r="J33" s="79"/>
      <c r="K33" s="79"/>
      <c r="L33" s="79"/>
      <c r="M33" s="80"/>
    </row>
    <row r="34" spans="2:13" ht="20.25" customHeight="1">
      <c r="B34" s="78"/>
      <c r="C34" s="79"/>
      <c r="D34" s="79"/>
      <c r="E34" s="81"/>
      <c r="F34" s="79"/>
      <c r="G34" s="79"/>
      <c r="H34" s="79"/>
      <c r="I34" s="79"/>
      <c r="J34" s="79"/>
      <c r="K34" s="79"/>
      <c r="L34" s="79"/>
      <c r="M34" s="80"/>
    </row>
    <row r="35" spans="2:13" ht="20.25" customHeight="1">
      <c r="B35" s="78"/>
      <c r="C35" s="79"/>
      <c r="D35" s="79"/>
      <c r="E35" s="81"/>
      <c r="F35" s="79"/>
      <c r="G35" s="79"/>
      <c r="H35" s="79"/>
      <c r="I35" s="79"/>
      <c r="J35" s="79"/>
      <c r="K35" s="79"/>
      <c r="L35" s="79"/>
      <c r="M35" s="80"/>
    </row>
    <row r="36" spans="2:13" ht="20.25" customHeight="1">
      <c r="B36" s="78"/>
      <c r="C36" s="79"/>
      <c r="D36" s="79"/>
      <c r="E36" s="81"/>
      <c r="F36" s="79"/>
      <c r="G36" s="79"/>
      <c r="H36" s="79"/>
      <c r="I36" s="79"/>
      <c r="J36" s="79"/>
      <c r="K36" s="79"/>
      <c r="L36" s="79"/>
      <c r="M36" s="80"/>
    </row>
    <row r="37" spans="2:13" ht="20.100000000000001" customHeight="1">
      <c r="B37" s="74" t="s">
        <v>78</v>
      </c>
      <c r="C37" s="75"/>
      <c r="D37" s="76"/>
      <c r="E37" s="76"/>
      <c r="F37" s="76"/>
      <c r="G37" s="76"/>
      <c r="H37" s="76"/>
      <c r="I37" s="76"/>
      <c r="J37" s="76"/>
      <c r="K37" s="76"/>
      <c r="L37" s="76"/>
      <c r="M37" s="77"/>
    </row>
    <row r="38" spans="2:13" ht="20.25" customHeight="1">
      <c r="B38" s="356" t="s">
        <v>79</v>
      </c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8"/>
    </row>
    <row r="39" spans="2:13" ht="20.25" customHeight="1">
      <c r="B39" s="359" t="s">
        <v>80</v>
      </c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1"/>
    </row>
    <row r="40" spans="2:13" s="73" customFormat="1" ht="24">
      <c r="B40" s="70"/>
      <c r="C40" s="71"/>
      <c r="D40" s="72"/>
      <c r="E40" s="72"/>
      <c r="F40" s="72"/>
      <c r="G40" s="72"/>
    </row>
    <row r="41" spans="2:13">
      <c r="C41" s="54"/>
      <c r="D41" s="55"/>
      <c r="E41" s="55"/>
      <c r="F41" s="61"/>
      <c r="G41" s="55"/>
    </row>
  </sheetData>
  <mergeCells count="22">
    <mergeCell ref="M6:O6"/>
    <mergeCell ref="B5:C5"/>
    <mergeCell ref="E5:F5"/>
    <mergeCell ref="G5:H5"/>
    <mergeCell ref="I5:J5"/>
    <mergeCell ref="K5:L5"/>
    <mergeCell ref="M5:O5"/>
    <mergeCell ref="B6:C6"/>
    <mergeCell ref="E6:F6"/>
    <mergeCell ref="G6:H6"/>
    <mergeCell ref="I6:J6"/>
    <mergeCell ref="K6:L6"/>
    <mergeCell ref="B25:M25"/>
    <mergeCell ref="B26:M26"/>
    <mergeCell ref="B38:M38"/>
    <mergeCell ref="B39:M39"/>
    <mergeCell ref="B7:F7"/>
    <mergeCell ref="G7:H7"/>
    <mergeCell ref="I7:J7"/>
    <mergeCell ref="K7:L7"/>
    <mergeCell ref="M7:Q7"/>
    <mergeCell ref="B21:P21"/>
  </mergeCells>
  <phoneticPr fontId="3" type="noConversion"/>
  <conditionalFormatting sqref="G6">
    <cfRule type="expression" dxfId="12" priority="2">
      <formula>#REF!&lt;0</formula>
    </cfRule>
  </conditionalFormatting>
  <conditionalFormatting sqref="K5">
    <cfRule type="expression" dxfId="11" priority="1">
      <formula>#REF!&lt;0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5EC1-4FAE-4F19-8262-A299DB9BF890}">
  <sheetPr>
    <tabColor theme="1"/>
    <pageSetUpPr fitToPage="1"/>
  </sheetPr>
  <dimension ref="B1:Q41"/>
  <sheetViews>
    <sheetView showGridLines="0" topLeftCell="A15" zoomScaleNormal="100" workbookViewId="0">
      <selection activeCell="C17" sqref="C17:I17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13.19921875" style="1" customWidth="1"/>
    <col min="6" max="6" width="18.5" style="1" customWidth="1"/>
    <col min="7" max="12" width="13.59765625" style="1" customWidth="1"/>
    <col min="13" max="13" width="9.69921875" style="1" bestFit="1" customWidth="1"/>
    <col min="14" max="14" width="17.59765625" style="1" bestFit="1" customWidth="1"/>
    <col min="15" max="15" width="18.09765625" style="1" bestFit="1" customWidth="1"/>
    <col min="16" max="16" width="12.59765625" style="1" customWidth="1"/>
    <col min="17" max="17" width="15.59765625" style="1" customWidth="1"/>
    <col min="18" max="18" width="2.69921875" style="1" customWidth="1"/>
    <col min="19" max="16384" width="9" style="1"/>
  </cols>
  <sheetData>
    <row r="1" spans="2:17" ht="9.9" customHeight="1"/>
    <row r="2" spans="2:17" s="5" customFormat="1" ht="30" customHeight="1">
      <c r="B2" s="2" t="s">
        <v>99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17" ht="9.9" customHeight="1" thickBot="1"/>
    <row r="5" spans="2:17" ht="18.75" customHeight="1">
      <c r="B5" s="333" t="s">
        <v>0</v>
      </c>
      <c r="C5" s="334"/>
      <c r="D5" s="95" t="s">
        <v>1</v>
      </c>
      <c r="E5" s="335" t="s">
        <v>2</v>
      </c>
      <c r="F5" s="335"/>
      <c r="G5" s="336" t="s">
        <v>3</v>
      </c>
      <c r="H5" s="337"/>
      <c r="I5" s="336" t="s">
        <v>4</v>
      </c>
      <c r="J5" s="337"/>
      <c r="K5" s="338" t="s">
        <v>5</v>
      </c>
      <c r="L5" s="339"/>
      <c r="M5" s="340" t="s">
        <v>6</v>
      </c>
      <c r="N5" s="341"/>
      <c r="O5" s="342"/>
      <c r="P5" s="96" t="s">
        <v>7</v>
      </c>
      <c r="Q5" s="97" t="s">
        <v>8</v>
      </c>
    </row>
    <row r="6" spans="2:17" ht="21.9" customHeight="1">
      <c r="B6" s="343" t="s">
        <v>24</v>
      </c>
      <c r="C6" s="344"/>
      <c r="D6" s="93">
        <v>45498</v>
      </c>
      <c r="E6" s="345" t="s">
        <v>98</v>
      </c>
      <c r="F6" s="345"/>
      <c r="G6" s="346">
        <f>Q21</f>
        <v>170251</v>
      </c>
      <c r="H6" s="347"/>
      <c r="I6" s="348">
        <f>ROUND(G6*10%,0)</f>
        <v>17025</v>
      </c>
      <c r="J6" s="349"/>
      <c r="K6" s="348">
        <f>G6+I6</f>
        <v>187276</v>
      </c>
      <c r="L6" s="349"/>
      <c r="M6" s="331" t="s">
        <v>26</v>
      </c>
      <c r="N6" s="323"/>
      <c r="O6" s="332"/>
      <c r="P6" s="94">
        <v>45504</v>
      </c>
      <c r="Q6" s="98">
        <v>45513</v>
      </c>
    </row>
    <row r="7" spans="2:17" ht="18.75" customHeight="1" thickBot="1">
      <c r="B7" s="362" t="s">
        <v>9</v>
      </c>
      <c r="C7" s="363"/>
      <c r="D7" s="363"/>
      <c r="E7" s="363"/>
      <c r="F7" s="363"/>
      <c r="G7" s="364">
        <f>SUM(G6)</f>
        <v>170251</v>
      </c>
      <c r="H7" s="365"/>
      <c r="I7" s="364">
        <f>SUM(I6)</f>
        <v>17025</v>
      </c>
      <c r="J7" s="365"/>
      <c r="K7" s="364">
        <f>SUM(K6)</f>
        <v>187276</v>
      </c>
      <c r="L7" s="365"/>
      <c r="M7" s="366" t="s">
        <v>10</v>
      </c>
      <c r="N7" s="367"/>
      <c r="O7" s="367"/>
      <c r="P7" s="367"/>
      <c r="Q7" s="368"/>
    </row>
    <row r="8" spans="2:17" ht="12.9" customHeight="1"/>
    <row r="9" spans="2:17">
      <c r="B9" s="17" t="s">
        <v>25</v>
      </c>
      <c r="C9" s="17"/>
    </row>
    <row r="10" spans="2:17" s="13" customFormat="1" ht="20.25" customHeight="1">
      <c r="B10" s="82" t="s">
        <v>11</v>
      </c>
      <c r="C10" s="83" t="s">
        <v>12</v>
      </c>
      <c r="D10" s="83" t="s">
        <v>13</v>
      </c>
      <c r="E10" s="83" t="s">
        <v>14</v>
      </c>
      <c r="F10" s="83" t="s">
        <v>15</v>
      </c>
      <c r="G10" s="83" t="s">
        <v>16</v>
      </c>
      <c r="H10" s="84" t="s">
        <v>17</v>
      </c>
      <c r="I10" s="85" t="s">
        <v>82</v>
      </c>
      <c r="J10" s="85" t="s">
        <v>83</v>
      </c>
      <c r="K10" s="86" t="s">
        <v>84</v>
      </c>
      <c r="L10" s="87" t="s">
        <v>85</v>
      </c>
      <c r="M10" s="88" t="s">
        <v>81</v>
      </c>
      <c r="N10" s="89" t="s">
        <v>86</v>
      </c>
      <c r="O10" s="89" t="s">
        <v>87</v>
      </c>
      <c r="P10" s="90" t="s">
        <v>21</v>
      </c>
      <c r="Q10" s="90" t="s">
        <v>22</v>
      </c>
    </row>
    <row r="11" spans="2:17" s="13" customFormat="1" ht="20.25" customHeight="1">
      <c r="B11" s="91">
        <v>1</v>
      </c>
      <c r="C11" s="34" t="s">
        <v>36</v>
      </c>
      <c r="D11" s="34" t="s">
        <v>37</v>
      </c>
      <c r="E11" s="34" t="s">
        <v>49</v>
      </c>
      <c r="F11" s="34" t="s">
        <v>38</v>
      </c>
      <c r="G11" s="35">
        <v>44878</v>
      </c>
      <c r="H11" s="117">
        <v>45383</v>
      </c>
      <c r="I11" s="100">
        <v>0</v>
      </c>
      <c r="J11" s="101">
        <v>339336</v>
      </c>
      <c r="K11" s="101">
        <v>0</v>
      </c>
      <c r="L11" s="100">
        <f>ROUND(K11*10%,2)</f>
        <v>0</v>
      </c>
      <c r="M11" s="102">
        <v>0</v>
      </c>
      <c r="N11" s="103">
        <v>0</v>
      </c>
      <c r="O11" s="101">
        <v>203623</v>
      </c>
      <c r="P11" s="36">
        <v>0.1</v>
      </c>
      <c r="Q11" s="109">
        <f>ROUND(O11*P11,0)</f>
        <v>20362</v>
      </c>
    </row>
    <row r="12" spans="2:17" s="13" customFormat="1" ht="20.25" customHeight="1">
      <c r="B12" s="91">
        <v>2</v>
      </c>
      <c r="C12" s="34" t="s">
        <v>36</v>
      </c>
      <c r="D12" s="34" t="s">
        <v>37</v>
      </c>
      <c r="E12" s="34" t="s">
        <v>49</v>
      </c>
      <c r="F12" s="34" t="s">
        <v>38</v>
      </c>
      <c r="G12" s="35">
        <v>44878</v>
      </c>
      <c r="H12" s="117">
        <v>45413</v>
      </c>
      <c r="I12" s="100">
        <v>0</v>
      </c>
      <c r="J12" s="101">
        <v>141796</v>
      </c>
      <c r="K12" s="101">
        <v>0</v>
      </c>
      <c r="L12" s="100">
        <f>ROUND(K12*10%,2)</f>
        <v>0</v>
      </c>
      <c r="M12" s="104">
        <v>0</v>
      </c>
      <c r="N12" s="103">
        <v>0</v>
      </c>
      <c r="O12" s="101">
        <v>85684</v>
      </c>
      <c r="P12" s="36">
        <v>0.1</v>
      </c>
      <c r="Q12" s="110">
        <f>ROUND(O12*P12,0)</f>
        <v>8568</v>
      </c>
    </row>
    <row r="13" spans="2:17" s="13" customFormat="1" ht="20.25" customHeight="1">
      <c r="B13" s="91">
        <v>3</v>
      </c>
      <c r="C13" s="34" t="s">
        <v>36</v>
      </c>
      <c r="D13" s="34" t="s">
        <v>37</v>
      </c>
      <c r="E13" s="34" t="s">
        <v>49</v>
      </c>
      <c r="F13" s="34" t="s">
        <v>38</v>
      </c>
      <c r="G13" s="35">
        <v>44878</v>
      </c>
      <c r="H13" s="117">
        <v>45444</v>
      </c>
      <c r="I13" s="100">
        <v>0</v>
      </c>
      <c r="J13" s="101">
        <v>705526</v>
      </c>
      <c r="K13" s="101">
        <v>0</v>
      </c>
      <c r="L13" s="100">
        <f t="shared" ref="L13" si="0">ROUND(K13*10%,2)</f>
        <v>0</v>
      </c>
      <c r="M13" s="113">
        <v>0</v>
      </c>
      <c r="N13" s="103">
        <v>0</v>
      </c>
      <c r="O13" s="101">
        <v>423960</v>
      </c>
      <c r="P13" s="36">
        <v>0.1</v>
      </c>
      <c r="Q13" s="110">
        <f>ROUND(O13*P13,0)</f>
        <v>42396</v>
      </c>
    </row>
    <row r="14" spans="2:17" s="13" customFormat="1" ht="20.25" customHeight="1">
      <c r="B14" s="91">
        <v>4</v>
      </c>
      <c r="C14" s="34" t="s">
        <v>72</v>
      </c>
      <c r="D14" s="34" t="s">
        <v>35</v>
      </c>
      <c r="E14" s="34" t="s">
        <v>73</v>
      </c>
      <c r="F14" s="34" t="s">
        <v>38</v>
      </c>
      <c r="G14" s="35">
        <v>45071</v>
      </c>
      <c r="H14" s="117">
        <v>45383</v>
      </c>
      <c r="I14" s="114">
        <v>74983.490000000005</v>
      </c>
      <c r="J14" s="101">
        <v>667330</v>
      </c>
      <c r="K14" s="115">
        <v>39039</v>
      </c>
      <c r="L14" s="114">
        <v>3904</v>
      </c>
      <c r="M14" s="112">
        <v>8.8996999999999993</v>
      </c>
      <c r="N14" s="116">
        <v>35135</v>
      </c>
      <c r="O14" s="101">
        <f t="shared" ref="O14:O16" si="1">N14*M14</f>
        <v>312690.9595</v>
      </c>
      <c r="P14" s="36">
        <v>0.1</v>
      </c>
      <c r="Q14" s="110">
        <f t="shared" ref="Q14:Q19" si="2">ROUND(O14*P14,0)</f>
        <v>31269</v>
      </c>
    </row>
    <row r="15" spans="2:17" s="13" customFormat="1" ht="20.25" customHeight="1">
      <c r="B15" s="91">
        <v>5</v>
      </c>
      <c r="C15" s="34" t="s">
        <v>72</v>
      </c>
      <c r="D15" s="34" t="s">
        <v>35</v>
      </c>
      <c r="E15" s="34" t="s">
        <v>73</v>
      </c>
      <c r="F15" s="34" t="s">
        <v>38</v>
      </c>
      <c r="G15" s="35">
        <v>45071</v>
      </c>
      <c r="H15" s="117">
        <v>45413</v>
      </c>
      <c r="I15" s="114">
        <v>66827.23</v>
      </c>
      <c r="J15" s="101">
        <v>585326</v>
      </c>
      <c r="K15" s="115">
        <v>36436</v>
      </c>
      <c r="L15" s="114">
        <v>3643</v>
      </c>
      <c r="M15" s="112">
        <v>8.7588000000000008</v>
      </c>
      <c r="N15" s="116">
        <v>32793</v>
      </c>
      <c r="O15" s="101">
        <f t="shared" si="1"/>
        <v>287227.3284</v>
      </c>
      <c r="P15" s="36">
        <v>0.1</v>
      </c>
      <c r="Q15" s="110">
        <f>ROUND(O15*P15,0)</f>
        <v>28723</v>
      </c>
    </row>
    <row r="16" spans="2:17" s="13" customFormat="1" ht="20.25" customHeight="1">
      <c r="B16" s="91">
        <v>6</v>
      </c>
      <c r="C16" s="34" t="s">
        <v>72</v>
      </c>
      <c r="D16" s="34" t="s">
        <v>35</v>
      </c>
      <c r="E16" s="34" t="s">
        <v>73</v>
      </c>
      <c r="F16" s="34" t="s">
        <v>38</v>
      </c>
      <c r="G16" s="35">
        <v>45071</v>
      </c>
      <c r="H16" s="117">
        <v>45444</v>
      </c>
      <c r="I16" s="114">
        <v>88664.6</v>
      </c>
      <c r="J16" s="101">
        <v>775213</v>
      </c>
      <c r="K16" s="115">
        <v>46627</v>
      </c>
      <c r="L16" s="114">
        <v>4662</v>
      </c>
      <c r="M16" s="112">
        <v>8.7431999999999999</v>
      </c>
      <c r="N16" s="116">
        <v>41965</v>
      </c>
      <c r="O16" s="101">
        <f t="shared" si="1"/>
        <v>366908.38799999998</v>
      </c>
      <c r="P16" s="36">
        <v>0.1</v>
      </c>
      <c r="Q16" s="110">
        <f>ROUND(O16*P16,0)</f>
        <v>36691</v>
      </c>
    </row>
    <row r="17" spans="2:17" s="13" customFormat="1" ht="20.25" customHeight="1">
      <c r="B17" s="91">
        <v>7</v>
      </c>
      <c r="C17" s="34" t="s">
        <v>72</v>
      </c>
      <c r="D17" s="34" t="s">
        <v>74</v>
      </c>
      <c r="E17" s="34" t="s">
        <v>73</v>
      </c>
      <c r="F17" s="34" t="s">
        <v>38</v>
      </c>
      <c r="G17" s="35">
        <v>45071</v>
      </c>
      <c r="H17" s="117">
        <v>45352</v>
      </c>
      <c r="I17" s="114">
        <v>7101.32</v>
      </c>
      <c r="J17" s="101">
        <v>63139</v>
      </c>
      <c r="K17" s="115">
        <v>1421</v>
      </c>
      <c r="L17" s="114">
        <v>142</v>
      </c>
      <c r="M17" s="112">
        <v>8.8911999999999995</v>
      </c>
      <c r="N17" s="116">
        <v>1279</v>
      </c>
      <c r="O17" s="101">
        <v>11372</v>
      </c>
      <c r="P17" s="36">
        <v>0.1</v>
      </c>
      <c r="Q17" s="110">
        <f t="shared" si="2"/>
        <v>1137</v>
      </c>
    </row>
    <row r="18" spans="2:17" s="13" customFormat="1" ht="20.25" customHeight="1">
      <c r="B18" s="91">
        <v>8</v>
      </c>
      <c r="C18" s="34" t="s">
        <v>72</v>
      </c>
      <c r="D18" s="34" t="s">
        <v>74</v>
      </c>
      <c r="E18" s="34" t="s">
        <v>73</v>
      </c>
      <c r="F18" s="34" t="s">
        <v>38</v>
      </c>
      <c r="G18" s="35">
        <v>45071</v>
      </c>
      <c r="H18" s="117">
        <v>45383</v>
      </c>
      <c r="I18" s="114">
        <v>4674.29</v>
      </c>
      <c r="J18" s="101">
        <v>41600</v>
      </c>
      <c r="K18" s="115">
        <v>935</v>
      </c>
      <c r="L18" s="114">
        <v>94</v>
      </c>
      <c r="M18" s="112">
        <v>8.8996999999999993</v>
      </c>
      <c r="N18" s="116">
        <v>841</v>
      </c>
      <c r="O18" s="101">
        <v>7485</v>
      </c>
      <c r="P18" s="36">
        <v>0.1</v>
      </c>
      <c r="Q18" s="110">
        <f t="shared" si="2"/>
        <v>749</v>
      </c>
    </row>
    <row r="19" spans="2:17" s="13" customFormat="1" ht="20.25" customHeight="1">
      <c r="B19" s="91">
        <v>9</v>
      </c>
      <c r="C19" s="34" t="s">
        <v>72</v>
      </c>
      <c r="D19" s="34" t="s">
        <v>74</v>
      </c>
      <c r="E19" s="34" t="s">
        <v>73</v>
      </c>
      <c r="F19" s="34" t="s">
        <v>38</v>
      </c>
      <c r="G19" s="35">
        <v>45071</v>
      </c>
      <c r="H19" s="117">
        <v>45413</v>
      </c>
      <c r="I19" s="114">
        <v>2253.1400000000003</v>
      </c>
      <c r="J19" s="101">
        <v>19735</v>
      </c>
      <c r="K19" s="115">
        <v>451</v>
      </c>
      <c r="L19" s="114">
        <v>45</v>
      </c>
      <c r="M19" s="112">
        <v>8.7588000000000008</v>
      </c>
      <c r="N19" s="116">
        <v>406</v>
      </c>
      <c r="O19" s="101">
        <v>3556</v>
      </c>
      <c r="P19" s="36">
        <v>0.1</v>
      </c>
      <c r="Q19" s="110">
        <f t="shared" si="2"/>
        <v>356</v>
      </c>
    </row>
    <row r="20" spans="2:17" s="13" customFormat="1" ht="20.25" customHeight="1">
      <c r="B20" s="92"/>
      <c r="C20" s="39"/>
      <c r="D20" s="39"/>
      <c r="E20" s="39"/>
      <c r="F20" s="39"/>
      <c r="G20" s="40"/>
      <c r="H20" s="39"/>
      <c r="I20" s="105"/>
      <c r="J20" s="106"/>
      <c r="K20" s="106"/>
      <c r="L20" s="100"/>
      <c r="M20" s="99"/>
      <c r="N20" s="107"/>
      <c r="O20" s="106"/>
      <c r="P20" s="42"/>
      <c r="Q20" s="111"/>
    </row>
    <row r="21" spans="2:17" ht="20.25" customHeight="1">
      <c r="B21" s="369" t="s">
        <v>9</v>
      </c>
      <c r="C21" s="370"/>
      <c r="D21" s="370"/>
      <c r="E21" s="370"/>
      <c r="F21" s="370"/>
      <c r="G21" s="370"/>
      <c r="H21" s="370"/>
      <c r="I21" s="370"/>
      <c r="J21" s="370"/>
      <c r="K21" s="370"/>
      <c r="L21" s="370"/>
      <c r="M21" s="370"/>
      <c r="N21" s="370"/>
      <c r="O21" s="370"/>
      <c r="P21" s="371"/>
      <c r="Q21" s="108">
        <f>SUM(Q11:Q20)</f>
        <v>170251</v>
      </c>
    </row>
    <row r="22" spans="2:17" ht="11.25" customHeight="1"/>
    <row r="23" spans="2:17">
      <c r="B23" s="17" t="s">
        <v>33</v>
      </c>
      <c r="C23" s="17"/>
    </row>
    <row r="24" spans="2:17" ht="20.100000000000001" customHeight="1">
      <c r="B24" s="74" t="s">
        <v>44</v>
      </c>
      <c r="C24" s="75"/>
      <c r="D24" s="76"/>
      <c r="E24" s="76"/>
      <c r="F24" s="76"/>
      <c r="G24" s="76"/>
      <c r="H24" s="76"/>
      <c r="I24" s="76"/>
      <c r="J24" s="76"/>
      <c r="K24" s="76"/>
      <c r="L24" s="76"/>
      <c r="M24" s="77"/>
    </row>
    <row r="25" spans="2:17" ht="20.25" customHeight="1">
      <c r="B25" s="350" t="s">
        <v>46</v>
      </c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2"/>
    </row>
    <row r="26" spans="2:17" ht="20.25" customHeight="1">
      <c r="B26" s="353" t="s">
        <v>50</v>
      </c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5"/>
    </row>
    <row r="27" spans="2:17" ht="20.100000000000001" customHeight="1">
      <c r="B27" s="74" t="s">
        <v>75</v>
      </c>
      <c r="C27" s="75"/>
      <c r="D27" s="76"/>
      <c r="E27" s="76"/>
      <c r="F27" s="76"/>
      <c r="G27" s="76"/>
      <c r="H27" s="76"/>
      <c r="I27" s="76"/>
      <c r="J27" s="76"/>
      <c r="K27" s="76"/>
      <c r="L27" s="76"/>
      <c r="M27" s="77"/>
    </row>
    <row r="28" spans="2:17" ht="20.25" customHeight="1">
      <c r="B28" s="78" t="s">
        <v>76</v>
      </c>
      <c r="C28" s="79"/>
      <c r="D28" s="79"/>
      <c r="E28" s="81" t="s">
        <v>77</v>
      </c>
      <c r="F28" s="79"/>
      <c r="G28" s="79"/>
      <c r="H28" s="79"/>
      <c r="I28" s="79"/>
      <c r="J28" s="79"/>
      <c r="K28" s="79"/>
      <c r="L28" s="79"/>
      <c r="M28" s="80"/>
    </row>
    <row r="29" spans="2:17" ht="20.25" customHeight="1">
      <c r="B29" s="78"/>
      <c r="C29" s="79"/>
      <c r="D29" s="79"/>
      <c r="E29" s="81"/>
      <c r="F29" s="79"/>
      <c r="G29" s="79"/>
      <c r="H29" s="79"/>
      <c r="I29" s="79"/>
      <c r="J29" s="79"/>
      <c r="K29" s="79"/>
      <c r="L29" s="79"/>
      <c r="M29" s="80"/>
    </row>
    <row r="30" spans="2:17" ht="20.25" customHeight="1">
      <c r="B30" s="78"/>
      <c r="C30" s="79"/>
      <c r="D30" s="79"/>
      <c r="E30" s="81"/>
      <c r="F30" s="79"/>
      <c r="G30" s="79"/>
      <c r="H30" s="79"/>
      <c r="I30" s="79"/>
      <c r="J30" s="79"/>
      <c r="K30" s="79"/>
      <c r="L30" s="79"/>
      <c r="M30" s="80"/>
    </row>
    <row r="31" spans="2:17" ht="20.25" customHeight="1">
      <c r="B31" s="78"/>
      <c r="C31" s="79"/>
      <c r="D31" s="79"/>
      <c r="E31" s="81"/>
      <c r="F31" s="79"/>
      <c r="G31" s="79"/>
      <c r="H31" s="79"/>
      <c r="I31" s="79"/>
      <c r="J31" s="79"/>
      <c r="K31" s="79"/>
      <c r="L31" s="79"/>
      <c r="M31" s="80"/>
    </row>
    <row r="32" spans="2:17" ht="20.25" customHeight="1">
      <c r="B32" s="78"/>
      <c r="C32" s="79"/>
      <c r="D32" s="79"/>
      <c r="E32" s="81"/>
      <c r="F32" s="79"/>
      <c r="G32" s="79"/>
      <c r="H32" s="79"/>
      <c r="I32" s="79"/>
      <c r="J32" s="79"/>
      <c r="K32" s="79"/>
      <c r="L32" s="79"/>
      <c r="M32" s="80"/>
    </row>
    <row r="33" spans="2:13" ht="20.25" customHeight="1">
      <c r="B33" s="78"/>
      <c r="C33" s="79"/>
      <c r="D33" s="79"/>
      <c r="E33" s="81"/>
      <c r="F33" s="79"/>
      <c r="G33" s="79"/>
      <c r="H33" s="79"/>
      <c r="I33" s="79"/>
      <c r="J33" s="79"/>
      <c r="K33" s="79"/>
      <c r="L33" s="79"/>
      <c r="M33" s="80"/>
    </row>
    <row r="34" spans="2:13" ht="20.25" customHeight="1">
      <c r="B34" s="78"/>
      <c r="C34" s="79"/>
      <c r="D34" s="79"/>
      <c r="E34" s="81"/>
      <c r="F34" s="79"/>
      <c r="G34" s="79"/>
      <c r="H34" s="79"/>
      <c r="I34" s="79"/>
      <c r="J34" s="79"/>
      <c r="K34" s="79"/>
      <c r="L34" s="79"/>
      <c r="M34" s="80"/>
    </row>
    <row r="35" spans="2:13" ht="20.25" customHeight="1">
      <c r="B35" s="78"/>
      <c r="C35" s="79"/>
      <c r="D35" s="79"/>
      <c r="E35" s="81"/>
      <c r="F35" s="79"/>
      <c r="G35" s="79"/>
      <c r="H35" s="79"/>
      <c r="I35" s="79"/>
      <c r="J35" s="79"/>
      <c r="K35" s="79"/>
      <c r="L35" s="79"/>
      <c r="M35" s="80"/>
    </row>
    <row r="36" spans="2:13" ht="20.25" customHeight="1">
      <c r="B36" s="78"/>
      <c r="C36" s="79"/>
      <c r="D36" s="79"/>
      <c r="E36" s="81"/>
      <c r="F36" s="79"/>
      <c r="G36" s="79"/>
      <c r="H36" s="79"/>
      <c r="I36" s="79"/>
      <c r="J36" s="79"/>
      <c r="K36" s="79"/>
      <c r="L36" s="79"/>
      <c r="M36" s="80"/>
    </row>
    <row r="37" spans="2:13" ht="20.100000000000001" customHeight="1">
      <c r="B37" s="74" t="s">
        <v>78</v>
      </c>
      <c r="C37" s="75"/>
      <c r="D37" s="76"/>
      <c r="E37" s="76"/>
      <c r="F37" s="76"/>
      <c r="G37" s="76"/>
      <c r="H37" s="76"/>
      <c r="I37" s="76"/>
      <c r="J37" s="76"/>
      <c r="K37" s="76"/>
      <c r="L37" s="76"/>
      <c r="M37" s="77"/>
    </row>
    <row r="38" spans="2:13" ht="20.25" customHeight="1">
      <c r="B38" s="356" t="s">
        <v>79</v>
      </c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8"/>
    </row>
    <row r="39" spans="2:13" ht="20.25" customHeight="1">
      <c r="B39" s="359" t="s">
        <v>80</v>
      </c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1"/>
    </row>
    <row r="40" spans="2:13" s="73" customFormat="1" ht="24">
      <c r="B40" s="70"/>
      <c r="C40" s="71"/>
      <c r="D40" s="72"/>
      <c r="E40" s="72"/>
      <c r="F40" s="72"/>
      <c r="G40" s="72"/>
    </row>
    <row r="41" spans="2:13">
      <c r="C41" s="54"/>
      <c r="D41" s="55"/>
      <c r="E41" s="55"/>
      <c r="F41" s="61"/>
      <c r="G41" s="55"/>
    </row>
  </sheetData>
  <mergeCells count="22">
    <mergeCell ref="B25:M25"/>
    <mergeCell ref="B26:M26"/>
    <mergeCell ref="B38:M38"/>
    <mergeCell ref="B39:M39"/>
    <mergeCell ref="B7:F7"/>
    <mergeCell ref="G7:H7"/>
    <mergeCell ref="I7:J7"/>
    <mergeCell ref="K7:L7"/>
    <mergeCell ref="M7:Q7"/>
    <mergeCell ref="B21:P21"/>
    <mergeCell ref="M6:O6"/>
    <mergeCell ref="B5:C5"/>
    <mergeCell ref="E5:F5"/>
    <mergeCell ref="G5:H5"/>
    <mergeCell ref="I5:J5"/>
    <mergeCell ref="K5:L5"/>
    <mergeCell ref="M5:O5"/>
    <mergeCell ref="B6:C6"/>
    <mergeCell ref="E6:F6"/>
    <mergeCell ref="G6:H6"/>
    <mergeCell ref="I6:J6"/>
    <mergeCell ref="K6:L6"/>
  </mergeCells>
  <phoneticPr fontId="3" type="noConversion"/>
  <conditionalFormatting sqref="G6">
    <cfRule type="expression" dxfId="10" priority="2">
      <formula>#REF!&lt;0</formula>
    </cfRule>
  </conditionalFormatting>
  <conditionalFormatting sqref="K5">
    <cfRule type="expression" dxfId="9" priority="1">
      <formula>#REF!&lt;0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FE7A-8BC0-4BEA-A127-3344134B7A72}">
  <sheetPr>
    <tabColor theme="1"/>
    <pageSetUpPr fitToPage="1"/>
  </sheetPr>
  <dimension ref="B1:Q42"/>
  <sheetViews>
    <sheetView showGridLines="0" zoomScaleNormal="100" workbookViewId="0">
      <selection activeCell="C17" sqref="C17:I17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13.19921875" style="1" customWidth="1"/>
    <col min="6" max="6" width="18.5" style="1" customWidth="1"/>
    <col min="7" max="8" width="15.3984375" style="1" customWidth="1"/>
    <col min="9" max="9" width="14.69921875" style="1" customWidth="1"/>
    <col min="10" max="10" width="16.59765625" style="1" customWidth="1"/>
    <col min="11" max="11" width="13.09765625" style="1" bestFit="1" customWidth="1"/>
    <col min="12" max="12" width="16.09765625" style="1" bestFit="1" customWidth="1"/>
    <col min="13" max="13" width="9.69921875" style="1" bestFit="1" customWidth="1"/>
    <col min="14" max="14" width="17.59765625" style="1" bestFit="1" customWidth="1"/>
    <col min="15" max="15" width="18.09765625" style="1" bestFit="1" customWidth="1"/>
    <col min="16" max="16" width="12.59765625" style="1" customWidth="1"/>
    <col min="17" max="17" width="15.59765625" style="1" customWidth="1"/>
    <col min="18" max="18" width="2.69921875" style="1" customWidth="1"/>
    <col min="19" max="16384" width="9" style="1"/>
  </cols>
  <sheetData>
    <row r="1" spans="2:17" ht="9.9" customHeight="1"/>
    <row r="2" spans="2:17" s="5" customFormat="1" ht="30" customHeight="1">
      <c r="B2" s="2" t="s">
        <v>93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17" ht="9.9" customHeight="1" thickBot="1"/>
    <row r="5" spans="2:17" ht="18.75" customHeight="1">
      <c r="B5" s="333" t="s">
        <v>0</v>
      </c>
      <c r="C5" s="334"/>
      <c r="D5" s="95" t="s">
        <v>1</v>
      </c>
      <c r="E5" s="335" t="s">
        <v>2</v>
      </c>
      <c r="F5" s="335"/>
      <c r="G5" s="336" t="s">
        <v>3</v>
      </c>
      <c r="H5" s="337"/>
      <c r="I5" s="336" t="s">
        <v>4</v>
      </c>
      <c r="J5" s="337"/>
      <c r="K5" s="338" t="s">
        <v>5</v>
      </c>
      <c r="L5" s="339"/>
      <c r="M5" s="340" t="s">
        <v>6</v>
      </c>
      <c r="N5" s="341"/>
      <c r="O5" s="342"/>
      <c r="P5" s="96" t="s">
        <v>7</v>
      </c>
      <c r="Q5" s="97" t="s">
        <v>8</v>
      </c>
    </row>
    <row r="6" spans="2:17" ht="18.75" customHeight="1">
      <c r="B6" s="343" t="s">
        <v>24</v>
      </c>
      <c r="C6" s="344"/>
      <c r="D6" s="93">
        <v>45407</v>
      </c>
      <c r="E6" s="345" t="s">
        <v>94</v>
      </c>
      <c r="F6" s="345"/>
      <c r="G6" s="346">
        <f>Q21</f>
        <v>208380</v>
      </c>
      <c r="H6" s="347"/>
      <c r="I6" s="348">
        <f>ROUND(G6*10%,0)</f>
        <v>20838</v>
      </c>
      <c r="J6" s="349"/>
      <c r="K6" s="348">
        <f>G6+I6</f>
        <v>229218</v>
      </c>
      <c r="L6" s="349"/>
      <c r="M6" s="331" t="s">
        <v>26</v>
      </c>
      <c r="N6" s="323"/>
      <c r="O6" s="332"/>
      <c r="P6" s="94">
        <v>45412</v>
      </c>
      <c r="Q6" s="98">
        <v>45422</v>
      </c>
    </row>
    <row r="7" spans="2:17" ht="18.75" customHeight="1" thickBot="1">
      <c r="B7" s="362" t="s">
        <v>9</v>
      </c>
      <c r="C7" s="363"/>
      <c r="D7" s="363"/>
      <c r="E7" s="363"/>
      <c r="F7" s="363"/>
      <c r="G7" s="364">
        <f>SUM(G6)</f>
        <v>208380</v>
      </c>
      <c r="H7" s="365"/>
      <c r="I7" s="364">
        <f>SUM(I6)</f>
        <v>20838</v>
      </c>
      <c r="J7" s="365"/>
      <c r="K7" s="364">
        <f>SUM(K6)</f>
        <v>229218</v>
      </c>
      <c r="L7" s="365"/>
      <c r="M7" s="366" t="s">
        <v>10</v>
      </c>
      <c r="N7" s="367"/>
      <c r="O7" s="367"/>
      <c r="P7" s="367"/>
      <c r="Q7" s="368"/>
    </row>
    <row r="8" spans="2:17" ht="12.9" customHeight="1"/>
    <row r="9" spans="2:17">
      <c r="B9" s="17" t="s">
        <v>25</v>
      </c>
      <c r="C9" s="17"/>
    </row>
    <row r="10" spans="2:17" s="13" customFormat="1" ht="20.25" customHeight="1">
      <c r="B10" s="82" t="s">
        <v>11</v>
      </c>
      <c r="C10" s="83" t="s">
        <v>12</v>
      </c>
      <c r="D10" s="83" t="s">
        <v>13</v>
      </c>
      <c r="E10" s="83" t="s">
        <v>14</v>
      </c>
      <c r="F10" s="83" t="s">
        <v>15</v>
      </c>
      <c r="G10" s="83" t="s">
        <v>16</v>
      </c>
      <c r="H10" s="84" t="s">
        <v>17</v>
      </c>
      <c r="I10" s="85" t="s">
        <v>82</v>
      </c>
      <c r="J10" s="85" t="s">
        <v>83</v>
      </c>
      <c r="K10" s="86" t="s">
        <v>84</v>
      </c>
      <c r="L10" s="87" t="s">
        <v>85</v>
      </c>
      <c r="M10" s="88" t="s">
        <v>81</v>
      </c>
      <c r="N10" s="89" t="s">
        <v>86</v>
      </c>
      <c r="O10" s="89" t="s">
        <v>87</v>
      </c>
      <c r="P10" s="90" t="s">
        <v>21</v>
      </c>
      <c r="Q10" s="90" t="s">
        <v>22</v>
      </c>
    </row>
    <row r="11" spans="2:17" s="13" customFormat="1" ht="20.25" customHeight="1">
      <c r="B11" s="91">
        <v>1</v>
      </c>
      <c r="C11" s="34" t="s">
        <v>36</v>
      </c>
      <c r="D11" s="34" t="s">
        <v>37</v>
      </c>
      <c r="E11" s="34" t="s">
        <v>49</v>
      </c>
      <c r="F11" s="34" t="s">
        <v>38</v>
      </c>
      <c r="G11" s="35">
        <v>44878</v>
      </c>
      <c r="H11" s="117">
        <v>45292</v>
      </c>
      <c r="I11" s="100">
        <v>0</v>
      </c>
      <c r="J11" s="101">
        <v>368863</v>
      </c>
      <c r="K11" s="101">
        <v>0</v>
      </c>
      <c r="L11" s="100">
        <f>ROUND(K11*10%,2)</f>
        <v>0</v>
      </c>
      <c r="M11" s="102">
        <v>0</v>
      </c>
      <c r="N11" s="103">
        <v>0</v>
      </c>
      <c r="O11" s="101">
        <v>221633</v>
      </c>
      <c r="P11" s="36">
        <v>0.1</v>
      </c>
      <c r="Q11" s="109">
        <f>ROUND(O11*P11,0)</f>
        <v>22163</v>
      </c>
    </row>
    <row r="12" spans="2:17" s="13" customFormat="1" ht="20.25" customHeight="1">
      <c r="B12" s="91">
        <v>2</v>
      </c>
      <c r="C12" s="34" t="s">
        <v>36</v>
      </c>
      <c r="D12" s="34" t="s">
        <v>37</v>
      </c>
      <c r="E12" s="34" t="s">
        <v>49</v>
      </c>
      <c r="F12" s="34" t="s">
        <v>38</v>
      </c>
      <c r="G12" s="35">
        <v>44878</v>
      </c>
      <c r="H12" s="117">
        <v>45323</v>
      </c>
      <c r="I12" s="100">
        <v>0</v>
      </c>
      <c r="J12" s="101">
        <v>498100</v>
      </c>
      <c r="K12" s="101">
        <v>0</v>
      </c>
      <c r="L12" s="100">
        <f>ROUND(K12*10%,2)</f>
        <v>0</v>
      </c>
      <c r="M12" s="104">
        <v>0</v>
      </c>
      <c r="N12" s="103">
        <v>0</v>
      </c>
      <c r="O12" s="101">
        <v>299197</v>
      </c>
      <c r="P12" s="36">
        <v>0.1</v>
      </c>
      <c r="Q12" s="110">
        <f>ROUND(O12*P12,0)</f>
        <v>29920</v>
      </c>
    </row>
    <row r="13" spans="2:17" s="13" customFormat="1" ht="20.25" customHeight="1">
      <c r="B13" s="91">
        <v>3</v>
      </c>
      <c r="C13" s="34" t="s">
        <v>36</v>
      </c>
      <c r="D13" s="34" t="s">
        <v>37</v>
      </c>
      <c r="E13" s="34" t="s">
        <v>49</v>
      </c>
      <c r="F13" s="34" t="s">
        <v>38</v>
      </c>
      <c r="G13" s="35">
        <v>44878</v>
      </c>
      <c r="H13" s="117">
        <v>45352</v>
      </c>
      <c r="I13" s="100">
        <v>0</v>
      </c>
      <c r="J13" s="101">
        <v>224501</v>
      </c>
      <c r="K13" s="101">
        <v>0</v>
      </c>
      <c r="L13" s="100">
        <f t="shared" ref="L13" si="0">ROUND(K13*10%,2)</f>
        <v>0</v>
      </c>
      <c r="M13" s="113">
        <v>0</v>
      </c>
      <c r="N13" s="103">
        <v>0</v>
      </c>
      <c r="O13" s="101">
        <v>135472</v>
      </c>
      <c r="P13" s="36">
        <v>0.1</v>
      </c>
      <c r="Q13" s="110">
        <f>ROUND(O13*P13,0)</f>
        <v>13547</v>
      </c>
    </row>
    <row r="14" spans="2:17" s="13" customFormat="1" ht="20.25" customHeight="1">
      <c r="B14" s="91">
        <v>4</v>
      </c>
      <c r="C14" s="34" t="s">
        <v>72</v>
      </c>
      <c r="D14" s="34" t="s">
        <v>35</v>
      </c>
      <c r="E14" s="34" t="s">
        <v>73</v>
      </c>
      <c r="F14" s="34" t="s">
        <v>38</v>
      </c>
      <c r="G14" s="35">
        <v>45071</v>
      </c>
      <c r="H14" s="117">
        <v>45292</v>
      </c>
      <c r="I14" s="114" t="s">
        <v>95</v>
      </c>
      <c r="J14" s="101">
        <v>1524259</v>
      </c>
      <c r="K14" s="115">
        <v>84054</v>
      </c>
      <c r="L14" s="114">
        <v>8405</v>
      </c>
      <c r="M14" s="112">
        <v>9.0670999999999999</v>
      </c>
      <c r="N14" s="116">
        <v>75648</v>
      </c>
      <c r="O14" s="101">
        <f t="shared" ref="O14" si="1">N14*M14</f>
        <v>685907.98080000002</v>
      </c>
      <c r="P14" s="36">
        <v>0.1</v>
      </c>
      <c r="Q14" s="110">
        <f t="shared" ref="Q14:Q19" si="2">ROUND(O14*P14,0)</f>
        <v>68591</v>
      </c>
    </row>
    <row r="15" spans="2:17" s="13" customFormat="1" ht="20.25" customHeight="1">
      <c r="B15" s="91">
        <v>5</v>
      </c>
      <c r="C15" s="34" t="s">
        <v>72</v>
      </c>
      <c r="D15" s="34" t="s">
        <v>35</v>
      </c>
      <c r="E15" s="34" t="s">
        <v>73</v>
      </c>
      <c r="F15" s="34" t="s">
        <v>38</v>
      </c>
      <c r="G15" s="35">
        <v>45071</v>
      </c>
      <c r="H15" s="117">
        <v>45323</v>
      </c>
      <c r="I15" s="114">
        <v>92404.77</v>
      </c>
      <c r="J15" s="101">
        <v>823400</v>
      </c>
      <c r="K15" s="115">
        <v>46202</v>
      </c>
      <c r="L15" s="114">
        <v>4620</v>
      </c>
      <c r="M15" s="112">
        <v>8.9108000000000001</v>
      </c>
      <c r="N15" s="116">
        <v>41583</v>
      </c>
      <c r="O15" s="101">
        <f t="shared" ref="O15:O16" si="3">N15*M15</f>
        <v>370537.79639999999</v>
      </c>
      <c r="P15" s="36">
        <v>0.1</v>
      </c>
      <c r="Q15" s="110">
        <f>ROUND(O15*P15,0)</f>
        <v>37054</v>
      </c>
    </row>
    <row r="16" spans="2:17" s="13" customFormat="1" ht="20.25" customHeight="1">
      <c r="B16" s="91">
        <v>6</v>
      </c>
      <c r="C16" s="34" t="s">
        <v>72</v>
      </c>
      <c r="D16" s="34" t="s">
        <v>35</v>
      </c>
      <c r="E16" s="34" t="s">
        <v>73</v>
      </c>
      <c r="F16" s="34" t="s">
        <v>38</v>
      </c>
      <c r="G16" s="35">
        <v>45071</v>
      </c>
      <c r="H16" s="117">
        <v>45352</v>
      </c>
      <c r="I16" s="114">
        <v>78903.539999999994</v>
      </c>
      <c r="J16" s="101">
        <v>701547</v>
      </c>
      <c r="K16" s="115">
        <v>39451</v>
      </c>
      <c r="L16" s="114">
        <v>3945</v>
      </c>
      <c r="M16" s="112">
        <v>8.8911999999999995</v>
      </c>
      <c r="N16" s="116">
        <v>35505</v>
      </c>
      <c r="O16" s="101">
        <f t="shared" si="3"/>
        <v>315682.05599999998</v>
      </c>
      <c r="P16" s="36">
        <v>0.1</v>
      </c>
      <c r="Q16" s="110">
        <f>ROUND(O16*P16,0)</f>
        <v>31568</v>
      </c>
    </row>
    <row r="17" spans="2:17" s="13" customFormat="1" ht="20.25" customHeight="1">
      <c r="B17" s="91">
        <v>7</v>
      </c>
      <c r="C17" s="34" t="s">
        <v>72</v>
      </c>
      <c r="D17" s="34" t="s">
        <v>74</v>
      </c>
      <c r="E17" s="34" t="s">
        <v>73</v>
      </c>
      <c r="F17" s="34" t="s">
        <v>38</v>
      </c>
      <c r="G17" s="35">
        <v>45071</v>
      </c>
      <c r="H17" s="34" t="s">
        <v>92</v>
      </c>
      <c r="I17" s="114">
        <v>18213.650000000001</v>
      </c>
      <c r="J17" s="101">
        <v>164803</v>
      </c>
      <c r="K17" s="115">
        <v>3643</v>
      </c>
      <c r="L17" s="114">
        <v>364</v>
      </c>
      <c r="M17" s="112">
        <v>9.0482999999999993</v>
      </c>
      <c r="N17" s="116">
        <v>3279</v>
      </c>
      <c r="O17" s="101">
        <v>29669</v>
      </c>
      <c r="P17" s="36">
        <v>0.1</v>
      </c>
      <c r="Q17" s="110">
        <f t="shared" si="2"/>
        <v>2967</v>
      </c>
    </row>
    <row r="18" spans="2:17" s="13" customFormat="1" ht="20.25" customHeight="1">
      <c r="B18" s="91">
        <v>8</v>
      </c>
      <c r="C18" s="34" t="s">
        <v>72</v>
      </c>
      <c r="D18" s="34" t="s">
        <v>74</v>
      </c>
      <c r="E18" s="34" t="s">
        <v>73</v>
      </c>
      <c r="F18" s="34" t="s">
        <v>38</v>
      </c>
      <c r="G18" s="35">
        <v>45071</v>
      </c>
      <c r="H18" s="34" t="s">
        <v>96</v>
      </c>
      <c r="I18" s="114">
        <v>10515.37</v>
      </c>
      <c r="J18" s="101">
        <v>95344</v>
      </c>
      <c r="K18" s="115">
        <v>2103</v>
      </c>
      <c r="L18" s="114">
        <v>210</v>
      </c>
      <c r="M18" s="112">
        <v>9.0670999999999999</v>
      </c>
      <c r="N18" s="116">
        <v>1892</v>
      </c>
      <c r="O18" s="101">
        <v>17155</v>
      </c>
      <c r="P18" s="36">
        <v>0.1</v>
      </c>
      <c r="Q18" s="110">
        <f t="shared" si="2"/>
        <v>1716</v>
      </c>
    </row>
    <row r="19" spans="2:17" s="13" customFormat="1" ht="20.25" customHeight="1">
      <c r="B19" s="91">
        <v>9</v>
      </c>
      <c r="C19" s="34" t="s">
        <v>72</v>
      </c>
      <c r="D19" s="34" t="s">
        <v>74</v>
      </c>
      <c r="E19" s="34" t="s">
        <v>73</v>
      </c>
      <c r="F19" s="34" t="s">
        <v>38</v>
      </c>
      <c r="G19" s="35">
        <v>45071</v>
      </c>
      <c r="H19" s="34" t="s">
        <v>97</v>
      </c>
      <c r="I19" s="114">
        <v>5317.05</v>
      </c>
      <c r="J19" s="101">
        <v>47379</v>
      </c>
      <c r="K19" s="115">
        <v>1064</v>
      </c>
      <c r="L19" s="114">
        <v>106</v>
      </c>
      <c r="M19" s="112">
        <v>8.9108000000000001</v>
      </c>
      <c r="N19" s="116">
        <v>958</v>
      </c>
      <c r="O19" s="101">
        <v>8537</v>
      </c>
      <c r="P19" s="36">
        <v>0.1</v>
      </c>
      <c r="Q19" s="110">
        <f t="shared" si="2"/>
        <v>854</v>
      </c>
    </row>
    <row r="20" spans="2:17" s="13" customFormat="1" ht="20.25" customHeight="1">
      <c r="B20" s="92"/>
      <c r="C20" s="39"/>
      <c r="D20" s="39"/>
      <c r="E20" s="39"/>
      <c r="F20" s="39"/>
      <c r="G20" s="40"/>
      <c r="H20" s="39"/>
      <c r="I20" s="105"/>
      <c r="J20" s="106"/>
      <c r="K20" s="106"/>
      <c r="L20" s="100"/>
      <c r="M20" s="99"/>
      <c r="N20" s="107"/>
      <c r="O20" s="106"/>
      <c r="P20" s="42"/>
      <c r="Q20" s="111"/>
    </row>
    <row r="21" spans="2:17" ht="20.25" customHeight="1">
      <c r="B21" s="369" t="s">
        <v>9</v>
      </c>
      <c r="C21" s="370"/>
      <c r="D21" s="370"/>
      <c r="E21" s="370"/>
      <c r="F21" s="370"/>
      <c r="G21" s="370"/>
      <c r="H21" s="370"/>
      <c r="I21" s="370"/>
      <c r="J21" s="370"/>
      <c r="K21" s="370"/>
      <c r="L21" s="370"/>
      <c r="M21" s="370"/>
      <c r="N21" s="370"/>
      <c r="O21" s="370"/>
      <c r="P21" s="371"/>
      <c r="Q21" s="108">
        <f>SUM(Q11:Q20)</f>
        <v>208380</v>
      </c>
    </row>
    <row r="22" spans="2:17" ht="11.25" customHeight="1"/>
    <row r="23" spans="2:17">
      <c r="B23" s="17" t="s">
        <v>33</v>
      </c>
      <c r="C23" s="17"/>
    </row>
    <row r="24" spans="2:17" ht="20.100000000000001" customHeight="1">
      <c r="B24" s="74" t="s">
        <v>44</v>
      </c>
      <c r="C24" s="75"/>
      <c r="D24" s="76"/>
      <c r="E24" s="76"/>
      <c r="F24" s="76"/>
      <c r="G24" s="76"/>
      <c r="H24" s="76"/>
      <c r="I24" s="76"/>
      <c r="J24" s="76"/>
      <c r="K24" s="76"/>
      <c r="L24" s="76"/>
      <c r="M24" s="77"/>
    </row>
    <row r="25" spans="2:17" ht="20.25" customHeight="1">
      <c r="B25" s="350" t="s">
        <v>46</v>
      </c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2"/>
    </row>
    <row r="26" spans="2:17" ht="20.25" customHeight="1">
      <c r="B26" s="353" t="s">
        <v>50</v>
      </c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5"/>
    </row>
    <row r="27" spans="2:17" ht="20.100000000000001" customHeight="1">
      <c r="B27" s="74" t="s">
        <v>75</v>
      </c>
      <c r="C27" s="75"/>
      <c r="D27" s="76"/>
      <c r="E27" s="76"/>
      <c r="F27" s="76"/>
      <c r="G27" s="76"/>
      <c r="H27" s="76"/>
      <c r="I27" s="76"/>
      <c r="J27" s="76"/>
      <c r="K27" s="76"/>
      <c r="L27" s="76"/>
      <c r="M27" s="77"/>
    </row>
    <row r="28" spans="2:17" ht="20.25" customHeight="1">
      <c r="B28" s="78" t="s">
        <v>76</v>
      </c>
      <c r="C28" s="79"/>
      <c r="D28" s="79"/>
      <c r="E28" s="81" t="s">
        <v>77</v>
      </c>
      <c r="F28" s="79"/>
      <c r="G28" s="79"/>
      <c r="H28" s="79"/>
      <c r="I28" s="79"/>
      <c r="J28" s="79"/>
      <c r="K28" s="79"/>
      <c r="L28" s="79"/>
      <c r="M28" s="80"/>
    </row>
    <row r="29" spans="2:17" ht="20.25" customHeight="1">
      <c r="B29" s="78"/>
      <c r="C29" s="79"/>
      <c r="D29" s="79"/>
      <c r="E29" s="81"/>
      <c r="F29" s="79"/>
      <c r="G29" s="79"/>
      <c r="H29" s="79"/>
      <c r="I29" s="79"/>
      <c r="J29" s="79"/>
      <c r="K29" s="79"/>
      <c r="L29" s="79"/>
      <c r="M29" s="80"/>
    </row>
    <row r="30" spans="2:17" ht="20.25" customHeight="1">
      <c r="B30" s="78"/>
      <c r="C30" s="79"/>
      <c r="D30" s="79"/>
      <c r="E30" s="81"/>
      <c r="F30" s="79"/>
      <c r="G30" s="79"/>
      <c r="H30" s="79"/>
      <c r="I30" s="79"/>
      <c r="J30" s="79"/>
      <c r="K30" s="79"/>
      <c r="L30" s="79"/>
      <c r="M30" s="80"/>
    </row>
    <row r="31" spans="2:17" ht="20.25" customHeight="1">
      <c r="B31" s="78"/>
      <c r="C31" s="79"/>
      <c r="D31" s="79"/>
      <c r="E31" s="81"/>
      <c r="F31" s="79"/>
      <c r="G31" s="79"/>
      <c r="H31" s="79"/>
      <c r="I31" s="79"/>
      <c r="J31" s="79"/>
      <c r="K31" s="79"/>
      <c r="L31" s="79"/>
      <c r="M31" s="80"/>
    </row>
    <row r="32" spans="2:17" ht="20.25" customHeight="1">
      <c r="B32" s="78"/>
      <c r="C32" s="79"/>
      <c r="D32" s="79"/>
      <c r="E32" s="81"/>
      <c r="F32" s="79"/>
      <c r="G32" s="79"/>
      <c r="H32" s="79"/>
      <c r="I32" s="79"/>
      <c r="J32" s="79"/>
      <c r="K32" s="79"/>
      <c r="L32" s="79"/>
      <c r="M32" s="80"/>
    </row>
    <row r="33" spans="2:13" ht="20.25" customHeight="1">
      <c r="B33" s="78"/>
      <c r="C33" s="79"/>
      <c r="D33" s="79"/>
      <c r="E33" s="81"/>
      <c r="F33" s="79"/>
      <c r="G33" s="79"/>
      <c r="H33" s="79"/>
      <c r="I33" s="79"/>
      <c r="J33" s="79"/>
      <c r="K33" s="79"/>
      <c r="L33" s="79"/>
      <c r="M33" s="80"/>
    </row>
    <row r="34" spans="2:13" ht="20.25" customHeight="1">
      <c r="B34" s="78"/>
      <c r="C34" s="79"/>
      <c r="D34" s="79"/>
      <c r="E34" s="81"/>
      <c r="F34" s="79"/>
      <c r="G34" s="79"/>
      <c r="H34" s="79"/>
      <c r="I34" s="79"/>
      <c r="J34" s="79"/>
      <c r="K34" s="79"/>
      <c r="L34" s="79"/>
      <c r="M34" s="80"/>
    </row>
    <row r="35" spans="2:13" ht="20.25" customHeight="1">
      <c r="B35" s="78"/>
      <c r="C35" s="79"/>
      <c r="D35" s="79"/>
      <c r="E35" s="81"/>
      <c r="F35" s="79"/>
      <c r="G35" s="79"/>
      <c r="H35" s="79"/>
      <c r="I35" s="79"/>
      <c r="J35" s="79"/>
      <c r="K35" s="79"/>
      <c r="L35" s="79"/>
      <c r="M35" s="80"/>
    </row>
    <row r="36" spans="2:13" ht="20.25" customHeight="1">
      <c r="B36" s="78"/>
      <c r="C36" s="79"/>
      <c r="D36" s="79"/>
      <c r="E36" s="81"/>
      <c r="F36" s="79"/>
      <c r="G36" s="79"/>
      <c r="H36" s="79"/>
      <c r="I36" s="79"/>
      <c r="J36" s="79"/>
      <c r="K36" s="79"/>
      <c r="L36" s="79"/>
      <c r="M36" s="80"/>
    </row>
    <row r="37" spans="2:13" ht="20.25" customHeight="1">
      <c r="B37" s="78"/>
      <c r="C37" s="79"/>
      <c r="D37" s="79"/>
      <c r="E37" s="81"/>
      <c r="F37" s="79"/>
      <c r="G37" s="79"/>
      <c r="H37" s="79"/>
      <c r="I37" s="79"/>
      <c r="J37" s="79"/>
      <c r="K37" s="79"/>
      <c r="L37" s="79"/>
      <c r="M37" s="80"/>
    </row>
    <row r="38" spans="2:13" ht="20.100000000000001" customHeight="1">
      <c r="B38" s="74" t="s">
        <v>78</v>
      </c>
      <c r="C38" s="75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2:13" ht="20.25" customHeight="1">
      <c r="B39" s="356" t="s">
        <v>79</v>
      </c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8"/>
    </row>
    <row r="40" spans="2:13" ht="20.25" customHeight="1">
      <c r="B40" s="359" t="s">
        <v>80</v>
      </c>
      <c r="C40" s="360"/>
      <c r="D40" s="360"/>
      <c r="E40" s="360"/>
      <c r="F40" s="360"/>
      <c r="G40" s="360"/>
      <c r="H40" s="360"/>
      <c r="I40" s="360"/>
      <c r="J40" s="360"/>
      <c r="K40" s="360"/>
      <c r="L40" s="360"/>
      <c r="M40" s="361"/>
    </row>
    <row r="41" spans="2:13" s="73" customFormat="1" ht="24">
      <c r="B41" s="70"/>
      <c r="C41" s="71"/>
      <c r="D41" s="72"/>
      <c r="E41" s="72"/>
      <c r="F41" s="72"/>
      <c r="G41" s="72"/>
    </row>
    <row r="42" spans="2:13">
      <c r="C42" s="54"/>
      <c r="D42" s="55"/>
      <c r="E42" s="55"/>
      <c r="F42" s="61"/>
      <c r="G42" s="55"/>
    </row>
  </sheetData>
  <mergeCells count="22">
    <mergeCell ref="B25:M25"/>
    <mergeCell ref="B26:M26"/>
    <mergeCell ref="B39:M39"/>
    <mergeCell ref="B40:M40"/>
    <mergeCell ref="B7:F7"/>
    <mergeCell ref="G7:H7"/>
    <mergeCell ref="I7:J7"/>
    <mergeCell ref="K7:L7"/>
    <mergeCell ref="M7:Q7"/>
    <mergeCell ref="B21:P21"/>
    <mergeCell ref="M6:O6"/>
    <mergeCell ref="B5:C5"/>
    <mergeCell ref="E5:F5"/>
    <mergeCell ref="G5:H5"/>
    <mergeCell ref="I5:J5"/>
    <mergeCell ref="K5:L5"/>
    <mergeCell ref="M5:O5"/>
    <mergeCell ref="B6:C6"/>
    <mergeCell ref="E6:F6"/>
    <mergeCell ref="G6:H6"/>
    <mergeCell ref="I6:J6"/>
    <mergeCell ref="K6:L6"/>
  </mergeCells>
  <phoneticPr fontId="3" type="noConversion"/>
  <conditionalFormatting sqref="G6">
    <cfRule type="expression" dxfId="8" priority="2">
      <formula>#REF!&lt;0</formula>
    </cfRule>
  </conditionalFormatting>
  <conditionalFormatting sqref="K5">
    <cfRule type="expression" dxfId="7" priority="1">
      <formula>#REF!&lt;0</formula>
    </cfRule>
  </conditionalFormatting>
  <pageMargins left="0.7" right="0.7" top="0.75" bottom="0.75" header="0.3" footer="0.3"/>
  <pageSetup paperSize="9" scale="74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E6FD-9C30-4648-9582-DC2A1F225D74}">
  <sheetPr>
    <tabColor theme="1"/>
    <pageSetUpPr fitToPage="1"/>
  </sheetPr>
  <dimension ref="B1:Q42"/>
  <sheetViews>
    <sheetView showGridLines="0" zoomScaleNormal="100" workbookViewId="0">
      <selection activeCell="C17" sqref="C17:I17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13.19921875" style="1" customWidth="1"/>
    <col min="6" max="6" width="18.5" style="1" customWidth="1"/>
    <col min="7" max="8" width="15.3984375" style="1" customWidth="1"/>
    <col min="9" max="9" width="14.69921875" style="1" customWidth="1"/>
    <col min="10" max="10" width="16.59765625" style="1" customWidth="1"/>
    <col min="11" max="11" width="13.09765625" style="1" bestFit="1" customWidth="1"/>
    <col min="12" max="12" width="16.09765625" style="1" bestFit="1" customWidth="1"/>
    <col min="13" max="13" width="9.69921875" style="1" bestFit="1" customWidth="1"/>
    <col min="14" max="14" width="17.59765625" style="1" bestFit="1" customWidth="1"/>
    <col min="15" max="15" width="18.09765625" style="1" bestFit="1" customWidth="1"/>
    <col min="16" max="16" width="12.59765625" style="1" customWidth="1"/>
    <col min="17" max="17" width="15.59765625" style="1" customWidth="1"/>
    <col min="18" max="18" width="2.69921875" style="1" customWidth="1"/>
    <col min="19" max="16384" width="9" style="1"/>
  </cols>
  <sheetData>
    <row r="1" spans="2:17" ht="9.9" customHeight="1"/>
    <row r="2" spans="2:17" s="5" customFormat="1" ht="30" customHeight="1">
      <c r="B2" s="2" t="s">
        <v>88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17" ht="9.9" customHeight="1" thickBot="1"/>
    <row r="5" spans="2:17" ht="18.75" customHeight="1">
      <c r="B5" s="333" t="s">
        <v>0</v>
      </c>
      <c r="C5" s="334"/>
      <c r="D5" s="95" t="s">
        <v>1</v>
      </c>
      <c r="E5" s="335" t="s">
        <v>2</v>
      </c>
      <c r="F5" s="335"/>
      <c r="G5" s="336" t="s">
        <v>3</v>
      </c>
      <c r="H5" s="337"/>
      <c r="I5" s="336" t="s">
        <v>4</v>
      </c>
      <c r="J5" s="337"/>
      <c r="K5" s="338" t="s">
        <v>5</v>
      </c>
      <c r="L5" s="339"/>
      <c r="M5" s="340" t="s">
        <v>6</v>
      </c>
      <c r="N5" s="341"/>
      <c r="O5" s="342"/>
      <c r="P5" s="96" t="s">
        <v>7</v>
      </c>
      <c r="Q5" s="97" t="s">
        <v>8</v>
      </c>
    </row>
    <row r="6" spans="2:17" ht="18.75" customHeight="1">
      <c r="B6" s="343" t="s">
        <v>24</v>
      </c>
      <c r="C6" s="344"/>
      <c r="D6" s="93">
        <v>45316</v>
      </c>
      <c r="E6" s="345" t="s">
        <v>89</v>
      </c>
      <c r="F6" s="345"/>
      <c r="G6" s="346">
        <f>Q21</f>
        <v>507201</v>
      </c>
      <c r="H6" s="347"/>
      <c r="I6" s="348">
        <f>ROUND(G6*10%,0)</f>
        <v>50720</v>
      </c>
      <c r="J6" s="349"/>
      <c r="K6" s="348">
        <f>G6+I6</f>
        <v>557921</v>
      </c>
      <c r="L6" s="349"/>
      <c r="M6" s="331" t="s">
        <v>26</v>
      </c>
      <c r="N6" s="323"/>
      <c r="O6" s="332"/>
      <c r="P6" s="94">
        <v>45322</v>
      </c>
      <c r="Q6" s="98">
        <v>45331</v>
      </c>
    </row>
    <row r="7" spans="2:17" ht="18.75" customHeight="1" thickBot="1">
      <c r="B7" s="362" t="s">
        <v>9</v>
      </c>
      <c r="C7" s="363"/>
      <c r="D7" s="363"/>
      <c r="E7" s="363"/>
      <c r="F7" s="363"/>
      <c r="G7" s="364">
        <f>SUM(G6)</f>
        <v>507201</v>
      </c>
      <c r="H7" s="365"/>
      <c r="I7" s="364">
        <f>SUM(I6)</f>
        <v>50720</v>
      </c>
      <c r="J7" s="365"/>
      <c r="K7" s="364">
        <f>SUM(K6)</f>
        <v>557921</v>
      </c>
      <c r="L7" s="365"/>
      <c r="M7" s="366" t="s">
        <v>10</v>
      </c>
      <c r="N7" s="367"/>
      <c r="O7" s="367"/>
      <c r="P7" s="367"/>
      <c r="Q7" s="368"/>
    </row>
    <row r="8" spans="2:17" ht="12.9" customHeight="1"/>
    <row r="9" spans="2:17">
      <c r="B9" s="17" t="s">
        <v>25</v>
      </c>
      <c r="C9" s="17"/>
    </row>
    <row r="10" spans="2:17" s="13" customFormat="1" ht="20.25" customHeight="1">
      <c r="B10" s="82" t="s">
        <v>11</v>
      </c>
      <c r="C10" s="83" t="s">
        <v>12</v>
      </c>
      <c r="D10" s="83" t="s">
        <v>13</v>
      </c>
      <c r="E10" s="83" t="s">
        <v>14</v>
      </c>
      <c r="F10" s="83" t="s">
        <v>15</v>
      </c>
      <c r="G10" s="83" t="s">
        <v>16</v>
      </c>
      <c r="H10" s="84" t="s">
        <v>17</v>
      </c>
      <c r="I10" s="85" t="s">
        <v>82</v>
      </c>
      <c r="J10" s="85" t="s">
        <v>83</v>
      </c>
      <c r="K10" s="86" t="s">
        <v>84</v>
      </c>
      <c r="L10" s="87" t="s">
        <v>85</v>
      </c>
      <c r="M10" s="88" t="s">
        <v>81</v>
      </c>
      <c r="N10" s="89" t="s">
        <v>86</v>
      </c>
      <c r="O10" s="89" t="s">
        <v>87</v>
      </c>
      <c r="P10" s="90" t="s">
        <v>21</v>
      </c>
      <c r="Q10" s="90" t="s">
        <v>22</v>
      </c>
    </row>
    <row r="11" spans="2:17" s="13" customFormat="1" ht="20.25" customHeight="1">
      <c r="B11" s="91">
        <v>1</v>
      </c>
      <c r="C11" s="34" t="s">
        <v>36</v>
      </c>
      <c r="D11" s="34" t="s">
        <v>37</v>
      </c>
      <c r="E11" s="34" t="s">
        <v>49</v>
      </c>
      <c r="F11" s="34" t="s">
        <v>38</v>
      </c>
      <c r="G11" s="35">
        <v>44878</v>
      </c>
      <c r="H11" s="34" t="s">
        <v>90</v>
      </c>
      <c r="I11" s="100">
        <v>0</v>
      </c>
      <c r="J11" s="101">
        <v>579544</v>
      </c>
      <c r="K11" s="101">
        <v>0</v>
      </c>
      <c r="L11" s="100">
        <f>ROUND(K11*10%,2)</f>
        <v>0</v>
      </c>
      <c r="M11" s="102">
        <v>0</v>
      </c>
      <c r="N11" s="103">
        <v>0</v>
      </c>
      <c r="O11" s="101">
        <v>348507</v>
      </c>
      <c r="P11" s="36">
        <v>0.1</v>
      </c>
      <c r="Q11" s="109">
        <f>ROUND(O11*P11,0)</f>
        <v>34851</v>
      </c>
    </row>
    <row r="12" spans="2:17" s="13" customFormat="1" ht="20.25" customHeight="1">
      <c r="B12" s="91">
        <v>2</v>
      </c>
      <c r="C12" s="34" t="s">
        <v>36</v>
      </c>
      <c r="D12" s="34" t="s">
        <v>37</v>
      </c>
      <c r="E12" s="34" t="s">
        <v>49</v>
      </c>
      <c r="F12" s="34" t="s">
        <v>38</v>
      </c>
      <c r="G12" s="35">
        <v>44878</v>
      </c>
      <c r="H12" s="34" t="s">
        <v>91</v>
      </c>
      <c r="I12" s="100">
        <v>0</v>
      </c>
      <c r="J12" s="101">
        <v>234385</v>
      </c>
      <c r="K12" s="101">
        <v>0</v>
      </c>
      <c r="L12" s="100">
        <f>ROUND(K12*10%,2)</f>
        <v>0</v>
      </c>
      <c r="M12" s="104">
        <v>0</v>
      </c>
      <c r="N12" s="103">
        <v>0</v>
      </c>
      <c r="O12" s="101">
        <v>141556</v>
      </c>
      <c r="P12" s="36">
        <v>0.1</v>
      </c>
      <c r="Q12" s="110">
        <f>ROUND(O12*P12,0)</f>
        <v>14156</v>
      </c>
    </row>
    <row r="13" spans="2:17" s="13" customFormat="1" ht="20.25" customHeight="1">
      <c r="B13" s="91">
        <v>3</v>
      </c>
      <c r="C13" s="34" t="s">
        <v>36</v>
      </c>
      <c r="D13" s="34" t="s">
        <v>37</v>
      </c>
      <c r="E13" s="34" t="s">
        <v>49</v>
      </c>
      <c r="F13" s="34" t="s">
        <v>38</v>
      </c>
      <c r="G13" s="35">
        <v>44878</v>
      </c>
      <c r="H13" s="34" t="s">
        <v>92</v>
      </c>
      <c r="I13" s="100">
        <v>0</v>
      </c>
      <c r="J13" s="101">
        <v>606286</v>
      </c>
      <c r="K13" s="101">
        <v>0</v>
      </c>
      <c r="L13" s="100">
        <f t="shared" ref="L13" si="0">ROUND(K13*10%,2)</f>
        <v>0</v>
      </c>
      <c r="M13" s="113">
        <v>0</v>
      </c>
      <c r="N13" s="103">
        <v>0</v>
      </c>
      <c r="O13" s="101">
        <v>363933</v>
      </c>
      <c r="P13" s="36">
        <v>0.1</v>
      </c>
      <c r="Q13" s="110">
        <f>ROUND(O13*P13,0)</f>
        <v>36393</v>
      </c>
    </row>
    <row r="14" spans="2:17" s="13" customFormat="1" ht="20.25" customHeight="1">
      <c r="B14" s="91">
        <v>4</v>
      </c>
      <c r="C14" s="34" t="s">
        <v>72</v>
      </c>
      <c r="D14" s="34" t="s">
        <v>35</v>
      </c>
      <c r="E14" s="34" t="s">
        <v>73</v>
      </c>
      <c r="F14" s="34" t="s">
        <v>38</v>
      </c>
      <c r="G14" s="35">
        <v>45071</v>
      </c>
      <c r="H14" s="34" t="s">
        <v>90</v>
      </c>
      <c r="I14" s="114">
        <v>289133.95649999997</v>
      </c>
      <c r="J14" s="101">
        <v>2612961</v>
      </c>
      <c r="K14" s="115">
        <v>144567</v>
      </c>
      <c r="L14" s="114">
        <f>ROUND(K14*10%,2)</f>
        <v>14456.7</v>
      </c>
      <c r="M14" s="112">
        <v>9.0372000000000003</v>
      </c>
      <c r="N14" s="116">
        <f t="shared" ref="N14:N18" si="1">K14-L14</f>
        <v>130110.3</v>
      </c>
      <c r="O14" s="101">
        <f t="shared" ref="O14:O19" si="2">N14*M14</f>
        <v>1175832.8031600001</v>
      </c>
      <c r="P14" s="36">
        <v>0.1</v>
      </c>
      <c r="Q14" s="110">
        <f t="shared" ref="Q14:Q19" si="3">ROUND(O14*P14,0)</f>
        <v>117583</v>
      </c>
    </row>
    <row r="15" spans="2:17" s="13" customFormat="1" ht="20.25" customHeight="1">
      <c r="B15" s="91">
        <v>5</v>
      </c>
      <c r="C15" s="34" t="s">
        <v>72</v>
      </c>
      <c r="D15" s="34" t="s">
        <v>35</v>
      </c>
      <c r="E15" s="34" t="s">
        <v>73</v>
      </c>
      <c r="F15" s="34" t="s">
        <v>38</v>
      </c>
      <c r="G15" s="35">
        <v>45071</v>
      </c>
      <c r="H15" s="34" t="s">
        <v>91</v>
      </c>
      <c r="I15" s="114">
        <v>487815.68550000002</v>
      </c>
      <c r="J15" s="101">
        <v>4264875</v>
      </c>
      <c r="K15" s="115">
        <v>243909</v>
      </c>
      <c r="L15" s="114">
        <f t="shared" ref="L15:L19" si="4">ROUND(K15*10%,2)</f>
        <v>24390.9</v>
      </c>
      <c r="M15" s="112">
        <v>8.7428000000000008</v>
      </c>
      <c r="N15" s="116">
        <v>219519</v>
      </c>
      <c r="O15" s="101">
        <f t="shared" si="2"/>
        <v>1919210.7132000001</v>
      </c>
      <c r="P15" s="36">
        <v>0.1</v>
      </c>
      <c r="Q15" s="110">
        <f>ROUND(O15*P15,0)</f>
        <v>191921</v>
      </c>
    </row>
    <row r="16" spans="2:17" s="13" customFormat="1" ht="20.25" customHeight="1">
      <c r="B16" s="91">
        <v>6</v>
      </c>
      <c r="C16" s="34" t="s">
        <v>72</v>
      </c>
      <c r="D16" s="34" t="s">
        <v>35</v>
      </c>
      <c r="E16" s="34" t="s">
        <v>73</v>
      </c>
      <c r="F16" s="34" t="s">
        <v>38</v>
      </c>
      <c r="G16" s="35">
        <v>45071</v>
      </c>
      <c r="H16" s="34" t="s">
        <v>92</v>
      </c>
      <c r="I16" s="114">
        <v>249559</v>
      </c>
      <c r="J16" s="101">
        <v>2258085</v>
      </c>
      <c r="K16" s="115">
        <v>124779</v>
      </c>
      <c r="L16" s="114">
        <f t="shared" si="4"/>
        <v>12477.9</v>
      </c>
      <c r="M16" s="112">
        <v>9.0482999999999993</v>
      </c>
      <c r="N16" s="116">
        <v>112302</v>
      </c>
      <c r="O16" s="101">
        <f t="shared" si="2"/>
        <v>1016142.1865999999</v>
      </c>
      <c r="P16" s="36">
        <v>0.1</v>
      </c>
      <c r="Q16" s="110">
        <f>ROUND(O16*P16,0)</f>
        <v>101614</v>
      </c>
    </row>
    <row r="17" spans="2:17" s="13" customFormat="1" ht="20.25" customHeight="1">
      <c r="B17" s="91">
        <v>7</v>
      </c>
      <c r="C17" s="34" t="s">
        <v>72</v>
      </c>
      <c r="D17" s="34" t="s">
        <v>74</v>
      </c>
      <c r="E17" s="34" t="s">
        <v>73</v>
      </c>
      <c r="F17" s="34" t="s">
        <v>38</v>
      </c>
      <c r="G17" s="35">
        <v>45071</v>
      </c>
      <c r="H17" s="34" t="s">
        <v>70</v>
      </c>
      <c r="I17" s="114">
        <v>28566.21</v>
      </c>
      <c r="J17" s="101">
        <v>257567</v>
      </c>
      <c r="K17" s="115">
        <v>5714</v>
      </c>
      <c r="L17" s="114">
        <v>571</v>
      </c>
      <c r="M17" s="112">
        <v>9.0165000000000006</v>
      </c>
      <c r="N17" s="116">
        <f t="shared" si="1"/>
        <v>5143</v>
      </c>
      <c r="O17" s="101">
        <f t="shared" si="2"/>
        <v>46371.859500000006</v>
      </c>
      <c r="P17" s="36">
        <v>0.1</v>
      </c>
      <c r="Q17" s="110">
        <f t="shared" si="3"/>
        <v>4637</v>
      </c>
    </row>
    <row r="18" spans="2:17" s="13" customFormat="1" ht="20.25" customHeight="1">
      <c r="B18" s="91">
        <v>8</v>
      </c>
      <c r="C18" s="34" t="s">
        <v>72</v>
      </c>
      <c r="D18" s="34" t="s">
        <v>74</v>
      </c>
      <c r="E18" s="34" t="s">
        <v>73</v>
      </c>
      <c r="F18" s="34" t="s">
        <v>38</v>
      </c>
      <c r="G18" s="35">
        <v>45071</v>
      </c>
      <c r="H18" s="34" t="s">
        <v>90</v>
      </c>
      <c r="I18" s="114">
        <v>13766.27</v>
      </c>
      <c r="J18" s="101">
        <v>124409</v>
      </c>
      <c r="K18" s="115">
        <v>2753</v>
      </c>
      <c r="L18" s="114">
        <v>275</v>
      </c>
      <c r="M18" s="112">
        <v>9.0372000000000003</v>
      </c>
      <c r="N18" s="116">
        <f t="shared" si="1"/>
        <v>2478</v>
      </c>
      <c r="O18" s="101">
        <f t="shared" si="2"/>
        <v>22394.1816</v>
      </c>
      <c r="P18" s="36">
        <v>0.1</v>
      </c>
      <c r="Q18" s="110">
        <f t="shared" si="3"/>
        <v>2239</v>
      </c>
    </row>
    <row r="19" spans="2:17" s="13" customFormat="1" ht="20.25" customHeight="1">
      <c r="B19" s="91">
        <v>9</v>
      </c>
      <c r="C19" s="34" t="s">
        <v>72</v>
      </c>
      <c r="D19" s="34" t="s">
        <v>74</v>
      </c>
      <c r="E19" s="34" t="s">
        <v>73</v>
      </c>
      <c r="F19" s="34" t="s">
        <v>38</v>
      </c>
      <c r="G19" s="35">
        <v>45071</v>
      </c>
      <c r="H19" s="34" t="s">
        <v>91</v>
      </c>
      <c r="I19" s="114">
        <v>24187.379999999997</v>
      </c>
      <c r="J19" s="101">
        <v>211465</v>
      </c>
      <c r="K19" s="115">
        <v>4837</v>
      </c>
      <c r="L19" s="114">
        <f t="shared" si="4"/>
        <v>483.7</v>
      </c>
      <c r="M19" s="112">
        <v>8.7428000000000008</v>
      </c>
      <c r="N19" s="116">
        <v>4354</v>
      </c>
      <c r="O19" s="101">
        <f t="shared" si="2"/>
        <v>38066.1512</v>
      </c>
      <c r="P19" s="36">
        <v>0.1</v>
      </c>
      <c r="Q19" s="110">
        <f t="shared" si="3"/>
        <v>3807</v>
      </c>
    </row>
    <row r="20" spans="2:17" s="13" customFormat="1" ht="20.25" customHeight="1">
      <c r="B20" s="92"/>
      <c r="C20" s="39"/>
      <c r="D20" s="39"/>
      <c r="E20" s="39"/>
      <c r="F20" s="39"/>
      <c r="G20" s="40"/>
      <c r="H20" s="39"/>
      <c r="I20" s="105"/>
      <c r="J20" s="106"/>
      <c r="K20" s="106"/>
      <c r="L20" s="100"/>
      <c r="M20" s="99"/>
      <c r="N20" s="107"/>
      <c r="O20" s="106"/>
      <c r="P20" s="42"/>
      <c r="Q20" s="111"/>
    </row>
    <row r="21" spans="2:17" ht="20.25" customHeight="1">
      <c r="B21" s="369" t="s">
        <v>9</v>
      </c>
      <c r="C21" s="370"/>
      <c r="D21" s="370"/>
      <c r="E21" s="370"/>
      <c r="F21" s="370"/>
      <c r="G21" s="370"/>
      <c r="H21" s="370"/>
      <c r="I21" s="370"/>
      <c r="J21" s="370"/>
      <c r="K21" s="370"/>
      <c r="L21" s="370"/>
      <c r="M21" s="370"/>
      <c r="N21" s="370"/>
      <c r="O21" s="370"/>
      <c r="P21" s="371"/>
      <c r="Q21" s="108">
        <f>SUM(Q11:Q20)</f>
        <v>507201</v>
      </c>
    </row>
    <row r="22" spans="2:17" ht="11.25" customHeight="1"/>
    <row r="23" spans="2:17">
      <c r="B23" s="17" t="s">
        <v>33</v>
      </c>
      <c r="C23" s="17"/>
    </row>
    <row r="24" spans="2:17" ht="20.100000000000001" customHeight="1">
      <c r="B24" s="74" t="s">
        <v>44</v>
      </c>
      <c r="C24" s="75"/>
      <c r="D24" s="76"/>
      <c r="E24" s="76"/>
      <c r="F24" s="76"/>
      <c r="G24" s="76"/>
      <c r="H24" s="76"/>
      <c r="I24" s="76"/>
      <c r="J24" s="76"/>
      <c r="K24" s="76"/>
      <c r="L24" s="76"/>
      <c r="M24" s="77"/>
    </row>
    <row r="25" spans="2:17" ht="20.25" customHeight="1">
      <c r="B25" s="350" t="s">
        <v>46</v>
      </c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2"/>
    </row>
    <row r="26" spans="2:17" ht="20.25" customHeight="1">
      <c r="B26" s="353" t="s">
        <v>50</v>
      </c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5"/>
    </row>
    <row r="27" spans="2:17" ht="20.100000000000001" customHeight="1">
      <c r="B27" s="74" t="s">
        <v>75</v>
      </c>
      <c r="C27" s="75"/>
      <c r="D27" s="76"/>
      <c r="E27" s="76"/>
      <c r="F27" s="76"/>
      <c r="G27" s="76"/>
      <c r="H27" s="76"/>
      <c r="I27" s="76"/>
      <c r="J27" s="76"/>
      <c r="K27" s="76"/>
      <c r="L27" s="76"/>
      <c r="M27" s="77"/>
    </row>
    <row r="28" spans="2:17" ht="20.25" customHeight="1">
      <c r="B28" s="78" t="s">
        <v>76</v>
      </c>
      <c r="C28" s="79"/>
      <c r="D28" s="79"/>
      <c r="E28" s="81" t="s">
        <v>77</v>
      </c>
      <c r="F28" s="79"/>
      <c r="G28" s="79"/>
      <c r="H28" s="79"/>
      <c r="I28" s="79"/>
      <c r="J28" s="79"/>
      <c r="K28" s="79"/>
      <c r="L28" s="79"/>
      <c r="M28" s="80"/>
    </row>
    <row r="29" spans="2:17" ht="20.25" customHeight="1">
      <c r="B29" s="78"/>
      <c r="C29" s="79"/>
      <c r="D29" s="79"/>
      <c r="E29" s="81"/>
      <c r="F29" s="79"/>
      <c r="G29" s="79"/>
      <c r="H29" s="79"/>
      <c r="I29" s="79"/>
      <c r="J29" s="79"/>
      <c r="K29" s="79"/>
      <c r="L29" s="79"/>
      <c r="M29" s="80"/>
    </row>
    <row r="30" spans="2:17" ht="20.25" customHeight="1">
      <c r="B30" s="78"/>
      <c r="C30" s="79"/>
      <c r="D30" s="79"/>
      <c r="E30" s="81"/>
      <c r="F30" s="79"/>
      <c r="G30" s="79"/>
      <c r="H30" s="79"/>
      <c r="I30" s="79"/>
      <c r="J30" s="79"/>
      <c r="K30" s="79"/>
      <c r="L30" s="79"/>
      <c r="M30" s="80"/>
    </row>
    <row r="31" spans="2:17" ht="20.25" customHeight="1">
      <c r="B31" s="78"/>
      <c r="C31" s="79"/>
      <c r="D31" s="79"/>
      <c r="E31" s="81"/>
      <c r="F31" s="79"/>
      <c r="G31" s="79"/>
      <c r="H31" s="79"/>
      <c r="I31" s="79"/>
      <c r="J31" s="79"/>
      <c r="K31" s="79"/>
      <c r="L31" s="79"/>
      <c r="M31" s="80"/>
    </row>
    <row r="32" spans="2:17" ht="20.25" customHeight="1">
      <c r="B32" s="78"/>
      <c r="C32" s="79"/>
      <c r="D32" s="79"/>
      <c r="E32" s="81"/>
      <c r="F32" s="79"/>
      <c r="G32" s="79"/>
      <c r="H32" s="79"/>
      <c r="I32" s="79"/>
      <c r="J32" s="79"/>
      <c r="K32" s="79"/>
      <c r="L32" s="79"/>
      <c r="M32" s="80"/>
    </row>
    <row r="33" spans="2:13" ht="20.25" customHeight="1">
      <c r="B33" s="78"/>
      <c r="C33" s="79"/>
      <c r="D33" s="79"/>
      <c r="E33" s="81"/>
      <c r="F33" s="79"/>
      <c r="G33" s="79"/>
      <c r="H33" s="79"/>
      <c r="I33" s="79"/>
      <c r="J33" s="79"/>
      <c r="K33" s="79"/>
      <c r="L33" s="79"/>
      <c r="M33" s="80"/>
    </row>
    <row r="34" spans="2:13" ht="20.25" customHeight="1">
      <c r="B34" s="78"/>
      <c r="C34" s="79"/>
      <c r="D34" s="79"/>
      <c r="E34" s="81"/>
      <c r="F34" s="79"/>
      <c r="G34" s="79"/>
      <c r="H34" s="79"/>
      <c r="I34" s="79"/>
      <c r="J34" s="79"/>
      <c r="K34" s="79"/>
      <c r="L34" s="79"/>
      <c r="M34" s="80"/>
    </row>
    <row r="35" spans="2:13" ht="20.25" customHeight="1">
      <c r="B35" s="78"/>
      <c r="C35" s="79"/>
      <c r="D35" s="79"/>
      <c r="E35" s="81"/>
      <c r="F35" s="79"/>
      <c r="G35" s="79"/>
      <c r="H35" s="79"/>
      <c r="I35" s="79"/>
      <c r="J35" s="79"/>
      <c r="K35" s="79"/>
      <c r="L35" s="79"/>
      <c r="M35" s="80"/>
    </row>
    <row r="36" spans="2:13" ht="20.25" customHeight="1">
      <c r="B36" s="78"/>
      <c r="C36" s="79"/>
      <c r="D36" s="79"/>
      <c r="E36" s="81"/>
      <c r="F36" s="79"/>
      <c r="G36" s="79"/>
      <c r="H36" s="79"/>
      <c r="I36" s="79"/>
      <c r="J36" s="79"/>
      <c r="K36" s="79"/>
      <c r="L36" s="79"/>
      <c r="M36" s="80"/>
    </row>
    <row r="37" spans="2:13" ht="20.25" customHeight="1">
      <c r="B37" s="78"/>
      <c r="C37" s="79"/>
      <c r="D37" s="79"/>
      <c r="E37" s="81"/>
      <c r="F37" s="79"/>
      <c r="G37" s="79"/>
      <c r="H37" s="79"/>
      <c r="I37" s="79"/>
      <c r="J37" s="79"/>
      <c r="K37" s="79"/>
      <c r="L37" s="79"/>
      <c r="M37" s="80"/>
    </row>
    <row r="38" spans="2:13" ht="20.100000000000001" customHeight="1">
      <c r="B38" s="74" t="s">
        <v>78</v>
      </c>
      <c r="C38" s="75"/>
      <c r="D38" s="76"/>
      <c r="E38" s="76"/>
      <c r="F38" s="76"/>
      <c r="G38" s="76"/>
      <c r="H38" s="76"/>
      <c r="I38" s="76"/>
      <c r="J38" s="76"/>
      <c r="K38" s="76"/>
      <c r="L38" s="76"/>
      <c r="M38" s="77"/>
    </row>
    <row r="39" spans="2:13" ht="20.25" customHeight="1">
      <c r="B39" s="356" t="s">
        <v>79</v>
      </c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8"/>
    </row>
    <row r="40" spans="2:13" ht="20.25" customHeight="1">
      <c r="B40" s="359" t="s">
        <v>80</v>
      </c>
      <c r="C40" s="360"/>
      <c r="D40" s="360"/>
      <c r="E40" s="360"/>
      <c r="F40" s="360"/>
      <c r="G40" s="360"/>
      <c r="H40" s="360"/>
      <c r="I40" s="360"/>
      <c r="J40" s="360"/>
      <c r="K40" s="360"/>
      <c r="L40" s="360"/>
      <c r="M40" s="361"/>
    </row>
    <row r="41" spans="2:13" s="73" customFormat="1" ht="24">
      <c r="B41" s="70"/>
      <c r="C41" s="71"/>
      <c r="D41" s="72"/>
      <c r="E41" s="72"/>
      <c r="F41" s="72"/>
      <c r="G41" s="72"/>
    </row>
    <row r="42" spans="2:13">
      <c r="C42" s="54"/>
      <c r="D42" s="55"/>
      <c r="E42" s="55"/>
      <c r="F42" s="61"/>
      <c r="G42" s="55"/>
    </row>
  </sheetData>
  <mergeCells count="22">
    <mergeCell ref="B25:M25"/>
    <mergeCell ref="B26:M26"/>
    <mergeCell ref="B39:M39"/>
    <mergeCell ref="B40:M40"/>
    <mergeCell ref="B7:F7"/>
    <mergeCell ref="G7:H7"/>
    <mergeCell ref="I7:J7"/>
    <mergeCell ref="K7:L7"/>
    <mergeCell ref="M7:Q7"/>
    <mergeCell ref="B21:P21"/>
    <mergeCell ref="M6:O6"/>
    <mergeCell ref="B5:C5"/>
    <mergeCell ref="E5:F5"/>
    <mergeCell ref="G5:H5"/>
    <mergeCell ref="I5:J5"/>
    <mergeCell ref="K5:L5"/>
    <mergeCell ref="M5:O5"/>
    <mergeCell ref="B6:C6"/>
    <mergeCell ref="E6:F6"/>
    <mergeCell ref="G6:H6"/>
    <mergeCell ref="I6:J6"/>
    <mergeCell ref="K6:L6"/>
  </mergeCells>
  <phoneticPr fontId="3" type="noConversion"/>
  <conditionalFormatting sqref="G6">
    <cfRule type="expression" dxfId="6" priority="2">
      <formula>#REF!&lt;0</formula>
    </cfRule>
  </conditionalFormatting>
  <conditionalFormatting sqref="K5">
    <cfRule type="expression" dxfId="5" priority="1">
      <formula>#REF!&lt;0</formula>
    </cfRule>
  </conditionalFormatting>
  <pageMargins left="0.7" right="0.7" top="0.75" bottom="0.75" header="0.3" footer="0.3"/>
  <pageSetup paperSize="9" scale="7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5AA7-F4BF-4CD1-BAA0-FE95A886B34A}">
  <sheetPr>
    <tabColor theme="1"/>
    <pageSetUpPr fitToPage="1"/>
  </sheetPr>
  <dimension ref="B1:Q46"/>
  <sheetViews>
    <sheetView showGridLines="0" zoomScaleNormal="100" workbookViewId="0">
      <selection activeCell="C17" sqref="C17:I17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13.19921875" style="1" customWidth="1"/>
    <col min="6" max="6" width="18.5" style="1" customWidth="1"/>
    <col min="7" max="8" width="15.3984375" style="1" customWidth="1"/>
    <col min="9" max="9" width="14.69921875" style="1" customWidth="1"/>
    <col min="10" max="10" width="16.59765625" style="1" customWidth="1"/>
    <col min="11" max="11" width="13.09765625" style="1" bestFit="1" customWidth="1"/>
    <col min="12" max="12" width="16.09765625" style="1" bestFit="1" customWidth="1"/>
    <col min="13" max="13" width="9.69921875" style="1" bestFit="1" customWidth="1"/>
    <col min="14" max="14" width="17.59765625" style="1" bestFit="1" customWidth="1"/>
    <col min="15" max="15" width="18.09765625" style="1" bestFit="1" customWidth="1"/>
    <col min="16" max="16" width="12.59765625" style="1" customWidth="1"/>
    <col min="17" max="17" width="15.59765625" style="1" customWidth="1"/>
    <col min="18" max="18" width="2.69921875" style="1" customWidth="1"/>
    <col min="19" max="16384" width="9" style="1"/>
  </cols>
  <sheetData>
    <row r="1" spans="2:17" ht="9.9" customHeight="1"/>
    <row r="2" spans="2:17" s="5" customFormat="1" ht="30" customHeight="1">
      <c r="B2" s="2" t="s">
        <v>67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2:17" ht="9.9" customHeight="1" thickBot="1"/>
    <row r="5" spans="2:17" ht="18.75" customHeight="1">
      <c r="B5" s="333" t="s">
        <v>0</v>
      </c>
      <c r="C5" s="334"/>
      <c r="D5" s="95" t="s">
        <v>1</v>
      </c>
      <c r="E5" s="335" t="s">
        <v>2</v>
      </c>
      <c r="F5" s="335"/>
      <c r="G5" s="336" t="s">
        <v>3</v>
      </c>
      <c r="H5" s="337"/>
      <c r="I5" s="336" t="s">
        <v>4</v>
      </c>
      <c r="J5" s="337"/>
      <c r="K5" s="338" t="s">
        <v>5</v>
      </c>
      <c r="L5" s="339"/>
      <c r="M5" s="340" t="s">
        <v>6</v>
      </c>
      <c r="N5" s="341"/>
      <c r="O5" s="342"/>
      <c r="P5" s="96" t="s">
        <v>7</v>
      </c>
      <c r="Q5" s="97" t="s">
        <v>8</v>
      </c>
    </row>
    <row r="6" spans="2:17" ht="18.75" customHeight="1">
      <c r="B6" s="343" t="s">
        <v>24</v>
      </c>
      <c r="C6" s="344"/>
      <c r="D6" s="93">
        <v>45224</v>
      </c>
      <c r="E6" s="345" t="s">
        <v>71</v>
      </c>
      <c r="F6" s="345"/>
      <c r="G6" s="346">
        <f>Q24</f>
        <v>1821770</v>
      </c>
      <c r="H6" s="347"/>
      <c r="I6" s="348">
        <f>ROUND(G6*10%,0)</f>
        <v>182177</v>
      </c>
      <c r="J6" s="349"/>
      <c r="K6" s="348">
        <f>G6+I6</f>
        <v>2003947</v>
      </c>
      <c r="L6" s="349"/>
      <c r="M6" s="331" t="s">
        <v>26</v>
      </c>
      <c r="N6" s="323"/>
      <c r="O6" s="332"/>
      <c r="P6" s="94">
        <v>45230</v>
      </c>
      <c r="Q6" s="98">
        <v>45240</v>
      </c>
    </row>
    <row r="7" spans="2:17" ht="18.75" customHeight="1" thickBot="1">
      <c r="B7" s="362" t="s">
        <v>9</v>
      </c>
      <c r="C7" s="363"/>
      <c r="D7" s="363"/>
      <c r="E7" s="363"/>
      <c r="F7" s="363"/>
      <c r="G7" s="364">
        <f>SUM(G6)</f>
        <v>1821770</v>
      </c>
      <c r="H7" s="365"/>
      <c r="I7" s="364">
        <f>SUM(I6)</f>
        <v>182177</v>
      </c>
      <c r="J7" s="365"/>
      <c r="K7" s="364">
        <f>SUM(K6)</f>
        <v>2003947</v>
      </c>
      <c r="L7" s="365"/>
      <c r="M7" s="366" t="s">
        <v>10</v>
      </c>
      <c r="N7" s="367"/>
      <c r="O7" s="367"/>
      <c r="P7" s="367"/>
      <c r="Q7" s="368"/>
    </row>
    <row r="8" spans="2:17" ht="12.9" customHeight="1"/>
    <row r="9" spans="2:17">
      <c r="B9" s="17" t="s">
        <v>25</v>
      </c>
      <c r="C9" s="17"/>
    </row>
    <row r="10" spans="2:17" s="13" customFormat="1" ht="20.25" customHeight="1">
      <c r="B10" s="82" t="s">
        <v>11</v>
      </c>
      <c r="C10" s="83" t="s">
        <v>12</v>
      </c>
      <c r="D10" s="83" t="s">
        <v>13</v>
      </c>
      <c r="E10" s="83" t="s">
        <v>14</v>
      </c>
      <c r="F10" s="83" t="s">
        <v>15</v>
      </c>
      <c r="G10" s="83" t="s">
        <v>16</v>
      </c>
      <c r="H10" s="84" t="s">
        <v>17</v>
      </c>
      <c r="I10" s="85" t="s">
        <v>82</v>
      </c>
      <c r="J10" s="85" t="s">
        <v>83</v>
      </c>
      <c r="K10" s="86" t="s">
        <v>84</v>
      </c>
      <c r="L10" s="87" t="s">
        <v>85</v>
      </c>
      <c r="M10" s="88" t="s">
        <v>81</v>
      </c>
      <c r="N10" s="89" t="s">
        <v>86</v>
      </c>
      <c r="O10" s="89" t="s">
        <v>87</v>
      </c>
      <c r="P10" s="90" t="s">
        <v>21</v>
      </c>
      <c r="Q10" s="90" t="s">
        <v>22</v>
      </c>
    </row>
    <row r="11" spans="2:17" s="13" customFormat="1" ht="20.25" customHeight="1">
      <c r="B11" s="91">
        <v>1</v>
      </c>
      <c r="C11" s="34" t="s">
        <v>36</v>
      </c>
      <c r="D11" s="34" t="s">
        <v>37</v>
      </c>
      <c r="E11" s="34" t="s">
        <v>49</v>
      </c>
      <c r="F11" s="34" t="s">
        <v>38</v>
      </c>
      <c r="G11" s="35">
        <v>44878</v>
      </c>
      <c r="H11" s="34" t="s">
        <v>68</v>
      </c>
      <c r="I11" s="100">
        <v>0</v>
      </c>
      <c r="J11" s="101">
        <v>2643737</v>
      </c>
      <c r="K11" s="101">
        <v>0</v>
      </c>
      <c r="L11" s="100">
        <f>ROUND(K11*10%,2)</f>
        <v>0</v>
      </c>
      <c r="M11" s="102">
        <v>0</v>
      </c>
      <c r="N11" s="103">
        <v>0</v>
      </c>
      <c r="O11" s="101">
        <v>1586467</v>
      </c>
      <c r="P11" s="36">
        <v>0.1</v>
      </c>
      <c r="Q11" s="109">
        <f>ROUND(O11*P11,0)</f>
        <v>158647</v>
      </c>
    </row>
    <row r="12" spans="2:17" s="13" customFormat="1" ht="20.25" customHeight="1">
      <c r="B12" s="91">
        <v>2</v>
      </c>
      <c r="C12" s="34" t="s">
        <v>36</v>
      </c>
      <c r="D12" s="34" t="s">
        <v>37</v>
      </c>
      <c r="E12" s="34" t="s">
        <v>49</v>
      </c>
      <c r="F12" s="34" t="s">
        <v>38</v>
      </c>
      <c r="G12" s="35">
        <v>44878</v>
      </c>
      <c r="H12" s="34" t="s">
        <v>69</v>
      </c>
      <c r="I12" s="100">
        <v>0</v>
      </c>
      <c r="J12" s="101">
        <v>831273</v>
      </c>
      <c r="K12" s="101">
        <v>0</v>
      </c>
      <c r="L12" s="100">
        <f>ROUND(K12*10%,2)</f>
        <v>0</v>
      </c>
      <c r="M12" s="104">
        <v>0</v>
      </c>
      <c r="N12" s="103">
        <v>0</v>
      </c>
      <c r="O12" s="101">
        <v>501333</v>
      </c>
      <c r="P12" s="36">
        <v>0.1</v>
      </c>
      <c r="Q12" s="110">
        <f>ROUND(O12*P12,0)</f>
        <v>50133</v>
      </c>
    </row>
    <row r="13" spans="2:17" s="13" customFormat="1" ht="20.25" customHeight="1">
      <c r="B13" s="91">
        <v>3</v>
      </c>
      <c r="C13" s="34" t="s">
        <v>36</v>
      </c>
      <c r="D13" s="34" t="s">
        <v>37</v>
      </c>
      <c r="E13" s="34" t="s">
        <v>49</v>
      </c>
      <c r="F13" s="34" t="s">
        <v>38</v>
      </c>
      <c r="G13" s="35">
        <v>44878</v>
      </c>
      <c r="H13" s="34" t="s">
        <v>70</v>
      </c>
      <c r="I13" s="100">
        <v>0</v>
      </c>
      <c r="J13" s="101">
        <v>573345</v>
      </c>
      <c r="K13" s="101">
        <v>0</v>
      </c>
      <c r="L13" s="100">
        <f t="shared" ref="L13:L23" si="0">ROUND(K13*10%,2)</f>
        <v>0</v>
      </c>
      <c r="M13" s="113">
        <v>0</v>
      </c>
      <c r="N13" s="103">
        <v>0</v>
      </c>
      <c r="O13" s="101">
        <v>344595</v>
      </c>
      <c r="P13" s="36">
        <v>0.1</v>
      </c>
      <c r="Q13" s="110">
        <f>ROUND(O13*P13,0)</f>
        <v>34460</v>
      </c>
    </row>
    <row r="14" spans="2:17" s="13" customFormat="1" ht="20.25" customHeight="1">
      <c r="B14" s="91">
        <v>4</v>
      </c>
      <c r="C14" s="34" t="s">
        <v>72</v>
      </c>
      <c r="D14" s="34" t="s">
        <v>35</v>
      </c>
      <c r="E14" s="34" t="s">
        <v>73</v>
      </c>
      <c r="F14" s="34" t="s">
        <v>38</v>
      </c>
      <c r="G14" s="35">
        <v>45071</v>
      </c>
      <c r="H14" s="34" t="s">
        <v>61</v>
      </c>
      <c r="I14" s="114">
        <v>926336.55199999991</v>
      </c>
      <c r="J14" s="101">
        <v>8979629</v>
      </c>
      <c r="K14" s="115">
        <v>463168</v>
      </c>
      <c r="L14" s="114">
        <f>ROUND(K14*10%,2)</f>
        <v>46316.800000000003</v>
      </c>
      <c r="M14" s="112">
        <v>9.6936999999999998</v>
      </c>
      <c r="N14" s="116">
        <f t="shared" ref="N14:N21" si="1">K14-L14</f>
        <v>416851.20000000001</v>
      </c>
      <c r="O14" s="101">
        <f>N14*M14</f>
        <v>4040830.47744</v>
      </c>
      <c r="P14" s="36">
        <v>0.1</v>
      </c>
      <c r="Q14" s="110">
        <f t="shared" ref="Q14:Q22" si="2">ROUND(O14*P14,0)</f>
        <v>404083</v>
      </c>
    </row>
    <row r="15" spans="2:17" s="13" customFormat="1" ht="20.25" customHeight="1">
      <c r="B15" s="91">
        <v>5</v>
      </c>
      <c r="C15" s="34" t="s">
        <v>72</v>
      </c>
      <c r="D15" s="34" t="s">
        <v>35</v>
      </c>
      <c r="E15" s="34" t="s">
        <v>73</v>
      </c>
      <c r="F15" s="34" t="s">
        <v>38</v>
      </c>
      <c r="G15" s="35">
        <v>45071</v>
      </c>
      <c r="H15" s="34" t="s">
        <v>62</v>
      </c>
      <c r="I15" s="114">
        <v>1026062.8180000001</v>
      </c>
      <c r="J15" s="101">
        <v>9423258</v>
      </c>
      <c r="K15" s="115">
        <v>513032</v>
      </c>
      <c r="L15" s="114">
        <v>51303</v>
      </c>
      <c r="M15" s="112">
        <v>9.1838999999999995</v>
      </c>
      <c r="N15" s="116">
        <f t="shared" si="1"/>
        <v>461729</v>
      </c>
      <c r="O15" s="101">
        <v>4240473</v>
      </c>
      <c r="P15" s="36">
        <v>0.1</v>
      </c>
      <c r="Q15" s="110">
        <f>ROUND(O15*P15,0)</f>
        <v>424047</v>
      </c>
    </row>
    <row r="16" spans="2:17" s="13" customFormat="1" ht="20.25" customHeight="1">
      <c r="B16" s="91">
        <v>6</v>
      </c>
      <c r="C16" s="34" t="s">
        <v>72</v>
      </c>
      <c r="D16" s="34" t="s">
        <v>35</v>
      </c>
      <c r="E16" s="34" t="s">
        <v>73</v>
      </c>
      <c r="F16" s="34" t="s">
        <v>38</v>
      </c>
      <c r="G16" s="35">
        <v>45071</v>
      </c>
      <c r="H16" s="34" t="s">
        <v>68</v>
      </c>
      <c r="I16" s="114">
        <v>684249.27449999994</v>
      </c>
      <c r="J16" s="101">
        <v>6238574</v>
      </c>
      <c r="K16" s="115">
        <v>342125</v>
      </c>
      <c r="L16" s="114">
        <v>34212</v>
      </c>
      <c r="M16" s="112">
        <v>9.1173999999999999</v>
      </c>
      <c r="N16" s="116">
        <f t="shared" si="1"/>
        <v>307913</v>
      </c>
      <c r="O16" s="101">
        <v>2807366</v>
      </c>
      <c r="P16" s="36">
        <v>0.1</v>
      </c>
      <c r="Q16" s="110">
        <f>ROUND(O16*P16,0)</f>
        <v>280737</v>
      </c>
    </row>
    <row r="17" spans="2:17" s="13" customFormat="1" ht="20.25" customHeight="1">
      <c r="B17" s="91">
        <v>7</v>
      </c>
      <c r="C17" s="34" t="s">
        <v>72</v>
      </c>
      <c r="D17" s="34" t="s">
        <v>35</v>
      </c>
      <c r="E17" s="34" t="s">
        <v>73</v>
      </c>
      <c r="F17" s="34" t="s">
        <v>38</v>
      </c>
      <c r="G17" s="35">
        <v>45071</v>
      </c>
      <c r="H17" s="34" t="s">
        <v>69</v>
      </c>
      <c r="I17" s="114">
        <v>408701.95299999998</v>
      </c>
      <c r="J17" s="101">
        <v>3724910</v>
      </c>
      <c r="K17" s="115">
        <v>204351</v>
      </c>
      <c r="L17" s="114">
        <v>20435</v>
      </c>
      <c r="M17" s="112">
        <v>9.1140000000000008</v>
      </c>
      <c r="N17" s="116">
        <f t="shared" si="1"/>
        <v>183916</v>
      </c>
      <c r="O17" s="101">
        <v>1676210</v>
      </c>
      <c r="P17" s="36">
        <v>0.1</v>
      </c>
      <c r="Q17" s="110">
        <f t="shared" si="2"/>
        <v>167621</v>
      </c>
    </row>
    <row r="18" spans="2:17" s="13" customFormat="1" ht="20.25" customHeight="1">
      <c r="B18" s="91">
        <v>8</v>
      </c>
      <c r="C18" s="34" t="s">
        <v>72</v>
      </c>
      <c r="D18" s="34" t="s">
        <v>35</v>
      </c>
      <c r="E18" s="34" t="s">
        <v>73</v>
      </c>
      <c r="F18" s="34" t="s">
        <v>38</v>
      </c>
      <c r="G18" s="35">
        <v>45071</v>
      </c>
      <c r="H18" s="34" t="s">
        <v>70</v>
      </c>
      <c r="I18" s="114">
        <v>705392.45</v>
      </c>
      <c r="J18" s="101">
        <v>6360171</v>
      </c>
      <c r="K18" s="115">
        <v>352696</v>
      </c>
      <c r="L18" s="100">
        <f t="shared" si="0"/>
        <v>35269.599999999999</v>
      </c>
      <c r="M18" s="112">
        <v>9.0165000000000006</v>
      </c>
      <c r="N18" s="116">
        <f t="shared" si="1"/>
        <v>317426.40000000002</v>
      </c>
      <c r="O18" s="101">
        <v>2862081</v>
      </c>
      <c r="P18" s="36">
        <v>0.1</v>
      </c>
      <c r="Q18" s="110">
        <f t="shared" si="2"/>
        <v>286208</v>
      </c>
    </row>
    <row r="19" spans="2:17" s="13" customFormat="1" ht="20.25" customHeight="1">
      <c r="B19" s="91">
        <v>9</v>
      </c>
      <c r="C19" s="34" t="s">
        <v>72</v>
      </c>
      <c r="D19" s="34" t="s">
        <v>74</v>
      </c>
      <c r="E19" s="34" t="s">
        <v>73</v>
      </c>
      <c r="F19" s="34" t="s">
        <v>38</v>
      </c>
      <c r="G19" s="35">
        <v>45071</v>
      </c>
      <c r="H19" s="34" t="s">
        <v>61</v>
      </c>
      <c r="I19" s="114">
        <v>23621.059999999998</v>
      </c>
      <c r="J19" s="101">
        <v>228975</v>
      </c>
      <c r="K19" s="115">
        <v>4725</v>
      </c>
      <c r="L19" s="114">
        <v>472</v>
      </c>
      <c r="M19" s="112">
        <v>9.6936999999999998</v>
      </c>
      <c r="N19" s="116">
        <f t="shared" si="1"/>
        <v>4253</v>
      </c>
      <c r="O19" s="101">
        <v>41227</v>
      </c>
      <c r="P19" s="36">
        <v>0.1</v>
      </c>
      <c r="Q19" s="110">
        <f t="shared" si="2"/>
        <v>4123</v>
      </c>
    </row>
    <row r="20" spans="2:17" s="13" customFormat="1" ht="20.25" customHeight="1">
      <c r="B20" s="91">
        <v>10</v>
      </c>
      <c r="C20" s="34" t="s">
        <v>72</v>
      </c>
      <c r="D20" s="34" t="s">
        <v>74</v>
      </c>
      <c r="E20" s="34" t="s">
        <v>73</v>
      </c>
      <c r="F20" s="34" t="s">
        <v>38</v>
      </c>
      <c r="G20" s="35">
        <v>45071</v>
      </c>
      <c r="H20" s="34" t="s">
        <v>62</v>
      </c>
      <c r="I20" s="114">
        <v>29087.9</v>
      </c>
      <c r="J20" s="101">
        <v>267140</v>
      </c>
      <c r="K20" s="115">
        <v>5818</v>
      </c>
      <c r="L20" s="114">
        <v>582</v>
      </c>
      <c r="M20" s="112">
        <v>9.1838999999999995</v>
      </c>
      <c r="N20" s="116">
        <f t="shared" si="1"/>
        <v>5236</v>
      </c>
      <c r="O20" s="101">
        <v>48087</v>
      </c>
      <c r="P20" s="36">
        <v>0.1</v>
      </c>
      <c r="Q20" s="110">
        <f t="shared" si="2"/>
        <v>4809</v>
      </c>
    </row>
    <row r="21" spans="2:17" s="13" customFormat="1" ht="20.25" customHeight="1">
      <c r="B21" s="91">
        <v>11</v>
      </c>
      <c r="C21" s="34" t="s">
        <v>72</v>
      </c>
      <c r="D21" s="34" t="s">
        <v>74</v>
      </c>
      <c r="E21" s="34" t="s">
        <v>73</v>
      </c>
      <c r="F21" s="34" t="s">
        <v>38</v>
      </c>
      <c r="G21" s="35">
        <v>45071</v>
      </c>
      <c r="H21" s="34" t="s">
        <v>68</v>
      </c>
      <c r="I21" s="114">
        <v>23795.03</v>
      </c>
      <c r="J21" s="101">
        <v>216949</v>
      </c>
      <c r="K21" s="115">
        <v>4759</v>
      </c>
      <c r="L21" s="114">
        <v>475</v>
      </c>
      <c r="M21" s="112">
        <v>9.1173999999999999</v>
      </c>
      <c r="N21" s="116">
        <f t="shared" si="1"/>
        <v>4284</v>
      </c>
      <c r="O21" s="101">
        <v>39059</v>
      </c>
      <c r="P21" s="36">
        <v>0.1</v>
      </c>
      <c r="Q21" s="110">
        <f t="shared" si="2"/>
        <v>3906</v>
      </c>
    </row>
    <row r="22" spans="2:17" s="13" customFormat="1" ht="20.25" customHeight="1">
      <c r="B22" s="91">
        <v>12</v>
      </c>
      <c r="C22" s="34" t="s">
        <v>72</v>
      </c>
      <c r="D22" s="34" t="s">
        <v>74</v>
      </c>
      <c r="E22" s="34" t="s">
        <v>73</v>
      </c>
      <c r="F22" s="34" t="s">
        <v>38</v>
      </c>
      <c r="G22" s="35">
        <v>45071</v>
      </c>
      <c r="H22" s="34" t="s">
        <v>69</v>
      </c>
      <c r="I22" s="114">
        <v>18259.740000000002</v>
      </c>
      <c r="J22" s="101">
        <v>166419</v>
      </c>
      <c r="K22" s="115">
        <v>3652</v>
      </c>
      <c r="L22" s="114">
        <v>365</v>
      </c>
      <c r="M22" s="112">
        <v>9.1140000000000008</v>
      </c>
      <c r="N22" s="116">
        <v>3287</v>
      </c>
      <c r="O22" s="101">
        <v>29958</v>
      </c>
      <c r="P22" s="36">
        <v>0.1</v>
      </c>
      <c r="Q22" s="110">
        <f t="shared" si="2"/>
        <v>2996</v>
      </c>
    </row>
    <row r="23" spans="2:17" s="13" customFormat="1" ht="20.25" customHeight="1">
      <c r="B23" s="92"/>
      <c r="C23" s="39"/>
      <c r="D23" s="39"/>
      <c r="E23" s="39"/>
      <c r="F23" s="39"/>
      <c r="G23" s="40"/>
      <c r="H23" s="39"/>
      <c r="I23" s="105"/>
      <c r="J23" s="106"/>
      <c r="K23" s="106"/>
      <c r="L23" s="100">
        <f t="shared" si="0"/>
        <v>0</v>
      </c>
      <c r="M23" s="99"/>
      <c r="N23" s="107"/>
      <c r="O23" s="106"/>
      <c r="P23" s="42"/>
      <c r="Q23" s="111"/>
    </row>
    <row r="24" spans="2:17" ht="20.25" customHeight="1">
      <c r="B24" s="369" t="s">
        <v>9</v>
      </c>
      <c r="C24" s="370"/>
      <c r="D24" s="370"/>
      <c r="E24" s="370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1"/>
      <c r="Q24" s="108">
        <f>SUM(Q11:Q23)</f>
        <v>1821770</v>
      </c>
    </row>
    <row r="25" spans="2:17" ht="11.25" customHeight="1"/>
    <row r="26" spans="2:17">
      <c r="B26" s="17" t="s">
        <v>33</v>
      </c>
      <c r="C26" s="17"/>
    </row>
    <row r="27" spans="2:17" ht="20.100000000000001" customHeight="1">
      <c r="B27" s="74" t="s">
        <v>44</v>
      </c>
      <c r="C27" s="75"/>
      <c r="D27" s="76"/>
      <c r="E27" s="76"/>
      <c r="F27" s="76"/>
      <c r="G27" s="76"/>
      <c r="H27" s="76"/>
      <c r="I27" s="76"/>
      <c r="J27" s="76"/>
      <c r="K27" s="76"/>
      <c r="L27" s="76"/>
      <c r="M27" s="77"/>
    </row>
    <row r="28" spans="2:17" ht="20.25" customHeight="1">
      <c r="B28" s="350" t="s">
        <v>46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1"/>
      <c r="M28" s="352"/>
    </row>
    <row r="29" spans="2:17" ht="20.25" customHeight="1">
      <c r="B29" s="353" t="s">
        <v>50</v>
      </c>
      <c r="C29" s="354"/>
      <c r="D29" s="354"/>
      <c r="E29" s="354"/>
      <c r="F29" s="354"/>
      <c r="G29" s="354"/>
      <c r="H29" s="354"/>
      <c r="I29" s="354"/>
      <c r="J29" s="354"/>
      <c r="K29" s="354"/>
      <c r="L29" s="354"/>
      <c r="M29" s="355"/>
    </row>
    <row r="30" spans="2:17" ht="20.100000000000001" customHeight="1">
      <c r="B30" s="74" t="s">
        <v>75</v>
      </c>
      <c r="C30" s="75"/>
      <c r="D30" s="76"/>
      <c r="E30" s="76"/>
      <c r="F30" s="76"/>
      <c r="G30" s="76"/>
      <c r="H30" s="76"/>
      <c r="I30" s="76"/>
      <c r="J30" s="76"/>
      <c r="K30" s="76"/>
      <c r="L30" s="76"/>
      <c r="M30" s="77"/>
    </row>
    <row r="31" spans="2:17" ht="20.25" customHeight="1">
      <c r="B31" s="78" t="s">
        <v>76</v>
      </c>
      <c r="C31" s="79"/>
      <c r="D31" s="79"/>
      <c r="E31" s="81" t="s">
        <v>77</v>
      </c>
      <c r="F31" s="79"/>
      <c r="G31" s="79"/>
      <c r="H31" s="79"/>
      <c r="I31" s="79"/>
      <c r="J31" s="79"/>
      <c r="K31" s="79"/>
      <c r="L31" s="79"/>
      <c r="M31" s="80"/>
    </row>
    <row r="32" spans="2:17" ht="20.25" customHeight="1">
      <c r="B32" s="78"/>
      <c r="C32" s="79"/>
      <c r="D32" s="79"/>
      <c r="E32" s="81"/>
      <c r="F32" s="79"/>
      <c r="G32" s="79"/>
      <c r="H32" s="79"/>
      <c r="I32" s="79"/>
      <c r="J32" s="79"/>
      <c r="K32" s="79"/>
      <c r="L32" s="79"/>
      <c r="M32" s="80"/>
    </row>
    <row r="33" spans="2:13" ht="20.25" customHeight="1">
      <c r="B33" s="78"/>
      <c r="C33" s="79"/>
      <c r="D33" s="79"/>
      <c r="E33" s="81"/>
      <c r="F33" s="79"/>
      <c r="G33" s="79"/>
      <c r="H33" s="79"/>
      <c r="I33" s="79"/>
      <c r="J33" s="79"/>
      <c r="K33" s="79"/>
      <c r="L33" s="79"/>
      <c r="M33" s="80"/>
    </row>
    <row r="34" spans="2:13" ht="20.25" customHeight="1">
      <c r="B34" s="78"/>
      <c r="C34" s="79"/>
      <c r="D34" s="79"/>
      <c r="E34" s="81"/>
      <c r="F34" s="79"/>
      <c r="G34" s="79"/>
      <c r="H34" s="79"/>
      <c r="I34" s="79"/>
      <c r="J34" s="79"/>
      <c r="K34" s="79"/>
      <c r="L34" s="79"/>
      <c r="M34" s="80"/>
    </row>
    <row r="35" spans="2:13" ht="20.25" customHeight="1">
      <c r="B35" s="78"/>
      <c r="C35" s="79"/>
      <c r="D35" s="79"/>
      <c r="E35" s="81"/>
      <c r="F35" s="79"/>
      <c r="G35" s="79"/>
      <c r="H35" s="79"/>
      <c r="I35" s="79"/>
      <c r="J35" s="79"/>
      <c r="K35" s="79"/>
      <c r="L35" s="79"/>
      <c r="M35" s="80"/>
    </row>
    <row r="36" spans="2:13" ht="20.25" customHeight="1">
      <c r="B36" s="78"/>
      <c r="C36" s="79"/>
      <c r="D36" s="79"/>
      <c r="E36" s="81"/>
      <c r="F36" s="79"/>
      <c r="G36" s="79"/>
      <c r="H36" s="79"/>
      <c r="I36" s="79"/>
      <c r="J36" s="79"/>
      <c r="K36" s="79"/>
      <c r="L36" s="79"/>
      <c r="M36" s="80"/>
    </row>
    <row r="37" spans="2:13" ht="20.25" customHeight="1">
      <c r="B37" s="78"/>
      <c r="C37" s="79"/>
      <c r="D37" s="79"/>
      <c r="E37" s="81"/>
      <c r="F37" s="79"/>
      <c r="G37" s="79"/>
      <c r="H37" s="79"/>
      <c r="I37" s="79"/>
      <c r="J37" s="79"/>
      <c r="K37" s="79"/>
      <c r="L37" s="79"/>
      <c r="M37" s="80"/>
    </row>
    <row r="38" spans="2:13" ht="20.25" customHeight="1">
      <c r="B38" s="78"/>
      <c r="C38" s="79"/>
      <c r="D38" s="79"/>
      <c r="E38" s="81"/>
      <c r="F38" s="79"/>
      <c r="G38" s="79"/>
      <c r="H38" s="79"/>
      <c r="I38" s="79"/>
      <c r="J38" s="79"/>
      <c r="K38" s="79"/>
      <c r="L38" s="79"/>
      <c r="M38" s="80"/>
    </row>
    <row r="39" spans="2:13" ht="20.25" customHeight="1">
      <c r="B39" s="78"/>
      <c r="C39" s="79"/>
      <c r="D39" s="79"/>
      <c r="E39" s="81"/>
      <c r="F39" s="79"/>
      <c r="G39" s="79"/>
      <c r="H39" s="79"/>
      <c r="I39" s="79"/>
      <c r="J39" s="79"/>
      <c r="K39" s="79"/>
      <c r="L39" s="79"/>
      <c r="M39" s="80"/>
    </row>
    <row r="40" spans="2:13" ht="20.25" customHeight="1">
      <c r="B40" s="78"/>
      <c r="C40" s="79"/>
      <c r="D40" s="79"/>
      <c r="E40" s="81"/>
      <c r="F40" s="79"/>
      <c r="G40" s="79"/>
      <c r="H40" s="79"/>
      <c r="I40" s="79"/>
      <c r="J40" s="79"/>
      <c r="K40" s="79"/>
      <c r="L40" s="79"/>
      <c r="M40" s="80"/>
    </row>
    <row r="41" spans="2:13" ht="20.25" customHeight="1">
      <c r="B41" s="78"/>
      <c r="C41" s="79"/>
      <c r="D41" s="79"/>
      <c r="E41" s="81"/>
      <c r="F41" s="79"/>
      <c r="G41" s="79"/>
      <c r="H41" s="79"/>
      <c r="I41" s="79"/>
      <c r="J41" s="79"/>
      <c r="K41" s="79"/>
      <c r="L41" s="79"/>
      <c r="M41" s="80"/>
    </row>
    <row r="42" spans="2:13" ht="20.100000000000001" customHeight="1">
      <c r="B42" s="74" t="s">
        <v>78</v>
      </c>
      <c r="C42" s="75"/>
      <c r="D42" s="76"/>
      <c r="E42" s="76"/>
      <c r="F42" s="76"/>
      <c r="G42" s="76"/>
      <c r="H42" s="76"/>
      <c r="I42" s="76"/>
      <c r="J42" s="76"/>
      <c r="K42" s="76"/>
      <c r="L42" s="76"/>
      <c r="M42" s="77"/>
    </row>
    <row r="43" spans="2:13" ht="20.25" customHeight="1">
      <c r="B43" s="356" t="s">
        <v>79</v>
      </c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358"/>
    </row>
    <row r="44" spans="2:13" ht="20.25" customHeight="1">
      <c r="B44" s="359" t="s">
        <v>80</v>
      </c>
      <c r="C44" s="360"/>
      <c r="D44" s="360"/>
      <c r="E44" s="360"/>
      <c r="F44" s="360"/>
      <c r="G44" s="360"/>
      <c r="H44" s="360"/>
      <c r="I44" s="360"/>
      <c r="J44" s="360"/>
      <c r="K44" s="360"/>
      <c r="L44" s="360"/>
      <c r="M44" s="361"/>
    </row>
    <row r="45" spans="2:13" s="73" customFormat="1" ht="24">
      <c r="B45" s="70"/>
      <c r="C45" s="71"/>
      <c r="D45" s="72"/>
      <c r="E45" s="72"/>
      <c r="F45" s="72"/>
      <c r="G45" s="72"/>
    </row>
    <row r="46" spans="2:13">
      <c r="C46" s="54"/>
      <c r="D46" s="55"/>
      <c r="E46" s="55"/>
      <c r="F46" s="61"/>
      <c r="G46" s="55"/>
    </row>
  </sheetData>
  <mergeCells count="22">
    <mergeCell ref="B43:M43"/>
    <mergeCell ref="B44:M44"/>
    <mergeCell ref="B7:F7"/>
    <mergeCell ref="B28:M28"/>
    <mergeCell ref="B29:M29"/>
    <mergeCell ref="B24:P24"/>
    <mergeCell ref="G7:H7"/>
    <mergeCell ref="I7:J7"/>
    <mergeCell ref="K7:L7"/>
    <mergeCell ref="M7:Q7"/>
    <mergeCell ref="B5:C5"/>
    <mergeCell ref="E5:F5"/>
    <mergeCell ref="B6:C6"/>
    <mergeCell ref="E6:F6"/>
    <mergeCell ref="G5:H5"/>
    <mergeCell ref="G6:H6"/>
    <mergeCell ref="I5:J5"/>
    <mergeCell ref="I6:J6"/>
    <mergeCell ref="K5:L5"/>
    <mergeCell ref="K6:L6"/>
    <mergeCell ref="M5:O5"/>
    <mergeCell ref="M6:O6"/>
  </mergeCells>
  <phoneticPr fontId="3" type="noConversion"/>
  <conditionalFormatting sqref="G6">
    <cfRule type="expression" dxfId="4" priority="2">
      <formula>#REF!&lt;0</formula>
    </cfRule>
  </conditionalFormatting>
  <conditionalFormatting sqref="K5">
    <cfRule type="expression" dxfId="3" priority="1">
      <formula>#REF!&lt;0</formula>
    </cfRule>
  </conditionalFormatting>
  <pageMargins left="0.7" right="0.7" top="0.75" bottom="0.75" header="0.3" footer="0.3"/>
  <pageSetup paperSize="9" scale="74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4D60-8823-4E51-A475-E3F7C02B26CD}">
  <sheetPr>
    <tabColor theme="1"/>
    <pageSetUpPr fitToPage="1"/>
  </sheetPr>
  <dimension ref="B1:N29"/>
  <sheetViews>
    <sheetView showGridLines="0" zoomScaleNormal="100" workbookViewId="0">
      <selection activeCell="C17" sqref="C17:I17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15.59765625" style="1" customWidth="1"/>
    <col min="6" max="6" width="24.19921875" style="1" customWidth="1"/>
    <col min="7" max="8" width="15.3984375" style="1" customWidth="1"/>
    <col min="9" max="9" width="14.69921875" style="1" customWidth="1"/>
    <col min="10" max="10" width="16.59765625" style="1" customWidth="1"/>
    <col min="11" max="11" width="13.09765625" style="1" bestFit="1" customWidth="1"/>
    <col min="12" max="12" width="16.09765625" style="1" bestFit="1" customWidth="1"/>
    <col min="13" max="13" width="29.09765625" style="1" customWidth="1"/>
    <col min="14" max="15" width="2.59765625" style="1" customWidth="1"/>
    <col min="16" max="16" width="10.5" style="1" bestFit="1" customWidth="1"/>
    <col min="17" max="16384" width="9" style="1"/>
  </cols>
  <sheetData>
    <row r="1" spans="2:14" ht="9.9" customHeight="1"/>
    <row r="2" spans="2:14" s="5" customFormat="1" ht="30" customHeight="1">
      <c r="B2" s="2" t="s">
        <v>59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</row>
    <row r="3" spans="2:14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4" ht="9.9" customHeight="1" thickBot="1"/>
    <row r="5" spans="2:14" ht="18.75" customHeight="1">
      <c r="B5" s="317" t="s">
        <v>0</v>
      </c>
      <c r="C5" s="318"/>
      <c r="D5" s="8" t="s">
        <v>1</v>
      </c>
      <c r="E5" s="319" t="s">
        <v>2</v>
      </c>
      <c r="F5" s="319"/>
      <c r="G5" s="7" t="s">
        <v>3</v>
      </c>
      <c r="H5" s="7" t="s">
        <v>4</v>
      </c>
      <c r="I5" s="8" t="s">
        <v>5</v>
      </c>
      <c r="J5" s="443" t="s">
        <v>6</v>
      </c>
      <c r="K5" s="444"/>
      <c r="L5" s="9" t="s">
        <v>7</v>
      </c>
      <c r="M5" s="10" t="s">
        <v>8</v>
      </c>
    </row>
    <row r="6" spans="2:14" ht="18.75" customHeight="1">
      <c r="B6" s="305" t="s">
        <v>24</v>
      </c>
      <c r="C6" s="321"/>
      <c r="D6" s="30">
        <v>45132</v>
      </c>
      <c r="E6" s="322" t="s">
        <v>63</v>
      </c>
      <c r="F6" s="322"/>
      <c r="G6" s="11">
        <f>L16</f>
        <v>3651863</v>
      </c>
      <c r="H6" s="12">
        <f>G6*10%</f>
        <v>365186.30000000005</v>
      </c>
      <c r="I6" s="12">
        <f>SUM(G6:H6)</f>
        <v>4017049.3</v>
      </c>
      <c r="J6" s="445" t="s">
        <v>26</v>
      </c>
      <c r="K6" s="446"/>
      <c r="L6" s="32">
        <v>45138</v>
      </c>
      <c r="M6" s="31">
        <v>45148</v>
      </c>
      <c r="N6" s="14"/>
    </row>
    <row r="7" spans="2:14" ht="18.75" customHeight="1" thickBot="1">
      <c r="B7" s="301" t="s">
        <v>9</v>
      </c>
      <c r="C7" s="302"/>
      <c r="D7" s="302"/>
      <c r="E7" s="302"/>
      <c r="F7" s="302"/>
      <c r="G7" s="15">
        <f>SUM(G6:G6)</f>
        <v>3651863</v>
      </c>
      <c r="H7" s="15">
        <f>SUM(H6:H6)</f>
        <v>365186.30000000005</v>
      </c>
      <c r="I7" s="15">
        <f>SUM(I6:I6)</f>
        <v>4017049.3</v>
      </c>
      <c r="J7" s="324" t="s">
        <v>10</v>
      </c>
      <c r="K7" s="303"/>
      <c r="L7" s="303"/>
      <c r="M7" s="304"/>
      <c r="N7" s="16"/>
    </row>
    <row r="8" spans="2:14" ht="12.9" customHeight="1"/>
    <row r="9" spans="2:14">
      <c r="B9" s="17" t="s">
        <v>25</v>
      </c>
      <c r="C9" s="17"/>
    </row>
    <row r="10" spans="2:14" s="13" customFormat="1" ht="20.25" customHeight="1">
      <c r="B10" s="18" t="s">
        <v>11</v>
      </c>
      <c r="C10" s="19" t="s">
        <v>12</v>
      </c>
      <c r="D10" s="19" t="s">
        <v>13</v>
      </c>
      <c r="E10" s="19" t="s">
        <v>14</v>
      </c>
      <c r="F10" s="19" t="s">
        <v>15</v>
      </c>
      <c r="G10" s="19" t="s">
        <v>16</v>
      </c>
      <c r="H10" s="19" t="s">
        <v>17</v>
      </c>
      <c r="I10" s="19" t="s">
        <v>18</v>
      </c>
      <c r="J10" s="19" t="s">
        <v>20</v>
      </c>
      <c r="K10" s="19" t="s">
        <v>21</v>
      </c>
      <c r="L10" s="20" t="s">
        <v>22</v>
      </c>
      <c r="M10" s="21" t="s">
        <v>23</v>
      </c>
    </row>
    <row r="11" spans="2:14" s="13" customFormat="1" ht="20.25" customHeight="1">
      <c r="B11" s="33">
        <v>1</v>
      </c>
      <c r="C11" s="34" t="s">
        <v>36</v>
      </c>
      <c r="D11" s="34" t="s">
        <v>37</v>
      </c>
      <c r="E11" s="34" t="s">
        <v>49</v>
      </c>
      <c r="F11" s="34" t="s">
        <v>38</v>
      </c>
      <c r="G11" s="35">
        <v>44878</v>
      </c>
      <c r="H11" s="34" t="s">
        <v>60</v>
      </c>
      <c r="I11" s="22">
        <v>657371</v>
      </c>
      <c r="J11" s="23">
        <v>394690</v>
      </c>
      <c r="K11" s="37">
        <v>0.1</v>
      </c>
      <c r="L11" s="24">
        <f>ROUND(J11*K11,0)</f>
        <v>39469</v>
      </c>
      <c r="M11" s="27"/>
    </row>
    <row r="12" spans="2:14" s="13" customFormat="1" ht="20.25" customHeight="1">
      <c r="B12" s="33">
        <v>2</v>
      </c>
      <c r="C12" s="34" t="s">
        <v>36</v>
      </c>
      <c r="D12" s="34" t="s">
        <v>37</v>
      </c>
      <c r="E12" s="34" t="s">
        <v>49</v>
      </c>
      <c r="F12" s="34" t="s">
        <v>38</v>
      </c>
      <c r="G12" s="35">
        <v>44878</v>
      </c>
      <c r="H12" s="34" t="s">
        <v>61</v>
      </c>
      <c r="I12" s="22">
        <v>1439474</v>
      </c>
      <c r="J12" s="23">
        <v>864107</v>
      </c>
      <c r="K12" s="37">
        <v>0.1</v>
      </c>
      <c r="L12" s="24">
        <f t="shared" ref="L12:L14" si="0">ROUND(J12*K12,0)</f>
        <v>86411</v>
      </c>
      <c r="M12" s="27"/>
    </row>
    <row r="13" spans="2:14" s="13" customFormat="1" ht="20.25" customHeight="1">
      <c r="B13" s="33">
        <v>3</v>
      </c>
      <c r="C13" s="34" t="s">
        <v>36</v>
      </c>
      <c r="D13" s="34" t="s">
        <v>37</v>
      </c>
      <c r="E13" s="34" t="s">
        <v>49</v>
      </c>
      <c r="F13" s="34" t="s">
        <v>38</v>
      </c>
      <c r="G13" s="35">
        <v>44878</v>
      </c>
      <c r="H13" s="34" t="s">
        <v>62</v>
      </c>
      <c r="I13" s="22">
        <v>432324</v>
      </c>
      <c r="J13" s="23">
        <v>259827</v>
      </c>
      <c r="K13" s="37">
        <v>0.1</v>
      </c>
      <c r="L13" s="24">
        <f t="shared" ref="L13" si="1">ROUND(J13*K13,0)</f>
        <v>25983</v>
      </c>
      <c r="M13" s="63"/>
    </row>
    <row r="14" spans="2:14" s="13" customFormat="1" ht="20.25" customHeight="1">
      <c r="B14" s="33">
        <v>4</v>
      </c>
      <c r="C14" s="34" t="s">
        <v>64</v>
      </c>
      <c r="D14" s="34" t="s">
        <v>37</v>
      </c>
      <c r="E14" s="34" t="s">
        <v>65</v>
      </c>
      <c r="F14" s="34" t="s">
        <v>38</v>
      </c>
      <c r="G14" s="35" t="s">
        <v>43</v>
      </c>
      <c r="H14" s="34" t="s">
        <v>43</v>
      </c>
      <c r="I14" s="22">
        <v>35000000</v>
      </c>
      <c r="J14" s="23">
        <v>35000000</v>
      </c>
      <c r="K14" s="37">
        <v>0.1</v>
      </c>
      <c r="L14" s="24">
        <f t="shared" si="0"/>
        <v>3500000</v>
      </c>
      <c r="M14" s="69" t="s">
        <v>66</v>
      </c>
    </row>
    <row r="15" spans="2:14" s="13" customFormat="1" ht="20.25" customHeight="1">
      <c r="B15" s="38"/>
      <c r="C15" s="39"/>
      <c r="D15" s="39"/>
      <c r="E15" s="39"/>
      <c r="F15" s="39"/>
      <c r="G15" s="40"/>
      <c r="H15" s="39"/>
      <c r="I15" s="41"/>
      <c r="J15" s="43"/>
      <c r="K15" s="44"/>
      <c r="L15" s="45"/>
      <c r="M15" s="46"/>
    </row>
    <row r="16" spans="2:14" ht="20.25" customHeight="1">
      <c r="B16" s="298" t="s">
        <v>9</v>
      </c>
      <c r="C16" s="299"/>
      <c r="D16" s="299"/>
      <c r="E16" s="299"/>
      <c r="F16" s="299"/>
      <c r="G16" s="299"/>
      <c r="H16" s="299"/>
      <c r="I16" s="299"/>
      <c r="J16" s="299"/>
      <c r="K16" s="300"/>
      <c r="L16" s="28">
        <f>SUM(L11:L15)</f>
        <v>3651863</v>
      </c>
      <c r="M16" s="29"/>
    </row>
    <row r="17" spans="2:13" ht="11.25" customHeight="1"/>
    <row r="18" spans="2:13">
      <c r="B18" s="17" t="s">
        <v>33</v>
      </c>
      <c r="C18" s="17"/>
    </row>
    <row r="19" spans="2:13" ht="20.100000000000001" customHeight="1">
      <c r="B19" s="65" t="s">
        <v>44</v>
      </c>
      <c r="C19" s="66"/>
      <c r="D19" s="67"/>
      <c r="E19" s="67"/>
      <c r="F19" s="67"/>
      <c r="G19" s="67"/>
      <c r="H19" s="67"/>
      <c r="I19" s="67"/>
      <c r="J19" s="67"/>
      <c r="K19" s="67"/>
      <c r="L19" s="67"/>
      <c r="M19" s="68"/>
    </row>
    <row r="20" spans="2:13" ht="20.25" customHeight="1">
      <c r="B20" s="441" t="s">
        <v>46</v>
      </c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442"/>
    </row>
    <row r="21" spans="2:13" ht="20.25" customHeight="1">
      <c r="B21" s="441" t="s">
        <v>50</v>
      </c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442"/>
    </row>
    <row r="22" spans="2:13" ht="20.100000000000001" customHeight="1">
      <c r="B22" s="50" t="s">
        <v>48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3"/>
    </row>
    <row r="23" spans="2:13" ht="20.25" customHeight="1">
      <c r="B23" s="58" t="s">
        <v>47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7"/>
    </row>
    <row r="24" spans="2:13" ht="20.25" customHeight="1">
      <c r="B24" s="62" t="s">
        <v>51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60"/>
    </row>
    <row r="28" spans="2:13">
      <c r="C28" s="54"/>
      <c r="D28" s="55"/>
      <c r="E28" s="55"/>
      <c r="F28" s="55"/>
      <c r="G28" s="55"/>
    </row>
    <row r="29" spans="2:13">
      <c r="C29" s="54"/>
      <c r="D29" s="55"/>
      <c r="E29" s="55"/>
      <c r="F29" s="61"/>
      <c r="G29" s="55"/>
    </row>
  </sheetData>
  <mergeCells count="11">
    <mergeCell ref="B5:C5"/>
    <mergeCell ref="E5:F5"/>
    <mergeCell ref="J5:K5"/>
    <mergeCell ref="B6:C6"/>
    <mergeCell ref="E6:F6"/>
    <mergeCell ref="J6:K6"/>
    <mergeCell ref="B7:F7"/>
    <mergeCell ref="J7:M7"/>
    <mergeCell ref="B16:K16"/>
    <mergeCell ref="B20:M20"/>
    <mergeCell ref="B21:M21"/>
  </mergeCells>
  <phoneticPr fontId="3" type="noConversion"/>
  <conditionalFormatting sqref="I5 G6">
    <cfRule type="expression" dxfId="2" priority="1">
      <formula>#REF!&lt;0</formula>
    </cfRule>
  </conditionalFormatting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CAFF-479B-41C8-BF75-43E1CEBAC791}">
  <sheetPr>
    <tabColor theme="1"/>
    <pageSetUpPr fitToPage="1"/>
  </sheetPr>
  <dimension ref="B1:N28"/>
  <sheetViews>
    <sheetView showGridLines="0" zoomScaleNormal="100" workbookViewId="0">
      <selection activeCell="C17" sqref="C17:I17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15.59765625" style="1" customWidth="1"/>
    <col min="6" max="6" width="24.19921875" style="1" customWidth="1"/>
    <col min="7" max="8" width="15.3984375" style="1" customWidth="1"/>
    <col min="9" max="9" width="14.69921875" style="1" customWidth="1"/>
    <col min="10" max="10" width="16.59765625" style="1" customWidth="1"/>
    <col min="11" max="11" width="13.09765625" style="1" bestFit="1" customWidth="1"/>
    <col min="12" max="12" width="16.09765625" style="1" bestFit="1" customWidth="1"/>
    <col min="13" max="13" width="29.09765625" style="1" customWidth="1"/>
    <col min="14" max="15" width="2.59765625" style="1" customWidth="1"/>
    <col min="16" max="16" width="10.5" style="1" bestFit="1" customWidth="1"/>
    <col min="17" max="16384" width="9" style="1"/>
  </cols>
  <sheetData>
    <row r="1" spans="2:14" ht="9.9" customHeight="1"/>
    <row r="2" spans="2:14" s="5" customFormat="1" ht="30" customHeight="1">
      <c r="B2" s="2" t="s">
        <v>58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</row>
    <row r="3" spans="2:14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4" ht="9.9" customHeight="1" thickBot="1"/>
    <row r="5" spans="2:14" ht="18.75" customHeight="1">
      <c r="B5" s="317" t="s">
        <v>0</v>
      </c>
      <c r="C5" s="318"/>
      <c r="D5" s="8" t="s">
        <v>1</v>
      </c>
      <c r="E5" s="319" t="s">
        <v>2</v>
      </c>
      <c r="F5" s="319"/>
      <c r="G5" s="7" t="s">
        <v>3</v>
      </c>
      <c r="H5" s="7" t="s">
        <v>4</v>
      </c>
      <c r="I5" s="8" t="s">
        <v>5</v>
      </c>
      <c r="J5" s="443" t="s">
        <v>6</v>
      </c>
      <c r="K5" s="444"/>
      <c r="L5" s="9" t="s">
        <v>7</v>
      </c>
      <c r="M5" s="10" t="s">
        <v>8</v>
      </c>
    </row>
    <row r="6" spans="2:14" ht="18.75" customHeight="1">
      <c r="B6" s="305" t="s">
        <v>24</v>
      </c>
      <c r="C6" s="321"/>
      <c r="D6" s="30">
        <v>45041</v>
      </c>
      <c r="E6" s="322" t="s">
        <v>27</v>
      </c>
      <c r="F6" s="322"/>
      <c r="G6" s="11">
        <f>L15</f>
        <v>215864</v>
      </c>
      <c r="H6" s="12">
        <f>G6*10%</f>
        <v>21586.400000000001</v>
      </c>
      <c r="I6" s="12">
        <f>SUM(G6:H6)</f>
        <v>237450.4</v>
      </c>
      <c r="J6" s="445" t="s">
        <v>26</v>
      </c>
      <c r="K6" s="446"/>
      <c r="L6" s="32">
        <v>45046</v>
      </c>
      <c r="M6" s="31">
        <v>45056</v>
      </c>
      <c r="N6" s="14"/>
    </row>
    <row r="7" spans="2:14" ht="18.75" customHeight="1" thickBot="1">
      <c r="B7" s="301" t="s">
        <v>9</v>
      </c>
      <c r="C7" s="302"/>
      <c r="D7" s="302"/>
      <c r="E7" s="302"/>
      <c r="F7" s="302"/>
      <c r="G7" s="15">
        <f>SUM(G6:G6)</f>
        <v>215864</v>
      </c>
      <c r="H7" s="15">
        <f>SUM(H6:H6)</f>
        <v>21586.400000000001</v>
      </c>
      <c r="I7" s="15">
        <f>SUM(I6:I6)</f>
        <v>237450.4</v>
      </c>
      <c r="J7" s="324" t="s">
        <v>10</v>
      </c>
      <c r="K7" s="303"/>
      <c r="L7" s="303"/>
      <c r="M7" s="304"/>
      <c r="N7" s="16"/>
    </row>
    <row r="8" spans="2:14" ht="12.9" customHeight="1"/>
    <row r="9" spans="2:14">
      <c r="B9" s="17" t="s">
        <v>25</v>
      </c>
      <c r="C9" s="17"/>
    </row>
    <row r="10" spans="2:14" s="13" customFormat="1" ht="20.25" customHeight="1">
      <c r="B10" s="18" t="s">
        <v>11</v>
      </c>
      <c r="C10" s="19" t="s">
        <v>12</v>
      </c>
      <c r="D10" s="19" t="s">
        <v>13</v>
      </c>
      <c r="E10" s="19" t="s">
        <v>14</v>
      </c>
      <c r="F10" s="19" t="s">
        <v>15</v>
      </c>
      <c r="G10" s="19" t="s">
        <v>16</v>
      </c>
      <c r="H10" s="19" t="s">
        <v>17</v>
      </c>
      <c r="I10" s="19" t="s">
        <v>18</v>
      </c>
      <c r="J10" s="19" t="s">
        <v>20</v>
      </c>
      <c r="K10" s="19" t="s">
        <v>21</v>
      </c>
      <c r="L10" s="20" t="s">
        <v>22</v>
      </c>
      <c r="M10" s="21" t="s">
        <v>23</v>
      </c>
    </row>
    <row r="11" spans="2:14" s="13" customFormat="1" ht="20.25" customHeight="1">
      <c r="B11" s="33">
        <v>1</v>
      </c>
      <c r="C11" s="34" t="s">
        <v>36</v>
      </c>
      <c r="D11" s="34" t="s">
        <v>37</v>
      </c>
      <c r="E11" s="34" t="s">
        <v>49</v>
      </c>
      <c r="F11" s="34" t="s">
        <v>38</v>
      </c>
      <c r="G11" s="35">
        <v>44878</v>
      </c>
      <c r="H11" s="34" t="s">
        <v>56</v>
      </c>
      <c r="I11" s="22">
        <v>792368</v>
      </c>
      <c r="J11" s="23">
        <v>475525</v>
      </c>
      <c r="K11" s="37">
        <v>0.1</v>
      </c>
      <c r="L11" s="24">
        <f>ROUND(J11*K11,0)</f>
        <v>47553</v>
      </c>
      <c r="M11" s="27"/>
    </row>
    <row r="12" spans="2:14" s="13" customFormat="1" ht="20.25" customHeight="1">
      <c r="B12" s="33">
        <v>2</v>
      </c>
      <c r="C12" s="34" t="s">
        <v>36</v>
      </c>
      <c r="D12" s="34" t="s">
        <v>37</v>
      </c>
      <c r="E12" s="34" t="s">
        <v>49</v>
      </c>
      <c r="F12" s="34" t="s">
        <v>38</v>
      </c>
      <c r="G12" s="35">
        <v>44878</v>
      </c>
      <c r="H12" s="34" t="s">
        <v>55</v>
      </c>
      <c r="I12" s="22">
        <v>2039933</v>
      </c>
      <c r="J12" s="23">
        <v>1224230</v>
      </c>
      <c r="K12" s="37">
        <v>0.1</v>
      </c>
      <c r="L12" s="24">
        <f t="shared" ref="L12:L13" si="0">ROUND(J12*K12,0)</f>
        <v>122423</v>
      </c>
      <c r="M12" s="27"/>
    </row>
    <row r="13" spans="2:14" s="13" customFormat="1" ht="20.25" customHeight="1">
      <c r="B13" s="33">
        <v>3</v>
      </c>
      <c r="C13" s="34" t="s">
        <v>36</v>
      </c>
      <c r="D13" s="34" t="s">
        <v>37</v>
      </c>
      <c r="E13" s="34" t="s">
        <v>49</v>
      </c>
      <c r="F13" s="34" t="s">
        <v>38</v>
      </c>
      <c r="G13" s="35">
        <v>44878</v>
      </c>
      <c r="H13" s="34" t="s">
        <v>57</v>
      </c>
      <c r="I13" s="22">
        <v>763210</v>
      </c>
      <c r="J13" s="23">
        <v>458884</v>
      </c>
      <c r="K13" s="37">
        <v>0.1</v>
      </c>
      <c r="L13" s="24">
        <f t="shared" si="0"/>
        <v>45888</v>
      </c>
      <c r="M13" s="63"/>
    </row>
    <row r="14" spans="2:14" s="13" customFormat="1" ht="20.25" customHeight="1">
      <c r="B14" s="38"/>
      <c r="C14" s="39"/>
      <c r="D14" s="39"/>
      <c r="E14" s="39"/>
      <c r="F14" s="39"/>
      <c r="G14" s="40"/>
      <c r="H14" s="39"/>
      <c r="I14" s="41"/>
      <c r="J14" s="43"/>
      <c r="K14" s="44"/>
      <c r="L14" s="45"/>
      <c r="M14" s="46"/>
    </row>
    <row r="15" spans="2:14" ht="20.25" customHeight="1">
      <c r="B15" s="298" t="s">
        <v>9</v>
      </c>
      <c r="C15" s="299"/>
      <c r="D15" s="299"/>
      <c r="E15" s="299"/>
      <c r="F15" s="299"/>
      <c r="G15" s="299"/>
      <c r="H15" s="299"/>
      <c r="I15" s="299"/>
      <c r="J15" s="299"/>
      <c r="K15" s="300"/>
      <c r="L15" s="28">
        <f>SUM(L11:L14)</f>
        <v>215864</v>
      </c>
      <c r="M15" s="29"/>
    </row>
    <row r="16" spans="2:14" ht="11.25" customHeight="1"/>
    <row r="17" spans="2:13">
      <c r="B17" s="17" t="s">
        <v>33</v>
      </c>
      <c r="C17" s="17"/>
    </row>
    <row r="18" spans="2:13" ht="20.100000000000001" customHeight="1">
      <c r="B18" s="65" t="s">
        <v>44</v>
      </c>
      <c r="C18" s="66"/>
      <c r="D18" s="67"/>
      <c r="E18" s="67"/>
      <c r="F18" s="67"/>
      <c r="G18" s="67"/>
      <c r="H18" s="67"/>
      <c r="I18" s="67"/>
      <c r="J18" s="67"/>
      <c r="K18" s="67"/>
      <c r="L18" s="67"/>
      <c r="M18" s="68"/>
    </row>
    <row r="19" spans="2:13" ht="20.25" customHeight="1">
      <c r="B19" s="441" t="s">
        <v>46</v>
      </c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442"/>
    </row>
    <row r="20" spans="2:13" ht="20.25" customHeight="1">
      <c r="B20" s="441" t="s">
        <v>50</v>
      </c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442"/>
    </row>
    <row r="21" spans="2:13" ht="20.100000000000001" customHeight="1">
      <c r="B21" s="50" t="s">
        <v>48</v>
      </c>
      <c r="C21" s="51"/>
      <c r="D21" s="52"/>
      <c r="E21" s="52"/>
      <c r="F21" s="52"/>
      <c r="G21" s="52"/>
      <c r="H21" s="52"/>
      <c r="I21" s="52"/>
      <c r="J21" s="52"/>
      <c r="K21" s="52"/>
      <c r="L21" s="52"/>
      <c r="M21" s="53"/>
    </row>
    <row r="22" spans="2:13" ht="20.25" customHeight="1">
      <c r="B22" s="58" t="s">
        <v>47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7"/>
    </row>
    <row r="23" spans="2:13" ht="20.25" customHeight="1">
      <c r="B23" s="62" t="s">
        <v>51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60"/>
    </row>
    <row r="27" spans="2:13">
      <c r="C27" s="54"/>
      <c r="D27" s="55"/>
      <c r="E27" s="55"/>
      <c r="F27" s="55"/>
      <c r="G27" s="55"/>
    </row>
    <row r="28" spans="2:13">
      <c r="C28" s="54"/>
      <c r="D28" s="55"/>
      <c r="E28" s="55"/>
      <c r="F28" s="61"/>
      <c r="G28" s="55"/>
    </row>
  </sheetData>
  <mergeCells count="11">
    <mergeCell ref="B19:M19"/>
    <mergeCell ref="B20:M20"/>
    <mergeCell ref="B5:C5"/>
    <mergeCell ref="E5:F5"/>
    <mergeCell ref="B6:C6"/>
    <mergeCell ref="E6:F6"/>
    <mergeCell ref="J5:K5"/>
    <mergeCell ref="J6:K6"/>
    <mergeCell ref="J7:M7"/>
    <mergeCell ref="B7:F7"/>
    <mergeCell ref="B15:K15"/>
  </mergeCells>
  <phoneticPr fontId="3" type="noConversion"/>
  <conditionalFormatting sqref="I5 G6">
    <cfRule type="expression" dxfId="1" priority="1">
      <formula>#REF!&lt;0</formula>
    </cfRule>
  </conditionalFormatting>
  <pageMargins left="0.7" right="0.7" top="0.75" bottom="0.75" header="0.3" footer="0.3"/>
  <pageSetup paperSize="9" scale="6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C3A3-A76D-4E76-B826-5AC338FEBCAD}">
  <sheetPr>
    <tabColor theme="1"/>
    <pageSetUpPr fitToPage="1"/>
  </sheetPr>
  <dimension ref="B1:O29"/>
  <sheetViews>
    <sheetView showGridLines="0" zoomScaleNormal="100" workbookViewId="0">
      <selection activeCell="C17" sqref="C17:I17"/>
    </sheetView>
  </sheetViews>
  <sheetFormatPr defaultColWidth="9" defaultRowHeight="17.399999999999999"/>
  <cols>
    <col min="1" max="1" width="2.59765625" style="1" customWidth="1"/>
    <col min="2" max="2" width="4.59765625" style="1" customWidth="1"/>
    <col min="3" max="3" width="10.3984375" style="1" customWidth="1"/>
    <col min="4" max="4" width="12.19921875" style="1" customWidth="1"/>
    <col min="5" max="5" width="15.59765625" style="1" customWidth="1"/>
    <col min="6" max="6" width="24.19921875" style="1" customWidth="1"/>
    <col min="7" max="8" width="15.3984375" style="1" customWidth="1"/>
    <col min="9" max="9" width="14.69921875" style="1" customWidth="1"/>
    <col min="10" max="10" width="12.5" style="1" customWidth="1"/>
    <col min="11" max="11" width="14.59765625" style="1" bestFit="1" customWidth="1"/>
    <col min="12" max="12" width="13.09765625" style="1" bestFit="1" customWidth="1"/>
    <col min="13" max="13" width="16.09765625" style="1" bestFit="1" customWidth="1"/>
    <col min="14" max="14" width="29.09765625" style="1" customWidth="1"/>
    <col min="15" max="16" width="2.59765625" style="1" customWidth="1"/>
    <col min="17" max="17" width="10.5" style="1" bestFit="1" customWidth="1"/>
    <col min="18" max="16384" width="9" style="1"/>
  </cols>
  <sheetData>
    <row r="1" spans="2:15" ht="9.9" customHeight="1"/>
    <row r="2" spans="2:15" s="5" customFormat="1" ht="30" customHeight="1">
      <c r="B2" s="2" t="s">
        <v>52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</row>
    <row r="3" spans="2:15" ht="3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5" ht="9.9" customHeight="1" thickBot="1"/>
    <row r="5" spans="2:15" ht="18.75" customHeight="1">
      <c r="B5" s="317" t="s">
        <v>0</v>
      </c>
      <c r="C5" s="318"/>
      <c r="D5" s="8" t="s">
        <v>1</v>
      </c>
      <c r="E5" s="319" t="s">
        <v>2</v>
      </c>
      <c r="F5" s="319"/>
      <c r="G5" s="7" t="s">
        <v>3</v>
      </c>
      <c r="H5" s="7" t="s">
        <v>4</v>
      </c>
      <c r="I5" s="8" t="s">
        <v>5</v>
      </c>
      <c r="J5" s="320" t="s">
        <v>6</v>
      </c>
      <c r="K5" s="320"/>
      <c r="L5" s="320"/>
      <c r="M5" s="9" t="s">
        <v>7</v>
      </c>
      <c r="N5" s="10" t="s">
        <v>8</v>
      </c>
    </row>
    <row r="6" spans="2:15" ht="18.75" customHeight="1">
      <c r="B6" s="305" t="s">
        <v>24</v>
      </c>
      <c r="C6" s="321"/>
      <c r="D6" s="30">
        <v>44951</v>
      </c>
      <c r="E6" s="322" t="s">
        <v>34</v>
      </c>
      <c r="F6" s="322"/>
      <c r="G6" s="11">
        <f>M16</f>
        <v>9760852.5999999996</v>
      </c>
      <c r="H6" s="12">
        <f>G6*10%</f>
        <v>976085.26</v>
      </c>
      <c r="I6" s="12">
        <f>SUM(G6:H6)</f>
        <v>10736937.859999999</v>
      </c>
      <c r="J6" s="323" t="s">
        <v>26</v>
      </c>
      <c r="K6" s="323"/>
      <c r="L6" s="323"/>
      <c r="M6" s="32">
        <v>44957</v>
      </c>
      <c r="N6" s="31">
        <v>44967</v>
      </c>
      <c r="O6" s="14"/>
    </row>
    <row r="7" spans="2:15" ht="18.75" customHeight="1" thickBot="1">
      <c r="B7" s="301" t="s">
        <v>9</v>
      </c>
      <c r="C7" s="302"/>
      <c r="D7" s="302"/>
      <c r="E7" s="302"/>
      <c r="F7" s="302"/>
      <c r="G7" s="15">
        <f>SUM(G6:G6)</f>
        <v>9760852.5999999996</v>
      </c>
      <c r="H7" s="15">
        <f>SUM(H6:H6)</f>
        <v>976085.26</v>
      </c>
      <c r="I7" s="15">
        <f>SUM(I6:I6)</f>
        <v>10736937.859999999</v>
      </c>
      <c r="J7" s="324" t="s">
        <v>10</v>
      </c>
      <c r="K7" s="303"/>
      <c r="L7" s="303"/>
      <c r="M7" s="303"/>
      <c r="N7" s="304"/>
      <c r="O7" s="16"/>
    </row>
    <row r="8" spans="2:15" ht="12.9" customHeight="1"/>
    <row r="9" spans="2:15">
      <c r="B9" s="17" t="s">
        <v>25</v>
      </c>
      <c r="C9" s="17"/>
    </row>
    <row r="10" spans="2:15" s="13" customFormat="1" ht="20.25" customHeight="1">
      <c r="B10" s="18" t="s">
        <v>11</v>
      </c>
      <c r="C10" s="19" t="s">
        <v>12</v>
      </c>
      <c r="D10" s="19" t="s">
        <v>13</v>
      </c>
      <c r="E10" s="19" t="s">
        <v>14</v>
      </c>
      <c r="F10" s="19" t="s">
        <v>15</v>
      </c>
      <c r="G10" s="19" t="s">
        <v>16</v>
      </c>
      <c r="H10" s="19" t="s">
        <v>17</v>
      </c>
      <c r="I10" s="19" t="s">
        <v>18</v>
      </c>
      <c r="J10" s="19" t="s">
        <v>40</v>
      </c>
      <c r="K10" s="19" t="s">
        <v>20</v>
      </c>
      <c r="L10" s="19" t="s">
        <v>21</v>
      </c>
      <c r="M10" s="20" t="s">
        <v>22</v>
      </c>
      <c r="N10" s="21" t="s">
        <v>23</v>
      </c>
    </row>
    <row r="11" spans="2:15" s="13" customFormat="1" ht="20.25" customHeight="1">
      <c r="B11" s="33">
        <v>1</v>
      </c>
      <c r="C11" s="34" t="s">
        <v>36</v>
      </c>
      <c r="D11" s="34" t="s">
        <v>37</v>
      </c>
      <c r="E11" s="34" t="s">
        <v>49</v>
      </c>
      <c r="F11" s="34" t="s">
        <v>38</v>
      </c>
      <c r="G11" s="35">
        <v>44878</v>
      </c>
      <c r="H11" s="34" t="s">
        <v>39</v>
      </c>
      <c r="I11" s="22">
        <v>3437785</v>
      </c>
      <c r="J11" s="36">
        <v>0.6</v>
      </c>
      <c r="K11" s="23">
        <v>2062671</v>
      </c>
      <c r="L11" s="37">
        <v>0.1</v>
      </c>
      <c r="M11" s="24">
        <f>K11*L11</f>
        <v>206267.1</v>
      </c>
      <c r="N11" s="27"/>
    </row>
    <row r="12" spans="2:15" s="13" customFormat="1" ht="20.25" customHeight="1">
      <c r="B12" s="33">
        <v>2</v>
      </c>
      <c r="C12" s="34" t="s">
        <v>36</v>
      </c>
      <c r="D12" s="34" t="s">
        <v>37</v>
      </c>
      <c r="E12" s="34" t="s">
        <v>49</v>
      </c>
      <c r="F12" s="34" t="s">
        <v>38</v>
      </c>
      <c r="G12" s="35">
        <v>44878</v>
      </c>
      <c r="H12" s="34" t="s">
        <v>45</v>
      </c>
      <c r="I12" s="22">
        <v>909759</v>
      </c>
      <c r="J12" s="36">
        <v>0.6</v>
      </c>
      <c r="K12" s="23">
        <v>545855</v>
      </c>
      <c r="L12" s="37">
        <v>0.1</v>
      </c>
      <c r="M12" s="24">
        <f>K12*L12</f>
        <v>54585.5</v>
      </c>
      <c r="N12" s="27"/>
    </row>
    <row r="13" spans="2:15" s="13" customFormat="1" ht="20.25" customHeight="1">
      <c r="B13" s="33">
        <v>3</v>
      </c>
      <c r="C13" s="34" t="s">
        <v>41</v>
      </c>
      <c r="D13" s="34" t="s">
        <v>35</v>
      </c>
      <c r="E13" s="34" t="s">
        <v>42</v>
      </c>
      <c r="F13" s="34" t="s">
        <v>38</v>
      </c>
      <c r="G13" s="35" t="s">
        <v>43</v>
      </c>
      <c r="H13" s="34" t="s">
        <v>43</v>
      </c>
      <c r="I13" s="22">
        <v>60000000</v>
      </c>
      <c r="J13" s="36" t="s">
        <v>43</v>
      </c>
      <c r="K13" s="23">
        <v>60000000</v>
      </c>
      <c r="L13" s="37">
        <v>0.1</v>
      </c>
      <c r="M13" s="24">
        <f>K13*L13</f>
        <v>6000000</v>
      </c>
      <c r="N13" s="63" t="s">
        <v>53</v>
      </c>
    </row>
    <row r="14" spans="2:15" s="13" customFormat="1" ht="20.25" customHeight="1">
      <c r="B14" s="33">
        <v>4</v>
      </c>
      <c r="C14" s="34" t="s">
        <v>41</v>
      </c>
      <c r="D14" s="34" t="s">
        <v>35</v>
      </c>
      <c r="E14" s="34" t="s">
        <v>42</v>
      </c>
      <c r="F14" s="34" t="s">
        <v>38</v>
      </c>
      <c r="G14" s="35" t="s">
        <v>43</v>
      </c>
      <c r="H14" s="34" t="s">
        <v>43</v>
      </c>
      <c r="I14" s="22">
        <v>35000000</v>
      </c>
      <c r="J14" s="36" t="s">
        <v>43</v>
      </c>
      <c r="K14" s="23">
        <v>35000000</v>
      </c>
      <c r="L14" s="37">
        <v>0.1</v>
      </c>
      <c r="M14" s="24">
        <f t="shared" ref="M14" si="0">K14*L14</f>
        <v>3500000</v>
      </c>
      <c r="N14" s="64" t="s">
        <v>54</v>
      </c>
    </row>
    <row r="15" spans="2:15" s="13" customFormat="1" ht="20.25" customHeight="1">
      <c r="B15" s="38"/>
      <c r="C15" s="39"/>
      <c r="D15" s="39"/>
      <c r="E15" s="39"/>
      <c r="F15" s="39"/>
      <c r="G15" s="40"/>
      <c r="H15" s="39"/>
      <c r="I15" s="41"/>
      <c r="J15" s="42"/>
      <c r="K15" s="43"/>
      <c r="L15" s="44"/>
      <c r="M15" s="45"/>
      <c r="N15" s="46"/>
    </row>
    <row r="16" spans="2:15" ht="20.25" customHeight="1">
      <c r="B16" s="298" t="s">
        <v>9</v>
      </c>
      <c r="C16" s="299"/>
      <c r="D16" s="299"/>
      <c r="E16" s="299"/>
      <c r="F16" s="299"/>
      <c r="G16" s="299"/>
      <c r="H16" s="299"/>
      <c r="I16" s="299"/>
      <c r="J16" s="299"/>
      <c r="K16" s="299"/>
      <c r="L16" s="300"/>
      <c r="M16" s="28">
        <f>SUM(M11:M15)</f>
        <v>9760852.5999999996</v>
      </c>
      <c r="N16" s="29"/>
    </row>
    <row r="17" spans="2:14" ht="11.25" customHeight="1"/>
    <row r="18" spans="2:14">
      <c r="B18" s="17" t="s">
        <v>33</v>
      </c>
      <c r="C18" s="17"/>
    </row>
    <row r="19" spans="2:14" ht="20.100000000000001" customHeight="1">
      <c r="B19" s="65" t="s">
        <v>44</v>
      </c>
      <c r="C19" s="66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8"/>
    </row>
    <row r="20" spans="2:14" ht="20.25" customHeight="1">
      <c r="B20" s="441" t="s">
        <v>46</v>
      </c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442"/>
    </row>
    <row r="21" spans="2:14" ht="20.25" customHeight="1">
      <c r="B21" s="441" t="s">
        <v>50</v>
      </c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442"/>
    </row>
    <row r="22" spans="2:14" ht="20.100000000000001" customHeight="1">
      <c r="B22" s="50" t="s">
        <v>48</v>
      </c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3"/>
    </row>
    <row r="23" spans="2:14" ht="20.25" customHeight="1">
      <c r="B23" s="58" t="s">
        <v>47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7"/>
    </row>
    <row r="24" spans="2:14" ht="20.25" customHeight="1">
      <c r="B24" s="62" t="s">
        <v>51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60"/>
    </row>
    <row r="28" spans="2:14">
      <c r="C28" s="54"/>
      <c r="D28" s="55"/>
      <c r="E28" s="55"/>
      <c r="F28" s="55"/>
      <c r="G28" s="55"/>
    </row>
    <row r="29" spans="2:14">
      <c r="C29" s="54"/>
      <c r="D29" s="55"/>
      <c r="E29" s="55"/>
      <c r="F29" s="61"/>
      <c r="G29" s="55"/>
    </row>
  </sheetData>
  <mergeCells count="11">
    <mergeCell ref="B20:N20"/>
    <mergeCell ref="B7:F7"/>
    <mergeCell ref="J7:N7"/>
    <mergeCell ref="B16:L16"/>
    <mergeCell ref="B21:N21"/>
    <mergeCell ref="B5:C5"/>
    <mergeCell ref="E5:F5"/>
    <mergeCell ref="J5:L5"/>
    <mergeCell ref="B6:C6"/>
    <mergeCell ref="E6:F6"/>
    <mergeCell ref="J6:L6"/>
  </mergeCells>
  <phoneticPr fontId="3" type="noConversion"/>
  <conditionalFormatting sqref="I5 G6">
    <cfRule type="expression" dxfId="0" priority="1">
      <formula>#REF!&lt;0</formula>
    </cfRule>
  </conditionalFormatting>
  <pageMargins left="0.7" right="0.7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11</vt:i4>
      </vt:variant>
    </vt:vector>
  </HeadingPairs>
  <TitlesOfParts>
    <vt:vector size="26" baseType="lpstr">
      <vt:lpstr>2023.1Q_수정중</vt:lpstr>
      <vt:lpstr>테라핀_사업자(환율)</vt:lpstr>
      <vt:lpstr>테라핀_사업자</vt:lpstr>
      <vt:lpstr>테라핀_개인</vt:lpstr>
      <vt:lpstr>테라핀_해외</vt:lpstr>
      <vt:lpstr>수성_기초</vt:lpstr>
      <vt:lpstr>2024.4Q</vt:lpstr>
      <vt:lpstr>2024.3Q</vt:lpstr>
      <vt:lpstr>2024.2Q</vt:lpstr>
      <vt:lpstr>2024.1Q</vt:lpstr>
      <vt:lpstr>2023.4Q</vt:lpstr>
      <vt:lpstr>2023.3Q</vt:lpstr>
      <vt:lpstr>2023.2Q</vt:lpstr>
      <vt:lpstr>2023.1Q</vt:lpstr>
      <vt:lpstr>2022.4Q</vt:lpstr>
      <vt:lpstr>'2022.4Q'!Print_Area</vt:lpstr>
      <vt:lpstr>'2023.1Q'!Print_Area</vt:lpstr>
      <vt:lpstr>'2023.1Q_수정중'!Print_Area</vt:lpstr>
      <vt:lpstr>'2023.2Q'!Print_Area</vt:lpstr>
      <vt:lpstr>'2023.3Q'!Print_Area</vt:lpstr>
      <vt:lpstr>'2023.4Q'!Print_Area</vt:lpstr>
      <vt:lpstr>'2024.1Q'!Print_Area</vt:lpstr>
      <vt:lpstr>'2024.2Q'!Print_Area</vt:lpstr>
      <vt:lpstr>'2024.3Q'!Print_Area</vt:lpstr>
      <vt:lpstr>'2024.4Q'!Print_Area</vt:lpstr>
      <vt:lpstr>'테라핀_사업자(환율)'!Print_Area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신수연</cp:lastModifiedBy>
  <cp:lastPrinted>2026-04-23T08:22:37Z</cp:lastPrinted>
  <dcterms:created xsi:type="dcterms:W3CDTF">2022-10-07T01:31:14Z</dcterms:created>
  <dcterms:modified xsi:type="dcterms:W3CDTF">2026-06-24T03:21:04Z</dcterms:modified>
</cp:coreProperties>
</file>