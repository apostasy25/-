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[04-4] 정산파트\03 정산파트 참고자료\005 수성웹툰 관련자료\003 정산업무\01-3 매출 지급일 기준\001 ★매출 정산서\"/>
    </mc:Choice>
  </mc:AlternateContent>
  <xr:revisionPtr revIDLastSave="0" documentId="13_ncr:1_{A30EBC0B-F270-470F-973B-6A011DA9B560}" xr6:coauthVersionLast="47" xr6:coauthVersionMax="47" xr10:uidLastSave="{00000000-0000-0000-0000-000000000000}"/>
  <bookViews>
    <workbookView xWindow="30612" yWindow="-108" windowWidth="30936" windowHeight="16896" tabRatio="877" xr2:uid="{00000000-000D-0000-FFFF-FFFF00000000}"/>
  </bookViews>
  <sheets>
    <sheet name="26.07" sheetId="86" r:id="rId1"/>
    <sheet name="26.06" sheetId="85" r:id="rId2"/>
    <sheet name="26.05" sheetId="84" r:id="rId3"/>
    <sheet name="26.04" sheetId="83" r:id="rId4"/>
    <sheet name="26.03" sheetId="82" r:id="rId5"/>
    <sheet name="26.02" sheetId="81" r:id="rId6"/>
    <sheet name="26.01&gt;" sheetId="80" r:id="rId7"/>
    <sheet name="list" sheetId="13" r:id="rId8"/>
    <sheet name="&lt;25.12" sheetId="79" state="hidden" r:id="rId9"/>
    <sheet name="25.11" sheetId="78" state="hidden" r:id="rId10"/>
    <sheet name="25.10" sheetId="77" state="hidden" r:id="rId11"/>
    <sheet name="25.09" sheetId="76" state="hidden" r:id="rId12"/>
    <sheet name="25.08" sheetId="75" state="hidden" r:id="rId13"/>
    <sheet name="25.07" sheetId="74" state="hidden" r:id="rId14"/>
    <sheet name="25.06" sheetId="73" state="hidden" r:id="rId15"/>
    <sheet name="25.05" sheetId="72" state="hidden" r:id="rId16"/>
    <sheet name="25.04" sheetId="71" state="hidden" r:id="rId17"/>
    <sheet name="25.03" sheetId="70" state="hidden" r:id="rId18"/>
    <sheet name="25.02" sheetId="69" state="hidden" r:id="rId19"/>
    <sheet name="25.01&gt;" sheetId="68" state="hidden" r:id="rId20"/>
    <sheet name="&lt;24.12" sheetId="67" state="hidden" r:id="rId21"/>
    <sheet name="24.11" sheetId="66" state="hidden" r:id="rId22"/>
    <sheet name="24.10" sheetId="65" state="hidden" r:id="rId23"/>
    <sheet name="24.09&gt;" sheetId="64" state="hidden" r:id="rId24"/>
    <sheet name="&lt;2022.12월" sheetId="28" state="hidden" r:id="rId25"/>
    <sheet name="11월" sheetId="26" state="hidden" r:id="rId26"/>
    <sheet name="10월" sheetId="25" state="hidden" r:id="rId27"/>
    <sheet name="9월" sheetId="24" state="hidden" r:id="rId28"/>
    <sheet name="8월" sheetId="23" state="hidden" r:id="rId29"/>
    <sheet name="7월" sheetId="22" state="hidden" r:id="rId30"/>
    <sheet name="6월" sheetId="20" state="hidden" r:id="rId31"/>
    <sheet name="5월" sheetId="19" state="hidden" r:id="rId32"/>
    <sheet name="4월" sheetId="18" state="hidden" r:id="rId33"/>
    <sheet name="3월" sheetId="16" state="hidden" r:id="rId34"/>
    <sheet name="2월" sheetId="11" state="hidden" r:id="rId35"/>
    <sheet name="1월&gt;" sheetId="10" state="hidden" r:id="rId36"/>
    <sheet name="&lt;2021.12" sheetId="9" state="hidden" r:id="rId37"/>
    <sheet name="11" sheetId="8" state="hidden" r:id="rId38"/>
    <sheet name="10" sheetId="7" state="hidden" r:id="rId39"/>
    <sheet name="09&gt;" sheetId="2" state="hidden" r:id="rId40"/>
  </sheets>
  <externalReferences>
    <externalReference r:id="rId41"/>
    <externalReference r:id="rId42"/>
  </externalReferences>
  <definedNames>
    <definedName name="_xlnm._FilterDatabase" localSheetId="36" hidden="1">'&lt;2021.12'!$B$4:$P$166</definedName>
    <definedName name="_xlnm._FilterDatabase" localSheetId="24" hidden="1">'&lt;2022.12월'!$B$5:$Q$288</definedName>
    <definedName name="_xlnm._FilterDatabase" localSheetId="20" hidden="1">'&lt;24.12'!$B$5:$R$133</definedName>
    <definedName name="_xlnm._FilterDatabase" localSheetId="8" hidden="1">'&lt;25.12'!$B$5:$R$106</definedName>
    <definedName name="_xlnm._FilterDatabase" localSheetId="39" hidden="1">'09&gt;'!$B$4:$P$154</definedName>
    <definedName name="_xlnm._FilterDatabase" localSheetId="38" hidden="1">'10'!$B$4:$P$101</definedName>
    <definedName name="_xlnm._FilterDatabase" localSheetId="26" hidden="1">'10월'!$A$5:$Q$297</definedName>
    <definedName name="_xlnm._FilterDatabase" localSheetId="37" hidden="1">'11'!$B$4:$O$125</definedName>
    <definedName name="_xlnm._FilterDatabase" localSheetId="25" hidden="1">'11월'!$B$5:$Q$258</definedName>
    <definedName name="_xlnm._FilterDatabase" localSheetId="35" hidden="1">'1월&gt;'!$B$4:$P$140</definedName>
    <definedName name="_xlnm._FilterDatabase" localSheetId="23" hidden="1">'24.09&gt;'!$B$5:$R$60</definedName>
    <definedName name="_xlnm._FilterDatabase" localSheetId="22" hidden="1">'24.10'!$B$5:$R$80</definedName>
    <definedName name="_xlnm._FilterDatabase" localSheetId="21" hidden="1">'24.11'!$B$5:$R$92</definedName>
    <definedName name="_xlnm._FilterDatabase" localSheetId="19" hidden="1">'25.01&gt;'!$B$5:$R$124</definedName>
    <definedName name="_xlnm._FilterDatabase" localSheetId="18" hidden="1">'25.02'!$B$5:$R$93</definedName>
    <definedName name="_xlnm._FilterDatabase" localSheetId="17" hidden="1">'25.03'!$B$5:$R$94</definedName>
    <definedName name="_xlnm._FilterDatabase" localSheetId="16" hidden="1">'25.04'!$B$5:$R$96</definedName>
    <definedName name="_xlnm._FilterDatabase" localSheetId="15" hidden="1">'25.05'!$B$5:$R$96</definedName>
    <definedName name="_xlnm._FilterDatabase" localSheetId="14" hidden="1">'25.06'!$B$5:$R$140</definedName>
    <definedName name="_xlnm._FilterDatabase" localSheetId="13" hidden="1">'25.07'!$B$5:$R$117</definedName>
    <definedName name="_xlnm._FilterDatabase" localSheetId="12" hidden="1">'25.08'!$B$5:$R$120</definedName>
    <definedName name="_xlnm._FilterDatabase" localSheetId="11" hidden="1">'25.09'!$B$5:$R$138</definedName>
    <definedName name="_xlnm._FilterDatabase" localSheetId="10" hidden="1">'25.10'!$B$5:$R$108</definedName>
    <definedName name="_xlnm._FilterDatabase" localSheetId="9" hidden="1">'25.11'!$B$5:$R$109</definedName>
    <definedName name="_xlnm._FilterDatabase" localSheetId="6" hidden="1">'26.01&gt;'!$B$5:$R$108</definedName>
    <definedName name="_xlnm._FilterDatabase" localSheetId="5" hidden="1">'26.02'!$B$5:$R$121</definedName>
    <definedName name="_xlnm._FilterDatabase" localSheetId="4" hidden="1">'26.03'!$B$5:$R$111</definedName>
    <definedName name="_xlnm._FilterDatabase" localSheetId="3" hidden="1">'26.04'!$B$5:$R$112</definedName>
    <definedName name="_xlnm._FilterDatabase" localSheetId="2" hidden="1">'26.05'!$B$5:$R$118</definedName>
    <definedName name="_xlnm._FilterDatabase" localSheetId="1" hidden="1">'26.06'!$B$5:$R$130</definedName>
    <definedName name="_xlnm._FilterDatabase" localSheetId="0" hidden="1">'26.07'!$B$5:$R$119</definedName>
    <definedName name="_xlnm._FilterDatabase" localSheetId="34" hidden="1">'2월'!$B$4:$P$145</definedName>
    <definedName name="_xlnm._FilterDatabase" localSheetId="33" hidden="1">'3월'!$B$4:$P$173</definedName>
    <definedName name="_xlnm._FilterDatabase" localSheetId="32" hidden="1">'4월'!$B$4:$P$172</definedName>
    <definedName name="_xlnm._FilterDatabase" localSheetId="31" hidden="1">'5월'!$B$4:$P$160</definedName>
    <definedName name="_xlnm._FilterDatabase" localSheetId="30" hidden="1">'6월'!$B$4:$Q$213</definedName>
    <definedName name="_xlnm._FilterDatabase" localSheetId="29" hidden="1">'7월'!$A$4:$Q$212</definedName>
    <definedName name="_xlnm._FilterDatabase" localSheetId="28" hidden="1">'8월'!$A$5:$Q$188</definedName>
    <definedName name="_xlnm._FilterDatabase" localSheetId="27" hidden="1">'9월'!$A$5:$Q$258</definedName>
    <definedName name="_xlnm._FilterDatabase" localSheetId="7" hidden="1">list!$B$3:$G$22</definedName>
    <definedName name="DayToStart">#REF!</definedName>
    <definedName name="MonthToDisplay">#REF!</definedName>
    <definedName name="MonthToDisplayNumber">MATCH([1]!MonthToDisplay,월,0)</definedName>
    <definedName name="weekdays_reversed">{"일요일","토요일","금요일","목요일","수요일","화요일","월요일"}</definedName>
    <definedName name="날짜눈금">요일+주*7</definedName>
    <definedName name="날짜패턴">{1,1,2,2,3,3,4,4,5,5,6,6,7}</definedName>
    <definedName name="ㄹ">#REF!</definedName>
    <definedName name="요일">{0,1,2,3,4,5,6}</definedName>
    <definedName name="요일_옵션">MATCH(DayToStart,weekdays_reversed,0)-2</definedName>
    <definedName name="월">{"1월","2월","3월","4월","5월","6월","7월","8월","9월","10월","11월","12월"}</definedName>
    <definedName name="이름_IP소유">[2]!테이블_IP소유[IP소유]</definedName>
    <definedName name="이름_레이블정보">[2]!테이블_레이블정보[발행자
(한글)]</definedName>
    <definedName name="이름_발행처구분">[2]!테이블_발행처구분[발행처
구분]</definedName>
    <definedName name="이름_발행처유형명">[2]!테이블_발행처유형명[발행처
유형명]</definedName>
    <definedName name="이름_부가세">[2]!테이블_부가세[부가세]</definedName>
    <definedName name="이름_사업자상태">[2]!테이블_사업자상태[사업자
상태]</definedName>
    <definedName name="이름_신고구분">[2]!테이블_신고구분[신고
구분]</definedName>
    <definedName name="이름_신고유형">[2]!테이블_신고유형[신고
유형]</definedName>
    <definedName name="이름_자사구분">[2]!테이블_자사구분[자사
구분]</definedName>
    <definedName name="이름_정산구분">[2]!테이블_정산구분[정산구분]</definedName>
    <definedName name="이름_정산주체">[2]!테이블_정산주체[정산
주체]</definedName>
    <definedName name="이름_특별일반">[2]!테이블_특별일반[특별/일반]</definedName>
    <definedName name="이름_판매상태">[2]!테이블_판매상태[판매상태]</definedName>
    <definedName name="주">{0;1;2;3;4;5;6}</definedName>
    <definedName name="평일">{"월요일","화요일","수요일","목요일","금요일","토요일","일요일"}</definedName>
    <definedName name="후불업체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86" l="1"/>
  <c r="R93" i="86"/>
  <c r="Q93" i="86"/>
  <c r="M93" i="86"/>
  <c r="C107" i="86"/>
  <c r="C106" i="86"/>
  <c r="C105" i="86"/>
  <c r="C104" i="86"/>
  <c r="C103" i="86"/>
  <c r="C102" i="86"/>
  <c r="M107" i="86"/>
  <c r="M106" i="86"/>
  <c r="M105" i="86"/>
  <c r="R107" i="86"/>
  <c r="Q107" i="86"/>
  <c r="R106" i="86"/>
  <c r="Q106" i="86"/>
  <c r="R105" i="86"/>
  <c r="Q105" i="86"/>
  <c r="R104" i="86"/>
  <c r="Q104" i="86"/>
  <c r="M104" i="86"/>
  <c r="R103" i="86"/>
  <c r="Q103" i="86"/>
  <c r="M103" i="86"/>
  <c r="R102" i="86"/>
  <c r="Q102" i="86"/>
  <c r="M102" i="86"/>
  <c r="R119" i="86"/>
  <c r="Q119" i="86"/>
  <c r="M119" i="86"/>
  <c r="C119" i="86"/>
  <c r="R118" i="86"/>
  <c r="Q118" i="86"/>
  <c r="M118" i="86"/>
  <c r="C118" i="86"/>
  <c r="R117" i="86"/>
  <c r="Q117" i="86"/>
  <c r="M117" i="86"/>
  <c r="C117" i="86"/>
  <c r="R116" i="86"/>
  <c r="Q116" i="86"/>
  <c r="M116" i="86"/>
  <c r="C116" i="86"/>
  <c r="R115" i="86"/>
  <c r="Q115" i="86"/>
  <c r="M115" i="86"/>
  <c r="C115" i="86"/>
  <c r="R114" i="86"/>
  <c r="Q114" i="86"/>
  <c r="M114" i="86"/>
  <c r="C114" i="86"/>
  <c r="R113" i="86"/>
  <c r="Q113" i="86"/>
  <c r="M113" i="86"/>
  <c r="C113" i="86"/>
  <c r="R112" i="86"/>
  <c r="Q112" i="86"/>
  <c r="M112" i="86"/>
  <c r="C112" i="86"/>
  <c r="R111" i="86"/>
  <c r="Q111" i="86"/>
  <c r="M111" i="86"/>
  <c r="C111" i="86"/>
  <c r="R110" i="86"/>
  <c r="Q110" i="86"/>
  <c r="M110" i="86"/>
  <c r="C110" i="86"/>
  <c r="R109" i="86"/>
  <c r="Q109" i="86"/>
  <c r="M109" i="86"/>
  <c r="C109" i="86"/>
  <c r="R108" i="86"/>
  <c r="Q108" i="86"/>
  <c r="M108" i="86"/>
  <c r="C108" i="86"/>
  <c r="R101" i="86"/>
  <c r="Q101" i="86"/>
  <c r="M101" i="86"/>
  <c r="C101" i="86"/>
  <c r="R100" i="86"/>
  <c r="Q100" i="86"/>
  <c r="M100" i="86"/>
  <c r="C100" i="86"/>
  <c r="R99" i="86"/>
  <c r="Q99" i="86"/>
  <c r="M99" i="86"/>
  <c r="C99" i="86"/>
  <c r="R98" i="86"/>
  <c r="Q98" i="86"/>
  <c r="M98" i="86"/>
  <c r="C98" i="86"/>
  <c r="R97" i="86"/>
  <c r="Q97" i="86"/>
  <c r="M97" i="86"/>
  <c r="C97" i="86"/>
  <c r="R96" i="86"/>
  <c r="Q96" i="86"/>
  <c r="M96" i="86"/>
  <c r="C96" i="86"/>
  <c r="R95" i="86"/>
  <c r="Q95" i="86"/>
  <c r="M95" i="86"/>
  <c r="C95" i="86"/>
  <c r="R94" i="86"/>
  <c r="Q94" i="86"/>
  <c r="M94" i="86"/>
  <c r="C94" i="86"/>
  <c r="R92" i="86"/>
  <c r="Q92" i="86"/>
  <c r="M92" i="86"/>
  <c r="C92" i="86"/>
  <c r="R91" i="86"/>
  <c r="Q91" i="86"/>
  <c r="M91" i="86"/>
  <c r="C91" i="86"/>
  <c r="R90" i="86"/>
  <c r="Q90" i="86"/>
  <c r="M90" i="86"/>
  <c r="C90" i="86"/>
  <c r="R89" i="86"/>
  <c r="Q89" i="86"/>
  <c r="M89" i="86"/>
  <c r="C89" i="86"/>
  <c r="R88" i="86"/>
  <c r="Q88" i="86"/>
  <c r="M88" i="86"/>
  <c r="C88" i="86"/>
  <c r="R87" i="86"/>
  <c r="Q87" i="86"/>
  <c r="M87" i="86"/>
  <c r="C87" i="86"/>
  <c r="R86" i="86"/>
  <c r="Q86" i="86"/>
  <c r="M86" i="86"/>
  <c r="C86" i="86"/>
  <c r="R85" i="86"/>
  <c r="Q85" i="86"/>
  <c r="M85" i="86"/>
  <c r="C85" i="86"/>
  <c r="R84" i="86"/>
  <c r="Q84" i="86"/>
  <c r="M84" i="86"/>
  <c r="C84" i="86"/>
  <c r="R83" i="86"/>
  <c r="Q83" i="86"/>
  <c r="M83" i="86"/>
  <c r="C83" i="86"/>
  <c r="R82" i="86"/>
  <c r="Q82" i="86"/>
  <c r="M82" i="86"/>
  <c r="C82" i="86"/>
  <c r="R81" i="86"/>
  <c r="Q81" i="86"/>
  <c r="M81" i="86"/>
  <c r="C81" i="86"/>
  <c r="R80" i="86"/>
  <c r="Q80" i="86"/>
  <c r="M80" i="86"/>
  <c r="C80" i="86"/>
  <c r="R79" i="86"/>
  <c r="Q79" i="86"/>
  <c r="M79" i="86"/>
  <c r="C79" i="86"/>
  <c r="R78" i="86"/>
  <c r="Q78" i="86"/>
  <c r="M78" i="86"/>
  <c r="C78" i="86"/>
  <c r="R77" i="86"/>
  <c r="Q77" i="86"/>
  <c r="M77" i="86"/>
  <c r="C77" i="86"/>
  <c r="R76" i="86"/>
  <c r="Q76" i="86"/>
  <c r="M76" i="86"/>
  <c r="C76" i="86"/>
  <c r="R75" i="86"/>
  <c r="Q75" i="86"/>
  <c r="M75" i="86"/>
  <c r="C75" i="86"/>
  <c r="R74" i="86"/>
  <c r="Q74" i="86"/>
  <c r="M74" i="86"/>
  <c r="C74" i="86"/>
  <c r="R73" i="86"/>
  <c r="Q73" i="86"/>
  <c r="M73" i="86"/>
  <c r="C73" i="86"/>
  <c r="R72" i="86"/>
  <c r="Q72" i="86"/>
  <c r="M72" i="86"/>
  <c r="C72" i="86"/>
  <c r="R71" i="86"/>
  <c r="Q71" i="86"/>
  <c r="M71" i="86"/>
  <c r="C71" i="86"/>
  <c r="R70" i="86"/>
  <c r="Q70" i="86"/>
  <c r="M70" i="86"/>
  <c r="C70" i="86"/>
  <c r="R69" i="86"/>
  <c r="Q69" i="86"/>
  <c r="M69" i="86"/>
  <c r="C69" i="86"/>
  <c r="R68" i="86"/>
  <c r="Q68" i="86"/>
  <c r="M68" i="86"/>
  <c r="C68" i="86"/>
  <c r="R67" i="86"/>
  <c r="Q67" i="86"/>
  <c r="M67" i="86"/>
  <c r="C67" i="86"/>
  <c r="R66" i="86"/>
  <c r="Q66" i="86"/>
  <c r="M66" i="86"/>
  <c r="C66" i="86"/>
  <c r="R65" i="86"/>
  <c r="Q65" i="86"/>
  <c r="M65" i="86"/>
  <c r="C65" i="86"/>
  <c r="R64" i="86"/>
  <c r="Q64" i="86"/>
  <c r="M64" i="86"/>
  <c r="C64" i="86"/>
  <c r="R63" i="86"/>
  <c r="Q63" i="86"/>
  <c r="M63" i="86"/>
  <c r="C63" i="86"/>
  <c r="R62" i="86"/>
  <c r="Q62" i="86"/>
  <c r="M62" i="86"/>
  <c r="C62" i="86"/>
  <c r="R61" i="86"/>
  <c r="Q61" i="86"/>
  <c r="M61" i="86"/>
  <c r="C61" i="86"/>
  <c r="R60" i="86"/>
  <c r="Q60" i="86"/>
  <c r="M60" i="86"/>
  <c r="C60" i="86"/>
  <c r="R59" i="86"/>
  <c r="Q59" i="86"/>
  <c r="M59" i="86"/>
  <c r="C59" i="86"/>
  <c r="R58" i="86"/>
  <c r="Q58" i="86"/>
  <c r="M58" i="86"/>
  <c r="C58" i="86"/>
  <c r="R57" i="86"/>
  <c r="Q57" i="86"/>
  <c r="M57" i="86"/>
  <c r="C57" i="86"/>
  <c r="R56" i="86"/>
  <c r="Q56" i="86"/>
  <c r="M56" i="86"/>
  <c r="C56" i="86"/>
  <c r="R55" i="86"/>
  <c r="Q55" i="86"/>
  <c r="M55" i="86"/>
  <c r="C55" i="86"/>
  <c r="R54" i="86"/>
  <c r="Q54" i="86"/>
  <c r="M54" i="86"/>
  <c r="C54" i="86"/>
  <c r="R53" i="86"/>
  <c r="Q53" i="86"/>
  <c r="M53" i="86"/>
  <c r="C53" i="86"/>
  <c r="R52" i="86"/>
  <c r="Q52" i="86"/>
  <c r="M52" i="86"/>
  <c r="C52" i="86"/>
  <c r="R51" i="86"/>
  <c r="Q51" i="86"/>
  <c r="M51" i="86"/>
  <c r="C51" i="86"/>
  <c r="R50" i="86"/>
  <c r="Q50" i="86"/>
  <c r="M50" i="86"/>
  <c r="C50" i="86"/>
  <c r="R49" i="86"/>
  <c r="Q49" i="86"/>
  <c r="M49" i="86"/>
  <c r="C49" i="86"/>
  <c r="R48" i="86"/>
  <c r="Q48" i="86"/>
  <c r="M48" i="86"/>
  <c r="C48" i="86"/>
  <c r="R47" i="86"/>
  <c r="Q47" i="86"/>
  <c r="M47" i="86"/>
  <c r="C47" i="86"/>
  <c r="R46" i="86"/>
  <c r="Q46" i="86"/>
  <c r="M46" i="86"/>
  <c r="C46" i="86"/>
  <c r="R45" i="86"/>
  <c r="Q45" i="86"/>
  <c r="M45" i="86"/>
  <c r="C45" i="86"/>
  <c r="R44" i="86"/>
  <c r="Q44" i="86"/>
  <c r="M44" i="86"/>
  <c r="C44" i="86"/>
  <c r="R43" i="86"/>
  <c r="Q43" i="86"/>
  <c r="M43" i="86"/>
  <c r="C43" i="86"/>
  <c r="R42" i="86"/>
  <c r="Q42" i="86"/>
  <c r="M42" i="86"/>
  <c r="C42" i="86"/>
  <c r="R41" i="86"/>
  <c r="Q41" i="86"/>
  <c r="M41" i="86"/>
  <c r="C41" i="86"/>
  <c r="R40" i="86"/>
  <c r="Q40" i="86"/>
  <c r="M40" i="86"/>
  <c r="C40" i="86"/>
  <c r="R39" i="86"/>
  <c r="Q39" i="86"/>
  <c r="M39" i="86"/>
  <c r="C39" i="86"/>
  <c r="R38" i="86"/>
  <c r="Q38" i="86"/>
  <c r="M38" i="86"/>
  <c r="C38" i="86"/>
  <c r="R37" i="86"/>
  <c r="Q37" i="86"/>
  <c r="M37" i="86"/>
  <c r="C37" i="86"/>
  <c r="R36" i="86"/>
  <c r="Q36" i="86"/>
  <c r="M36" i="86"/>
  <c r="C36" i="86"/>
  <c r="R35" i="86"/>
  <c r="Q35" i="86"/>
  <c r="M35" i="86"/>
  <c r="C35" i="86"/>
  <c r="R34" i="86"/>
  <c r="Q34" i="86"/>
  <c r="M34" i="86"/>
  <c r="C34" i="86"/>
  <c r="R33" i="86"/>
  <c r="Q33" i="86"/>
  <c r="M33" i="86"/>
  <c r="C33" i="86"/>
  <c r="R32" i="86"/>
  <c r="Q32" i="86"/>
  <c r="M32" i="86"/>
  <c r="C32" i="86"/>
  <c r="R31" i="86"/>
  <c r="Q31" i="86"/>
  <c r="M31" i="86"/>
  <c r="C31" i="86"/>
  <c r="R30" i="86"/>
  <c r="Q30" i="86"/>
  <c r="M30" i="86"/>
  <c r="C30" i="86"/>
  <c r="R29" i="86"/>
  <c r="Q29" i="86"/>
  <c r="M29" i="86"/>
  <c r="C29" i="86"/>
  <c r="R28" i="86"/>
  <c r="Q28" i="86"/>
  <c r="M28" i="86"/>
  <c r="C28" i="86"/>
  <c r="R27" i="86"/>
  <c r="Q27" i="86"/>
  <c r="M27" i="86"/>
  <c r="C27" i="86"/>
  <c r="R26" i="86"/>
  <c r="Q26" i="86"/>
  <c r="M26" i="86"/>
  <c r="C26" i="86"/>
  <c r="R25" i="86"/>
  <c r="Q25" i="86"/>
  <c r="M25" i="86"/>
  <c r="C25" i="86"/>
  <c r="R24" i="86"/>
  <c r="Q24" i="86"/>
  <c r="M24" i="86"/>
  <c r="C24" i="86"/>
  <c r="R23" i="86"/>
  <c r="Q23" i="86"/>
  <c r="M23" i="86"/>
  <c r="C23" i="86"/>
  <c r="R22" i="86"/>
  <c r="Q22" i="86"/>
  <c r="M22" i="86"/>
  <c r="C22" i="86"/>
  <c r="R21" i="86"/>
  <c r="Q21" i="86"/>
  <c r="M21" i="86"/>
  <c r="C21" i="86"/>
  <c r="R20" i="86"/>
  <c r="Q20" i="86"/>
  <c r="M20" i="86"/>
  <c r="C20" i="86"/>
  <c r="R19" i="86"/>
  <c r="Q19" i="86"/>
  <c r="M19" i="86"/>
  <c r="C19" i="86"/>
  <c r="R18" i="86"/>
  <c r="Q18" i="86"/>
  <c r="M18" i="86"/>
  <c r="C18" i="86"/>
  <c r="R17" i="86"/>
  <c r="Q17" i="86"/>
  <c r="M17" i="86"/>
  <c r="C17" i="86"/>
  <c r="R16" i="86"/>
  <c r="Q16" i="86"/>
  <c r="M16" i="86"/>
  <c r="C16" i="86"/>
  <c r="R15" i="86"/>
  <c r="Q15" i="86"/>
  <c r="M15" i="86"/>
  <c r="C15" i="86"/>
  <c r="R14" i="86"/>
  <c r="Q14" i="86"/>
  <c r="M14" i="86"/>
  <c r="C14" i="86"/>
  <c r="R13" i="86"/>
  <c r="Q13" i="86"/>
  <c r="M13" i="86"/>
  <c r="C13" i="86"/>
  <c r="R12" i="86"/>
  <c r="Q12" i="86"/>
  <c r="M12" i="86"/>
  <c r="C12" i="86"/>
  <c r="R11" i="86"/>
  <c r="Q11" i="86"/>
  <c r="M11" i="86"/>
  <c r="C11" i="86"/>
  <c r="R10" i="86"/>
  <c r="Q10" i="86"/>
  <c r="M10" i="86"/>
  <c r="C10" i="86"/>
  <c r="R9" i="86"/>
  <c r="Q9" i="86"/>
  <c r="M9" i="86"/>
  <c r="C9" i="86"/>
  <c r="R8" i="86"/>
  <c r="Q8" i="86"/>
  <c r="M8" i="86"/>
  <c r="C8" i="86"/>
  <c r="R7" i="86"/>
  <c r="Q7" i="86"/>
  <c r="M7" i="86"/>
  <c r="C7" i="86"/>
  <c r="R6" i="86"/>
  <c r="Q6" i="86"/>
  <c r="M6" i="86"/>
  <c r="C6" i="86"/>
  <c r="L4" i="86"/>
  <c r="J4" i="86"/>
  <c r="R130" i="85"/>
  <c r="Q130" i="85"/>
  <c r="M130" i="85"/>
  <c r="N130" i="85" s="1"/>
  <c r="O130" i="85" s="1"/>
  <c r="C130" i="85"/>
  <c r="R129" i="85"/>
  <c r="Q129" i="85"/>
  <c r="M129" i="85"/>
  <c r="N129" i="85" s="1"/>
  <c r="O129" i="85" s="1"/>
  <c r="C129" i="85"/>
  <c r="R128" i="85"/>
  <c r="Q128" i="85"/>
  <c r="M128" i="85"/>
  <c r="N128" i="85" s="1"/>
  <c r="O128" i="85" s="1"/>
  <c r="C128" i="85"/>
  <c r="R127" i="85"/>
  <c r="Q127" i="85"/>
  <c r="M127" i="85"/>
  <c r="N127" i="85" s="1"/>
  <c r="O127" i="85" s="1"/>
  <c r="C127" i="85"/>
  <c r="R126" i="85"/>
  <c r="Q126" i="85"/>
  <c r="M126" i="85"/>
  <c r="N126" i="85" s="1"/>
  <c r="O126" i="85" s="1"/>
  <c r="C126" i="85"/>
  <c r="R125" i="85"/>
  <c r="Q125" i="85"/>
  <c r="M125" i="85"/>
  <c r="N125" i="85" s="1"/>
  <c r="O125" i="85" s="1"/>
  <c r="C125" i="85"/>
  <c r="R124" i="85"/>
  <c r="Q124" i="85"/>
  <c r="M124" i="85"/>
  <c r="N124" i="85" s="1"/>
  <c r="O124" i="85" s="1"/>
  <c r="C124" i="85"/>
  <c r="R123" i="85"/>
  <c r="Q123" i="85"/>
  <c r="M123" i="85"/>
  <c r="N123" i="85" s="1"/>
  <c r="O123" i="85" s="1"/>
  <c r="C123" i="85"/>
  <c r="R122" i="85"/>
  <c r="Q122" i="85"/>
  <c r="M122" i="85"/>
  <c r="N122" i="85" s="1"/>
  <c r="O122" i="85" s="1"/>
  <c r="C122" i="85"/>
  <c r="R121" i="85"/>
  <c r="Q121" i="85"/>
  <c r="M121" i="85"/>
  <c r="N121" i="85" s="1"/>
  <c r="O121" i="85" s="1"/>
  <c r="C121" i="85"/>
  <c r="R120" i="85"/>
  <c r="Q120" i="85"/>
  <c r="M120" i="85"/>
  <c r="N120" i="85" s="1"/>
  <c r="O120" i="85" s="1"/>
  <c r="C120" i="85"/>
  <c r="R119" i="85"/>
  <c r="Q119" i="85"/>
  <c r="M119" i="85"/>
  <c r="N119" i="85" s="1"/>
  <c r="O119" i="85" s="1"/>
  <c r="C119" i="85"/>
  <c r="R118" i="85"/>
  <c r="Q118" i="85"/>
  <c r="M118" i="85"/>
  <c r="N118" i="85" s="1"/>
  <c r="O118" i="85" s="1"/>
  <c r="C118" i="85"/>
  <c r="R117" i="85"/>
  <c r="Q117" i="85"/>
  <c r="M117" i="85"/>
  <c r="N117" i="85" s="1"/>
  <c r="O117" i="85" s="1"/>
  <c r="C117" i="85"/>
  <c r="R116" i="85"/>
  <c r="Q116" i="85"/>
  <c r="M116" i="85"/>
  <c r="N116" i="85" s="1"/>
  <c r="O116" i="85" s="1"/>
  <c r="C116" i="85"/>
  <c r="R115" i="85"/>
  <c r="Q115" i="85"/>
  <c r="M115" i="85"/>
  <c r="N115" i="85" s="1"/>
  <c r="O115" i="85" s="1"/>
  <c r="C115" i="85"/>
  <c r="R114" i="85"/>
  <c r="Q114" i="85"/>
  <c r="M114" i="85"/>
  <c r="N114" i="85" s="1"/>
  <c r="O114" i="85" s="1"/>
  <c r="C114" i="85"/>
  <c r="R113" i="85"/>
  <c r="Q113" i="85"/>
  <c r="M113" i="85"/>
  <c r="N113" i="85" s="1"/>
  <c r="O113" i="85" s="1"/>
  <c r="C113" i="85"/>
  <c r="R112" i="85"/>
  <c r="Q112" i="85"/>
  <c r="M112" i="85"/>
  <c r="N112" i="85" s="1"/>
  <c r="O112" i="85" s="1"/>
  <c r="C112" i="85"/>
  <c r="R111" i="85"/>
  <c r="Q111" i="85"/>
  <c r="M111" i="85"/>
  <c r="N111" i="85" s="1"/>
  <c r="O111" i="85" s="1"/>
  <c r="C111" i="85"/>
  <c r="R110" i="85"/>
  <c r="Q110" i="85"/>
  <c r="M110" i="85"/>
  <c r="N110" i="85" s="1"/>
  <c r="O110" i="85" s="1"/>
  <c r="C110" i="85"/>
  <c r="R109" i="85"/>
  <c r="Q109" i="85"/>
  <c r="M109" i="85"/>
  <c r="N109" i="85" s="1"/>
  <c r="O109" i="85" s="1"/>
  <c r="C109" i="85"/>
  <c r="R108" i="85"/>
  <c r="Q108" i="85"/>
  <c r="M108" i="85"/>
  <c r="N108" i="85" s="1"/>
  <c r="O108" i="85" s="1"/>
  <c r="C108" i="85"/>
  <c r="R107" i="85"/>
  <c r="Q107" i="85"/>
  <c r="M107" i="85"/>
  <c r="N107" i="85" s="1"/>
  <c r="O107" i="85" s="1"/>
  <c r="C107" i="85"/>
  <c r="R106" i="85"/>
  <c r="Q106" i="85"/>
  <c r="M106" i="85"/>
  <c r="N106" i="85" s="1"/>
  <c r="O106" i="85" s="1"/>
  <c r="C106" i="85"/>
  <c r="R105" i="85"/>
  <c r="Q105" i="85"/>
  <c r="M105" i="85"/>
  <c r="N105" i="85" s="1"/>
  <c r="O105" i="85" s="1"/>
  <c r="C105" i="85"/>
  <c r="R104" i="85"/>
  <c r="Q104" i="85"/>
  <c r="M104" i="85"/>
  <c r="N104" i="85" s="1"/>
  <c r="O104" i="85" s="1"/>
  <c r="C104" i="85"/>
  <c r="R103" i="85"/>
  <c r="Q103" i="85"/>
  <c r="M103" i="85"/>
  <c r="N103" i="85" s="1"/>
  <c r="O103" i="85" s="1"/>
  <c r="C103" i="85"/>
  <c r="R102" i="85"/>
  <c r="Q102" i="85"/>
  <c r="M102" i="85"/>
  <c r="N102" i="85" s="1"/>
  <c r="O102" i="85" s="1"/>
  <c r="C102" i="85"/>
  <c r="R101" i="85"/>
  <c r="Q101" i="85"/>
  <c r="M101" i="85"/>
  <c r="N101" i="85" s="1"/>
  <c r="O101" i="85" s="1"/>
  <c r="C101" i="85"/>
  <c r="R100" i="85"/>
  <c r="Q100" i="85"/>
  <c r="M100" i="85"/>
  <c r="N100" i="85" s="1"/>
  <c r="O100" i="85" s="1"/>
  <c r="C100" i="85"/>
  <c r="R99" i="85"/>
  <c r="Q99" i="85"/>
  <c r="M99" i="85"/>
  <c r="N99" i="85" s="1"/>
  <c r="O99" i="85" s="1"/>
  <c r="C99" i="85"/>
  <c r="R98" i="85"/>
  <c r="Q98" i="85"/>
  <c r="M98" i="85"/>
  <c r="N98" i="85" s="1"/>
  <c r="O98" i="85" s="1"/>
  <c r="C98" i="85"/>
  <c r="R97" i="85"/>
  <c r="Q97" i="85"/>
  <c r="M97" i="85"/>
  <c r="N97" i="85" s="1"/>
  <c r="O97" i="85" s="1"/>
  <c r="C97" i="85"/>
  <c r="R96" i="85"/>
  <c r="Q96" i="85"/>
  <c r="M96" i="85"/>
  <c r="N96" i="85" s="1"/>
  <c r="O96" i="85" s="1"/>
  <c r="C96" i="85"/>
  <c r="R95" i="85"/>
  <c r="Q95" i="85"/>
  <c r="M95" i="85"/>
  <c r="N95" i="85" s="1"/>
  <c r="O95" i="85" s="1"/>
  <c r="C95" i="85"/>
  <c r="R94" i="85"/>
  <c r="Q94" i="85"/>
  <c r="M94" i="85"/>
  <c r="N94" i="85" s="1"/>
  <c r="O94" i="85" s="1"/>
  <c r="C94" i="85"/>
  <c r="R93" i="85"/>
  <c r="Q93" i="85"/>
  <c r="M93" i="85"/>
  <c r="N93" i="85" s="1"/>
  <c r="O93" i="85" s="1"/>
  <c r="C93" i="85"/>
  <c r="R92" i="85"/>
  <c r="Q92" i="85"/>
  <c r="M92" i="85"/>
  <c r="N92" i="85" s="1"/>
  <c r="O92" i="85" s="1"/>
  <c r="C92" i="85"/>
  <c r="R91" i="85"/>
  <c r="Q91" i="85"/>
  <c r="M91" i="85"/>
  <c r="N91" i="85" s="1"/>
  <c r="O91" i="85" s="1"/>
  <c r="C91" i="85"/>
  <c r="R90" i="85"/>
  <c r="Q90" i="85"/>
  <c r="M90" i="85"/>
  <c r="N90" i="85" s="1"/>
  <c r="O90" i="85" s="1"/>
  <c r="C90" i="85"/>
  <c r="R89" i="85"/>
  <c r="Q89" i="85"/>
  <c r="M89" i="85"/>
  <c r="N89" i="85" s="1"/>
  <c r="O89" i="85" s="1"/>
  <c r="C89" i="85"/>
  <c r="R88" i="85"/>
  <c r="Q88" i="85"/>
  <c r="M88" i="85"/>
  <c r="N88" i="85" s="1"/>
  <c r="O88" i="85" s="1"/>
  <c r="C88" i="85"/>
  <c r="R87" i="85"/>
  <c r="Q87" i="85"/>
  <c r="M87" i="85"/>
  <c r="N87" i="85" s="1"/>
  <c r="O87" i="85" s="1"/>
  <c r="C87" i="85"/>
  <c r="R86" i="85"/>
  <c r="Q86" i="85"/>
  <c r="M86" i="85"/>
  <c r="N86" i="85" s="1"/>
  <c r="O86" i="85" s="1"/>
  <c r="C86" i="85"/>
  <c r="R85" i="85"/>
  <c r="Q85" i="85"/>
  <c r="M85" i="85"/>
  <c r="N85" i="85" s="1"/>
  <c r="O85" i="85" s="1"/>
  <c r="C85" i="85"/>
  <c r="R84" i="85"/>
  <c r="Q84" i="85"/>
  <c r="M84" i="85"/>
  <c r="N84" i="85" s="1"/>
  <c r="O84" i="85" s="1"/>
  <c r="C84" i="85"/>
  <c r="R83" i="85"/>
  <c r="Q83" i="85"/>
  <c r="M83" i="85"/>
  <c r="N83" i="85" s="1"/>
  <c r="O83" i="85" s="1"/>
  <c r="C83" i="85"/>
  <c r="R82" i="85"/>
  <c r="Q82" i="85"/>
  <c r="M82" i="85"/>
  <c r="N82" i="85" s="1"/>
  <c r="O82" i="85" s="1"/>
  <c r="C82" i="85"/>
  <c r="R81" i="85"/>
  <c r="Q81" i="85"/>
  <c r="M81" i="85"/>
  <c r="N81" i="85" s="1"/>
  <c r="O81" i="85" s="1"/>
  <c r="C81" i="85"/>
  <c r="R80" i="85"/>
  <c r="Q80" i="85"/>
  <c r="M80" i="85"/>
  <c r="N80" i="85" s="1"/>
  <c r="O80" i="85" s="1"/>
  <c r="C80" i="85"/>
  <c r="R79" i="85"/>
  <c r="Q79" i="85"/>
  <c r="M79" i="85"/>
  <c r="N79" i="85" s="1"/>
  <c r="O79" i="85" s="1"/>
  <c r="C79" i="85"/>
  <c r="R78" i="85"/>
  <c r="Q78" i="85"/>
  <c r="M78" i="85"/>
  <c r="N78" i="85" s="1"/>
  <c r="O78" i="85" s="1"/>
  <c r="C78" i="85"/>
  <c r="R77" i="85"/>
  <c r="Q77" i="85"/>
  <c r="M77" i="85"/>
  <c r="N77" i="85" s="1"/>
  <c r="O77" i="85" s="1"/>
  <c r="C77" i="85"/>
  <c r="R76" i="85"/>
  <c r="Q76" i="85"/>
  <c r="M76" i="85"/>
  <c r="N76" i="85" s="1"/>
  <c r="O76" i="85" s="1"/>
  <c r="C76" i="85"/>
  <c r="R75" i="85"/>
  <c r="Q75" i="85"/>
  <c r="M75" i="85"/>
  <c r="N75" i="85" s="1"/>
  <c r="O75" i="85" s="1"/>
  <c r="C75" i="85"/>
  <c r="R74" i="85"/>
  <c r="Q74" i="85"/>
  <c r="M74" i="85"/>
  <c r="N74" i="85" s="1"/>
  <c r="O74" i="85" s="1"/>
  <c r="C74" i="85"/>
  <c r="R73" i="85"/>
  <c r="Q73" i="85"/>
  <c r="M73" i="85"/>
  <c r="N73" i="85" s="1"/>
  <c r="O73" i="85" s="1"/>
  <c r="C73" i="85"/>
  <c r="R72" i="85"/>
  <c r="Q72" i="85"/>
  <c r="M72" i="85"/>
  <c r="N72" i="85" s="1"/>
  <c r="O72" i="85" s="1"/>
  <c r="C72" i="85"/>
  <c r="R71" i="85"/>
  <c r="Q71" i="85"/>
  <c r="M71" i="85"/>
  <c r="N71" i="85" s="1"/>
  <c r="O71" i="85" s="1"/>
  <c r="C71" i="85"/>
  <c r="R70" i="85"/>
  <c r="Q70" i="85"/>
  <c r="M70" i="85"/>
  <c r="N70" i="85" s="1"/>
  <c r="O70" i="85" s="1"/>
  <c r="C70" i="85"/>
  <c r="R69" i="85"/>
  <c r="Q69" i="85"/>
  <c r="M69" i="85"/>
  <c r="N69" i="85" s="1"/>
  <c r="O69" i="85" s="1"/>
  <c r="C69" i="85"/>
  <c r="R68" i="85"/>
  <c r="Q68" i="85"/>
  <c r="M68" i="85"/>
  <c r="N68" i="85" s="1"/>
  <c r="O68" i="85" s="1"/>
  <c r="C68" i="85"/>
  <c r="R67" i="85"/>
  <c r="Q67" i="85"/>
  <c r="M67" i="85"/>
  <c r="N67" i="85" s="1"/>
  <c r="O67" i="85" s="1"/>
  <c r="C67" i="85"/>
  <c r="R66" i="85"/>
  <c r="Q66" i="85"/>
  <c r="M66" i="85"/>
  <c r="N66" i="85" s="1"/>
  <c r="O66" i="85" s="1"/>
  <c r="C66" i="85"/>
  <c r="R65" i="85"/>
  <c r="Q65" i="85"/>
  <c r="M65" i="85"/>
  <c r="N65" i="85" s="1"/>
  <c r="O65" i="85" s="1"/>
  <c r="C65" i="85"/>
  <c r="R64" i="85"/>
  <c r="Q64" i="85"/>
  <c r="M64" i="85"/>
  <c r="N64" i="85" s="1"/>
  <c r="O64" i="85" s="1"/>
  <c r="C64" i="85"/>
  <c r="R63" i="85"/>
  <c r="Q63" i="85"/>
  <c r="M63" i="85"/>
  <c r="N63" i="85" s="1"/>
  <c r="O63" i="85" s="1"/>
  <c r="C63" i="85"/>
  <c r="R62" i="85"/>
  <c r="Q62" i="85"/>
  <c r="M62" i="85"/>
  <c r="N62" i="85" s="1"/>
  <c r="O62" i="85" s="1"/>
  <c r="C62" i="85"/>
  <c r="R61" i="85"/>
  <c r="Q61" i="85"/>
  <c r="M61" i="85"/>
  <c r="N61" i="85" s="1"/>
  <c r="O61" i="85" s="1"/>
  <c r="C61" i="85"/>
  <c r="R60" i="85"/>
  <c r="Q60" i="85"/>
  <c r="M60" i="85"/>
  <c r="N60" i="85" s="1"/>
  <c r="O60" i="85" s="1"/>
  <c r="C60" i="85"/>
  <c r="R59" i="85"/>
  <c r="Q59" i="85"/>
  <c r="M59" i="85"/>
  <c r="N59" i="85" s="1"/>
  <c r="O59" i="85" s="1"/>
  <c r="C59" i="85"/>
  <c r="R58" i="85"/>
  <c r="Q58" i="85"/>
  <c r="M58" i="85"/>
  <c r="N58" i="85" s="1"/>
  <c r="O58" i="85" s="1"/>
  <c r="C58" i="85"/>
  <c r="R57" i="85"/>
  <c r="Q57" i="85"/>
  <c r="M57" i="85"/>
  <c r="N57" i="85" s="1"/>
  <c r="O57" i="85" s="1"/>
  <c r="C57" i="85"/>
  <c r="R56" i="85"/>
  <c r="Q56" i="85"/>
  <c r="M56" i="85"/>
  <c r="N56" i="85" s="1"/>
  <c r="O56" i="85" s="1"/>
  <c r="C56" i="85"/>
  <c r="R55" i="85"/>
  <c r="Q55" i="85"/>
  <c r="M55" i="85"/>
  <c r="N55" i="85" s="1"/>
  <c r="O55" i="85" s="1"/>
  <c r="C55" i="85"/>
  <c r="R54" i="85"/>
  <c r="Q54" i="85"/>
  <c r="M54" i="85"/>
  <c r="N54" i="85" s="1"/>
  <c r="O54" i="85" s="1"/>
  <c r="C54" i="85"/>
  <c r="R53" i="85"/>
  <c r="Q53" i="85"/>
  <c r="M53" i="85"/>
  <c r="N53" i="85" s="1"/>
  <c r="O53" i="85" s="1"/>
  <c r="C53" i="85"/>
  <c r="R52" i="85"/>
  <c r="Q52" i="85"/>
  <c r="M52" i="85"/>
  <c r="N52" i="85" s="1"/>
  <c r="O52" i="85" s="1"/>
  <c r="C52" i="85"/>
  <c r="R51" i="85"/>
  <c r="Q51" i="85"/>
  <c r="M51" i="85"/>
  <c r="N51" i="85" s="1"/>
  <c r="O51" i="85" s="1"/>
  <c r="C51" i="85"/>
  <c r="R50" i="85"/>
  <c r="Q50" i="85"/>
  <c r="M50" i="85"/>
  <c r="N50" i="85" s="1"/>
  <c r="O50" i="85" s="1"/>
  <c r="C50" i="85"/>
  <c r="R49" i="85"/>
  <c r="Q49" i="85"/>
  <c r="M49" i="85"/>
  <c r="N49" i="85" s="1"/>
  <c r="O49" i="85" s="1"/>
  <c r="C49" i="85"/>
  <c r="R48" i="85"/>
  <c r="Q48" i="85"/>
  <c r="M48" i="85"/>
  <c r="N48" i="85" s="1"/>
  <c r="O48" i="85" s="1"/>
  <c r="C48" i="85"/>
  <c r="R47" i="85"/>
  <c r="Q47" i="85"/>
  <c r="M47" i="85"/>
  <c r="N47" i="85" s="1"/>
  <c r="O47" i="85" s="1"/>
  <c r="C47" i="85"/>
  <c r="R46" i="85"/>
  <c r="Q46" i="85"/>
  <c r="M46" i="85"/>
  <c r="N46" i="85" s="1"/>
  <c r="O46" i="85" s="1"/>
  <c r="C46" i="85"/>
  <c r="R45" i="85"/>
  <c r="Q45" i="85"/>
  <c r="M45" i="85"/>
  <c r="N45" i="85" s="1"/>
  <c r="O45" i="85" s="1"/>
  <c r="C45" i="85"/>
  <c r="R44" i="85"/>
  <c r="Q44" i="85"/>
  <c r="M44" i="85"/>
  <c r="N44" i="85" s="1"/>
  <c r="O44" i="85" s="1"/>
  <c r="C44" i="85"/>
  <c r="R43" i="85"/>
  <c r="Q43" i="85"/>
  <c r="M43" i="85"/>
  <c r="N43" i="85" s="1"/>
  <c r="O43" i="85" s="1"/>
  <c r="C43" i="85"/>
  <c r="R42" i="85"/>
  <c r="Q42" i="85"/>
  <c r="M42" i="85"/>
  <c r="N42" i="85" s="1"/>
  <c r="O42" i="85" s="1"/>
  <c r="C42" i="85"/>
  <c r="R41" i="85"/>
  <c r="Q41" i="85"/>
  <c r="M41" i="85"/>
  <c r="N41" i="85" s="1"/>
  <c r="O41" i="85" s="1"/>
  <c r="C41" i="85"/>
  <c r="R40" i="85"/>
  <c r="Q40" i="85"/>
  <c r="M40" i="85"/>
  <c r="N40" i="85" s="1"/>
  <c r="O40" i="85" s="1"/>
  <c r="C40" i="85"/>
  <c r="R39" i="85"/>
  <c r="Q39" i="85"/>
  <c r="M39" i="85"/>
  <c r="N39" i="85" s="1"/>
  <c r="O39" i="85" s="1"/>
  <c r="C39" i="85"/>
  <c r="R38" i="85"/>
  <c r="Q38" i="85"/>
  <c r="M38" i="85"/>
  <c r="N38" i="85" s="1"/>
  <c r="O38" i="85" s="1"/>
  <c r="C38" i="85"/>
  <c r="R37" i="85"/>
  <c r="Q37" i="85"/>
  <c r="M37" i="85"/>
  <c r="N37" i="85" s="1"/>
  <c r="O37" i="85" s="1"/>
  <c r="C37" i="85"/>
  <c r="R36" i="85"/>
  <c r="Q36" i="85"/>
  <c r="M36" i="85"/>
  <c r="N36" i="85" s="1"/>
  <c r="O36" i="85" s="1"/>
  <c r="C36" i="85"/>
  <c r="R35" i="85"/>
  <c r="Q35" i="85"/>
  <c r="M35" i="85"/>
  <c r="N35" i="85" s="1"/>
  <c r="O35" i="85" s="1"/>
  <c r="C35" i="85"/>
  <c r="R34" i="85"/>
  <c r="Q34" i="85"/>
  <c r="M34" i="85"/>
  <c r="N34" i="85" s="1"/>
  <c r="O34" i="85" s="1"/>
  <c r="C34" i="85"/>
  <c r="R33" i="85"/>
  <c r="Q33" i="85"/>
  <c r="M33" i="85"/>
  <c r="N33" i="85" s="1"/>
  <c r="O33" i="85" s="1"/>
  <c r="C33" i="85"/>
  <c r="R32" i="85"/>
  <c r="Q32" i="85"/>
  <c r="M32" i="85"/>
  <c r="N32" i="85" s="1"/>
  <c r="O32" i="85" s="1"/>
  <c r="C32" i="85"/>
  <c r="R31" i="85"/>
  <c r="Q31" i="85"/>
  <c r="M31" i="85"/>
  <c r="N31" i="85" s="1"/>
  <c r="O31" i="85" s="1"/>
  <c r="C31" i="85"/>
  <c r="R30" i="85"/>
  <c r="Q30" i="85"/>
  <c r="M30" i="85"/>
  <c r="N30" i="85" s="1"/>
  <c r="O30" i="85" s="1"/>
  <c r="C30" i="85"/>
  <c r="R29" i="85"/>
  <c r="Q29" i="85"/>
  <c r="M29" i="85"/>
  <c r="N29" i="85" s="1"/>
  <c r="O29" i="85" s="1"/>
  <c r="C29" i="85"/>
  <c r="R28" i="85"/>
  <c r="Q28" i="85"/>
  <c r="M28" i="85"/>
  <c r="N28" i="85" s="1"/>
  <c r="O28" i="85" s="1"/>
  <c r="C28" i="85"/>
  <c r="R27" i="85"/>
  <c r="Q27" i="85"/>
  <c r="M27" i="85"/>
  <c r="N27" i="85" s="1"/>
  <c r="O27" i="85" s="1"/>
  <c r="C27" i="85"/>
  <c r="R26" i="85"/>
  <c r="Q26" i="85"/>
  <c r="M26" i="85"/>
  <c r="N26" i="85" s="1"/>
  <c r="O26" i="85" s="1"/>
  <c r="C26" i="85"/>
  <c r="R25" i="85"/>
  <c r="Q25" i="85"/>
  <c r="M25" i="85"/>
  <c r="N25" i="85" s="1"/>
  <c r="O25" i="85" s="1"/>
  <c r="C25" i="85"/>
  <c r="R24" i="85"/>
  <c r="Q24" i="85"/>
  <c r="M24" i="85"/>
  <c r="N24" i="85" s="1"/>
  <c r="O24" i="85" s="1"/>
  <c r="C24" i="85"/>
  <c r="R23" i="85"/>
  <c r="Q23" i="85"/>
  <c r="M23" i="85"/>
  <c r="N23" i="85" s="1"/>
  <c r="O23" i="85" s="1"/>
  <c r="C23" i="85"/>
  <c r="R22" i="85"/>
  <c r="Q22" i="85"/>
  <c r="M22" i="85"/>
  <c r="N22" i="85" s="1"/>
  <c r="O22" i="85" s="1"/>
  <c r="C22" i="85"/>
  <c r="R21" i="85"/>
  <c r="Q21" i="85"/>
  <c r="M21" i="85"/>
  <c r="N21" i="85" s="1"/>
  <c r="O21" i="85" s="1"/>
  <c r="C21" i="85"/>
  <c r="R20" i="85"/>
  <c r="Q20" i="85"/>
  <c r="M20" i="85"/>
  <c r="N20" i="85" s="1"/>
  <c r="O20" i="85" s="1"/>
  <c r="C20" i="85"/>
  <c r="R19" i="85"/>
  <c r="Q19" i="85"/>
  <c r="M19" i="85"/>
  <c r="N19" i="85" s="1"/>
  <c r="O19" i="85" s="1"/>
  <c r="C19" i="85"/>
  <c r="R18" i="85"/>
  <c r="Q18" i="85"/>
  <c r="M18" i="85"/>
  <c r="N18" i="85" s="1"/>
  <c r="O18" i="85" s="1"/>
  <c r="C18" i="85"/>
  <c r="R17" i="85"/>
  <c r="Q17" i="85"/>
  <c r="M17" i="85"/>
  <c r="N17" i="85" s="1"/>
  <c r="O17" i="85" s="1"/>
  <c r="C17" i="85"/>
  <c r="R16" i="85"/>
  <c r="Q16" i="85"/>
  <c r="M16" i="85"/>
  <c r="N16" i="85" s="1"/>
  <c r="O16" i="85" s="1"/>
  <c r="C16" i="85"/>
  <c r="R15" i="85"/>
  <c r="Q15" i="85"/>
  <c r="M15" i="85"/>
  <c r="N15" i="85" s="1"/>
  <c r="O15" i="85" s="1"/>
  <c r="C15" i="85"/>
  <c r="R14" i="85"/>
  <c r="Q14" i="85"/>
  <c r="M14" i="85"/>
  <c r="N14" i="85" s="1"/>
  <c r="O14" i="85" s="1"/>
  <c r="C14" i="85"/>
  <c r="R13" i="85"/>
  <c r="Q13" i="85"/>
  <c r="M13" i="85"/>
  <c r="N13" i="85" s="1"/>
  <c r="O13" i="85" s="1"/>
  <c r="C13" i="85"/>
  <c r="R12" i="85"/>
  <c r="Q12" i="85"/>
  <c r="M12" i="85"/>
  <c r="N12" i="85" s="1"/>
  <c r="O12" i="85" s="1"/>
  <c r="C12" i="85"/>
  <c r="R11" i="85"/>
  <c r="Q11" i="85"/>
  <c r="M11" i="85"/>
  <c r="N11" i="85" s="1"/>
  <c r="O11" i="85" s="1"/>
  <c r="C11" i="85"/>
  <c r="R10" i="85"/>
  <c r="Q10" i="85"/>
  <c r="M10" i="85"/>
  <c r="N10" i="85" s="1"/>
  <c r="O10" i="85" s="1"/>
  <c r="C10" i="85"/>
  <c r="R9" i="85"/>
  <c r="Q9" i="85"/>
  <c r="M9" i="85"/>
  <c r="N9" i="85" s="1"/>
  <c r="O9" i="85" s="1"/>
  <c r="C9" i="85"/>
  <c r="R8" i="85"/>
  <c r="Q8" i="85"/>
  <c r="M8" i="85"/>
  <c r="N8" i="85" s="1"/>
  <c r="O8" i="85" s="1"/>
  <c r="C8" i="85"/>
  <c r="R7" i="85"/>
  <c r="Q7" i="85"/>
  <c r="M7" i="85"/>
  <c r="N7" i="85" s="1"/>
  <c r="O7" i="85" s="1"/>
  <c r="C7" i="85"/>
  <c r="R6" i="85"/>
  <c r="Q6" i="85"/>
  <c r="M6" i="85"/>
  <c r="N6" i="85" s="1"/>
  <c r="C6" i="85"/>
  <c r="L4" i="85"/>
  <c r="J4" i="85"/>
  <c r="R118" i="84"/>
  <c r="Q118" i="84"/>
  <c r="M118" i="84"/>
  <c r="N118" i="84" s="1"/>
  <c r="O118" i="84" s="1"/>
  <c r="C118" i="84"/>
  <c r="R117" i="84"/>
  <c r="Q117" i="84"/>
  <c r="M117" i="84"/>
  <c r="N117" i="84" s="1"/>
  <c r="O117" i="84" s="1"/>
  <c r="C117" i="84"/>
  <c r="R116" i="84"/>
  <c r="Q116" i="84"/>
  <c r="M116" i="84"/>
  <c r="N116" i="84" s="1"/>
  <c r="O116" i="84" s="1"/>
  <c r="C116" i="84"/>
  <c r="R115" i="84"/>
  <c r="Q115" i="84"/>
  <c r="M115" i="84"/>
  <c r="N115" i="84" s="1"/>
  <c r="O115" i="84" s="1"/>
  <c r="C115" i="84"/>
  <c r="R114" i="84"/>
  <c r="Q114" i="84"/>
  <c r="M114" i="84"/>
  <c r="N114" i="84" s="1"/>
  <c r="O114" i="84" s="1"/>
  <c r="C114" i="84"/>
  <c r="R113" i="84"/>
  <c r="Q113" i="84"/>
  <c r="M113" i="84"/>
  <c r="N113" i="84" s="1"/>
  <c r="O113" i="84" s="1"/>
  <c r="C113" i="84"/>
  <c r="R112" i="84"/>
  <c r="Q112" i="84"/>
  <c r="M112" i="84"/>
  <c r="N112" i="84" s="1"/>
  <c r="O112" i="84" s="1"/>
  <c r="C112" i="84"/>
  <c r="R111" i="84"/>
  <c r="Q111" i="84"/>
  <c r="M111" i="84"/>
  <c r="N111" i="84" s="1"/>
  <c r="O111" i="84" s="1"/>
  <c r="C111" i="84"/>
  <c r="R110" i="84"/>
  <c r="Q110" i="84"/>
  <c r="M110" i="84"/>
  <c r="N110" i="84" s="1"/>
  <c r="O110" i="84" s="1"/>
  <c r="C110" i="84"/>
  <c r="R109" i="84"/>
  <c r="Q109" i="84"/>
  <c r="M109" i="84"/>
  <c r="N109" i="84" s="1"/>
  <c r="O109" i="84" s="1"/>
  <c r="C109" i="84"/>
  <c r="R108" i="84"/>
  <c r="Q108" i="84"/>
  <c r="M108" i="84"/>
  <c r="N108" i="84" s="1"/>
  <c r="O108" i="84" s="1"/>
  <c r="C108" i="84"/>
  <c r="R107" i="84"/>
  <c r="Q107" i="84"/>
  <c r="M107" i="84"/>
  <c r="N107" i="84" s="1"/>
  <c r="O107" i="84" s="1"/>
  <c r="C107" i="84"/>
  <c r="R106" i="84"/>
  <c r="Q106" i="84"/>
  <c r="M106" i="84"/>
  <c r="N106" i="84" s="1"/>
  <c r="O106" i="84" s="1"/>
  <c r="C106" i="84"/>
  <c r="R105" i="84"/>
  <c r="Q105" i="84"/>
  <c r="M105" i="84"/>
  <c r="N105" i="84" s="1"/>
  <c r="O105" i="84" s="1"/>
  <c r="C105" i="84"/>
  <c r="R104" i="84"/>
  <c r="Q104" i="84"/>
  <c r="M104" i="84"/>
  <c r="N104" i="84" s="1"/>
  <c r="O104" i="84" s="1"/>
  <c r="C104" i="84"/>
  <c r="R103" i="84"/>
  <c r="Q103" i="84"/>
  <c r="M103" i="84"/>
  <c r="N103" i="84" s="1"/>
  <c r="O103" i="84" s="1"/>
  <c r="C103" i="84"/>
  <c r="R102" i="84"/>
  <c r="Q102" i="84"/>
  <c r="M102" i="84"/>
  <c r="N102" i="84" s="1"/>
  <c r="O102" i="84" s="1"/>
  <c r="C102" i="84"/>
  <c r="R101" i="84"/>
  <c r="Q101" i="84"/>
  <c r="M101" i="84"/>
  <c r="N101" i="84" s="1"/>
  <c r="O101" i="84" s="1"/>
  <c r="C101" i="84"/>
  <c r="R100" i="84"/>
  <c r="Q100" i="84"/>
  <c r="M100" i="84"/>
  <c r="N100" i="84" s="1"/>
  <c r="O100" i="84" s="1"/>
  <c r="C100" i="84"/>
  <c r="R99" i="84"/>
  <c r="Q99" i="84"/>
  <c r="M99" i="84"/>
  <c r="N99" i="84" s="1"/>
  <c r="O99" i="84" s="1"/>
  <c r="C99" i="84"/>
  <c r="R98" i="84"/>
  <c r="Q98" i="84"/>
  <c r="M98" i="84"/>
  <c r="N98" i="84" s="1"/>
  <c r="O98" i="84" s="1"/>
  <c r="C98" i="84"/>
  <c r="R97" i="84"/>
  <c r="Q97" i="84"/>
  <c r="M97" i="84"/>
  <c r="N97" i="84" s="1"/>
  <c r="O97" i="84" s="1"/>
  <c r="C97" i="84"/>
  <c r="R96" i="84"/>
  <c r="Q96" i="84"/>
  <c r="M96" i="84"/>
  <c r="N96" i="84" s="1"/>
  <c r="O96" i="84" s="1"/>
  <c r="C96" i="84"/>
  <c r="R95" i="84"/>
  <c r="Q95" i="84"/>
  <c r="M95" i="84"/>
  <c r="N95" i="84" s="1"/>
  <c r="O95" i="84" s="1"/>
  <c r="C95" i="84"/>
  <c r="R94" i="84"/>
  <c r="Q94" i="84"/>
  <c r="M94" i="84"/>
  <c r="N94" i="84" s="1"/>
  <c r="O94" i="84" s="1"/>
  <c r="C94" i="84"/>
  <c r="R93" i="84"/>
  <c r="Q93" i="84"/>
  <c r="M93" i="84"/>
  <c r="N93" i="84" s="1"/>
  <c r="O93" i="84" s="1"/>
  <c r="C93" i="84"/>
  <c r="R92" i="84"/>
  <c r="Q92" i="84"/>
  <c r="M92" i="84"/>
  <c r="N92" i="84" s="1"/>
  <c r="O92" i="84" s="1"/>
  <c r="C92" i="84"/>
  <c r="R91" i="84"/>
  <c r="Q91" i="84"/>
  <c r="M91" i="84"/>
  <c r="N91" i="84" s="1"/>
  <c r="O91" i="84" s="1"/>
  <c r="C91" i="84"/>
  <c r="R90" i="84"/>
  <c r="Q90" i="84"/>
  <c r="M90" i="84"/>
  <c r="N90" i="84" s="1"/>
  <c r="O90" i="84" s="1"/>
  <c r="C90" i="84"/>
  <c r="R89" i="84"/>
  <c r="Q89" i="84"/>
  <c r="M89" i="84"/>
  <c r="N89" i="84" s="1"/>
  <c r="O89" i="84" s="1"/>
  <c r="C89" i="84"/>
  <c r="R88" i="84"/>
  <c r="Q88" i="84"/>
  <c r="M88" i="84"/>
  <c r="N88" i="84" s="1"/>
  <c r="O88" i="84" s="1"/>
  <c r="C88" i="84"/>
  <c r="R87" i="84"/>
  <c r="Q87" i="84"/>
  <c r="M87" i="84"/>
  <c r="N87" i="84" s="1"/>
  <c r="O87" i="84" s="1"/>
  <c r="C87" i="84"/>
  <c r="R86" i="84"/>
  <c r="Q86" i="84"/>
  <c r="M86" i="84"/>
  <c r="N86" i="84" s="1"/>
  <c r="O86" i="84" s="1"/>
  <c r="C86" i="84"/>
  <c r="R85" i="84"/>
  <c r="Q85" i="84"/>
  <c r="M85" i="84"/>
  <c r="N85" i="84" s="1"/>
  <c r="O85" i="84" s="1"/>
  <c r="C85" i="84"/>
  <c r="R84" i="84"/>
  <c r="Q84" i="84"/>
  <c r="M84" i="84"/>
  <c r="N84" i="84" s="1"/>
  <c r="O84" i="84" s="1"/>
  <c r="C84" i="84"/>
  <c r="R83" i="84"/>
  <c r="Q83" i="84"/>
  <c r="M83" i="84"/>
  <c r="N83" i="84" s="1"/>
  <c r="O83" i="84" s="1"/>
  <c r="C83" i="84"/>
  <c r="R82" i="84"/>
  <c r="Q82" i="84"/>
  <c r="M82" i="84"/>
  <c r="N82" i="84" s="1"/>
  <c r="O82" i="84" s="1"/>
  <c r="C82" i="84"/>
  <c r="R81" i="84"/>
  <c r="Q81" i="84"/>
  <c r="M81" i="84"/>
  <c r="N81" i="84" s="1"/>
  <c r="O81" i="84" s="1"/>
  <c r="C81" i="84"/>
  <c r="R80" i="84"/>
  <c r="Q80" i="84"/>
  <c r="M80" i="84"/>
  <c r="N80" i="84" s="1"/>
  <c r="O80" i="84" s="1"/>
  <c r="C80" i="84"/>
  <c r="R79" i="84"/>
  <c r="Q79" i="84"/>
  <c r="M79" i="84"/>
  <c r="N79" i="84" s="1"/>
  <c r="O79" i="84" s="1"/>
  <c r="C79" i="84"/>
  <c r="R78" i="84"/>
  <c r="Q78" i="84"/>
  <c r="M78" i="84"/>
  <c r="N78" i="84" s="1"/>
  <c r="O78" i="84" s="1"/>
  <c r="C78" i="84"/>
  <c r="R77" i="84"/>
  <c r="Q77" i="84"/>
  <c r="M77" i="84"/>
  <c r="N77" i="84" s="1"/>
  <c r="O77" i="84" s="1"/>
  <c r="C77" i="84"/>
  <c r="R76" i="84"/>
  <c r="Q76" i="84"/>
  <c r="M76" i="84"/>
  <c r="N76" i="84" s="1"/>
  <c r="O76" i="84" s="1"/>
  <c r="C76" i="84"/>
  <c r="R75" i="84"/>
  <c r="Q75" i="84"/>
  <c r="M75" i="84"/>
  <c r="N75" i="84" s="1"/>
  <c r="O75" i="84" s="1"/>
  <c r="C75" i="84"/>
  <c r="R74" i="84"/>
  <c r="Q74" i="84"/>
  <c r="M74" i="84"/>
  <c r="N74" i="84" s="1"/>
  <c r="O74" i="84" s="1"/>
  <c r="C74" i="84"/>
  <c r="R73" i="84"/>
  <c r="Q73" i="84"/>
  <c r="M73" i="84"/>
  <c r="N73" i="84" s="1"/>
  <c r="O73" i="84" s="1"/>
  <c r="C73" i="84"/>
  <c r="R72" i="84"/>
  <c r="Q72" i="84"/>
  <c r="M72" i="84"/>
  <c r="N72" i="84" s="1"/>
  <c r="O72" i="84" s="1"/>
  <c r="C72" i="84"/>
  <c r="R71" i="84"/>
  <c r="Q71" i="84"/>
  <c r="M71" i="84"/>
  <c r="N71" i="84" s="1"/>
  <c r="O71" i="84" s="1"/>
  <c r="C71" i="84"/>
  <c r="R70" i="84"/>
  <c r="Q70" i="84"/>
  <c r="M70" i="84"/>
  <c r="N70" i="84" s="1"/>
  <c r="O70" i="84" s="1"/>
  <c r="C70" i="84"/>
  <c r="R69" i="84"/>
  <c r="Q69" i="84"/>
  <c r="M69" i="84"/>
  <c r="N69" i="84" s="1"/>
  <c r="O69" i="84" s="1"/>
  <c r="C69" i="84"/>
  <c r="R68" i="84"/>
  <c r="Q68" i="84"/>
  <c r="M68" i="84"/>
  <c r="N68" i="84" s="1"/>
  <c r="O68" i="84" s="1"/>
  <c r="C68" i="84"/>
  <c r="R67" i="84"/>
  <c r="Q67" i="84"/>
  <c r="M67" i="84"/>
  <c r="N67" i="84" s="1"/>
  <c r="O67" i="84" s="1"/>
  <c r="C67" i="84"/>
  <c r="R66" i="84"/>
  <c r="Q66" i="84"/>
  <c r="M66" i="84"/>
  <c r="N66" i="84" s="1"/>
  <c r="O66" i="84" s="1"/>
  <c r="C66" i="84"/>
  <c r="R65" i="84"/>
  <c r="Q65" i="84"/>
  <c r="M65" i="84"/>
  <c r="N65" i="84" s="1"/>
  <c r="O65" i="84" s="1"/>
  <c r="C65" i="84"/>
  <c r="R64" i="84"/>
  <c r="Q64" i="84"/>
  <c r="M64" i="84"/>
  <c r="N64" i="84" s="1"/>
  <c r="O64" i="84" s="1"/>
  <c r="C64" i="84"/>
  <c r="R63" i="84"/>
  <c r="Q63" i="84"/>
  <c r="M63" i="84"/>
  <c r="N63" i="84" s="1"/>
  <c r="O63" i="84" s="1"/>
  <c r="C63" i="84"/>
  <c r="R62" i="84"/>
  <c r="Q62" i="84"/>
  <c r="M62" i="84"/>
  <c r="N62" i="84" s="1"/>
  <c r="O62" i="84" s="1"/>
  <c r="C62" i="84"/>
  <c r="R61" i="84"/>
  <c r="Q61" i="84"/>
  <c r="M61" i="84"/>
  <c r="N61" i="84" s="1"/>
  <c r="O61" i="84" s="1"/>
  <c r="C61" i="84"/>
  <c r="R60" i="84"/>
  <c r="Q60" i="84"/>
  <c r="M60" i="84"/>
  <c r="N60" i="84" s="1"/>
  <c r="O60" i="84" s="1"/>
  <c r="C60" i="84"/>
  <c r="R59" i="84"/>
  <c r="Q59" i="84"/>
  <c r="M59" i="84"/>
  <c r="N59" i="84" s="1"/>
  <c r="O59" i="84" s="1"/>
  <c r="C59" i="84"/>
  <c r="R58" i="84"/>
  <c r="Q58" i="84"/>
  <c r="M58" i="84"/>
  <c r="N58" i="84" s="1"/>
  <c r="O58" i="84" s="1"/>
  <c r="C58" i="84"/>
  <c r="R57" i="84"/>
  <c r="Q57" i="84"/>
  <c r="M57" i="84"/>
  <c r="N57" i="84" s="1"/>
  <c r="O57" i="84" s="1"/>
  <c r="C57" i="84"/>
  <c r="R56" i="84"/>
  <c r="Q56" i="84"/>
  <c r="M56" i="84"/>
  <c r="N56" i="84" s="1"/>
  <c r="O56" i="84" s="1"/>
  <c r="C56" i="84"/>
  <c r="R55" i="84"/>
  <c r="Q55" i="84"/>
  <c r="M55" i="84"/>
  <c r="N55" i="84" s="1"/>
  <c r="O55" i="84" s="1"/>
  <c r="C55" i="84"/>
  <c r="R54" i="84"/>
  <c r="Q54" i="84"/>
  <c r="M54" i="84"/>
  <c r="N54" i="84" s="1"/>
  <c r="O54" i="84" s="1"/>
  <c r="C54" i="84"/>
  <c r="R53" i="84"/>
  <c r="Q53" i="84"/>
  <c r="M53" i="84"/>
  <c r="N53" i="84" s="1"/>
  <c r="O53" i="84" s="1"/>
  <c r="C53" i="84"/>
  <c r="R52" i="84"/>
  <c r="Q52" i="84"/>
  <c r="M52" i="84"/>
  <c r="N52" i="84" s="1"/>
  <c r="O52" i="84" s="1"/>
  <c r="C52" i="84"/>
  <c r="R51" i="84"/>
  <c r="Q51" i="84"/>
  <c r="M51" i="84"/>
  <c r="N51" i="84" s="1"/>
  <c r="O51" i="84" s="1"/>
  <c r="C51" i="84"/>
  <c r="R50" i="84"/>
  <c r="Q50" i="84"/>
  <c r="M50" i="84"/>
  <c r="N50" i="84" s="1"/>
  <c r="O50" i="84" s="1"/>
  <c r="C50" i="84"/>
  <c r="R49" i="84"/>
  <c r="Q49" i="84"/>
  <c r="M49" i="84"/>
  <c r="N49" i="84" s="1"/>
  <c r="O49" i="84" s="1"/>
  <c r="C49" i="84"/>
  <c r="R48" i="84"/>
  <c r="Q48" i="84"/>
  <c r="M48" i="84"/>
  <c r="N48" i="84" s="1"/>
  <c r="O48" i="84" s="1"/>
  <c r="C48" i="84"/>
  <c r="R47" i="84"/>
  <c r="Q47" i="84"/>
  <c r="M47" i="84"/>
  <c r="N47" i="84" s="1"/>
  <c r="O47" i="84" s="1"/>
  <c r="C47" i="84"/>
  <c r="R46" i="84"/>
  <c r="Q46" i="84"/>
  <c r="M46" i="84"/>
  <c r="N46" i="84" s="1"/>
  <c r="O46" i="84" s="1"/>
  <c r="C46" i="84"/>
  <c r="R45" i="84"/>
  <c r="Q45" i="84"/>
  <c r="M45" i="84"/>
  <c r="N45" i="84" s="1"/>
  <c r="O45" i="84" s="1"/>
  <c r="C45" i="84"/>
  <c r="R44" i="84"/>
  <c r="Q44" i="84"/>
  <c r="M44" i="84"/>
  <c r="N44" i="84" s="1"/>
  <c r="O44" i="84" s="1"/>
  <c r="C44" i="84"/>
  <c r="R43" i="84"/>
  <c r="Q43" i="84"/>
  <c r="M43" i="84"/>
  <c r="N43" i="84" s="1"/>
  <c r="O43" i="84" s="1"/>
  <c r="C43" i="84"/>
  <c r="R42" i="84"/>
  <c r="Q42" i="84"/>
  <c r="M42" i="84"/>
  <c r="N42" i="84" s="1"/>
  <c r="O42" i="84" s="1"/>
  <c r="C42" i="84"/>
  <c r="R41" i="84"/>
  <c r="Q41" i="84"/>
  <c r="M41" i="84"/>
  <c r="N41" i="84" s="1"/>
  <c r="O41" i="84" s="1"/>
  <c r="C41" i="84"/>
  <c r="R40" i="84"/>
  <c r="Q40" i="84"/>
  <c r="M40" i="84"/>
  <c r="N40" i="84" s="1"/>
  <c r="O40" i="84" s="1"/>
  <c r="C40" i="84"/>
  <c r="R39" i="84"/>
  <c r="Q39" i="84"/>
  <c r="M39" i="84"/>
  <c r="N39" i="84" s="1"/>
  <c r="O39" i="84" s="1"/>
  <c r="C39" i="84"/>
  <c r="R38" i="84"/>
  <c r="Q38" i="84"/>
  <c r="M38" i="84"/>
  <c r="N38" i="84" s="1"/>
  <c r="O38" i="84" s="1"/>
  <c r="C38" i="84"/>
  <c r="R37" i="84"/>
  <c r="Q37" i="84"/>
  <c r="M37" i="84"/>
  <c r="N37" i="84" s="1"/>
  <c r="O37" i="84" s="1"/>
  <c r="C37" i="84"/>
  <c r="R36" i="84"/>
  <c r="Q36" i="84"/>
  <c r="M36" i="84"/>
  <c r="N36" i="84" s="1"/>
  <c r="O36" i="84" s="1"/>
  <c r="C36" i="84"/>
  <c r="R35" i="84"/>
  <c r="Q35" i="84"/>
  <c r="M35" i="84"/>
  <c r="N35" i="84" s="1"/>
  <c r="O35" i="84" s="1"/>
  <c r="C35" i="84"/>
  <c r="R34" i="84"/>
  <c r="Q34" i="84"/>
  <c r="M34" i="84"/>
  <c r="N34" i="84" s="1"/>
  <c r="O34" i="84" s="1"/>
  <c r="C34" i="84"/>
  <c r="R33" i="84"/>
  <c r="Q33" i="84"/>
  <c r="M33" i="84"/>
  <c r="N33" i="84" s="1"/>
  <c r="O33" i="84" s="1"/>
  <c r="C33" i="84"/>
  <c r="R32" i="84"/>
  <c r="Q32" i="84"/>
  <c r="M32" i="84"/>
  <c r="N32" i="84" s="1"/>
  <c r="O32" i="84" s="1"/>
  <c r="C32" i="84"/>
  <c r="R31" i="84"/>
  <c r="Q31" i="84"/>
  <c r="M31" i="84"/>
  <c r="N31" i="84" s="1"/>
  <c r="O31" i="84" s="1"/>
  <c r="C31" i="84"/>
  <c r="R30" i="84"/>
  <c r="Q30" i="84"/>
  <c r="M30" i="84"/>
  <c r="N30" i="84" s="1"/>
  <c r="O30" i="84" s="1"/>
  <c r="C30" i="84"/>
  <c r="R29" i="84"/>
  <c r="Q29" i="84"/>
  <c r="M29" i="84"/>
  <c r="N29" i="84" s="1"/>
  <c r="O29" i="84" s="1"/>
  <c r="C29" i="84"/>
  <c r="R28" i="84"/>
  <c r="Q28" i="84"/>
  <c r="M28" i="84"/>
  <c r="N28" i="84" s="1"/>
  <c r="O28" i="84" s="1"/>
  <c r="C28" i="84"/>
  <c r="R27" i="84"/>
  <c r="Q27" i="84"/>
  <c r="M27" i="84"/>
  <c r="N27" i="84" s="1"/>
  <c r="O27" i="84" s="1"/>
  <c r="C27" i="84"/>
  <c r="R26" i="84"/>
  <c r="Q26" i="84"/>
  <c r="M26" i="84"/>
  <c r="N26" i="84" s="1"/>
  <c r="O26" i="84" s="1"/>
  <c r="C26" i="84"/>
  <c r="R25" i="84"/>
  <c r="Q25" i="84"/>
  <c r="M25" i="84"/>
  <c r="N25" i="84" s="1"/>
  <c r="O25" i="84" s="1"/>
  <c r="C25" i="84"/>
  <c r="R24" i="84"/>
  <c r="Q24" i="84"/>
  <c r="M24" i="84"/>
  <c r="N24" i="84" s="1"/>
  <c r="O24" i="84" s="1"/>
  <c r="C24" i="84"/>
  <c r="R23" i="84"/>
  <c r="Q23" i="84"/>
  <c r="M23" i="84"/>
  <c r="N23" i="84" s="1"/>
  <c r="O23" i="84" s="1"/>
  <c r="C23" i="84"/>
  <c r="R22" i="84"/>
  <c r="Q22" i="84"/>
  <c r="M22" i="84"/>
  <c r="N22" i="84" s="1"/>
  <c r="O22" i="84" s="1"/>
  <c r="C22" i="84"/>
  <c r="R21" i="84"/>
  <c r="Q21" i="84"/>
  <c r="M21" i="84"/>
  <c r="N21" i="84" s="1"/>
  <c r="O21" i="84" s="1"/>
  <c r="C21" i="84"/>
  <c r="R20" i="84"/>
  <c r="Q20" i="84"/>
  <c r="M20" i="84"/>
  <c r="N20" i="84" s="1"/>
  <c r="O20" i="84" s="1"/>
  <c r="C20" i="84"/>
  <c r="R19" i="84"/>
  <c r="Q19" i="84"/>
  <c r="M19" i="84"/>
  <c r="N19" i="84" s="1"/>
  <c r="O19" i="84" s="1"/>
  <c r="C19" i="84"/>
  <c r="R18" i="84"/>
  <c r="Q18" i="84"/>
  <c r="M18" i="84"/>
  <c r="N18" i="84" s="1"/>
  <c r="O18" i="84" s="1"/>
  <c r="C18" i="84"/>
  <c r="R17" i="84"/>
  <c r="Q17" i="84"/>
  <c r="M17" i="84"/>
  <c r="N17" i="84" s="1"/>
  <c r="O17" i="84" s="1"/>
  <c r="C17" i="84"/>
  <c r="R16" i="84"/>
  <c r="Q16" i="84"/>
  <c r="M16" i="84"/>
  <c r="N16" i="84" s="1"/>
  <c r="O16" i="84" s="1"/>
  <c r="C16" i="84"/>
  <c r="R15" i="84"/>
  <c r="Q15" i="84"/>
  <c r="M15" i="84"/>
  <c r="N15" i="84" s="1"/>
  <c r="O15" i="84" s="1"/>
  <c r="C15" i="84"/>
  <c r="R14" i="84"/>
  <c r="Q14" i="84"/>
  <c r="M14" i="84"/>
  <c r="N14" i="84" s="1"/>
  <c r="O14" i="84" s="1"/>
  <c r="C14" i="84"/>
  <c r="R13" i="84"/>
  <c r="Q13" i="84"/>
  <c r="M13" i="84"/>
  <c r="N13" i="84" s="1"/>
  <c r="O13" i="84" s="1"/>
  <c r="C13" i="84"/>
  <c r="R12" i="84"/>
  <c r="Q12" i="84"/>
  <c r="M12" i="84"/>
  <c r="N12" i="84" s="1"/>
  <c r="O12" i="84" s="1"/>
  <c r="C12" i="84"/>
  <c r="R11" i="84"/>
  <c r="Q11" i="84"/>
  <c r="M11" i="84"/>
  <c r="N11" i="84" s="1"/>
  <c r="O11" i="84" s="1"/>
  <c r="C11" i="84"/>
  <c r="R10" i="84"/>
  <c r="Q10" i="84"/>
  <c r="M10" i="84"/>
  <c r="N10" i="84" s="1"/>
  <c r="O10" i="84" s="1"/>
  <c r="C10" i="84"/>
  <c r="R9" i="84"/>
  <c r="Q9" i="84"/>
  <c r="M9" i="84"/>
  <c r="N9" i="84" s="1"/>
  <c r="O9" i="84" s="1"/>
  <c r="C9" i="84"/>
  <c r="R8" i="84"/>
  <c r="Q8" i="84"/>
  <c r="M8" i="84"/>
  <c r="N8" i="84" s="1"/>
  <c r="O8" i="84" s="1"/>
  <c r="C8" i="84"/>
  <c r="R7" i="84"/>
  <c r="Q7" i="84"/>
  <c r="M7" i="84"/>
  <c r="N7" i="84" s="1"/>
  <c r="O7" i="84" s="1"/>
  <c r="C7" i="84"/>
  <c r="R6" i="84"/>
  <c r="Q6" i="84"/>
  <c r="M6" i="84"/>
  <c r="N6" i="84" s="1"/>
  <c r="C6" i="84"/>
  <c r="L4" i="84"/>
  <c r="J4" i="84"/>
  <c r="R92" i="83"/>
  <c r="Q92" i="83"/>
  <c r="M92" i="83"/>
  <c r="N92" i="83" s="1"/>
  <c r="O92" i="83" s="1"/>
  <c r="R91" i="83"/>
  <c r="Q91" i="83"/>
  <c r="M91" i="83"/>
  <c r="N91" i="83" s="1"/>
  <c r="O91" i="83" s="1"/>
  <c r="C92" i="83"/>
  <c r="N93" i="86" l="1"/>
  <c r="O93" i="86" s="1"/>
  <c r="N107" i="86"/>
  <c r="O107" i="86" s="1"/>
  <c r="N106" i="86"/>
  <c r="O106" i="86" s="1"/>
  <c r="N105" i="86"/>
  <c r="O105" i="86" s="1"/>
  <c r="N103" i="86"/>
  <c r="O103" i="86" s="1"/>
  <c r="N104" i="86"/>
  <c r="O104" i="86" s="1"/>
  <c r="N102" i="86"/>
  <c r="O102" i="86" s="1"/>
  <c r="N114" i="86"/>
  <c r="O114" i="86" s="1"/>
  <c r="N117" i="86"/>
  <c r="O117" i="86" s="1"/>
  <c r="N115" i="86"/>
  <c r="O115" i="86" s="1"/>
  <c r="N119" i="86"/>
  <c r="O119" i="86" s="1"/>
  <c r="N118" i="86"/>
  <c r="O118" i="86" s="1"/>
  <c r="N113" i="86"/>
  <c r="O113" i="86" s="1"/>
  <c r="N110" i="86"/>
  <c r="O110" i="86" s="1"/>
  <c r="N116" i="86"/>
  <c r="O116" i="86" s="1"/>
  <c r="N112" i="86"/>
  <c r="O112" i="86" s="1"/>
  <c r="N111" i="86"/>
  <c r="O111" i="86" s="1"/>
  <c r="N109" i="86"/>
  <c r="O109" i="86" s="1"/>
  <c r="N108" i="86"/>
  <c r="O108" i="86" s="1"/>
  <c r="N76" i="86"/>
  <c r="O76" i="86" s="1"/>
  <c r="N73" i="86"/>
  <c r="O73" i="86" s="1"/>
  <c r="N54" i="86"/>
  <c r="O54" i="86" s="1"/>
  <c r="N48" i="86"/>
  <c r="O48" i="86" s="1"/>
  <c r="N46" i="86"/>
  <c r="O46" i="86" s="1"/>
  <c r="N42" i="86"/>
  <c r="O42" i="86" s="1"/>
  <c r="N40" i="86"/>
  <c r="O40" i="86" s="1"/>
  <c r="N18" i="86"/>
  <c r="O18" i="86" s="1"/>
  <c r="N101" i="86"/>
  <c r="O101" i="86" s="1"/>
  <c r="N100" i="86"/>
  <c r="O100" i="86" s="1"/>
  <c r="N99" i="86"/>
  <c r="O99" i="86" s="1"/>
  <c r="N98" i="86"/>
  <c r="O98" i="86" s="1"/>
  <c r="N97" i="86"/>
  <c r="O97" i="86" s="1"/>
  <c r="N96" i="86"/>
  <c r="O96" i="86" s="1"/>
  <c r="N95" i="86"/>
  <c r="O95" i="86" s="1"/>
  <c r="N92" i="86"/>
  <c r="O92" i="86" s="1"/>
  <c r="N90" i="86"/>
  <c r="O90" i="86" s="1"/>
  <c r="N82" i="86"/>
  <c r="O82" i="86" s="1"/>
  <c r="N80" i="86"/>
  <c r="O80" i="86" s="1"/>
  <c r="N78" i="86"/>
  <c r="O78" i="86" s="1"/>
  <c r="N53" i="86"/>
  <c r="O53" i="86" s="1"/>
  <c r="N14" i="86"/>
  <c r="O14" i="86" s="1"/>
  <c r="N9" i="86"/>
  <c r="O9" i="86" s="1"/>
  <c r="N69" i="86"/>
  <c r="O69" i="86" s="1"/>
  <c r="N68" i="86"/>
  <c r="O68" i="86" s="1"/>
  <c r="N67" i="86"/>
  <c r="O67" i="86" s="1"/>
  <c r="N66" i="86"/>
  <c r="O66" i="86" s="1"/>
  <c r="N65" i="86"/>
  <c r="O65" i="86" s="1"/>
  <c r="N64" i="86"/>
  <c r="O64" i="86" s="1"/>
  <c r="N63" i="86"/>
  <c r="O63" i="86" s="1"/>
  <c r="N62" i="86"/>
  <c r="O62" i="86" s="1"/>
  <c r="N61" i="86"/>
  <c r="O61" i="86" s="1"/>
  <c r="N60" i="86"/>
  <c r="O60" i="86" s="1"/>
  <c r="N59" i="86"/>
  <c r="O59" i="86" s="1"/>
  <c r="N58" i="86"/>
  <c r="O58" i="86" s="1"/>
  <c r="N50" i="86"/>
  <c r="O50" i="86" s="1"/>
  <c r="N22" i="86"/>
  <c r="O22" i="86" s="1"/>
  <c r="N12" i="86"/>
  <c r="O12" i="86" s="1"/>
  <c r="N39" i="86"/>
  <c r="O39" i="86" s="1"/>
  <c r="N38" i="86"/>
  <c r="O38" i="86" s="1"/>
  <c r="N37" i="86"/>
  <c r="O37" i="86" s="1"/>
  <c r="N36" i="86"/>
  <c r="O36" i="86" s="1"/>
  <c r="N35" i="86"/>
  <c r="O35" i="86" s="1"/>
  <c r="N34" i="86"/>
  <c r="O34" i="86" s="1"/>
  <c r="N33" i="86"/>
  <c r="O33" i="86" s="1"/>
  <c r="N32" i="86"/>
  <c r="O32" i="86" s="1"/>
  <c r="N31" i="86"/>
  <c r="O31" i="86" s="1"/>
  <c r="N30" i="86"/>
  <c r="O30" i="86" s="1"/>
  <c r="N29" i="86"/>
  <c r="O29" i="86" s="1"/>
  <c r="N28" i="86"/>
  <c r="O28" i="86" s="1"/>
  <c r="N27" i="86"/>
  <c r="O27" i="86" s="1"/>
  <c r="N26" i="86"/>
  <c r="O26" i="86" s="1"/>
  <c r="N16" i="86"/>
  <c r="O16" i="86" s="1"/>
  <c r="N11" i="86"/>
  <c r="O11" i="86" s="1"/>
  <c r="N8" i="86"/>
  <c r="O8" i="86" s="1"/>
  <c r="N7" i="86"/>
  <c r="O7" i="86" s="1"/>
  <c r="N6" i="86"/>
  <c r="N88" i="86"/>
  <c r="O88" i="86" s="1"/>
  <c r="N86" i="86"/>
  <c r="O86" i="86" s="1"/>
  <c r="N75" i="86"/>
  <c r="O75" i="86" s="1"/>
  <c r="N56" i="86"/>
  <c r="O56" i="86" s="1"/>
  <c r="N43" i="86"/>
  <c r="O43" i="86" s="1"/>
  <c r="N19" i="86"/>
  <c r="O19" i="86" s="1"/>
  <c r="N17" i="86"/>
  <c r="O17" i="86" s="1"/>
  <c r="N70" i="86"/>
  <c r="O70" i="86" s="1"/>
  <c r="N23" i="86"/>
  <c r="O23" i="86" s="1"/>
  <c r="N20" i="86"/>
  <c r="O20" i="86" s="1"/>
  <c r="N13" i="86"/>
  <c r="O13" i="86" s="1"/>
  <c r="N10" i="86"/>
  <c r="O10" i="86" s="1"/>
  <c r="N91" i="86"/>
  <c r="O91" i="86" s="1"/>
  <c r="N89" i="86"/>
  <c r="O89" i="86" s="1"/>
  <c r="N87" i="86"/>
  <c r="O87" i="86" s="1"/>
  <c r="N85" i="86"/>
  <c r="O85" i="86" s="1"/>
  <c r="N83" i="86"/>
  <c r="O83" i="86" s="1"/>
  <c r="N81" i="86"/>
  <c r="O81" i="86" s="1"/>
  <c r="N79" i="86"/>
  <c r="O79" i="86" s="1"/>
  <c r="N71" i="86"/>
  <c r="O71" i="86" s="1"/>
  <c r="N57" i="86"/>
  <c r="O57" i="86" s="1"/>
  <c r="N55" i="86"/>
  <c r="O55" i="86" s="1"/>
  <c r="N44" i="86"/>
  <c r="O44" i="86" s="1"/>
  <c r="N94" i="86"/>
  <c r="O94" i="86" s="1"/>
  <c r="N74" i="86"/>
  <c r="O74" i="86" s="1"/>
  <c r="N72" i="86"/>
  <c r="O72" i="86" s="1"/>
  <c r="N52" i="86"/>
  <c r="O52" i="86" s="1"/>
  <c r="N15" i="86"/>
  <c r="O15" i="86" s="1"/>
  <c r="N84" i="86"/>
  <c r="O84" i="86" s="1"/>
  <c r="N77" i="86"/>
  <c r="O77" i="86" s="1"/>
  <c r="N51" i="86"/>
  <c r="O51" i="86" s="1"/>
  <c r="N49" i="86"/>
  <c r="O49" i="86" s="1"/>
  <c r="N47" i="86"/>
  <c r="O47" i="86" s="1"/>
  <c r="N45" i="86"/>
  <c r="O45" i="86" s="1"/>
  <c r="N41" i="86"/>
  <c r="O41" i="86" s="1"/>
  <c r="N25" i="86"/>
  <c r="O25" i="86" s="1"/>
  <c r="N24" i="86"/>
  <c r="O24" i="86" s="1"/>
  <c r="N21" i="86"/>
  <c r="O21" i="86" s="1"/>
  <c r="O6" i="85"/>
  <c r="O4" i="85" s="1"/>
  <c r="N4" i="85"/>
  <c r="O6" i="84"/>
  <c r="O4" i="84" s="1"/>
  <c r="N4" i="84"/>
  <c r="R103" i="83"/>
  <c r="Q103" i="83"/>
  <c r="M103" i="83"/>
  <c r="N103" i="83" s="1"/>
  <c r="O103" i="83" s="1"/>
  <c r="C103" i="83"/>
  <c r="R102" i="83"/>
  <c r="Q102" i="83"/>
  <c r="M102" i="83"/>
  <c r="N102" i="83" s="1"/>
  <c r="O102" i="83" s="1"/>
  <c r="C102" i="83"/>
  <c r="R101" i="83"/>
  <c r="Q101" i="83"/>
  <c r="M101" i="83"/>
  <c r="N101" i="83" s="1"/>
  <c r="O101" i="83" s="1"/>
  <c r="C101" i="83"/>
  <c r="O6" i="86" l="1"/>
  <c r="O4" i="86" s="1"/>
  <c r="N4" i="86"/>
  <c r="R112" i="83"/>
  <c r="Q112" i="83"/>
  <c r="M112" i="83"/>
  <c r="N112" i="83" s="1"/>
  <c r="O112" i="83" s="1"/>
  <c r="C112" i="83"/>
  <c r="R111" i="83"/>
  <c r="Q111" i="83"/>
  <c r="M111" i="83"/>
  <c r="N111" i="83" s="1"/>
  <c r="O111" i="83" s="1"/>
  <c r="C111" i="83"/>
  <c r="R110" i="83"/>
  <c r="Q110" i="83"/>
  <c r="M110" i="83"/>
  <c r="N110" i="83" s="1"/>
  <c r="O110" i="83" s="1"/>
  <c r="C110" i="83"/>
  <c r="R109" i="83"/>
  <c r="Q109" i="83"/>
  <c r="M109" i="83"/>
  <c r="N109" i="83" s="1"/>
  <c r="O109" i="83" s="1"/>
  <c r="C109" i="83"/>
  <c r="R108" i="83"/>
  <c r="Q108" i="83"/>
  <c r="M108" i="83"/>
  <c r="N108" i="83" s="1"/>
  <c r="O108" i="83" s="1"/>
  <c r="C108" i="83"/>
  <c r="R107" i="83"/>
  <c r="Q107" i="83"/>
  <c r="M107" i="83"/>
  <c r="N107" i="83" s="1"/>
  <c r="O107" i="83" s="1"/>
  <c r="C107" i="83"/>
  <c r="R106" i="83"/>
  <c r="Q106" i="83"/>
  <c r="M106" i="83"/>
  <c r="N106" i="83" s="1"/>
  <c r="O106" i="83" s="1"/>
  <c r="C106" i="83"/>
  <c r="R105" i="83"/>
  <c r="Q105" i="83"/>
  <c r="M105" i="83"/>
  <c r="N105" i="83" s="1"/>
  <c r="O105" i="83" s="1"/>
  <c r="C105" i="83"/>
  <c r="R104" i="83"/>
  <c r="Q104" i="83"/>
  <c r="M104" i="83"/>
  <c r="N104" i="83" s="1"/>
  <c r="O104" i="83" s="1"/>
  <c r="C104" i="83"/>
  <c r="R100" i="83"/>
  <c r="Q100" i="83"/>
  <c r="M100" i="83"/>
  <c r="N100" i="83" s="1"/>
  <c r="O100" i="83" s="1"/>
  <c r="C100" i="83"/>
  <c r="R99" i="83"/>
  <c r="Q99" i="83"/>
  <c r="M99" i="83"/>
  <c r="N99" i="83" s="1"/>
  <c r="O99" i="83" s="1"/>
  <c r="C99" i="83"/>
  <c r="R98" i="83"/>
  <c r="Q98" i="83"/>
  <c r="M98" i="83"/>
  <c r="N98" i="83" s="1"/>
  <c r="O98" i="83" s="1"/>
  <c r="C98" i="83"/>
  <c r="R97" i="83"/>
  <c r="Q97" i="83"/>
  <c r="M97" i="83"/>
  <c r="N97" i="83" s="1"/>
  <c r="O97" i="83" s="1"/>
  <c r="C97" i="83"/>
  <c r="R96" i="83"/>
  <c r="Q96" i="83"/>
  <c r="M96" i="83"/>
  <c r="N96" i="83" s="1"/>
  <c r="O96" i="83" s="1"/>
  <c r="C96" i="83"/>
  <c r="R95" i="83"/>
  <c r="Q95" i="83"/>
  <c r="M95" i="83"/>
  <c r="N95" i="83" s="1"/>
  <c r="O95" i="83" s="1"/>
  <c r="C95" i="83"/>
  <c r="R94" i="83"/>
  <c r="Q94" i="83"/>
  <c r="M94" i="83"/>
  <c r="N94" i="83" s="1"/>
  <c r="O94" i="83" s="1"/>
  <c r="C94" i="83"/>
  <c r="R93" i="83"/>
  <c r="Q93" i="83"/>
  <c r="M93" i="83"/>
  <c r="N93" i="83" s="1"/>
  <c r="O93" i="83" s="1"/>
  <c r="C93" i="83"/>
  <c r="C91" i="83"/>
  <c r="R90" i="83"/>
  <c r="Q90" i="83"/>
  <c r="M90" i="83"/>
  <c r="N90" i="83" s="1"/>
  <c r="O90" i="83" s="1"/>
  <c r="C90" i="83"/>
  <c r="R89" i="83"/>
  <c r="Q89" i="83"/>
  <c r="M89" i="83"/>
  <c r="N89" i="83" s="1"/>
  <c r="O89" i="83" s="1"/>
  <c r="C89" i="83"/>
  <c r="R88" i="83"/>
  <c r="Q88" i="83"/>
  <c r="M88" i="83"/>
  <c r="N88" i="83" s="1"/>
  <c r="O88" i="83" s="1"/>
  <c r="C88" i="83"/>
  <c r="R87" i="83"/>
  <c r="Q87" i="83"/>
  <c r="M87" i="83"/>
  <c r="N87" i="83" s="1"/>
  <c r="O87" i="83" s="1"/>
  <c r="C87" i="83"/>
  <c r="R86" i="83"/>
  <c r="Q86" i="83"/>
  <c r="M86" i="83"/>
  <c r="N86" i="83" s="1"/>
  <c r="O86" i="83" s="1"/>
  <c r="C86" i="83"/>
  <c r="R85" i="83"/>
  <c r="Q85" i="83"/>
  <c r="M85" i="83"/>
  <c r="N85" i="83" s="1"/>
  <c r="O85" i="83" s="1"/>
  <c r="C85" i="83"/>
  <c r="R84" i="83"/>
  <c r="Q84" i="83"/>
  <c r="M84" i="83"/>
  <c r="N84" i="83" s="1"/>
  <c r="O84" i="83" s="1"/>
  <c r="C84" i="83"/>
  <c r="R83" i="83"/>
  <c r="Q83" i="83"/>
  <c r="M83" i="83"/>
  <c r="N83" i="83" s="1"/>
  <c r="O83" i="83" s="1"/>
  <c r="C83" i="83"/>
  <c r="R82" i="83"/>
  <c r="Q82" i="83"/>
  <c r="M82" i="83"/>
  <c r="N82" i="83" s="1"/>
  <c r="O82" i="83" s="1"/>
  <c r="C82" i="83"/>
  <c r="R81" i="83"/>
  <c r="Q81" i="83"/>
  <c r="M81" i="83"/>
  <c r="N81" i="83" s="1"/>
  <c r="O81" i="83" s="1"/>
  <c r="C81" i="83"/>
  <c r="R80" i="83"/>
  <c r="Q80" i="83"/>
  <c r="M80" i="83"/>
  <c r="N80" i="83" s="1"/>
  <c r="O80" i="83" s="1"/>
  <c r="C80" i="83"/>
  <c r="R79" i="83"/>
  <c r="Q79" i="83"/>
  <c r="M79" i="83"/>
  <c r="N79" i="83" s="1"/>
  <c r="O79" i="83" s="1"/>
  <c r="C79" i="83"/>
  <c r="R78" i="83"/>
  <c r="Q78" i="83"/>
  <c r="M78" i="83"/>
  <c r="N78" i="83" s="1"/>
  <c r="O78" i="83" s="1"/>
  <c r="C78" i="83"/>
  <c r="R77" i="83"/>
  <c r="Q77" i="83"/>
  <c r="M77" i="83"/>
  <c r="N77" i="83" s="1"/>
  <c r="O77" i="83" s="1"/>
  <c r="C77" i="83"/>
  <c r="R76" i="83"/>
  <c r="Q76" i="83"/>
  <c r="M76" i="83"/>
  <c r="N76" i="83" s="1"/>
  <c r="O76" i="83" s="1"/>
  <c r="C76" i="83"/>
  <c r="R75" i="83"/>
  <c r="Q75" i="83"/>
  <c r="M75" i="83"/>
  <c r="N75" i="83" s="1"/>
  <c r="O75" i="83" s="1"/>
  <c r="C75" i="83"/>
  <c r="R74" i="83"/>
  <c r="Q74" i="83"/>
  <c r="M74" i="83"/>
  <c r="N74" i="83" s="1"/>
  <c r="O74" i="83" s="1"/>
  <c r="C74" i="83"/>
  <c r="R73" i="83"/>
  <c r="Q73" i="83"/>
  <c r="M73" i="83"/>
  <c r="N73" i="83" s="1"/>
  <c r="O73" i="83" s="1"/>
  <c r="C73" i="83"/>
  <c r="R72" i="83"/>
  <c r="Q72" i="83"/>
  <c r="M72" i="83"/>
  <c r="N72" i="83" s="1"/>
  <c r="O72" i="83" s="1"/>
  <c r="C72" i="83"/>
  <c r="R71" i="83"/>
  <c r="Q71" i="83"/>
  <c r="M71" i="83"/>
  <c r="N71" i="83" s="1"/>
  <c r="O71" i="83" s="1"/>
  <c r="C71" i="83"/>
  <c r="R70" i="83"/>
  <c r="Q70" i="83"/>
  <c r="M70" i="83"/>
  <c r="N70" i="83" s="1"/>
  <c r="O70" i="83" s="1"/>
  <c r="C70" i="83"/>
  <c r="R69" i="83"/>
  <c r="Q69" i="83"/>
  <c r="M69" i="83"/>
  <c r="N69" i="83" s="1"/>
  <c r="O69" i="83" s="1"/>
  <c r="C69" i="83"/>
  <c r="R68" i="83"/>
  <c r="Q68" i="83"/>
  <c r="M68" i="83"/>
  <c r="N68" i="83" s="1"/>
  <c r="O68" i="83" s="1"/>
  <c r="C68" i="83"/>
  <c r="R67" i="83"/>
  <c r="Q67" i="83"/>
  <c r="M67" i="83"/>
  <c r="N67" i="83" s="1"/>
  <c r="O67" i="83" s="1"/>
  <c r="C67" i="83"/>
  <c r="R66" i="83"/>
  <c r="Q66" i="83"/>
  <c r="M66" i="83"/>
  <c r="N66" i="83" s="1"/>
  <c r="O66" i="83" s="1"/>
  <c r="C66" i="83"/>
  <c r="R65" i="83"/>
  <c r="Q65" i="83"/>
  <c r="M65" i="83"/>
  <c r="N65" i="83" s="1"/>
  <c r="O65" i="83" s="1"/>
  <c r="C65" i="83"/>
  <c r="R64" i="83"/>
  <c r="Q64" i="83"/>
  <c r="M64" i="83"/>
  <c r="N64" i="83" s="1"/>
  <c r="O64" i="83" s="1"/>
  <c r="C64" i="83"/>
  <c r="R63" i="83"/>
  <c r="Q63" i="83"/>
  <c r="M63" i="83"/>
  <c r="N63" i="83" s="1"/>
  <c r="O63" i="83" s="1"/>
  <c r="C63" i="83"/>
  <c r="R62" i="83"/>
  <c r="Q62" i="83"/>
  <c r="M62" i="83"/>
  <c r="N62" i="83" s="1"/>
  <c r="O62" i="83" s="1"/>
  <c r="C62" i="83"/>
  <c r="R61" i="83"/>
  <c r="Q61" i="83"/>
  <c r="M61" i="83"/>
  <c r="N61" i="83" s="1"/>
  <c r="O61" i="83" s="1"/>
  <c r="C61" i="83"/>
  <c r="R60" i="83"/>
  <c r="Q60" i="83"/>
  <c r="M60" i="83"/>
  <c r="N60" i="83" s="1"/>
  <c r="O60" i="83" s="1"/>
  <c r="C60" i="83"/>
  <c r="R59" i="83"/>
  <c r="Q59" i="83"/>
  <c r="M59" i="83"/>
  <c r="N59" i="83" s="1"/>
  <c r="O59" i="83" s="1"/>
  <c r="C59" i="83"/>
  <c r="R58" i="83"/>
  <c r="Q58" i="83"/>
  <c r="M58" i="83"/>
  <c r="N58" i="83" s="1"/>
  <c r="O58" i="83" s="1"/>
  <c r="C58" i="83"/>
  <c r="R57" i="83"/>
  <c r="Q57" i="83"/>
  <c r="M57" i="83"/>
  <c r="N57" i="83" s="1"/>
  <c r="O57" i="83" s="1"/>
  <c r="C57" i="83"/>
  <c r="R56" i="83"/>
  <c r="Q56" i="83"/>
  <c r="M56" i="83"/>
  <c r="N56" i="83" s="1"/>
  <c r="O56" i="83" s="1"/>
  <c r="C56" i="83"/>
  <c r="R55" i="83"/>
  <c r="Q55" i="83"/>
  <c r="M55" i="83"/>
  <c r="N55" i="83" s="1"/>
  <c r="O55" i="83" s="1"/>
  <c r="C55" i="83"/>
  <c r="R54" i="83"/>
  <c r="Q54" i="83"/>
  <c r="M54" i="83"/>
  <c r="N54" i="83" s="1"/>
  <c r="O54" i="83" s="1"/>
  <c r="C54" i="83"/>
  <c r="R53" i="83"/>
  <c r="Q53" i="83"/>
  <c r="M53" i="83"/>
  <c r="N53" i="83" s="1"/>
  <c r="O53" i="83" s="1"/>
  <c r="C53" i="83"/>
  <c r="R52" i="83"/>
  <c r="Q52" i="83"/>
  <c r="M52" i="83"/>
  <c r="N52" i="83" s="1"/>
  <c r="O52" i="83" s="1"/>
  <c r="C52" i="83"/>
  <c r="R51" i="83"/>
  <c r="Q51" i="83"/>
  <c r="M51" i="83"/>
  <c r="N51" i="83" s="1"/>
  <c r="O51" i="83" s="1"/>
  <c r="C51" i="83"/>
  <c r="R50" i="83"/>
  <c r="Q50" i="83"/>
  <c r="M50" i="83"/>
  <c r="N50" i="83" s="1"/>
  <c r="O50" i="83" s="1"/>
  <c r="C50" i="83"/>
  <c r="R49" i="83"/>
  <c r="Q49" i="83"/>
  <c r="M49" i="83"/>
  <c r="N49" i="83" s="1"/>
  <c r="O49" i="83" s="1"/>
  <c r="C49" i="83"/>
  <c r="R48" i="83"/>
  <c r="Q48" i="83"/>
  <c r="M48" i="83"/>
  <c r="N48" i="83" s="1"/>
  <c r="O48" i="83" s="1"/>
  <c r="C48" i="83"/>
  <c r="R47" i="83"/>
  <c r="Q47" i="83"/>
  <c r="M47" i="83"/>
  <c r="N47" i="83" s="1"/>
  <c r="O47" i="83" s="1"/>
  <c r="C47" i="83"/>
  <c r="R46" i="83"/>
  <c r="Q46" i="83"/>
  <c r="M46" i="83"/>
  <c r="N46" i="83" s="1"/>
  <c r="O46" i="83" s="1"/>
  <c r="C46" i="83"/>
  <c r="R45" i="83"/>
  <c r="Q45" i="83"/>
  <c r="M45" i="83"/>
  <c r="N45" i="83" s="1"/>
  <c r="O45" i="83" s="1"/>
  <c r="C45" i="83"/>
  <c r="R44" i="83"/>
  <c r="Q44" i="83"/>
  <c r="M44" i="83"/>
  <c r="N44" i="83" s="1"/>
  <c r="O44" i="83" s="1"/>
  <c r="C44" i="83"/>
  <c r="R43" i="83"/>
  <c r="Q43" i="83"/>
  <c r="M43" i="83"/>
  <c r="N43" i="83" s="1"/>
  <c r="O43" i="83" s="1"/>
  <c r="C43" i="83"/>
  <c r="R42" i="83"/>
  <c r="Q42" i="83"/>
  <c r="M42" i="83"/>
  <c r="N42" i="83" s="1"/>
  <c r="O42" i="83" s="1"/>
  <c r="C42" i="83"/>
  <c r="R41" i="83"/>
  <c r="Q41" i="83"/>
  <c r="M41" i="83"/>
  <c r="N41" i="83" s="1"/>
  <c r="O41" i="83" s="1"/>
  <c r="C41" i="83"/>
  <c r="R40" i="83"/>
  <c r="Q40" i="83"/>
  <c r="M40" i="83"/>
  <c r="N40" i="83" s="1"/>
  <c r="O40" i="83" s="1"/>
  <c r="C40" i="83"/>
  <c r="R39" i="83"/>
  <c r="Q39" i="83"/>
  <c r="M39" i="83"/>
  <c r="N39" i="83" s="1"/>
  <c r="O39" i="83" s="1"/>
  <c r="C39" i="83"/>
  <c r="R38" i="83"/>
  <c r="Q38" i="83"/>
  <c r="M38" i="83"/>
  <c r="N38" i="83" s="1"/>
  <c r="O38" i="83" s="1"/>
  <c r="C38" i="83"/>
  <c r="R37" i="83"/>
  <c r="Q37" i="83"/>
  <c r="M37" i="83"/>
  <c r="N37" i="83" s="1"/>
  <c r="O37" i="83" s="1"/>
  <c r="C37" i="83"/>
  <c r="R36" i="83"/>
  <c r="Q36" i="83"/>
  <c r="M36" i="83"/>
  <c r="N36" i="83" s="1"/>
  <c r="O36" i="83" s="1"/>
  <c r="C36" i="83"/>
  <c r="R35" i="83"/>
  <c r="Q35" i="83"/>
  <c r="M35" i="83"/>
  <c r="N35" i="83" s="1"/>
  <c r="O35" i="83" s="1"/>
  <c r="C35" i="83"/>
  <c r="R34" i="83"/>
  <c r="Q34" i="83"/>
  <c r="M34" i="83"/>
  <c r="N34" i="83" s="1"/>
  <c r="O34" i="83" s="1"/>
  <c r="C34" i="83"/>
  <c r="R33" i="83"/>
  <c r="Q33" i="83"/>
  <c r="M33" i="83"/>
  <c r="N33" i="83" s="1"/>
  <c r="O33" i="83" s="1"/>
  <c r="C33" i="83"/>
  <c r="R32" i="83"/>
  <c r="Q32" i="83"/>
  <c r="M32" i="83"/>
  <c r="N32" i="83" s="1"/>
  <c r="O32" i="83" s="1"/>
  <c r="C32" i="83"/>
  <c r="R31" i="83"/>
  <c r="Q31" i="83"/>
  <c r="M31" i="83"/>
  <c r="N31" i="83" s="1"/>
  <c r="O31" i="83" s="1"/>
  <c r="C31" i="83"/>
  <c r="R30" i="83"/>
  <c r="Q30" i="83"/>
  <c r="M30" i="83"/>
  <c r="N30" i="83" s="1"/>
  <c r="O30" i="83" s="1"/>
  <c r="C30" i="83"/>
  <c r="R29" i="83"/>
  <c r="Q29" i="83"/>
  <c r="M29" i="83"/>
  <c r="N29" i="83" s="1"/>
  <c r="O29" i="83" s="1"/>
  <c r="C29" i="83"/>
  <c r="R28" i="83"/>
  <c r="Q28" i="83"/>
  <c r="M28" i="83"/>
  <c r="N28" i="83" s="1"/>
  <c r="O28" i="83" s="1"/>
  <c r="C28" i="83"/>
  <c r="R27" i="83"/>
  <c r="Q27" i="83"/>
  <c r="M27" i="83"/>
  <c r="N27" i="83" s="1"/>
  <c r="O27" i="83" s="1"/>
  <c r="C27" i="83"/>
  <c r="R26" i="83"/>
  <c r="Q26" i="83"/>
  <c r="M26" i="83"/>
  <c r="N26" i="83" s="1"/>
  <c r="O26" i="83" s="1"/>
  <c r="C26" i="83"/>
  <c r="R25" i="83"/>
  <c r="Q25" i="83"/>
  <c r="M25" i="83"/>
  <c r="N25" i="83" s="1"/>
  <c r="O25" i="83" s="1"/>
  <c r="C25" i="83"/>
  <c r="R24" i="83"/>
  <c r="Q24" i="83"/>
  <c r="M24" i="83"/>
  <c r="N24" i="83" s="1"/>
  <c r="O24" i="83" s="1"/>
  <c r="C24" i="83"/>
  <c r="R23" i="83"/>
  <c r="Q23" i="83"/>
  <c r="M23" i="83"/>
  <c r="N23" i="83" s="1"/>
  <c r="O23" i="83" s="1"/>
  <c r="C23" i="83"/>
  <c r="R22" i="83"/>
  <c r="Q22" i="83"/>
  <c r="M22" i="83"/>
  <c r="N22" i="83" s="1"/>
  <c r="O22" i="83" s="1"/>
  <c r="C22" i="83"/>
  <c r="R21" i="83"/>
  <c r="Q21" i="83"/>
  <c r="M21" i="83"/>
  <c r="N21" i="83" s="1"/>
  <c r="O21" i="83" s="1"/>
  <c r="C21" i="83"/>
  <c r="R20" i="83"/>
  <c r="Q20" i="83"/>
  <c r="M20" i="83"/>
  <c r="N20" i="83" s="1"/>
  <c r="O20" i="83" s="1"/>
  <c r="C20" i="83"/>
  <c r="R19" i="83"/>
  <c r="Q19" i="83"/>
  <c r="M19" i="83"/>
  <c r="N19" i="83" s="1"/>
  <c r="O19" i="83" s="1"/>
  <c r="C19" i="83"/>
  <c r="R18" i="83"/>
  <c r="Q18" i="83"/>
  <c r="M18" i="83"/>
  <c r="N18" i="83" s="1"/>
  <c r="O18" i="83" s="1"/>
  <c r="C18" i="83"/>
  <c r="R17" i="83"/>
  <c r="Q17" i="83"/>
  <c r="M17" i="83"/>
  <c r="N17" i="83" s="1"/>
  <c r="O17" i="83" s="1"/>
  <c r="C17" i="83"/>
  <c r="R16" i="83"/>
  <c r="Q16" i="83"/>
  <c r="M16" i="83"/>
  <c r="N16" i="83" s="1"/>
  <c r="O16" i="83" s="1"/>
  <c r="C16" i="83"/>
  <c r="R15" i="83"/>
  <c r="Q15" i="83"/>
  <c r="M15" i="83"/>
  <c r="N15" i="83" s="1"/>
  <c r="O15" i="83" s="1"/>
  <c r="C15" i="83"/>
  <c r="R14" i="83"/>
  <c r="Q14" i="83"/>
  <c r="M14" i="83"/>
  <c r="N14" i="83" s="1"/>
  <c r="O14" i="83" s="1"/>
  <c r="C14" i="83"/>
  <c r="R13" i="83"/>
  <c r="Q13" i="83"/>
  <c r="M13" i="83"/>
  <c r="N13" i="83" s="1"/>
  <c r="O13" i="83" s="1"/>
  <c r="C13" i="83"/>
  <c r="R12" i="83"/>
  <c r="Q12" i="83"/>
  <c r="M12" i="83"/>
  <c r="N12" i="83" s="1"/>
  <c r="O12" i="83" s="1"/>
  <c r="C12" i="83"/>
  <c r="R11" i="83"/>
  <c r="Q11" i="83"/>
  <c r="M11" i="83"/>
  <c r="N11" i="83" s="1"/>
  <c r="O11" i="83" s="1"/>
  <c r="C11" i="83"/>
  <c r="R10" i="83"/>
  <c r="Q10" i="83"/>
  <c r="M10" i="83"/>
  <c r="N10" i="83" s="1"/>
  <c r="O10" i="83" s="1"/>
  <c r="C10" i="83"/>
  <c r="R9" i="83"/>
  <c r="Q9" i="83"/>
  <c r="M9" i="83"/>
  <c r="N9" i="83" s="1"/>
  <c r="O9" i="83" s="1"/>
  <c r="C9" i="83"/>
  <c r="R8" i="83"/>
  <c r="Q8" i="83"/>
  <c r="M8" i="83"/>
  <c r="N8" i="83" s="1"/>
  <c r="O8" i="83" s="1"/>
  <c r="C8" i="83"/>
  <c r="R7" i="83"/>
  <c r="Q7" i="83"/>
  <c r="M7" i="83"/>
  <c r="N7" i="83" s="1"/>
  <c r="O7" i="83" s="1"/>
  <c r="C7" i="83"/>
  <c r="R6" i="83"/>
  <c r="Q6" i="83"/>
  <c r="M6" i="83"/>
  <c r="N6" i="83" s="1"/>
  <c r="C6" i="83"/>
  <c r="L4" i="83"/>
  <c r="J4" i="83"/>
  <c r="R130" i="82"/>
  <c r="Q130" i="82"/>
  <c r="M130" i="82"/>
  <c r="N130" i="82" s="1"/>
  <c r="O130" i="82" s="1"/>
  <c r="C130" i="82"/>
  <c r="R120" i="82"/>
  <c r="Q120" i="82"/>
  <c r="M120" i="82"/>
  <c r="N120" i="82" s="1"/>
  <c r="O120" i="82" s="1"/>
  <c r="R119" i="82"/>
  <c r="Q119" i="82"/>
  <c r="M119" i="82"/>
  <c r="N119" i="82" s="1"/>
  <c r="O119" i="82" s="1"/>
  <c r="R118" i="82"/>
  <c r="Q118" i="82"/>
  <c r="M118" i="82"/>
  <c r="N118" i="82" s="1"/>
  <c r="O118" i="82" s="1"/>
  <c r="R117" i="82"/>
  <c r="Q117" i="82"/>
  <c r="M117" i="82"/>
  <c r="N117" i="82" s="1"/>
  <c r="O117" i="82" s="1"/>
  <c r="R116" i="82"/>
  <c r="Q116" i="82"/>
  <c r="M116" i="82"/>
  <c r="N116" i="82" s="1"/>
  <c r="O116" i="82" s="1"/>
  <c r="R115" i="82"/>
  <c r="Q115" i="82"/>
  <c r="M115" i="82"/>
  <c r="N115" i="82" s="1"/>
  <c r="O115" i="82" s="1"/>
  <c r="R114" i="82"/>
  <c r="Q114" i="82"/>
  <c r="M114" i="82"/>
  <c r="N114" i="82" s="1"/>
  <c r="O114" i="82" s="1"/>
  <c r="C114" i="82"/>
  <c r="C117" i="82"/>
  <c r="C120" i="82"/>
  <c r="R129" i="82"/>
  <c r="Q129" i="82"/>
  <c r="M129" i="82"/>
  <c r="N129" i="82" s="1"/>
  <c r="O129" i="82" s="1"/>
  <c r="C129" i="82"/>
  <c r="R128" i="82"/>
  <c r="Q128" i="82"/>
  <c r="M128" i="82"/>
  <c r="N128" i="82" s="1"/>
  <c r="O128" i="82" s="1"/>
  <c r="C128" i="82"/>
  <c r="R127" i="82"/>
  <c r="Q127" i="82"/>
  <c r="M127" i="82"/>
  <c r="N127" i="82" s="1"/>
  <c r="O127" i="82" s="1"/>
  <c r="C127" i="82"/>
  <c r="R126" i="82"/>
  <c r="Q126" i="82"/>
  <c r="M126" i="82"/>
  <c r="N126" i="82" s="1"/>
  <c r="O126" i="82" s="1"/>
  <c r="C126" i="82"/>
  <c r="R125" i="82"/>
  <c r="Q125" i="82"/>
  <c r="M125" i="82"/>
  <c r="N125" i="82" s="1"/>
  <c r="O125" i="82" s="1"/>
  <c r="C125" i="82"/>
  <c r="R124" i="82"/>
  <c r="Q124" i="82"/>
  <c r="M124" i="82"/>
  <c r="N124" i="82" s="1"/>
  <c r="O124" i="82" s="1"/>
  <c r="C124" i="82"/>
  <c r="R123" i="82"/>
  <c r="Q123" i="82"/>
  <c r="M123" i="82"/>
  <c r="N123" i="82" s="1"/>
  <c r="O123" i="82" s="1"/>
  <c r="C123" i="82"/>
  <c r="R122" i="82"/>
  <c r="Q122" i="82"/>
  <c r="M122" i="82"/>
  <c r="N122" i="82" s="1"/>
  <c r="O122" i="82" s="1"/>
  <c r="C122" i="82"/>
  <c r="R121" i="82"/>
  <c r="Q121" i="82"/>
  <c r="M121" i="82"/>
  <c r="N121" i="82" s="1"/>
  <c r="O121" i="82" s="1"/>
  <c r="C121" i="82"/>
  <c r="C119" i="82"/>
  <c r="C118" i="82"/>
  <c r="C116" i="82"/>
  <c r="C115" i="82"/>
  <c r="R113" i="82"/>
  <c r="Q113" i="82"/>
  <c r="M113" i="82"/>
  <c r="N113" i="82" s="1"/>
  <c r="O113" i="82" s="1"/>
  <c r="C113" i="82"/>
  <c r="R112" i="82"/>
  <c r="Q112" i="82"/>
  <c r="M112" i="82"/>
  <c r="N112" i="82" s="1"/>
  <c r="O112" i="82" s="1"/>
  <c r="C112" i="82"/>
  <c r="R111" i="82"/>
  <c r="Q111" i="82"/>
  <c r="M111" i="82"/>
  <c r="N111" i="82" s="1"/>
  <c r="O111" i="82" s="1"/>
  <c r="C111" i="82"/>
  <c r="R110" i="82"/>
  <c r="Q110" i="82"/>
  <c r="M110" i="82"/>
  <c r="N110" i="82" s="1"/>
  <c r="O110" i="82" s="1"/>
  <c r="C110" i="82"/>
  <c r="R109" i="82"/>
  <c r="Q109" i="82"/>
  <c r="M109" i="82"/>
  <c r="N109" i="82" s="1"/>
  <c r="O109" i="82" s="1"/>
  <c r="C109" i="82"/>
  <c r="R108" i="82"/>
  <c r="Q108" i="82"/>
  <c r="M108" i="82"/>
  <c r="N108" i="82" s="1"/>
  <c r="O108" i="82" s="1"/>
  <c r="C108" i="82"/>
  <c r="R107" i="82"/>
  <c r="Q107" i="82"/>
  <c r="M107" i="82"/>
  <c r="N107" i="82" s="1"/>
  <c r="O107" i="82" s="1"/>
  <c r="C107" i="82"/>
  <c r="R106" i="82"/>
  <c r="Q106" i="82"/>
  <c r="M106" i="82"/>
  <c r="N106" i="82" s="1"/>
  <c r="O106" i="82" s="1"/>
  <c r="C106" i="82"/>
  <c r="R105" i="82"/>
  <c r="Q105" i="82"/>
  <c r="M105" i="82"/>
  <c r="N105" i="82" s="1"/>
  <c r="O105" i="82" s="1"/>
  <c r="C105" i="82"/>
  <c r="R104" i="82"/>
  <c r="Q104" i="82"/>
  <c r="M104" i="82"/>
  <c r="N104" i="82" s="1"/>
  <c r="O104" i="82" s="1"/>
  <c r="C104" i="82"/>
  <c r="R103" i="82"/>
  <c r="Q103" i="82"/>
  <c r="M103" i="82"/>
  <c r="N103" i="82" s="1"/>
  <c r="O103" i="82" s="1"/>
  <c r="C103" i="82"/>
  <c r="R102" i="82"/>
  <c r="Q102" i="82"/>
  <c r="M102" i="82"/>
  <c r="N102" i="82" s="1"/>
  <c r="O102" i="82" s="1"/>
  <c r="C102" i="82"/>
  <c r="R101" i="82"/>
  <c r="Q101" i="82"/>
  <c r="M101" i="82"/>
  <c r="N101" i="82" s="1"/>
  <c r="O101" i="82" s="1"/>
  <c r="C101" i="82"/>
  <c r="R100" i="82"/>
  <c r="Q100" i="82"/>
  <c r="M100" i="82"/>
  <c r="N100" i="82" s="1"/>
  <c r="O100" i="82" s="1"/>
  <c r="C100" i="82"/>
  <c r="R99" i="82"/>
  <c r="Q99" i="82"/>
  <c r="M99" i="82"/>
  <c r="N99" i="82" s="1"/>
  <c r="O99" i="82" s="1"/>
  <c r="C99" i="82"/>
  <c r="R98" i="82"/>
  <c r="Q98" i="82"/>
  <c r="M98" i="82"/>
  <c r="N98" i="82" s="1"/>
  <c r="O98" i="82" s="1"/>
  <c r="C98" i="82"/>
  <c r="R97" i="82"/>
  <c r="Q97" i="82"/>
  <c r="M97" i="82"/>
  <c r="N97" i="82" s="1"/>
  <c r="O97" i="82" s="1"/>
  <c r="C97" i="82"/>
  <c r="R96" i="82"/>
  <c r="Q96" i="82"/>
  <c r="M96" i="82"/>
  <c r="N96" i="82" s="1"/>
  <c r="O96" i="82" s="1"/>
  <c r="C96" i="82"/>
  <c r="R95" i="82"/>
  <c r="Q95" i="82"/>
  <c r="M95" i="82"/>
  <c r="N95" i="82" s="1"/>
  <c r="O95" i="82" s="1"/>
  <c r="C95" i="82"/>
  <c r="R94" i="82"/>
  <c r="Q94" i="82"/>
  <c r="M94" i="82"/>
  <c r="N94" i="82" s="1"/>
  <c r="O94" i="82" s="1"/>
  <c r="C94" i="82"/>
  <c r="R93" i="82"/>
  <c r="Q93" i="82"/>
  <c r="M93" i="82"/>
  <c r="N93" i="82" s="1"/>
  <c r="O93" i="82" s="1"/>
  <c r="C93" i="82"/>
  <c r="R92" i="82"/>
  <c r="Q92" i="82"/>
  <c r="M92" i="82"/>
  <c r="N92" i="82" s="1"/>
  <c r="O92" i="82" s="1"/>
  <c r="C92" i="82"/>
  <c r="R91" i="82"/>
  <c r="Q91" i="82"/>
  <c r="M91" i="82"/>
  <c r="N91" i="82" s="1"/>
  <c r="O91" i="82" s="1"/>
  <c r="C91" i="82"/>
  <c r="R90" i="82"/>
  <c r="Q90" i="82"/>
  <c r="M90" i="82"/>
  <c r="N90" i="82" s="1"/>
  <c r="O90" i="82" s="1"/>
  <c r="C90" i="82"/>
  <c r="R89" i="82"/>
  <c r="Q89" i="82"/>
  <c r="M89" i="82"/>
  <c r="N89" i="82" s="1"/>
  <c r="O89" i="82" s="1"/>
  <c r="C89" i="82"/>
  <c r="R88" i="82"/>
  <c r="Q88" i="82"/>
  <c r="M88" i="82"/>
  <c r="N88" i="82" s="1"/>
  <c r="O88" i="82" s="1"/>
  <c r="C88" i="82"/>
  <c r="R87" i="82"/>
  <c r="Q87" i="82"/>
  <c r="M87" i="82"/>
  <c r="N87" i="82" s="1"/>
  <c r="O87" i="82" s="1"/>
  <c r="C87" i="82"/>
  <c r="R86" i="82"/>
  <c r="Q86" i="82"/>
  <c r="M86" i="82"/>
  <c r="N86" i="82" s="1"/>
  <c r="O86" i="82" s="1"/>
  <c r="C86" i="82"/>
  <c r="R85" i="82"/>
  <c r="Q85" i="82"/>
  <c r="M85" i="82"/>
  <c r="N85" i="82" s="1"/>
  <c r="O85" i="82" s="1"/>
  <c r="C85" i="82"/>
  <c r="R84" i="82"/>
  <c r="Q84" i="82"/>
  <c r="M84" i="82"/>
  <c r="N84" i="82" s="1"/>
  <c r="O84" i="82" s="1"/>
  <c r="C84" i="82"/>
  <c r="R83" i="82"/>
  <c r="Q83" i="82"/>
  <c r="M83" i="82"/>
  <c r="N83" i="82" s="1"/>
  <c r="O83" i="82" s="1"/>
  <c r="C83" i="82"/>
  <c r="R82" i="82"/>
  <c r="Q82" i="82"/>
  <c r="M82" i="82"/>
  <c r="N82" i="82" s="1"/>
  <c r="O82" i="82" s="1"/>
  <c r="C82" i="82"/>
  <c r="R81" i="82"/>
  <c r="Q81" i="82"/>
  <c r="M81" i="82"/>
  <c r="N81" i="82" s="1"/>
  <c r="O81" i="82" s="1"/>
  <c r="C81" i="82"/>
  <c r="R80" i="82"/>
  <c r="Q80" i="82"/>
  <c r="M80" i="82"/>
  <c r="N80" i="82" s="1"/>
  <c r="O80" i="82" s="1"/>
  <c r="C80" i="82"/>
  <c r="R79" i="82"/>
  <c r="Q79" i="82"/>
  <c r="M79" i="82"/>
  <c r="N79" i="82" s="1"/>
  <c r="O79" i="82" s="1"/>
  <c r="C79" i="82"/>
  <c r="R78" i="82"/>
  <c r="Q78" i="82"/>
  <c r="M78" i="82"/>
  <c r="N78" i="82" s="1"/>
  <c r="O78" i="82" s="1"/>
  <c r="C78" i="82"/>
  <c r="R77" i="82"/>
  <c r="Q77" i="82"/>
  <c r="M77" i="82"/>
  <c r="N77" i="82" s="1"/>
  <c r="O77" i="82" s="1"/>
  <c r="C77" i="82"/>
  <c r="R76" i="82"/>
  <c r="Q76" i="82"/>
  <c r="M76" i="82"/>
  <c r="N76" i="82" s="1"/>
  <c r="O76" i="82" s="1"/>
  <c r="C76" i="82"/>
  <c r="R75" i="82"/>
  <c r="Q75" i="82"/>
  <c r="M75" i="82"/>
  <c r="N75" i="82" s="1"/>
  <c r="O75" i="82" s="1"/>
  <c r="C75" i="82"/>
  <c r="R74" i="82"/>
  <c r="Q74" i="82"/>
  <c r="M74" i="82"/>
  <c r="N74" i="82" s="1"/>
  <c r="O74" i="82" s="1"/>
  <c r="C74" i="82"/>
  <c r="R73" i="82"/>
  <c r="Q73" i="82"/>
  <c r="M73" i="82"/>
  <c r="N73" i="82" s="1"/>
  <c r="O73" i="82" s="1"/>
  <c r="C73" i="82"/>
  <c r="R72" i="82"/>
  <c r="Q72" i="82"/>
  <c r="M72" i="82"/>
  <c r="N72" i="82" s="1"/>
  <c r="O72" i="82" s="1"/>
  <c r="C72" i="82"/>
  <c r="R71" i="82"/>
  <c r="Q71" i="82"/>
  <c r="M71" i="82"/>
  <c r="N71" i="82" s="1"/>
  <c r="O71" i="82" s="1"/>
  <c r="C71" i="82"/>
  <c r="R70" i="82"/>
  <c r="Q70" i="82"/>
  <c r="M70" i="82"/>
  <c r="N70" i="82" s="1"/>
  <c r="O70" i="82" s="1"/>
  <c r="C70" i="82"/>
  <c r="R69" i="82"/>
  <c r="Q69" i="82"/>
  <c r="M69" i="82"/>
  <c r="N69" i="82" s="1"/>
  <c r="O69" i="82" s="1"/>
  <c r="C69" i="82"/>
  <c r="R68" i="82"/>
  <c r="Q68" i="82"/>
  <c r="M68" i="82"/>
  <c r="N68" i="82" s="1"/>
  <c r="O68" i="82" s="1"/>
  <c r="C68" i="82"/>
  <c r="R67" i="82"/>
  <c r="Q67" i="82"/>
  <c r="M67" i="82"/>
  <c r="N67" i="82" s="1"/>
  <c r="O67" i="82" s="1"/>
  <c r="C67" i="82"/>
  <c r="R66" i="82"/>
  <c r="Q66" i="82"/>
  <c r="M66" i="82"/>
  <c r="N66" i="82" s="1"/>
  <c r="O66" i="82" s="1"/>
  <c r="C66" i="82"/>
  <c r="R65" i="82"/>
  <c r="Q65" i="82"/>
  <c r="M65" i="82"/>
  <c r="N65" i="82" s="1"/>
  <c r="O65" i="82" s="1"/>
  <c r="C65" i="82"/>
  <c r="R64" i="82"/>
  <c r="Q64" i="82"/>
  <c r="M64" i="82"/>
  <c r="N64" i="82" s="1"/>
  <c r="O64" i="82" s="1"/>
  <c r="C64" i="82"/>
  <c r="R63" i="82"/>
  <c r="Q63" i="82"/>
  <c r="M63" i="82"/>
  <c r="N63" i="82" s="1"/>
  <c r="O63" i="82" s="1"/>
  <c r="C63" i="82"/>
  <c r="R62" i="82"/>
  <c r="Q62" i="82"/>
  <c r="M62" i="82"/>
  <c r="N62" i="82" s="1"/>
  <c r="O62" i="82" s="1"/>
  <c r="C62" i="82"/>
  <c r="R61" i="82"/>
  <c r="Q61" i="82"/>
  <c r="M61" i="82"/>
  <c r="N61" i="82" s="1"/>
  <c r="O61" i="82" s="1"/>
  <c r="C61" i="82"/>
  <c r="R60" i="82"/>
  <c r="Q60" i="82"/>
  <c r="M60" i="82"/>
  <c r="N60" i="82" s="1"/>
  <c r="O60" i="82" s="1"/>
  <c r="C60" i="82"/>
  <c r="R59" i="82"/>
  <c r="Q59" i="82"/>
  <c r="M59" i="82"/>
  <c r="N59" i="82" s="1"/>
  <c r="O59" i="82" s="1"/>
  <c r="C59" i="82"/>
  <c r="R58" i="82"/>
  <c r="Q58" i="82"/>
  <c r="M58" i="82"/>
  <c r="N58" i="82" s="1"/>
  <c r="O58" i="82" s="1"/>
  <c r="C58" i="82"/>
  <c r="R57" i="82"/>
  <c r="Q57" i="82"/>
  <c r="M57" i="82"/>
  <c r="N57" i="82" s="1"/>
  <c r="O57" i="82" s="1"/>
  <c r="C57" i="82"/>
  <c r="R56" i="82"/>
  <c r="Q56" i="82"/>
  <c r="M56" i="82"/>
  <c r="N56" i="82" s="1"/>
  <c r="O56" i="82" s="1"/>
  <c r="C56" i="82"/>
  <c r="R55" i="82"/>
  <c r="Q55" i="82"/>
  <c r="M55" i="82"/>
  <c r="N55" i="82" s="1"/>
  <c r="O55" i="82" s="1"/>
  <c r="C55" i="82"/>
  <c r="R54" i="82"/>
  <c r="Q54" i="82"/>
  <c r="M54" i="82"/>
  <c r="N54" i="82" s="1"/>
  <c r="O54" i="82" s="1"/>
  <c r="C54" i="82"/>
  <c r="R53" i="82"/>
  <c r="Q53" i="82"/>
  <c r="M53" i="82"/>
  <c r="N53" i="82" s="1"/>
  <c r="O53" i="82" s="1"/>
  <c r="C53" i="82"/>
  <c r="R52" i="82"/>
  <c r="Q52" i="82"/>
  <c r="M52" i="82"/>
  <c r="N52" i="82" s="1"/>
  <c r="O52" i="82" s="1"/>
  <c r="C52" i="82"/>
  <c r="R51" i="82"/>
  <c r="Q51" i="82"/>
  <c r="M51" i="82"/>
  <c r="N51" i="82" s="1"/>
  <c r="O51" i="82" s="1"/>
  <c r="C51" i="82"/>
  <c r="R50" i="82"/>
  <c r="Q50" i="82"/>
  <c r="M50" i="82"/>
  <c r="N50" i="82" s="1"/>
  <c r="O50" i="82" s="1"/>
  <c r="C50" i="82"/>
  <c r="R49" i="82"/>
  <c r="Q49" i="82"/>
  <c r="M49" i="82"/>
  <c r="N49" i="82" s="1"/>
  <c r="O49" i="82" s="1"/>
  <c r="C49" i="82"/>
  <c r="R48" i="82"/>
  <c r="Q48" i="82"/>
  <c r="M48" i="82"/>
  <c r="N48" i="82" s="1"/>
  <c r="O48" i="82" s="1"/>
  <c r="C48" i="82"/>
  <c r="R47" i="82"/>
  <c r="Q47" i="82"/>
  <c r="M47" i="82"/>
  <c r="N47" i="82" s="1"/>
  <c r="O47" i="82" s="1"/>
  <c r="C47" i="82"/>
  <c r="R46" i="82"/>
  <c r="Q46" i="82"/>
  <c r="M46" i="82"/>
  <c r="N46" i="82" s="1"/>
  <c r="O46" i="82" s="1"/>
  <c r="C46" i="82"/>
  <c r="R45" i="82"/>
  <c r="Q45" i="82"/>
  <c r="M45" i="82"/>
  <c r="N45" i="82" s="1"/>
  <c r="O45" i="82" s="1"/>
  <c r="C45" i="82"/>
  <c r="R44" i="82"/>
  <c r="Q44" i="82"/>
  <c r="M44" i="82"/>
  <c r="N44" i="82" s="1"/>
  <c r="O44" i="82" s="1"/>
  <c r="C44" i="82"/>
  <c r="R43" i="82"/>
  <c r="Q43" i="82"/>
  <c r="M43" i="82"/>
  <c r="N43" i="82" s="1"/>
  <c r="O43" i="82" s="1"/>
  <c r="C43" i="82"/>
  <c r="R42" i="82"/>
  <c r="Q42" i="82"/>
  <c r="M42" i="82"/>
  <c r="N42" i="82" s="1"/>
  <c r="O42" i="82" s="1"/>
  <c r="C42" i="82"/>
  <c r="R41" i="82"/>
  <c r="Q41" i="82"/>
  <c r="M41" i="82"/>
  <c r="N41" i="82" s="1"/>
  <c r="O41" i="82" s="1"/>
  <c r="C41" i="82"/>
  <c r="R40" i="82"/>
  <c r="Q40" i="82"/>
  <c r="M40" i="82"/>
  <c r="N40" i="82" s="1"/>
  <c r="O40" i="82" s="1"/>
  <c r="C40" i="82"/>
  <c r="R39" i="82"/>
  <c r="Q39" i="82"/>
  <c r="M39" i="82"/>
  <c r="N39" i="82" s="1"/>
  <c r="O39" i="82" s="1"/>
  <c r="C39" i="82"/>
  <c r="R38" i="82"/>
  <c r="Q38" i="82"/>
  <c r="M38" i="82"/>
  <c r="N38" i="82" s="1"/>
  <c r="O38" i="82" s="1"/>
  <c r="C38" i="82"/>
  <c r="R37" i="82"/>
  <c r="Q37" i="82"/>
  <c r="M37" i="82"/>
  <c r="N37" i="82" s="1"/>
  <c r="O37" i="82" s="1"/>
  <c r="C37" i="82"/>
  <c r="R36" i="82"/>
  <c r="Q36" i="82"/>
  <c r="M36" i="82"/>
  <c r="N36" i="82" s="1"/>
  <c r="O36" i="82" s="1"/>
  <c r="C36" i="82"/>
  <c r="R35" i="82"/>
  <c r="Q35" i="82"/>
  <c r="M35" i="82"/>
  <c r="N35" i="82" s="1"/>
  <c r="O35" i="82" s="1"/>
  <c r="C35" i="82"/>
  <c r="R34" i="82"/>
  <c r="Q34" i="82"/>
  <c r="M34" i="82"/>
  <c r="N34" i="82" s="1"/>
  <c r="O34" i="82" s="1"/>
  <c r="C34" i="82"/>
  <c r="R33" i="82"/>
  <c r="Q33" i="82"/>
  <c r="M33" i="82"/>
  <c r="N33" i="82" s="1"/>
  <c r="O33" i="82" s="1"/>
  <c r="C33" i="82"/>
  <c r="R32" i="82"/>
  <c r="Q32" i="82"/>
  <c r="M32" i="82"/>
  <c r="N32" i="82" s="1"/>
  <c r="O32" i="82" s="1"/>
  <c r="C32" i="82"/>
  <c r="R31" i="82"/>
  <c r="Q31" i="82"/>
  <c r="M31" i="82"/>
  <c r="N31" i="82" s="1"/>
  <c r="O31" i="82" s="1"/>
  <c r="C31" i="82"/>
  <c r="R30" i="82"/>
  <c r="Q30" i="82"/>
  <c r="M30" i="82"/>
  <c r="N30" i="82" s="1"/>
  <c r="O30" i="82" s="1"/>
  <c r="C30" i="82"/>
  <c r="R29" i="82"/>
  <c r="Q29" i="82"/>
  <c r="M29" i="82"/>
  <c r="N29" i="82" s="1"/>
  <c r="O29" i="82" s="1"/>
  <c r="C29" i="82"/>
  <c r="R28" i="82"/>
  <c r="Q28" i="82"/>
  <c r="M28" i="82"/>
  <c r="N28" i="82" s="1"/>
  <c r="O28" i="82" s="1"/>
  <c r="C28" i="82"/>
  <c r="R27" i="82"/>
  <c r="Q27" i="82"/>
  <c r="M27" i="82"/>
  <c r="N27" i="82" s="1"/>
  <c r="O27" i="82" s="1"/>
  <c r="C27" i="82"/>
  <c r="R26" i="82"/>
  <c r="Q26" i="82"/>
  <c r="M26" i="82"/>
  <c r="N26" i="82" s="1"/>
  <c r="O26" i="82" s="1"/>
  <c r="C26" i="82"/>
  <c r="R25" i="82"/>
  <c r="Q25" i="82"/>
  <c r="M25" i="82"/>
  <c r="N25" i="82" s="1"/>
  <c r="O25" i="82" s="1"/>
  <c r="C25" i="82"/>
  <c r="R24" i="82"/>
  <c r="Q24" i="82"/>
  <c r="M24" i="82"/>
  <c r="N24" i="82" s="1"/>
  <c r="O24" i="82" s="1"/>
  <c r="C24" i="82"/>
  <c r="R23" i="82"/>
  <c r="Q23" i="82"/>
  <c r="M23" i="82"/>
  <c r="N23" i="82" s="1"/>
  <c r="O23" i="82" s="1"/>
  <c r="C23" i="82"/>
  <c r="R22" i="82"/>
  <c r="Q22" i="82"/>
  <c r="M22" i="82"/>
  <c r="N22" i="82" s="1"/>
  <c r="O22" i="82" s="1"/>
  <c r="C22" i="82"/>
  <c r="R21" i="82"/>
  <c r="Q21" i="82"/>
  <c r="M21" i="82"/>
  <c r="N21" i="82" s="1"/>
  <c r="O21" i="82" s="1"/>
  <c r="C21" i="82"/>
  <c r="R20" i="82"/>
  <c r="Q20" i="82"/>
  <c r="M20" i="82"/>
  <c r="N20" i="82" s="1"/>
  <c r="O20" i="82" s="1"/>
  <c r="C20" i="82"/>
  <c r="R19" i="82"/>
  <c r="Q19" i="82"/>
  <c r="M19" i="82"/>
  <c r="N19" i="82" s="1"/>
  <c r="O19" i="82" s="1"/>
  <c r="C19" i="82"/>
  <c r="R18" i="82"/>
  <c r="Q18" i="82"/>
  <c r="M18" i="82"/>
  <c r="N18" i="82" s="1"/>
  <c r="O18" i="82" s="1"/>
  <c r="C18" i="82"/>
  <c r="R17" i="82"/>
  <c r="Q17" i="82"/>
  <c r="M17" i="82"/>
  <c r="N17" i="82" s="1"/>
  <c r="O17" i="82" s="1"/>
  <c r="C17" i="82"/>
  <c r="R16" i="82"/>
  <c r="Q16" i="82"/>
  <c r="M16" i="82"/>
  <c r="N16" i="82" s="1"/>
  <c r="O16" i="82" s="1"/>
  <c r="C16" i="82"/>
  <c r="R15" i="82"/>
  <c r="Q15" i="82"/>
  <c r="M15" i="82"/>
  <c r="N15" i="82" s="1"/>
  <c r="O15" i="82" s="1"/>
  <c r="C15" i="82"/>
  <c r="R14" i="82"/>
  <c r="Q14" i="82"/>
  <c r="M14" i="82"/>
  <c r="N14" i="82" s="1"/>
  <c r="O14" i="82" s="1"/>
  <c r="C14" i="82"/>
  <c r="R13" i="82"/>
  <c r="Q13" i="82"/>
  <c r="M13" i="82"/>
  <c r="N13" i="82" s="1"/>
  <c r="O13" i="82" s="1"/>
  <c r="C13" i="82"/>
  <c r="R12" i="82"/>
  <c r="Q12" i="82"/>
  <c r="M12" i="82"/>
  <c r="N12" i="82" s="1"/>
  <c r="O12" i="82" s="1"/>
  <c r="C12" i="82"/>
  <c r="R11" i="82"/>
  <c r="Q11" i="82"/>
  <c r="M11" i="82"/>
  <c r="N11" i="82" s="1"/>
  <c r="O11" i="82" s="1"/>
  <c r="C11" i="82"/>
  <c r="R10" i="82"/>
  <c r="Q10" i="82"/>
  <c r="M10" i="82"/>
  <c r="N10" i="82" s="1"/>
  <c r="O10" i="82" s="1"/>
  <c r="C10" i="82"/>
  <c r="R9" i="82"/>
  <c r="Q9" i="82"/>
  <c r="M9" i="82"/>
  <c r="N9" i="82" s="1"/>
  <c r="O9" i="82" s="1"/>
  <c r="C9" i="82"/>
  <c r="R8" i="82"/>
  <c r="Q8" i="82"/>
  <c r="M8" i="82"/>
  <c r="N8" i="82" s="1"/>
  <c r="O8" i="82" s="1"/>
  <c r="C8" i="82"/>
  <c r="R7" i="82"/>
  <c r="Q7" i="82"/>
  <c r="M7" i="82"/>
  <c r="N7" i="82" s="1"/>
  <c r="O7" i="82" s="1"/>
  <c r="C7" i="82"/>
  <c r="R6" i="82"/>
  <c r="Q6" i="82"/>
  <c r="M6" i="82"/>
  <c r="N6" i="82" s="1"/>
  <c r="C6" i="82"/>
  <c r="L4" i="82"/>
  <c r="J4" i="82"/>
  <c r="R95" i="81"/>
  <c r="Q95" i="81"/>
  <c r="M95" i="81"/>
  <c r="N95" i="81" s="1"/>
  <c r="O95" i="81" s="1"/>
  <c r="C95" i="81"/>
  <c r="O6" i="83" l="1"/>
  <c r="O4" i="83" s="1"/>
  <c r="N4" i="83"/>
  <c r="O6" i="82"/>
  <c r="O4" i="82" s="1"/>
  <c r="N4" i="82"/>
  <c r="R106" i="81"/>
  <c r="Q106" i="81"/>
  <c r="M106" i="81"/>
  <c r="N106" i="81" s="1"/>
  <c r="O106" i="81" s="1"/>
  <c r="C106" i="81"/>
  <c r="R121" i="81"/>
  <c r="Q121" i="81"/>
  <c r="M121" i="81"/>
  <c r="N121" i="81" s="1"/>
  <c r="O121" i="81" s="1"/>
  <c r="C121" i="81"/>
  <c r="R120" i="81"/>
  <c r="Q120" i="81"/>
  <c r="M120" i="81"/>
  <c r="N120" i="81" s="1"/>
  <c r="O120" i="81" s="1"/>
  <c r="C120" i="81"/>
  <c r="R119" i="81"/>
  <c r="Q119" i="81"/>
  <c r="M119" i="81"/>
  <c r="N119" i="81" s="1"/>
  <c r="O119" i="81" s="1"/>
  <c r="C119" i="81"/>
  <c r="R118" i="81"/>
  <c r="Q118" i="81"/>
  <c r="M118" i="81"/>
  <c r="N118" i="81" s="1"/>
  <c r="O118" i="81" s="1"/>
  <c r="C118" i="81"/>
  <c r="R117" i="81"/>
  <c r="Q117" i="81"/>
  <c r="M117" i="81"/>
  <c r="N117" i="81" s="1"/>
  <c r="O117" i="81" s="1"/>
  <c r="C117" i="81"/>
  <c r="R116" i="81"/>
  <c r="Q116" i="81"/>
  <c r="M116" i="81"/>
  <c r="N116" i="81" s="1"/>
  <c r="O116" i="81" s="1"/>
  <c r="C116" i="81"/>
  <c r="R115" i="81"/>
  <c r="Q115" i="81"/>
  <c r="M115" i="81"/>
  <c r="N115" i="81" s="1"/>
  <c r="O115" i="81" s="1"/>
  <c r="C115" i="81"/>
  <c r="R114" i="81"/>
  <c r="Q114" i="81"/>
  <c r="M114" i="81"/>
  <c r="N114" i="81" s="1"/>
  <c r="O114" i="81" s="1"/>
  <c r="C114" i="81"/>
  <c r="R113" i="81"/>
  <c r="Q113" i="81"/>
  <c r="M113" i="81"/>
  <c r="N113" i="81" s="1"/>
  <c r="O113" i="81" s="1"/>
  <c r="C113" i="81"/>
  <c r="R112" i="81"/>
  <c r="Q112" i="81"/>
  <c r="M112" i="81"/>
  <c r="N112" i="81" s="1"/>
  <c r="O112" i="81" s="1"/>
  <c r="C112" i="81"/>
  <c r="R111" i="81"/>
  <c r="Q111" i="81"/>
  <c r="M111" i="81"/>
  <c r="N111" i="81" s="1"/>
  <c r="O111" i="81" s="1"/>
  <c r="C111" i="81"/>
  <c r="R110" i="81"/>
  <c r="Q110" i="81"/>
  <c r="M110" i="81"/>
  <c r="N110" i="81" s="1"/>
  <c r="O110" i="81" s="1"/>
  <c r="C110" i="81"/>
  <c r="R109" i="81"/>
  <c r="Q109" i="81"/>
  <c r="M109" i="81"/>
  <c r="N109" i="81" s="1"/>
  <c r="O109" i="81" s="1"/>
  <c r="C109" i="81"/>
  <c r="R108" i="81"/>
  <c r="Q108" i="81"/>
  <c r="M108" i="81"/>
  <c r="N108" i="81" s="1"/>
  <c r="O108" i="81" s="1"/>
  <c r="C108" i="81"/>
  <c r="R107" i="81"/>
  <c r="Q107" i="81"/>
  <c r="M107" i="81"/>
  <c r="N107" i="81" s="1"/>
  <c r="O107" i="81" s="1"/>
  <c r="C107" i="81"/>
  <c r="R105" i="81"/>
  <c r="Q105" i="81"/>
  <c r="M105" i="81"/>
  <c r="N105" i="81" s="1"/>
  <c r="O105" i="81" s="1"/>
  <c r="C105" i="81"/>
  <c r="R104" i="81"/>
  <c r="Q104" i="81"/>
  <c r="M104" i="81"/>
  <c r="N104" i="81" s="1"/>
  <c r="O104" i="81" s="1"/>
  <c r="C104" i="81"/>
  <c r="R103" i="81"/>
  <c r="Q103" i="81"/>
  <c r="M103" i="81"/>
  <c r="N103" i="81" s="1"/>
  <c r="O103" i="81" s="1"/>
  <c r="C103" i="81"/>
  <c r="R102" i="81"/>
  <c r="Q102" i="81"/>
  <c r="M102" i="81"/>
  <c r="N102" i="81" s="1"/>
  <c r="O102" i="81" s="1"/>
  <c r="C102" i="81"/>
  <c r="R101" i="81"/>
  <c r="Q101" i="81"/>
  <c r="M101" i="81"/>
  <c r="N101" i="81" s="1"/>
  <c r="O101" i="81" s="1"/>
  <c r="C101" i="81"/>
  <c r="R100" i="81"/>
  <c r="Q100" i="81"/>
  <c r="M100" i="81"/>
  <c r="N100" i="81" s="1"/>
  <c r="O100" i="81" s="1"/>
  <c r="C100" i="81"/>
  <c r="R99" i="81"/>
  <c r="Q99" i="81"/>
  <c r="M99" i="81"/>
  <c r="N99" i="81" s="1"/>
  <c r="O99" i="81" s="1"/>
  <c r="C99" i="81"/>
  <c r="R98" i="81"/>
  <c r="Q98" i="81"/>
  <c r="M98" i="81"/>
  <c r="N98" i="81" s="1"/>
  <c r="O98" i="81" s="1"/>
  <c r="C98" i="81"/>
  <c r="R97" i="81"/>
  <c r="Q97" i="81"/>
  <c r="M97" i="81"/>
  <c r="N97" i="81" s="1"/>
  <c r="O97" i="81" s="1"/>
  <c r="C97" i="81"/>
  <c r="R96" i="81"/>
  <c r="Q96" i="81"/>
  <c r="M96" i="81"/>
  <c r="N96" i="81" s="1"/>
  <c r="O96" i="81" s="1"/>
  <c r="C96" i="81"/>
  <c r="R94" i="81"/>
  <c r="Q94" i="81"/>
  <c r="M94" i="81"/>
  <c r="N94" i="81" s="1"/>
  <c r="O94" i="81" s="1"/>
  <c r="C94" i="81"/>
  <c r="R93" i="81"/>
  <c r="Q93" i="81"/>
  <c r="M93" i="81"/>
  <c r="N93" i="81" s="1"/>
  <c r="O93" i="81" s="1"/>
  <c r="C93" i="81"/>
  <c r="R92" i="81"/>
  <c r="Q92" i="81"/>
  <c r="M92" i="81"/>
  <c r="N92" i="81" s="1"/>
  <c r="O92" i="81" s="1"/>
  <c r="C92" i="81"/>
  <c r="R91" i="81"/>
  <c r="Q91" i="81"/>
  <c r="M91" i="81"/>
  <c r="N91" i="81" s="1"/>
  <c r="O91" i="81" s="1"/>
  <c r="C91" i="81"/>
  <c r="R90" i="81"/>
  <c r="Q90" i="81"/>
  <c r="M90" i="81"/>
  <c r="N90" i="81" s="1"/>
  <c r="O90" i="81" s="1"/>
  <c r="C90" i="81"/>
  <c r="R89" i="81"/>
  <c r="Q89" i="81"/>
  <c r="M89" i="81"/>
  <c r="N89" i="81" s="1"/>
  <c r="O89" i="81" s="1"/>
  <c r="C89" i="81"/>
  <c r="R88" i="81"/>
  <c r="Q88" i="81"/>
  <c r="M88" i="81"/>
  <c r="N88" i="81" s="1"/>
  <c r="O88" i="81" s="1"/>
  <c r="C88" i="81"/>
  <c r="R87" i="81"/>
  <c r="Q87" i="81"/>
  <c r="M87" i="81"/>
  <c r="N87" i="81" s="1"/>
  <c r="O87" i="81" s="1"/>
  <c r="C87" i="81"/>
  <c r="R86" i="81"/>
  <c r="Q86" i="81"/>
  <c r="M86" i="81"/>
  <c r="N86" i="81" s="1"/>
  <c r="O86" i="81" s="1"/>
  <c r="C86" i="81"/>
  <c r="R85" i="81"/>
  <c r="Q85" i="81"/>
  <c r="M85" i="81"/>
  <c r="N85" i="81" s="1"/>
  <c r="O85" i="81" s="1"/>
  <c r="C85" i="81"/>
  <c r="R84" i="81"/>
  <c r="Q84" i="81"/>
  <c r="M84" i="81"/>
  <c r="N84" i="81" s="1"/>
  <c r="O84" i="81" s="1"/>
  <c r="C84" i="81"/>
  <c r="R83" i="81"/>
  <c r="Q83" i="81"/>
  <c r="M83" i="81"/>
  <c r="N83" i="81" s="1"/>
  <c r="O83" i="81" s="1"/>
  <c r="C83" i="81"/>
  <c r="R82" i="81"/>
  <c r="Q82" i="81"/>
  <c r="M82" i="81"/>
  <c r="N82" i="81" s="1"/>
  <c r="O82" i="81" s="1"/>
  <c r="C82" i="81"/>
  <c r="R81" i="81"/>
  <c r="Q81" i="81"/>
  <c r="M81" i="81"/>
  <c r="N81" i="81" s="1"/>
  <c r="O81" i="81" s="1"/>
  <c r="C81" i="81"/>
  <c r="R80" i="81"/>
  <c r="Q80" i="81"/>
  <c r="M80" i="81"/>
  <c r="N80" i="81" s="1"/>
  <c r="O80" i="81" s="1"/>
  <c r="C80" i="81"/>
  <c r="R79" i="81"/>
  <c r="Q79" i="81"/>
  <c r="M79" i="81"/>
  <c r="N79" i="81" s="1"/>
  <c r="O79" i="81" s="1"/>
  <c r="C79" i="81"/>
  <c r="R78" i="81"/>
  <c r="Q78" i="81"/>
  <c r="M78" i="81"/>
  <c r="N78" i="81" s="1"/>
  <c r="O78" i="81" s="1"/>
  <c r="C78" i="81"/>
  <c r="R77" i="81"/>
  <c r="Q77" i="81"/>
  <c r="M77" i="81"/>
  <c r="N77" i="81" s="1"/>
  <c r="O77" i="81" s="1"/>
  <c r="C77" i="81"/>
  <c r="R76" i="81"/>
  <c r="Q76" i="81"/>
  <c r="M76" i="81"/>
  <c r="N76" i="81" s="1"/>
  <c r="O76" i="81" s="1"/>
  <c r="C76" i="81"/>
  <c r="R75" i="81"/>
  <c r="Q75" i="81"/>
  <c r="M75" i="81"/>
  <c r="N75" i="81" s="1"/>
  <c r="O75" i="81" s="1"/>
  <c r="C75" i="81"/>
  <c r="R74" i="81"/>
  <c r="Q74" i="81"/>
  <c r="M74" i="81"/>
  <c r="N74" i="81" s="1"/>
  <c r="O74" i="81" s="1"/>
  <c r="C74" i="81"/>
  <c r="R73" i="81"/>
  <c r="Q73" i="81"/>
  <c r="M73" i="81"/>
  <c r="N73" i="81" s="1"/>
  <c r="O73" i="81" s="1"/>
  <c r="C73" i="81"/>
  <c r="R72" i="81"/>
  <c r="Q72" i="81"/>
  <c r="M72" i="81"/>
  <c r="N72" i="81" s="1"/>
  <c r="O72" i="81" s="1"/>
  <c r="C72" i="81"/>
  <c r="R71" i="81"/>
  <c r="Q71" i="81"/>
  <c r="M71" i="81"/>
  <c r="N71" i="81" s="1"/>
  <c r="O71" i="81" s="1"/>
  <c r="C71" i="81"/>
  <c r="R70" i="81"/>
  <c r="Q70" i="81"/>
  <c r="M70" i="81"/>
  <c r="N70" i="81" s="1"/>
  <c r="O70" i="81" s="1"/>
  <c r="C70" i="81"/>
  <c r="R69" i="81"/>
  <c r="Q69" i="81"/>
  <c r="M69" i="81"/>
  <c r="N69" i="81" s="1"/>
  <c r="O69" i="81" s="1"/>
  <c r="C69" i="81"/>
  <c r="R68" i="81"/>
  <c r="Q68" i="81"/>
  <c r="M68" i="81"/>
  <c r="N68" i="81" s="1"/>
  <c r="O68" i="81" s="1"/>
  <c r="C68" i="81"/>
  <c r="R67" i="81"/>
  <c r="Q67" i="81"/>
  <c r="M67" i="81"/>
  <c r="N67" i="81" s="1"/>
  <c r="O67" i="81" s="1"/>
  <c r="C67" i="81"/>
  <c r="R66" i="81"/>
  <c r="Q66" i="81"/>
  <c r="M66" i="81"/>
  <c r="N66" i="81" s="1"/>
  <c r="O66" i="81" s="1"/>
  <c r="C66" i="81"/>
  <c r="R65" i="81"/>
  <c r="Q65" i="81"/>
  <c r="M65" i="81"/>
  <c r="N65" i="81" s="1"/>
  <c r="O65" i="81" s="1"/>
  <c r="C65" i="81"/>
  <c r="R64" i="81"/>
  <c r="Q64" i="81"/>
  <c r="M64" i="81"/>
  <c r="N64" i="81" s="1"/>
  <c r="O64" i="81" s="1"/>
  <c r="C64" i="81"/>
  <c r="R63" i="81"/>
  <c r="Q63" i="81"/>
  <c r="M63" i="81"/>
  <c r="N63" i="81" s="1"/>
  <c r="O63" i="81" s="1"/>
  <c r="C63" i="81"/>
  <c r="R62" i="81"/>
  <c r="Q62" i="81"/>
  <c r="M62" i="81"/>
  <c r="N62" i="81" s="1"/>
  <c r="O62" i="81" s="1"/>
  <c r="C62" i="81"/>
  <c r="R61" i="81"/>
  <c r="Q61" i="81"/>
  <c r="M61" i="81"/>
  <c r="N61" i="81" s="1"/>
  <c r="O61" i="81" s="1"/>
  <c r="C61" i="81"/>
  <c r="R60" i="81"/>
  <c r="Q60" i="81"/>
  <c r="M60" i="81"/>
  <c r="N60" i="81" s="1"/>
  <c r="O60" i="81" s="1"/>
  <c r="C60" i="81"/>
  <c r="R59" i="81"/>
  <c r="Q59" i="81"/>
  <c r="M59" i="81"/>
  <c r="N59" i="81" s="1"/>
  <c r="O59" i="81" s="1"/>
  <c r="C59" i="81"/>
  <c r="R58" i="81"/>
  <c r="Q58" i="81"/>
  <c r="M58" i="81"/>
  <c r="N58" i="81" s="1"/>
  <c r="O58" i="81" s="1"/>
  <c r="C58" i="81"/>
  <c r="R57" i="81"/>
  <c r="Q57" i="81"/>
  <c r="M57" i="81"/>
  <c r="N57" i="81" s="1"/>
  <c r="O57" i="81" s="1"/>
  <c r="C57" i="81"/>
  <c r="R56" i="81"/>
  <c r="Q56" i="81"/>
  <c r="M56" i="81"/>
  <c r="N56" i="81" s="1"/>
  <c r="O56" i="81" s="1"/>
  <c r="C56" i="81"/>
  <c r="R55" i="81"/>
  <c r="Q55" i="81"/>
  <c r="M55" i="81"/>
  <c r="N55" i="81" s="1"/>
  <c r="O55" i="81" s="1"/>
  <c r="C55" i="81"/>
  <c r="R54" i="81"/>
  <c r="Q54" i="81"/>
  <c r="M54" i="81"/>
  <c r="N54" i="81" s="1"/>
  <c r="O54" i="81" s="1"/>
  <c r="C54" i="81"/>
  <c r="R53" i="81"/>
  <c r="Q53" i="81"/>
  <c r="M53" i="81"/>
  <c r="N53" i="81" s="1"/>
  <c r="O53" i="81" s="1"/>
  <c r="C53" i="81"/>
  <c r="R52" i="81"/>
  <c r="Q52" i="81"/>
  <c r="M52" i="81"/>
  <c r="N52" i="81" s="1"/>
  <c r="O52" i="81" s="1"/>
  <c r="C52" i="81"/>
  <c r="R51" i="81"/>
  <c r="Q51" i="81"/>
  <c r="M51" i="81"/>
  <c r="N51" i="81" s="1"/>
  <c r="O51" i="81" s="1"/>
  <c r="C51" i="81"/>
  <c r="R50" i="81"/>
  <c r="Q50" i="81"/>
  <c r="M50" i="81"/>
  <c r="N50" i="81" s="1"/>
  <c r="O50" i="81" s="1"/>
  <c r="C50" i="81"/>
  <c r="R49" i="81"/>
  <c r="Q49" i="81"/>
  <c r="M49" i="81"/>
  <c r="N49" i="81" s="1"/>
  <c r="O49" i="81" s="1"/>
  <c r="C49" i="81"/>
  <c r="R48" i="81"/>
  <c r="Q48" i="81"/>
  <c r="M48" i="81"/>
  <c r="N48" i="81" s="1"/>
  <c r="O48" i="81" s="1"/>
  <c r="C48" i="81"/>
  <c r="R47" i="81"/>
  <c r="Q47" i="81"/>
  <c r="M47" i="81"/>
  <c r="N47" i="81" s="1"/>
  <c r="O47" i="81" s="1"/>
  <c r="C47" i="81"/>
  <c r="R46" i="81"/>
  <c r="Q46" i="81"/>
  <c r="M46" i="81"/>
  <c r="N46" i="81" s="1"/>
  <c r="O46" i="81" s="1"/>
  <c r="C46" i="81"/>
  <c r="R45" i="81"/>
  <c r="Q45" i="81"/>
  <c r="M45" i="81"/>
  <c r="N45" i="81" s="1"/>
  <c r="O45" i="81" s="1"/>
  <c r="C45" i="81"/>
  <c r="R44" i="81"/>
  <c r="Q44" i="81"/>
  <c r="M44" i="81"/>
  <c r="N44" i="81" s="1"/>
  <c r="O44" i="81" s="1"/>
  <c r="C44" i="81"/>
  <c r="R43" i="81"/>
  <c r="Q43" i="81"/>
  <c r="M43" i="81"/>
  <c r="N43" i="81" s="1"/>
  <c r="O43" i="81" s="1"/>
  <c r="C43" i="81"/>
  <c r="R42" i="81"/>
  <c r="Q42" i="81"/>
  <c r="M42" i="81"/>
  <c r="N42" i="81" s="1"/>
  <c r="O42" i="81" s="1"/>
  <c r="C42" i="81"/>
  <c r="R41" i="81"/>
  <c r="Q41" i="81"/>
  <c r="M41" i="81"/>
  <c r="N41" i="81" s="1"/>
  <c r="O41" i="81" s="1"/>
  <c r="C41" i="81"/>
  <c r="R40" i="81"/>
  <c r="Q40" i="81"/>
  <c r="M40" i="81"/>
  <c r="N40" i="81" s="1"/>
  <c r="O40" i="81" s="1"/>
  <c r="C40" i="81"/>
  <c r="R39" i="81"/>
  <c r="Q39" i="81"/>
  <c r="M39" i="81"/>
  <c r="N39" i="81" s="1"/>
  <c r="O39" i="81" s="1"/>
  <c r="C39" i="81"/>
  <c r="R38" i="81"/>
  <c r="Q38" i="81"/>
  <c r="M38" i="81"/>
  <c r="N38" i="81" s="1"/>
  <c r="O38" i="81" s="1"/>
  <c r="C38" i="81"/>
  <c r="R37" i="81"/>
  <c r="Q37" i="81"/>
  <c r="M37" i="81"/>
  <c r="N37" i="81" s="1"/>
  <c r="O37" i="81" s="1"/>
  <c r="C37" i="81"/>
  <c r="R36" i="81"/>
  <c r="Q36" i="81"/>
  <c r="M36" i="81"/>
  <c r="N36" i="81" s="1"/>
  <c r="O36" i="81" s="1"/>
  <c r="C36" i="81"/>
  <c r="R35" i="81"/>
  <c r="Q35" i="81"/>
  <c r="M35" i="81"/>
  <c r="N35" i="81" s="1"/>
  <c r="O35" i="81" s="1"/>
  <c r="C35" i="81"/>
  <c r="R34" i="81"/>
  <c r="Q34" i="81"/>
  <c r="M34" i="81"/>
  <c r="N34" i="81" s="1"/>
  <c r="O34" i="81" s="1"/>
  <c r="C34" i="81"/>
  <c r="R33" i="81"/>
  <c r="Q33" i="81"/>
  <c r="M33" i="81"/>
  <c r="N33" i="81" s="1"/>
  <c r="O33" i="81" s="1"/>
  <c r="C33" i="81"/>
  <c r="R32" i="81"/>
  <c r="Q32" i="81"/>
  <c r="M32" i="81"/>
  <c r="N32" i="81" s="1"/>
  <c r="O32" i="81" s="1"/>
  <c r="C32" i="81"/>
  <c r="R31" i="81"/>
  <c r="Q31" i="81"/>
  <c r="M31" i="81"/>
  <c r="N31" i="81" s="1"/>
  <c r="O31" i="81" s="1"/>
  <c r="C31" i="81"/>
  <c r="R30" i="81"/>
  <c r="Q30" i="81"/>
  <c r="M30" i="81"/>
  <c r="N30" i="81" s="1"/>
  <c r="O30" i="81" s="1"/>
  <c r="C30" i="81"/>
  <c r="R29" i="81"/>
  <c r="Q29" i="81"/>
  <c r="M29" i="81"/>
  <c r="N29" i="81" s="1"/>
  <c r="O29" i="81" s="1"/>
  <c r="C29" i="81"/>
  <c r="R28" i="81"/>
  <c r="Q28" i="81"/>
  <c r="M28" i="81"/>
  <c r="N28" i="81" s="1"/>
  <c r="O28" i="81" s="1"/>
  <c r="C28" i="81"/>
  <c r="R27" i="81"/>
  <c r="Q27" i="81"/>
  <c r="M27" i="81"/>
  <c r="N27" i="81" s="1"/>
  <c r="O27" i="81" s="1"/>
  <c r="C27" i="81"/>
  <c r="R26" i="81"/>
  <c r="Q26" i="81"/>
  <c r="M26" i="81"/>
  <c r="N26" i="81" s="1"/>
  <c r="O26" i="81" s="1"/>
  <c r="C26" i="81"/>
  <c r="R25" i="81"/>
  <c r="Q25" i="81"/>
  <c r="M25" i="81"/>
  <c r="N25" i="81" s="1"/>
  <c r="O25" i="81" s="1"/>
  <c r="C25" i="81"/>
  <c r="R24" i="81"/>
  <c r="Q24" i="81"/>
  <c r="M24" i="81"/>
  <c r="N24" i="81" s="1"/>
  <c r="O24" i="81" s="1"/>
  <c r="C24" i="81"/>
  <c r="R23" i="81"/>
  <c r="Q23" i="81"/>
  <c r="M23" i="81"/>
  <c r="N23" i="81" s="1"/>
  <c r="O23" i="81" s="1"/>
  <c r="C23" i="81"/>
  <c r="R22" i="81"/>
  <c r="Q22" i="81"/>
  <c r="M22" i="81"/>
  <c r="N22" i="81" s="1"/>
  <c r="O22" i="81" s="1"/>
  <c r="C22" i="81"/>
  <c r="R21" i="81"/>
  <c r="Q21" i="81"/>
  <c r="M21" i="81"/>
  <c r="N21" i="81" s="1"/>
  <c r="O21" i="81" s="1"/>
  <c r="C21" i="81"/>
  <c r="R20" i="81"/>
  <c r="Q20" i="81"/>
  <c r="M20" i="81"/>
  <c r="N20" i="81" s="1"/>
  <c r="O20" i="81" s="1"/>
  <c r="C20" i="81"/>
  <c r="R19" i="81"/>
  <c r="Q19" i="81"/>
  <c r="M19" i="81"/>
  <c r="N19" i="81" s="1"/>
  <c r="O19" i="81" s="1"/>
  <c r="C19" i="81"/>
  <c r="R18" i="81"/>
  <c r="Q18" i="81"/>
  <c r="M18" i="81"/>
  <c r="N18" i="81" s="1"/>
  <c r="O18" i="81" s="1"/>
  <c r="C18" i="81"/>
  <c r="R17" i="81"/>
  <c r="Q17" i="81"/>
  <c r="M17" i="81"/>
  <c r="N17" i="81" s="1"/>
  <c r="O17" i="81" s="1"/>
  <c r="C17" i="81"/>
  <c r="R16" i="81"/>
  <c r="Q16" i="81"/>
  <c r="M16" i="81"/>
  <c r="N16" i="81" s="1"/>
  <c r="O16" i="81" s="1"/>
  <c r="C16" i="81"/>
  <c r="R15" i="81"/>
  <c r="Q15" i="81"/>
  <c r="M15" i="81"/>
  <c r="N15" i="81" s="1"/>
  <c r="O15" i="81" s="1"/>
  <c r="C15" i="81"/>
  <c r="R14" i="81"/>
  <c r="Q14" i="81"/>
  <c r="M14" i="81"/>
  <c r="N14" i="81" s="1"/>
  <c r="O14" i="81" s="1"/>
  <c r="C14" i="81"/>
  <c r="R13" i="81"/>
  <c r="Q13" i="81"/>
  <c r="M13" i="81"/>
  <c r="N13" i="81" s="1"/>
  <c r="O13" i="81" s="1"/>
  <c r="C13" i="81"/>
  <c r="R12" i="81"/>
  <c r="Q12" i="81"/>
  <c r="M12" i="81"/>
  <c r="N12" i="81" s="1"/>
  <c r="O12" i="81" s="1"/>
  <c r="C12" i="81"/>
  <c r="R11" i="81"/>
  <c r="Q11" i="81"/>
  <c r="M11" i="81"/>
  <c r="N11" i="81" s="1"/>
  <c r="O11" i="81" s="1"/>
  <c r="C11" i="81"/>
  <c r="R10" i="81"/>
  <c r="Q10" i="81"/>
  <c r="M10" i="81"/>
  <c r="N10" i="81" s="1"/>
  <c r="O10" i="81" s="1"/>
  <c r="C10" i="81"/>
  <c r="R9" i="81"/>
  <c r="Q9" i="81"/>
  <c r="M9" i="81"/>
  <c r="N9" i="81" s="1"/>
  <c r="O9" i="81" s="1"/>
  <c r="C9" i="81"/>
  <c r="R8" i="81"/>
  <c r="Q8" i="81"/>
  <c r="M8" i="81"/>
  <c r="N8" i="81" s="1"/>
  <c r="O8" i="81" s="1"/>
  <c r="C8" i="81"/>
  <c r="R7" i="81"/>
  <c r="Q7" i="81"/>
  <c r="M7" i="81"/>
  <c r="N7" i="81" s="1"/>
  <c r="O7" i="81" s="1"/>
  <c r="C7" i="81"/>
  <c r="R6" i="81"/>
  <c r="Q6" i="81"/>
  <c r="M6" i="81"/>
  <c r="N6" i="81" s="1"/>
  <c r="C6" i="81"/>
  <c r="L4" i="81"/>
  <c r="J4" i="81"/>
  <c r="C94" i="80"/>
  <c r="R94" i="80"/>
  <c r="Q94" i="80"/>
  <c r="M94" i="80"/>
  <c r="N94" i="80" s="1"/>
  <c r="O94" i="80" s="1"/>
  <c r="O6" i="81" l="1"/>
  <c r="O4" i="81" s="1"/>
  <c r="N4" i="81"/>
  <c r="R74" i="80"/>
  <c r="Q74" i="80"/>
  <c r="M74" i="80"/>
  <c r="N74" i="80" s="1"/>
  <c r="O74" i="80" s="1"/>
  <c r="C74" i="80"/>
  <c r="R111" i="80" l="1"/>
  <c r="Q111" i="80"/>
  <c r="M111" i="80"/>
  <c r="N111" i="80" s="1"/>
  <c r="O111" i="80" s="1"/>
  <c r="C111" i="80"/>
  <c r="R110" i="80"/>
  <c r="Q110" i="80"/>
  <c r="M110" i="80"/>
  <c r="N110" i="80" s="1"/>
  <c r="O110" i="80" s="1"/>
  <c r="C110" i="80"/>
  <c r="R109" i="80"/>
  <c r="Q109" i="80"/>
  <c r="M109" i="80"/>
  <c r="N109" i="80" s="1"/>
  <c r="O109" i="80" s="1"/>
  <c r="C109" i="80"/>
  <c r="R108" i="80"/>
  <c r="Q108" i="80"/>
  <c r="M108" i="80"/>
  <c r="N108" i="80" s="1"/>
  <c r="O108" i="80" s="1"/>
  <c r="C108" i="80"/>
  <c r="R107" i="80"/>
  <c r="Q107" i="80"/>
  <c r="M107" i="80"/>
  <c r="N107" i="80" s="1"/>
  <c r="O107" i="80" s="1"/>
  <c r="C107" i="80"/>
  <c r="R106" i="80"/>
  <c r="Q106" i="80"/>
  <c r="M106" i="80"/>
  <c r="N106" i="80" s="1"/>
  <c r="O106" i="80" s="1"/>
  <c r="C106" i="80"/>
  <c r="R105" i="80"/>
  <c r="Q105" i="80"/>
  <c r="M105" i="80"/>
  <c r="N105" i="80" s="1"/>
  <c r="O105" i="80" s="1"/>
  <c r="C105" i="80"/>
  <c r="R104" i="80"/>
  <c r="Q104" i="80"/>
  <c r="M104" i="80"/>
  <c r="N104" i="80" s="1"/>
  <c r="O104" i="80" s="1"/>
  <c r="C104" i="80"/>
  <c r="R103" i="80"/>
  <c r="Q103" i="80"/>
  <c r="M103" i="80"/>
  <c r="N103" i="80" s="1"/>
  <c r="O103" i="80" s="1"/>
  <c r="C103" i="80"/>
  <c r="R102" i="80"/>
  <c r="Q102" i="80"/>
  <c r="M102" i="80"/>
  <c r="N102" i="80" s="1"/>
  <c r="O102" i="80" s="1"/>
  <c r="C102" i="80"/>
  <c r="R101" i="80"/>
  <c r="Q101" i="80"/>
  <c r="M101" i="80"/>
  <c r="N101" i="80" s="1"/>
  <c r="O101" i="80" s="1"/>
  <c r="C101" i="80"/>
  <c r="R100" i="80"/>
  <c r="Q100" i="80"/>
  <c r="M100" i="80"/>
  <c r="N100" i="80" s="1"/>
  <c r="O100" i="80" s="1"/>
  <c r="C100" i="80"/>
  <c r="R99" i="80"/>
  <c r="Q99" i="80"/>
  <c r="M99" i="80"/>
  <c r="N99" i="80" s="1"/>
  <c r="O99" i="80" s="1"/>
  <c r="C99" i="80"/>
  <c r="R98" i="80"/>
  <c r="Q98" i="80"/>
  <c r="M98" i="80"/>
  <c r="N98" i="80" s="1"/>
  <c r="O98" i="80" s="1"/>
  <c r="C98" i="80"/>
  <c r="R97" i="80"/>
  <c r="Q97" i="80"/>
  <c r="M97" i="80"/>
  <c r="N97" i="80" s="1"/>
  <c r="O97" i="80" s="1"/>
  <c r="C97" i="80"/>
  <c r="R96" i="80"/>
  <c r="Q96" i="80"/>
  <c r="M96" i="80"/>
  <c r="N96" i="80" s="1"/>
  <c r="O96" i="80" s="1"/>
  <c r="C96" i="80"/>
  <c r="R95" i="80"/>
  <c r="Q95" i="80"/>
  <c r="M95" i="80"/>
  <c r="N95" i="80" s="1"/>
  <c r="O95" i="80" s="1"/>
  <c r="C95" i="80"/>
  <c r="R93" i="80"/>
  <c r="Q93" i="80"/>
  <c r="M93" i="80"/>
  <c r="N93" i="80" s="1"/>
  <c r="O93" i="80" s="1"/>
  <c r="C93" i="80"/>
  <c r="R92" i="80"/>
  <c r="Q92" i="80"/>
  <c r="M92" i="80"/>
  <c r="N92" i="80" s="1"/>
  <c r="O92" i="80" s="1"/>
  <c r="C92" i="80"/>
  <c r="R91" i="80"/>
  <c r="Q91" i="80"/>
  <c r="M91" i="80"/>
  <c r="N91" i="80" s="1"/>
  <c r="O91" i="80" s="1"/>
  <c r="C91" i="80"/>
  <c r="R90" i="80"/>
  <c r="Q90" i="80"/>
  <c r="M90" i="80"/>
  <c r="N90" i="80" s="1"/>
  <c r="O90" i="80" s="1"/>
  <c r="C90" i="80"/>
  <c r="R89" i="80"/>
  <c r="Q89" i="80"/>
  <c r="M89" i="80"/>
  <c r="N89" i="80" s="1"/>
  <c r="O89" i="80" s="1"/>
  <c r="C89" i="80"/>
  <c r="R88" i="80"/>
  <c r="Q88" i="80"/>
  <c r="M88" i="80"/>
  <c r="N88" i="80" s="1"/>
  <c r="O88" i="80" s="1"/>
  <c r="C88" i="80"/>
  <c r="R87" i="80"/>
  <c r="Q87" i="80"/>
  <c r="M87" i="80"/>
  <c r="N87" i="80" s="1"/>
  <c r="O87" i="80" s="1"/>
  <c r="C87" i="80"/>
  <c r="R86" i="80"/>
  <c r="Q86" i="80"/>
  <c r="M86" i="80"/>
  <c r="N86" i="80" s="1"/>
  <c r="O86" i="80" s="1"/>
  <c r="C86" i="80"/>
  <c r="R85" i="80"/>
  <c r="Q85" i="80"/>
  <c r="M85" i="80"/>
  <c r="N85" i="80" s="1"/>
  <c r="O85" i="80" s="1"/>
  <c r="C85" i="80"/>
  <c r="R84" i="80"/>
  <c r="Q84" i="80"/>
  <c r="M84" i="80"/>
  <c r="N84" i="80" s="1"/>
  <c r="O84" i="80" s="1"/>
  <c r="C84" i="80"/>
  <c r="R83" i="80"/>
  <c r="Q83" i="80"/>
  <c r="M83" i="80"/>
  <c r="N83" i="80" s="1"/>
  <c r="O83" i="80" s="1"/>
  <c r="C83" i="80"/>
  <c r="R82" i="80"/>
  <c r="Q82" i="80"/>
  <c r="M82" i="80"/>
  <c r="N82" i="80" s="1"/>
  <c r="O82" i="80" s="1"/>
  <c r="C82" i="80"/>
  <c r="R81" i="80"/>
  <c r="Q81" i="80"/>
  <c r="M81" i="80"/>
  <c r="N81" i="80" s="1"/>
  <c r="O81" i="80" s="1"/>
  <c r="C81" i="80"/>
  <c r="R80" i="80"/>
  <c r="Q80" i="80"/>
  <c r="M80" i="80"/>
  <c r="N80" i="80" s="1"/>
  <c r="O80" i="80" s="1"/>
  <c r="C80" i="80"/>
  <c r="R79" i="80"/>
  <c r="Q79" i="80"/>
  <c r="M79" i="80"/>
  <c r="N79" i="80" s="1"/>
  <c r="O79" i="80" s="1"/>
  <c r="C79" i="80"/>
  <c r="R78" i="80"/>
  <c r="Q78" i="80"/>
  <c r="M78" i="80"/>
  <c r="N78" i="80" s="1"/>
  <c r="O78" i="80" s="1"/>
  <c r="C78" i="80"/>
  <c r="R77" i="80"/>
  <c r="Q77" i="80"/>
  <c r="M77" i="80"/>
  <c r="N77" i="80" s="1"/>
  <c r="O77" i="80" s="1"/>
  <c r="C77" i="80"/>
  <c r="R76" i="80"/>
  <c r="Q76" i="80"/>
  <c r="M76" i="80"/>
  <c r="N76" i="80" s="1"/>
  <c r="O76" i="80" s="1"/>
  <c r="C76" i="80"/>
  <c r="R75" i="80"/>
  <c r="Q75" i="80"/>
  <c r="M75" i="80"/>
  <c r="N75" i="80" s="1"/>
  <c r="O75" i="80" s="1"/>
  <c r="C75" i="80"/>
  <c r="R73" i="80"/>
  <c r="Q73" i="80"/>
  <c r="M73" i="80"/>
  <c r="N73" i="80" s="1"/>
  <c r="O73" i="80" s="1"/>
  <c r="C73" i="80"/>
  <c r="R72" i="80"/>
  <c r="Q72" i="80"/>
  <c r="M72" i="80"/>
  <c r="N72" i="80" s="1"/>
  <c r="O72" i="80" s="1"/>
  <c r="C72" i="80"/>
  <c r="R71" i="80"/>
  <c r="Q71" i="80"/>
  <c r="M71" i="80"/>
  <c r="N71" i="80" s="1"/>
  <c r="O71" i="80" s="1"/>
  <c r="C71" i="80"/>
  <c r="R70" i="80"/>
  <c r="Q70" i="80"/>
  <c r="M70" i="80"/>
  <c r="N70" i="80" s="1"/>
  <c r="O70" i="80" s="1"/>
  <c r="C70" i="80"/>
  <c r="R69" i="80"/>
  <c r="Q69" i="80"/>
  <c r="M69" i="80"/>
  <c r="N69" i="80" s="1"/>
  <c r="O69" i="80" s="1"/>
  <c r="C69" i="80"/>
  <c r="R68" i="80"/>
  <c r="Q68" i="80"/>
  <c r="M68" i="80"/>
  <c r="N68" i="80" s="1"/>
  <c r="O68" i="80" s="1"/>
  <c r="C68" i="80"/>
  <c r="R67" i="80"/>
  <c r="Q67" i="80"/>
  <c r="M67" i="80"/>
  <c r="N67" i="80" s="1"/>
  <c r="O67" i="80" s="1"/>
  <c r="C67" i="80"/>
  <c r="R66" i="80"/>
  <c r="Q66" i="80"/>
  <c r="M66" i="80"/>
  <c r="N66" i="80" s="1"/>
  <c r="O66" i="80" s="1"/>
  <c r="C66" i="80"/>
  <c r="R65" i="80"/>
  <c r="Q65" i="80"/>
  <c r="M65" i="80"/>
  <c r="N65" i="80" s="1"/>
  <c r="O65" i="80" s="1"/>
  <c r="C65" i="80"/>
  <c r="R64" i="80"/>
  <c r="Q64" i="80"/>
  <c r="M64" i="80"/>
  <c r="N64" i="80" s="1"/>
  <c r="O64" i="80" s="1"/>
  <c r="C64" i="80"/>
  <c r="R63" i="80"/>
  <c r="Q63" i="80"/>
  <c r="M63" i="80"/>
  <c r="N63" i="80" s="1"/>
  <c r="O63" i="80" s="1"/>
  <c r="C63" i="80"/>
  <c r="R62" i="80"/>
  <c r="Q62" i="80"/>
  <c r="M62" i="80"/>
  <c r="N62" i="80" s="1"/>
  <c r="O62" i="80" s="1"/>
  <c r="C62" i="80"/>
  <c r="R61" i="80"/>
  <c r="Q61" i="80"/>
  <c r="M61" i="80"/>
  <c r="N61" i="80" s="1"/>
  <c r="O61" i="80" s="1"/>
  <c r="C61" i="80"/>
  <c r="R60" i="80"/>
  <c r="Q60" i="80"/>
  <c r="M60" i="80"/>
  <c r="N60" i="80" s="1"/>
  <c r="O60" i="80" s="1"/>
  <c r="C60" i="80"/>
  <c r="R59" i="80"/>
  <c r="Q59" i="80"/>
  <c r="M59" i="80"/>
  <c r="N59" i="80" s="1"/>
  <c r="O59" i="80" s="1"/>
  <c r="C59" i="80"/>
  <c r="R58" i="80"/>
  <c r="Q58" i="80"/>
  <c r="M58" i="80"/>
  <c r="N58" i="80" s="1"/>
  <c r="O58" i="80" s="1"/>
  <c r="C58" i="80"/>
  <c r="R57" i="80"/>
  <c r="Q57" i="80"/>
  <c r="M57" i="80"/>
  <c r="N57" i="80" s="1"/>
  <c r="O57" i="80" s="1"/>
  <c r="C57" i="80"/>
  <c r="R56" i="80"/>
  <c r="Q56" i="80"/>
  <c r="M56" i="80"/>
  <c r="N56" i="80" s="1"/>
  <c r="O56" i="80" s="1"/>
  <c r="C56" i="80"/>
  <c r="R55" i="80"/>
  <c r="Q55" i="80"/>
  <c r="M55" i="80"/>
  <c r="N55" i="80" s="1"/>
  <c r="O55" i="80" s="1"/>
  <c r="C55" i="80"/>
  <c r="R54" i="80"/>
  <c r="Q54" i="80"/>
  <c r="M54" i="80"/>
  <c r="N54" i="80" s="1"/>
  <c r="O54" i="80" s="1"/>
  <c r="C54" i="80"/>
  <c r="R53" i="80"/>
  <c r="Q53" i="80"/>
  <c r="M53" i="80"/>
  <c r="N53" i="80" s="1"/>
  <c r="O53" i="80" s="1"/>
  <c r="C53" i="80"/>
  <c r="R52" i="80"/>
  <c r="Q52" i="80"/>
  <c r="M52" i="80"/>
  <c r="N52" i="80" s="1"/>
  <c r="O52" i="80" s="1"/>
  <c r="C52" i="80"/>
  <c r="R51" i="80"/>
  <c r="Q51" i="80"/>
  <c r="M51" i="80"/>
  <c r="N51" i="80" s="1"/>
  <c r="O51" i="80" s="1"/>
  <c r="C51" i="80"/>
  <c r="R50" i="80"/>
  <c r="Q50" i="80"/>
  <c r="M50" i="80"/>
  <c r="N50" i="80" s="1"/>
  <c r="O50" i="80" s="1"/>
  <c r="C50" i="80"/>
  <c r="R49" i="80"/>
  <c r="Q49" i="80"/>
  <c r="M49" i="80"/>
  <c r="N49" i="80" s="1"/>
  <c r="O49" i="80" s="1"/>
  <c r="C49" i="80"/>
  <c r="R48" i="80"/>
  <c r="Q48" i="80"/>
  <c r="M48" i="80"/>
  <c r="N48" i="80" s="1"/>
  <c r="O48" i="80" s="1"/>
  <c r="C48" i="80"/>
  <c r="R47" i="80"/>
  <c r="Q47" i="80"/>
  <c r="M47" i="80"/>
  <c r="N47" i="80" s="1"/>
  <c r="O47" i="80" s="1"/>
  <c r="C47" i="80"/>
  <c r="R46" i="80"/>
  <c r="Q46" i="80"/>
  <c r="M46" i="80"/>
  <c r="N46" i="80" s="1"/>
  <c r="O46" i="80" s="1"/>
  <c r="C46" i="80"/>
  <c r="R45" i="80"/>
  <c r="Q45" i="80"/>
  <c r="M45" i="80"/>
  <c r="N45" i="80" s="1"/>
  <c r="O45" i="80" s="1"/>
  <c r="C45" i="80"/>
  <c r="R44" i="80"/>
  <c r="Q44" i="80"/>
  <c r="M44" i="80"/>
  <c r="N44" i="80" s="1"/>
  <c r="O44" i="80" s="1"/>
  <c r="C44" i="80"/>
  <c r="R43" i="80"/>
  <c r="Q43" i="80"/>
  <c r="M43" i="80"/>
  <c r="N43" i="80" s="1"/>
  <c r="O43" i="80" s="1"/>
  <c r="C43" i="80"/>
  <c r="R42" i="80"/>
  <c r="Q42" i="80"/>
  <c r="M42" i="80"/>
  <c r="N42" i="80" s="1"/>
  <c r="O42" i="80" s="1"/>
  <c r="C42" i="80"/>
  <c r="R41" i="80"/>
  <c r="Q41" i="80"/>
  <c r="M41" i="80"/>
  <c r="N41" i="80" s="1"/>
  <c r="O41" i="80" s="1"/>
  <c r="C41" i="80"/>
  <c r="R40" i="80"/>
  <c r="Q40" i="80"/>
  <c r="M40" i="80"/>
  <c r="N40" i="80" s="1"/>
  <c r="O40" i="80" s="1"/>
  <c r="C40" i="80"/>
  <c r="R39" i="80"/>
  <c r="Q39" i="80"/>
  <c r="M39" i="80"/>
  <c r="N39" i="80" s="1"/>
  <c r="O39" i="80" s="1"/>
  <c r="C39" i="80"/>
  <c r="R38" i="80"/>
  <c r="Q38" i="80"/>
  <c r="M38" i="80"/>
  <c r="N38" i="80" s="1"/>
  <c r="O38" i="80" s="1"/>
  <c r="C38" i="80"/>
  <c r="R37" i="80"/>
  <c r="Q37" i="80"/>
  <c r="M37" i="80"/>
  <c r="N37" i="80" s="1"/>
  <c r="O37" i="80" s="1"/>
  <c r="C37" i="80"/>
  <c r="R36" i="80"/>
  <c r="Q36" i="80"/>
  <c r="M36" i="80"/>
  <c r="N36" i="80" s="1"/>
  <c r="O36" i="80" s="1"/>
  <c r="C36" i="80"/>
  <c r="R35" i="80"/>
  <c r="Q35" i="80"/>
  <c r="M35" i="80"/>
  <c r="N35" i="80" s="1"/>
  <c r="O35" i="80" s="1"/>
  <c r="C35" i="80"/>
  <c r="R34" i="80"/>
  <c r="Q34" i="80"/>
  <c r="M34" i="80"/>
  <c r="N34" i="80" s="1"/>
  <c r="O34" i="80" s="1"/>
  <c r="C34" i="80"/>
  <c r="R33" i="80"/>
  <c r="Q33" i="80"/>
  <c r="M33" i="80"/>
  <c r="N33" i="80" s="1"/>
  <c r="O33" i="80" s="1"/>
  <c r="C33" i="80"/>
  <c r="R32" i="80"/>
  <c r="Q32" i="80"/>
  <c r="M32" i="80"/>
  <c r="N32" i="80" s="1"/>
  <c r="O32" i="80" s="1"/>
  <c r="C32" i="80"/>
  <c r="R31" i="80"/>
  <c r="Q31" i="80"/>
  <c r="M31" i="80"/>
  <c r="N31" i="80" s="1"/>
  <c r="O31" i="80" s="1"/>
  <c r="C31" i="80"/>
  <c r="R30" i="80"/>
  <c r="Q30" i="80"/>
  <c r="M30" i="80"/>
  <c r="N30" i="80" s="1"/>
  <c r="O30" i="80" s="1"/>
  <c r="C30" i="80"/>
  <c r="R29" i="80"/>
  <c r="Q29" i="80"/>
  <c r="M29" i="80"/>
  <c r="N29" i="80" s="1"/>
  <c r="O29" i="80" s="1"/>
  <c r="C29" i="80"/>
  <c r="R28" i="80"/>
  <c r="Q28" i="80"/>
  <c r="M28" i="80"/>
  <c r="N28" i="80" s="1"/>
  <c r="O28" i="80" s="1"/>
  <c r="C28" i="80"/>
  <c r="R27" i="80"/>
  <c r="Q27" i="80"/>
  <c r="M27" i="80"/>
  <c r="N27" i="80" s="1"/>
  <c r="O27" i="80" s="1"/>
  <c r="C27" i="80"/>
  <c r="R26" i="80"/>
  <c r="Q26" i="80"/>
  <c r="M26" i="80"/>
  <c r="N26" i="80" s="1"/>
  <c r="O26" i="80" s="1"/>
  <c r="C26" i="80"/>
  <c r="R25" i="80"/>
  <c r="Q25" i="80"/>
  <c r="M25" i="80"/>
  <c r="N25" i="80" s="1"/>
  <c r="O25" i="80" s="1"/>
  <c r="C25" i="80"/>
  <c r="R24" i="80"/>
  <c r="Q24" i="80"/>
  <c r="M24" i="80"/>
  <c r="N24" i="80" s="1"/>
  <c r="O24" i="80" s="1"/>
  <c r="C24" i="80"/>
  <c r="R23" i="80"/>
  <c r="Q23" i="80"/>
  <c r="M23" i="80"/>
  <c r="N23" i="80" s="1"/>
  <c r="O23" i="80" s="1"/>
  <c r="C23" i="80"/>
  <c r="R22" i="80"/>
  <c r="Q22" i="80"/>
  <c r="M22" i="80"/>
  <c r="N22" i="80" s="1"/>
  <c r="O22" i="80" s="1"/>
  <c r="C22" i="80"/>
  <c r="R21" i="80"/>
  <c r="Q21" i="80"/>
  <c r="M21" i="80"/>
  <c r="N21" i="80" s="1"/>
  <c r="O21" i="80" s="1"/>
  <c r="C21" i="80"/>
  <c r="R20" i="80"/>
  <c r="Q20" i="80"/>
  <c r="M20" i="80"/>
  <c r="N20" i="80" s="1"/>
  <c r="O20" i="80" s="1"/>
  <c r="C20" i="80"/>
  <c r="R19" i="80"/>
  <c r="Q19" i="80"/>
  <c r="M19" i="80"/>
  <c r="N19" i="80" s="1"/>
  <c r="O19" i="80" s="1"/>
  <c r="C19" i="80"/>
  <c r="R18" i="80"/>
  <c r="Q18" i="80"/>
  <c r="M18" i="80"/>
  <c r="N18" i="80" s="1"/>
  <c r="O18" i="80" s="1"/>
  <c r="C18" i="80"/>
  <c r="R17" i="80"/>
  <c r="Q17" i="80"/>
  <c r="M17" i="80"/>
  <c r="N17" i="80" s="1"/>
  <c r="O17" i="80" s="1"/>
  <c r="C17" i="80"/>
  <c r="R16" i="80"/>
  <c r="Q16" i="80"/>
  <c r="M16" i="80"/>
  <c r="N16" i="80" s="1"/>
  <c r="O16" i="80" s="1"/>
  <c r="C16" i="80"/>
  <c r="R15" i="80"/>
  <c r="Q15" i="80"/>
  <c r="M15" i="80"/>
  <c r="N15" i="80" s="1"/>
  <c r="O15" i="80" s="1"/>
  <c r="C15" i="80"/>
  <c r="R14" i="80"/>
  <c r="Q14" i="80"/>
  <c r="M14" i="80"/>
  <c r="N14" i="80" s="1"/>
  <c r="O14" i="80" s="1"/>
  <c r="C14" i="80"/>
  <c r="R13" i="80"/>
  <c r="Q13" i="80"/>
  <c r="M13" i="80"/>
  <c r="N13" i="80" s="1"/>
  <c r="O13" i="80" s="1"/>
  <c r="C13" i="80"/>
  <c r="R12" i="80"/>
  <c r="Q12" i="80"/>
  <c r="M12" i="80"/>
  <c r="N12" i="80" s="1"/>
  <c r="O12" i="80" s="1"/>
  <c r="C12" i="80"/>
  <c r="R11" i="80"/>
  <c r="Q11" i="80"/>
  <c r="M11" i="80"/>
  <c r="N11" i="80" s="1"/>
  <c r="O11" i="80" s="1"/>
  <c r="C11" i="80"/>
  <c r="R10" i="80"/>
  <c r="Q10" i="80"/>
  <c r="M10" i="80"/>
  <c r="N10" i="80" s="1"/>
  <c r="O10" i="80" s="1"/>
  <c r="C10" i="80"/>
  <c r="R9" i="80"/>
  <c r="Q9" i="80"/>
  <c r="M9" i="80"/>
  <c r="N9" i="80" s="1"/>
  <c r="O9" i="80" s="1"/>
  <c r="C9" i="80"/>
  <c r="R8" i="80"/>
  <c r="Q8" i="80"/>
  <c r="M8" i="80"/>
  <c r="N8" i="80" s="1"/>
  <c r="O8" i="80" s="1"/>
  <c r="C8" i="80"/>
  <c r="R7" i="80"/>
  <c r="Q7" i="80"/>
  <c r="M7" i="80"/>
  <c r="N7" i="80" s="1"/>
  <c r="O7" i="80" s="1"/>
  <c r="C7" i="80"/>
  <c r="R6" i="80"/>
  <c r="Q6" i="80"/>
  <c r="M6" i="80"/>
  <c r="N6" i="80" s="1"/>
  <c r="C6" i="80"/>
  <c r="L4" i="80"/>
  <c r="J4" i="80"/>
  <c r="R124" i="79"/>
  <c r="Q124" i="79"/>
  <c r="M124" i="79"/>
  <c r="N124" i="79" s="1"/>
  <c r="O124" i="79" s="1"/>
  <c r="R123" i="79"/>
  <c r="Q123" i="79"/>
  <c r="M123" i="79"/>
  <c r="N123" i="79" s="1"/>
  <c r="O123" i="79" s="1"/>
  <c r="R122" i="79"/>
  <c r="Q122" i="79"/>
  <c r="N122" i="79"/>
  <c r="O122" i="79" s="1"/>
  <c r="M122" i="79"/>
  <c r="R121" i="79"/>
  <c r="Q121" i="79"/>
  <c r="N121" i="79"/>
  <c r="O121" i="79" s="1"/>
  <c r="M121" i="79"/>
  <c r="R120" i="79"/>
  <c r="Q120" i="79"/>
  <c r="M120" i="79"/>
  <c r="N120" i="79" s="1"/>
  <c r="O120" i="79" s="1"/>
  <c r="R119" i="79"/>
  <c r="Q119" i="79"/>
  <c r="M119" i="79"/>
  <c r="N119" i="79" s="1"/>
  <c r="O119" i="79" s="1"/>
  <c r="C124" i="79"/>
  <c r="C123" i="79"/>
  <c r="C122" i="79"/>
  <c r="C121" i="79"/>
  <c r="C120" i="79"/>
  <c r="C119" i="79"/>
  <c r="N4" i="80" l="1"/>
  <c r="O6" i="80"/>
  <c r="O4" i="80" s="1"/>
  <c r="R133" i="79"/>
  <c r="Q133" i="79"/>
  <c r="M133" i="79"/>
  <c r="N133" i="79" s="1"/>
  <c r="O133" i="79" s="1"/>
  <c r="C133" i="79"/>
  <c r="R132" i="79"/>
  <c r="Q132" i="79"/>
  <c r="M132" i="79"/>
  <c r="N132" i="79" s="1"/>
  <c r="O132" i="79" s="1"/>
  <c r="C132" i="79"/>
  <c r="R131" i="79"/>
  <c r="Q131" i="79"/>
  <c r="M131" i="79"/>
  <c r="N131" i="79" s="1"/>
  <c r="O131" i="79" s="1"/>
  <c r="C131" i="79"/>
  <c r="R130" i="79"/>
  <c r="Q130" i="79"/>
  <c r="M130" i="79"/>
  <c r="N130" i="79" s="1"/>
  <c r="O130" i="79" s="1"/>
  <c r="C130" i="79"/>
  <c r="R129" i="79"/>
  <c r="Q129" i="79"/>
  <c r="M129" i="79"/>
  <c r="N129" i="79" s="1"/>
  <c r="O129" i="79" s="1"/>
  <c r="C129" i="79"/>
  <c r="R128" i="79"/>
  <c r="Q128" i="79"/>
  <c r="M128" i="79"/>
  <c r="N128" i="79" s="1"/>
  <c r="O128" i="79" s="1"/>
  <c r="C128" i="79"/>
  <c r="R127" i="79"/>
  <c r="Q127" i="79"/>
  <c r="M127" i="79"/>
  <c r="N127" i="79" s="1"/>
  <c r="O127" i="79" s="1"/>
  <c r="C127" i="79"/>
  <c r="R126" i="79"/>
  <c r="Q126" i="79"/>
  <c r="M126" i="79"/>
  <c r="N126" i="79" s="1"/>
  <c r="O126" i="79" s="1"/>
  <c r="C126" i="79"/>
  <c r="R125" i="79"/>
  <c r="Q125" i="79"/>
  <c r="M125" i="79"/>
  <c r="N125" i="79" s="1"/>
  <c r="O125" i="79" s="1"/>
  <c r="C125" i="79"/>
  <c r="R115" i="79"/>
  <c r="Q115" i="79"/>
  <c r="M115" i="79"/>
  <c r="N115" i="79" s="1"/>
  <c r="O115" i="79" s="1"/>
  <c r="C115" i="79"/>
  <c r="R118" i="79"/>
  <c r="Q118" i="79"/>
  <c r="M118" i="79"/>
  <c r="N118" i="79" s="1"/>
  <c r="O118" i="79" s="1"/>
  <c r="C118" i="79"/>
  <c r="R117" i="79"/>
  <c r="Q117" i="79"/>
  <c r="M117" i="79"/>
  <c r="N117" i="79" s="1"/>
  <c r="O117" i="79" s="1"/>
  <c r="C117" i="79"/>
  <c r="R116" i="79"/>
  <c r="Q116" i="79"/>
  <c r="M116" i="79"/>
  <c r="N116" i="79" s="1"/>
  <c r="O116" i="79" s="1"/>
  <c r="C116" i="79"/>
  <c r="R114" i="79"/>
  <c r="Q114" i="79"/>
  <c r="M114" i="79"/>
  <c r="N114" i="79" s="1"/>
  <c r="O114" i="79" s="1"/>
  <c r="C114" i="79"/>
  <c r="R113" i="79"/>
  <c r="Q113" i="79"/>
  <c r="M113" i="79"/>
  <c r="N113" i="79" s="1"/>
  <c r="O113" i="79" s="1"/>
  <c r="C113" i="79"/>
  <c r="R112" i="79"/>
  <c r="Q112" i="79"/>
  <c r="M112" i="79"/>
  <c r="N112" i="79" s="1"/>
  <c r="O112" i="79" s="1"/>
  <c r="C112" i="79"/>
  <c r="R111" i="79"/>
  <c r="Q111" i="79"/>
  <c r="M111" i="79"/>
  <c r="N111" i="79" s="1"/>
  <c r="O111" i="79" s="1"/>
  <c r="C111" i="79"/>
  <c r="R110" i="79"/>
  <c r="Q110" i="79"/>
  <c r="M110" i="79"/>
  <c r="N110" i="79" s="1"/>
  <c r="O110" i="79" s="1"/>
  <c r="C110" i="79"/>
  <c r="R109" i="79"/>
  <c r="Q109" i="79"/>
  <c r="M109" i="79"/>
  <c r="N109" i="79" s="1"/>
  <c r="O109" i="79" s="1"/>
  <c r="C109" i="79"/>
  <c r="R108" i="79"/>
  <c r="Q108" i="79"/>
  <c r="M108" i="79"/>
  <c r="N108" i="79" s="1"/>
  <c r="O108" i="79" s="1"/>
  <c r="C108" i="79"/>
  <c r="R107" i="79"/>
  <c r="Q107" i="79"/>
  <c r="M107" i="79"/>
  <c r="N107" i="79" s="1"/>
  <c r="O107" i="79" s="1"/>
  <c r="C107" i="79"/>
  <c r="R106" i="79"/>
  <c r="Q106" i="79"/>
  <c r="M106" i="79"/>
  <c r="N106" i="79" s="1"/>
  <c r="O106" i="79" s="1"/>
  <c r="C106" i="79"/>
  <c r="R105" i="79"/>
  <c r="Q105" i="79"/>
  <c r="M105" i="79"/>
  <c r="N105" i="79" s="1"/>
  <c r="O105" i="79" s="1"/>
  <c r="C105" i="79"/>
  <c r="R104" i="79"/>
  <c r="Q104" i="79"/>
  <c r="M104" i="79"/>
  <c r="N104" i="79" s="1"/>
  <c r="O104" i="79" s="1"/>
  <c r="C104" i="79"/>
  <c r="R103" i="79"/>
  <c r="Q103" i="79"/>
  <c r="M103" i="79"/>
  <c r="N103" i="79" s="1"/>
  <c r="O103" i="79" s="1"/>
  <c r="C103" i="79"/>
  <c r="R102" i="79"/>
  <c r="Q102" i="79"/>
  <c r="M102" i="79"/>
  <c r="N102" i="79" s="1"/>
  <c r="O102" i="79" s="1"/>
  <c r="C102" i="79"/>
  <c r="R101" i="79"/>
  <c r="Q101" i="79"/>
  <c r="M101" i="79"/>
  <c r="N101" i="79" s="1"/>
  <c r="O101" i="79" s="1"/>
  <c r="C101" i="79"/>
  <c r="R100" i="79"/>
  <c r="Q100" i="79"/>
  <c r="M100" i="79"/>
  <c r="N100" i="79" s="1"/>
  <c r="O100" i="79" s="1"/>
  <c r="C100" i="79"/>
  <c r="R99" i="79"/>
  <c r="Q99" i="79"/>
  <c r="M99" i="79"/>
  <c r="N99" i="79" s="1"/>
  <c r="O99" i="79" s="1"/>
  <c r="C99" i="79"/>
  <c r="R98" i="79"/>
  <c r="Q98" i="79"/>
  <c r="M98" i="79"/>
  <c r="N98" i="79" s="1"/>
  <c r="O98" i="79" s="1"/>
  <c r="C98" i="79"/>
  <c r="R97" i="79"/>
  <c r="Q97" i="79"/>
  <c r="M97" i="79"/>
  <c r="N97" i="79" s="1"/>
  <c r="O97" i="79" s="1"/>
  <c r="C97" i="79"/>
  <c r="R96" i="79"/>
  <c r="Q96" i="79"/>
  <c r="M96" i="79"/>
  <c r="N96" i="79" s="1"/>
  <c r="O96" i="79" s="1"/>
  <c r="C96" i="79"/>
  <c r="R95" i="79"/>
  <c r="Q95" i="79"/>
  <c r="M95" i="79"/>
  <c r="N95" i="79" s="1"/>
  <c r="O95" i="79" s="1"/>
  <c r="C95" i="79"/>
  <c r="R94" i="79"/>
  <c r="Q94" i="79"/>
  <c r="M94" i="79"/>
  <c r="N94" i="79" s="1"/>
  <c r="O94" i="79" s="1"/>
  <c r="C94" i="79"/>
  <c r="R93" i="79"/>
  <c r="Q93" i="79"/>
  <c r="M93" i="79"/>
  <c r="N93" i="79" s="1"/>
  <c r="O93" i="79" s="1"/>
  <c r="C93" i="79"/>
  <c r="R92" i="79"/>
  <c r="Q92" i="79"/>
  <c r="M92" i="79"/>
  <c r="N92" i="79" s="1"/>
  <c r="O92" i="79" s="1"/>
  <c r="C92" i="79"/>
  <c r="R91" i="79"/>
  <c r="Q91" i="79"/>
  <c r="M91" i="79"/>
  <c r="N91" i="79" s="1"/>
  <c r="O91" i="79" s="1"/>
  <c r="C91" i="79"/>
  <c r="R90" i="79"/>
  <c r="Q90" i="79"/>
  <c r="M90" i="79"/>
  <c r="N90" i="79" s="1"/>
  <c r="O90" i="79" s="1"/>
  <c r="C90" i="79"/>
  <c r="R89" i="79"/>
  <c r="Q89" i="79"/>
  <c r="M89" i="79"/>
  <c r="N89" i="79" s="1"/>
  <c r="O89" i="79" s="1"/>
  <c r="C89" i="79"/>
  <c r="R88" i="79"/>
  <c r="Q88" i="79"/>
  <c r="M88" i="79"/>
  <c r="N88" i="79" s="1"/>
  <c r="O88" i="79" s="1"/>
  <c r="C88" i="79"/>
  <c r="R87" i="79"/>
  <c r="Q87" i="79"/>
  <c r="M87" i="79"/>
  <c r="N87" i="79" s="1"/>
  <c r="O87" i="79" s="1"/>
  <c r="C87" i="79"/>
  <c r="R86" i="79"/>
  <c r="Q86" i="79"/>
  <c r="M86" i="79"/>
  <c r="N86" i="79" s="1"/>
  <c r="O86" i="79" s="1"/>
  <c r="C86" i="79"/>
  <c r="R85" i="79"/>
  <c r="Q85" i="79"/>
  <c r="M85" i="79"/>
  <c r="N85" i="79" s="1"/>
  <c r="O85" i="79" s="1"/>
  <c r="C85" i="79"/>
  <c r="R84" i="79"/>
  <c r="Q84" i="79"/>
  <c r="M84" i="79"/>
  <c r="N84" i="79" s="1"/>
  <c r="O84" i="79" s="1"/>
  <c r="C84" i="79"/>
  <c r="R83" i="79"/>
  <c r="Q83" i="79"/>
  <c r="M83" i="79"/>
  <c r="N83" i="79" s="1"/>
  <c r="O83" i="79" s="1"/>
  <c r="C83" i="79"/>
  <c r="R82" i="79"/>
  <c r="Q82" i="79"/>
  <c r="M82" i="79"/>
  <c r="N82" i="79" s="1"/>
  <c r="O82" i="79" s="1"/>
  <c r="C82" i="79"/>
  <c r="R81" i="79"/>
  <c r="Q81" i="79"/>
  <c r="M81" i="79"/>
  <c r="N81" i="79" s="1"/>
  <c r="O81" i="79" s="1"/>
  <c r="C81" i="79"/>
  <c r="R80" i="79"/>
  <c r="Q80" i="79"/>
  <c r="M80" i="79"/>
  <c r="N80" i="79" s="1"/>
  <c r="O80" i="79" s="1"/>
  <c r="C80" i="79"/>
  <c r="R79" i="79"/>
  <c r="Q79" i="79"/>
  <c r="M79" i="79"/>
  <c r="N79" i="79" s="1"/>
  <c r="O79" i="79" s="1"/>
  <c r="C79" i="79"/>
  <c r="R78" i="79"/>
  <c r="Q78" i="79"/>
  <c r="M78" i="79"/>
  <c r="N78" i="79" s="1"/>
  <c r="O78" i="79" s="1"/>
  <c r="C78" i="79"/>
  <c r="R77" i="79"/>
  <c r="Q77" i="79"/>
  <c r="M77" i="79"/>
  <c r="N77" i="79" s="1"/>
  <c r="O77" i="79" s="1"/>
  <c r="C77" i="79"/>
  <c r="R76" i="79"/>
  <c r="Q76" i="79"/>
  <c r="M76" i="79"/>
  <c r="N76" i="79" s="1"/>
  <c r="O76" i="79" s="1"/>
  <c r="C76" i="79"/>
  <c r="R75" i="79"/>
  <c r="Q75" i="79"/>
  <c r="M75" i="79"/>
  <c r="N75" i="79" s="1"/>
  <c r="O75" i="79" s="1"/>
  <c r="C75" i="79"/>
  <c r="R74" i="79"/>
  <c r="Q74" i="79"/>
  <c r="M74" i="79"/>
  <c r="N74" i="79" s="1"/>
  <c r="O74" i="79" s="1"/>
  <c r="C74" i="79"/>
  <c r="R73" i="79"/>
  <c r="Q73" i="79"/>
  <c r="M73" i="79"/>
  <c r="N73" i="79" s="1"/>
  <c r="O73" i="79" s="1"/>
  <c r="C73" i="79"/>
  <c r="R72" i="79"/>
  <c r="Q72" i="79"/>
  <c r="M72" i="79"/>
  <c r="N72" i="79" s="1"/>
  <c r="O72" i="79" s="1"/>
  <c r="C72" i="79"/>
  <c r="R71" i="79"/>
  <c r="Q71" i="79"/>
  <c r="M71" i="79"/>
  <c r="N71" i="79" s="1"/>
  <c r="O71" i="79" s="1"/>
  <c r="C71" i="79"/>
  <c r="R70" i="79"/>
  <c r="Q70" i="79"/>
  <c r="M70" i="79"/>
  <c r="N70" i="79" s="1"/>
  <c r="O70" i="79" s="1"/>
  <c r="C70" i="79"/>
  <c r="R69" i="79"/>
  <c r="Q69" i="79"/>
  <c r="M69" i="79"/>
  <c r="N69" i="79" s="1"/>
  <c r="O69" i="79" s="1"/>
  <c r="C69" i="79"/>
  <c r="R68" i="79"/>
  <c r="Q68" i="79"/>
  <c r="M68" i="79"/>
  <c r="N68" i="79" s="1"/>
  <c r="O68" i="79" s="1"/>
  <c r="C68" i="79"/>
  <c r="R67" i="79"/>
  <c r="Q67" i="79"/>
  <c r="M67" i="79"/>
  <c r="N67" i="79" s="1"/>
  <c r="O67" i="79" s="1"/>
  <c r="C67" i="79"/>
  <c r="R66" i="79"/>
  <c r="Q66" i="79"/>
  <c r="M66" i="79"/>
  <c r="N66" i="79" s="1"/>
  <c r="O66" i="79" s="1"/>
  <c r="C66" i="79"/>
  <c r="R65" i="79"/>
  <c r="Q65" i="79"/>
  <c r="M65" i="79"/>
  <c r="N65" i="79" s="1"/>
  <c r="O65" i="79" s="1"/>
  <c r="C65" i="79"/>
  <c r="R64" i="79"/>
  <c r="Q64" i="79"/>
  <c r="M64" i="79"/>
  <c r="N64" i="79" s="1"/>
  <c r="O64" i="79" s="1"/>
  <c r="C64" i="79"/>
  <c r="R63" i="79"/>
  <c r="Q63" i="79"/>
  <c r="M63" i="79"/>
  <c r="N63" i="79" s="1"/>
  <c r="O63" i="79" s="1"/>
  <c r="C63" i="79"/>
  <c r="R62" i="79"/>
  <c r="Q62" i="79"/>
  <c r="M62" i="79"/>
  <c r="N62" i="79" s="1"/>
  <c r="O62" i="79" s="1"/>
  <c r="C62" i="79"/>
  <c r="R61" i="79"/>
  <c r="Q61" i="79"/>
  <c r="M61" i="79"/>
  <c r="N61" i="79" s="1"/>
  <c r="O61" i="79" s="1"/>
  <c r="C61" i="79"/>
  <c r="R60" i="79"/>
  <c r="Q60" i="79"/>
  <c r="M60" i="79"/>
  <c r="N60" i="79" s="1"/>
  <c r="O60" i="79" s="1"/>
  <c r="C60" i="79"/>
  <c r="R59" i="79"/>
  <c r="Q59" i="79"/>
  <c r="M59" i="79"/>
  <c r="N59" i="79" s="1"/>
  <c r="O59" i="79" s="1"/>
  <c r="C59" i="79"/>
  <c r="R58" i="79"/>
  <c r="Q58" i="79"/>
  <c r="M58" i="79"/>
  <c r="N58" i="79" s="1"/>
  <c r="O58" i="79" s="1"/>
  <c r="C58" i="79"/>
  <c r="R57" i="79"/>
  <c r="Q57" i="79"/>
  <c r="M57" i="79"/>
  <c r="N57" i="79" s="1"/>
  <c r="O57" i="79" s="1"/>
  <c r="C57" i="79"/>
  <c r="R56" i="79"/>
  <c r="Q56" i="79"/>
  <c r="M56" i="79"/>
  <c r="N56" i="79" s="1"/>
  <c r="O56" i="79" s="1"/>
  <c r="C56" i="79"/>
  <c r="R55" i="79"/>
  <c r="Q55" i="79"/>
  <c r="M55" i="79"/>
  <c r="N55" i="79" s="1"/>
  <c r="O55" i="79" s="1"/>
  <c r="C55" i="79"/>
  <c r="R54" i="79"/>
  <c r="Q54" i="79"/>
  <c r="M54" i="79"/>
  <c r="N54" i="79" s="1"/>
  <c r="O54" i="79" s="1"/>
  <c r="C54" i="79"/>
  <c r="R53" i="79"/>
  <c r="Q53" i="79"/>
  <c r="M53" i="79"/>
  <c r="N53" i="79" s="1"/>
  <c r="O53" i="79" s="1"/>
  <c r="C53" i="79"/>
  <c r="R52" i="79"/>
  <c r="Q52" i="79"/>
  <c r="M52" i="79"/>
  <c r="N52" i="79" s="1"/>
  <c r="O52" i="79" s="1"/>
  <c r="C52" i="79"/>
  <c r="R51" i="79"/>
  <c r="Q51" i="79"/>
  <c r="M51" i="79"/>
  <c r="N51" i="79" s="1"/>
  <c r="O51" i="79" s="1"/>
  <c r="C51" i="79"/>
  <c r="R50" i="79"/>
  <c r="Q50" i="79"/>
  <c r="M50" i="79"/>
  <c r="N50" i="79" s="1"/>
  <c r="O50" i="79" s="1"/>
  <c r="C50" i="79"/>
  <c r="R49" i="79"/>
  <c r="Q49" i="79"/>
  <c r="M49" i="79"/>
  <c r="N49" i="79" s="1"/>
  <c r="O49" i="79" s="1"/>
  <c r="C49" i="79"/>
  <c r="R48" i="79"/>
  <c r="Q48" i="79"/>
  <c r="M48" i="79"/>
  <c r="N48" i="79" s="1"/>
  <c r="O48" i="79" s="1"/>
  <c r="C48" i="79"/>
  <c r="R47" i="79"/>
  <c r="Q47" i="79"/>
  <c r="M47" i="79"/>
  <c r="N47" i="79" s="1"/>
  <c r="O47" i="79" s="1"/>
  <c r="C47" i="79"/>
  <c r="R46" i="79"/>
  <c r="Q46" i="79"/>
  <c r="M46" i="79"/>
  <c r="N46" i="79" s="1"/>
  <c r="O46" i="79" s="1"/>
  <c r="C46" i="79"/>
  <c r="R45" i="79"/>
  <c r="Q45" i="79"/>
  <c r="M45" i="79"/>
  <c r="N45" i="79" s="1"/>
  <c r="O45" i="79" s="1"/>
  <c r="C45" i="79"/>
  <c r="R44" i="79"/>
  <c r="Q44" i="79"/>
  <c r="M44" i="79"/>
  <c r="N44" i="79" s="1"/>
  <c r="O44" i="79" s="1"/>
  <c r="C44" i="79"/>
  <c r="R43" i="79"/>
  <c r="Q43" i="79"/>
  <c r="M43" i="79"/>
  <c r="N43" i="79" s="1"/>
  <c r="O43" i="79" s="1"/>
  <c r="C43" i="79"/>
  <c r="R42" i="79"/>
  <c r="Q42" i="79"/>
  <c r="M42" i="79"/>
  <c r="N42" i="79" s="1"/>
  <c r="O42" i="79" s="1"/>
  <c r="C42" i="79"/>
  <c r="R41" i="79"/>
  <c r="Q41" i="79"/>
  <c r="M41" i="79"/>
  <c r="N41" i="79" s="1"/>
  <c r="O41" i="79" s="1"/>
  <c r="C41" i="79"/>
  <c r="R40" i="79"/>
  <c r="Q40" i="79"/>
  <c r="M40" i="79"/>
  <c r="N40" i="79" s="1"/>
  <c r="O40" i="79" s="1"/>
  <c r="C40" i="79"/>
  <c r="R39" i="79"/>
  <c r="Q39" i="79"/>
  <c r="M39" i="79"/>
  <c r="N39" i="79" s="1"/>
  <c r="O39" i="79" s="1"/>
  <c r="C39" i="79"/>
  <c r="R38" i="79"/>
  <c r="Q38" i="79"/>
  <c r="M38" i="79"/>
  <c r="N38" i="79" s="1"/>
  <c r="O38" i="79" s="1"/>
  <c r="C38" i="79"/>
  <c r="R37" i="79"/>
  <c r="Q37" i="79"/>
  <c r="M37" i="79"/>
  <c r="N37" i="79" s="1"/>
  <c r="O37" i="79" s="1"/>
  <c r="C37" i="79"/>
  <c r="R36" i="79"/>
  <c r="Q36" i="79"/>
  <c r="M36" i="79"/>
  <c r="N36" i="79" s="1"/>
  <c r="O36" i="79" s="1"/>
  <c r="C36" i="79"/>
  <c r="R35" i="79"/>
  <c r="Q35" i="79"/>
  <c r="M35" i="79"/>
  <c r="N35" i="79" s="1"/>
  <c r="O35" i="79" s="1"/>
  <c r="C35" i="79"/>
  <c r="R34" i="79"/>
  <c r="Q34" i="79"/>
  <c r="M34" i="79"/>
  <c r="N34" i="79" s="1"/>
  <c r="O34" i="79" s="1"/>
  <c r="C34" i="79"/>
  <c r="R33" i="79"/>
  <c r="Q33" i="79"/>
  <c r="M33" i="79"/>
  <c r="N33" i="79" s="1"/>
  <c r="O33" i="79" s="1"/>
  <c r="C33" i="79"/>
  <c r="R32" i="79"/>
  <c r="Q32" i="79"/>
  <c r="M32" i="79"/>
  <c r="N32" i="79" s="1"/>
  <c r="O32" i="79" s="1"/>
  <c r="C32" i="79"/>
  <c r="R31" i="79"/>
  <c r="Q31" i="79"/>
  <c r="M31" i="79"/>
  <c r="N31" i="79" s="1"/>
  <c r="O31" i="79" s="1"/>
  <c r="C31" i="79"/>
  <c r="R30" i="79"/>
  <c r="Q30" i="79"/>
  <c r="M30" i="79"/>
  <c r="N30" i="79" s="1"/>
  <c r="O30" i="79" s="1"/>
  <c r="C30" i="79"/>
  <c r="R29" i="79"/>
  <c r="Q29" i="79"/>
  <c r="M29" i="79"/>
  <c r="N29" i="79" s="1"/>
  <c r="O29" i="79" s="1"/>
  <c r="C29" i="79"/>
  <c r="R28" i="79"/>
  <c r="Q28" i="79"/>
  <c r="M28" i="79"/>
  <c r="N28" i="79" s="1"/>
  <c r="O28" i="79" s="1"/>
  <c r="C28" i="79"/>
  <c r="R27" i="79"/>
  <c r="Q27" i="79"/>
  <c r="M27" i="79"/>
  <c r="N27" i="79" s="1"/>
  <c r="O27" i="79" s="1"/>
  <c r="C27" i="79"/>
  <c r="R26" i="79"/>
  <c r="Q26" i="79"/>
  <c r="M26" i="79"/>
  <c r="N26" i="79" s="1"/>
  <c r="O26" i="79" s="1"/>
  <c r="C26" i="79"/>
  <c r="R25" i="79"/>
  <c r="Q25" i="79"/>
  <c r="M25" i="79"/>
  <c r="N25" i="79" s="1"/>
  <c r="O25" i="79" s="1"/>
  <c r="C25" i="79"/>
  <c r="R24" i="79"/>
  <c r="Q24" i="79"/>
  <c r="M24" i="79"/>
  <c r="N24" i="79" s="1"/>
  <c r="O24" i="79" s="1"/>
  <c r="C24" i="79"/>
  <c r="R23" i="79"/>
  <c r="Q23" i="79"/>
  <c r="M23" i="79"/>
  <c r="N23" i="79" s="1"/>
  <c r="O23" i="79" s="1"/>
  <c r="C23" i="79"/>
  <c r="R22" i="79"/>
  <c r="Q22" i="79"/>
  <c r="M22" i="79"/>
  <c r="N22" i="79" s="1"/>
  <c r="O22" i="79" s="1"/>
  <c r="C22" i="79"/>
  <c r="R21" i="79"/>
  <c r="Q21" i="79"/>
  <c r="M21" i="79"/>
  <c r="N21" i="79" s="1"/>
  <c r="O21" i="79" s="1"/>
  <c r="C21" i="79"/>
  <c r="R20" i="79"/>
  <c r="Q20" i="79"/>
  <c r="M20" i="79"/>
  <c r="N20" i="79" s="1"/>
  <c r="O20" i="79" s="1"/>
  <c r="C20" i="79"/>
  <c r="R19" i="79"/>
  <c r="Q19" i="79"/>
  <c r="M19" i="79"/>
  <c r="N19" i="79" s="1"/>
  <c r="O19" i="79" s="1"/>
  <c r="C19" i="79"/>
  <c r="R18" i="79"/>
  <c r="Q18" i="79"/>
  <c r="M18" i="79"/>
  <c r="N18" i="79" s="1"/>
  <c r="O18" i="79" s="1"/>
  <c r="C18" i="79"/>
  <c r="R17" i="79"/>
  <c r="Q17" i="79"/>
  <c r="M17" i="79"/>
  <c r="N17" i="79" s="1"/>
  <c r="O17" i="79" s="1"/>
  <c r="C17" i="79"/>
  <c r="R16" i="79"/>
  <c r="Q16" i="79"/>
  <c r="M16" i="79"/>
  <c r="N16" i="79" s="1"/>
  <c r="O16" i="79" s="1"/>
  <c r="C16" i="79"/>
  <c r="R15" i="79"/>
  <c r="Q15" i="79"/>
  <c r="M15" i="79"/>
  <c r="N15" i="79" s="1"/>
  <c r="O15" i="79" s="1"/>
  <c r="C15" i="79"/>
  <c r="R14" i="79"/>
  <c r="Q14" i="79"/>
  <c r="M14" i="79"/>
  <c r="N14" i="79" s="1"/>
  <c r="O14" i="79" s="1"/>
  <c r="C14" i="79"/>
  <c r="R13" i="79"/>
  <c r="Q13" i="79"/>
  <c r="M13" i="79"/>
  <c r="N13" i="79" s="1"/>
  <c r="O13" i="79" s="1"/>
  <c r="C13" i="79"/>
  <c r="R12" i="79"/>
  <c r="Q12" i="79"/>
  <c r="M12" i="79"/>
  <c r="N12" i="79" s="1"/>
  <c r="O12" i="79" s="1"/>
  <c r="C12" i="79"/>
  <c r="R11" i="79"/>
  <c r="Q11" i="79"/>
  <c r="M11" i="79"/>
  <c r="N11" i="79" s="1"/>
  <c r="O11" i="79" s="1"/>
  <c r="C11" i="79"/>
  <c r="R10" i="79"/>
  <c r="Q10" i="79"/>
  <c r="M10" i="79"/>
  <c r="N10" i="79" s="1"/>
  <c r="O10" i="79" s="1"/>
  <c r="C10" i="79"/>
  <c r="R9" i="79"/>
  <c r="Q9" i="79"/>
  <c r="M9" i="79"/>
  <c r="N9" i="79" s="1"/>
  <c r="O9" i="79" s="1"/>
  <c r="C9" i="79"/>
  <c r="R8" i="79"/>
  <c r="Q8" i="79"/>
  <c r="M8" i="79"/>
  <c r="N8" i="79" s="1"/>
  <c r="O8" i="79" s="1"/>
  <c r="C8" i="79"/>
  <c r="R7" i="79"/>
  <c r="Q7" i="79"/>
  <c r="M7" i="79"/>
  <c r="N7" i="79" s="1"/>
  <c r="O7" i="79" s="1"/>
  <c r="C7" i="79"/>
  <c r="R6" i="79"/>
  <c r="Q6" i="79"/>
  <c r="M6" i="79"/>
  <c r="N6" i="79" s="1"/>
  <c r="C6" i="79"/>
  <c r="L4" i="79"/>
  <c r="J4" i="79"/>
  <c r="R45" i="78"/>
  <c r="Q45" i="78"/>
  <c r="M45" i="78"/>
  <c r="N45" i="78" s="1"/>
  <c r="O45" i="78" s="1"/>
  <c r="C45" i="78"/>
  <c r="O6" i="79" l="1"/>
  <c r="O4" i="79" s="1"/>
  <c r="N4" i="79"/>
  <c r="R118" i="78"/>
  <c r="Q118" i="78"/>
  <c r="M118" i="78"/>
  <c r="N118" i="78" s="1"/>
  <c r="O118" i="78" s="1"/>
  <c r="C118" i="78"/>
  <c r="R117" i="78"/>
  <c r="Q117" i="78"/>
  <c r="M117" i="78"/>
  <c r="N117" i="78" s="1"/>
  <c r="O117" i="78" s="1"/>
  <c r="C117" i="78"/>
  <c r="R116" i="78"/>
  <c r="Q116" i="78"/>
  <c r="M116" i="78"/>
  <c r="N116" i="78" s="1"/>
  <c r="O116" i="78" s="1"/>
  <c r="C116" i="78"/>
  <c r="R115" i="78"/>
  <c r="Q115" i="78"/>
  <c r="M115" i="78"/>
  <c r="N115" i="78" s="1"/>
  <c r="O115" i="78" s="1"/>
  <c r="C115" i="78"/>
  <c r="R114" i="78"/>
  <c r="Q114" i="78"/>
  <c r="M114" i="78"/>
  <c r="N114" i="78" s="1"/>
  <c r="O114" i="78" s="1"/>
  <c r="C114" i="78"/>
  <c r="R113" i="78"/>
  <c r="Q113" i="78"/>
  <c r="M113" i="78"/>
  <c r="N113" i="78" s="1"/>
  <c r="O113" i="78" s="1"/>
  <c r="C113" i="78"/>
  <c r="R112" i="78"/>
  <c r="Q112" i="78"/>
  <c r="M112" i="78"/>
  <c r="N112" i="78" s="1"/>
  <c r="O112" i="78" s="1"/>
  <c r="C112" i="78"/>
  <c r="R111" i="78"/>
  <c r="Q111" i="78"/>
  <c r="M111" i="78"/>
  <c r="N111" i="78" s="1"/>
  <c r="O111" i="78" s="1"/>
  <c r="C111" i="78"/>
  <c r="R110" i="78"/>
  <c r="Q110" i="78"/>
  <c r="M110" i="78"/>
  <c r="N110" i="78" s="1"/>
  <c r="O110" i="78" s="1"/>
  <c r="C110" i="78"/>
  <c r="R109" i="78"/>
  <c r="Q109" i="78"/>
  <c r="M109" i="78"/>
  <c r="N109" i="78" s="1"/>
  <c r="O109" i="78" s="1"/>
  <c r="C109" i="78"/>
  <c r="R108" i="78"/>
  <c r="Q108" i="78"/>
  <c r="M108" i="78"/>
  <c r="N108" i="78" s="1"/>
  <c r="O108" i="78" s="1"/>
  <c r="C108" i="78"/>
  <c r="R107" i="78"/>
  <c r="Q107" i="78"/>
  <c r="M107" i="78"/>
  <c r="N107" i="78" s="1"/>
  <c r="O107" i="78" s="1"/>
  <c r="C107" i="78"/>
  <c r="R106" i="78"/>
  <c r="Q106" i="78"/>
  <c r="M106" i="78"/>
  <c r="N106" i="78" s="1"/>
  <c r="O106" i="78" s="1"/>
  <c r="C106" i="78"/>
  <c r="R105" i="78"/>
  <c r="Q105" i="78"/>
  <c r="M105" i="78"/>
  <c r="N105" i="78" s="1"/>
  <c r="O105" i="78" s="1"/>
  <c r="C105" i="78"/>
  <c r="R104" i="78"/>
  <c r="Q104" i="78"/>
  <c r="M104" i="78"/>
  <c r="N104" i="78" s="1"/>
  <c r="O104" i="78" s="1"/>
  <c r="C104" i="78"/>
  <c r="R103" i="78"/>
  <c r="Q103" i="78"/>
  <c r="M103" i="78"/>
  <c r="N103" i="78" s="1"/>
  <c r="O103" i="78" s="1"/>
  <c r="C103" i="78"/>
  <c r="R102" i="78"/>
  <c r="Q102" i="78"/>
  <c r="M102" i="78"/>
  <c r="N102" i="78" s="1"/>
  <c r="O102" i="78" s="1"/>
  <c r="C102" i="78"/>
  <c r="R101" i="78"/>
  <c r="Q101" i="78"/>
  <c r="M101" i="78"/>
  <c r="N101" i="78" s="1"/>
  <c r="O101" i="78" s="1"/>
  <c r="C101" i="78"/>
  <c r="R100" i="78"/>
  <c r="Q100" i="78"/>
  <c r="M100" i="78"/>
  <c r="N100" i="78" s="1"/>
  <c r="O100" i="78" s="1"/>
  <c r="C100" i="78"/>
  <c r="R99" i="78"/>
  <c r="Q99" i="78"/>
  <c r="M99" i="78"/>
  <c r="N99" i="78" s="1"/>
  <c r="O99" i="78" s="1"/>
  <c r="C99" i="78"/>
  <c r="R98" i="78"/>
  <c r="Q98" i="78"/>
  <c r="M98" i="78"/>
  <c r="N98" i="78" s="1"/>
  <c r="O98" i="78" s="1"/>
  <c r="C98" i="78"/>
  <c r="R97" i="78"/>
  <c r="Q97" i="78"/>
  <c r="M97" i="78"/>
  <c r="N97" i="78" s="1"/>
  <c r="O97" i="78" s="1"/>
  <c r="C97" i="78"/>
  <c r="R96" i="78"/>
  <c r="Q96" i="78"/>
  <c r="M96" i="78"/>
  <c r="N96" i="78" s="1"/>
  <c r="O96" i="78" s="1"/>
  <c r="C96" i="78"/>
  <c r="R95" i="78"/>
  <c r="Q95" i="78"/>
  <c r="M95" i="78"/>
  <c r="N95" i="78" s="1"/>
  <c r="O95" i="78" s="1"/>
  <c r="C95" i="78"/>
  <c r="R94" i="78"/>
  <c r="Q94" i="78"/>
  <c r="M94" i="78"/>
  <c r="N94" i="78" s="1"/>
  <c r="O94" i="78" s="1"/>
  <c r="C94" i="78"/>
  <c r="R93" i="78"/>
  <c r="Q93" i="78"/>
  <c r="M93" i="78"/>
  <c r="N93" i="78" s="1"/>
  <c r="O93" i="78" s="1"/>
  <c r="C93" i="78"/>
  <c r="R92" i="78"/>
  <c r="Q92" i="78"/>
  <c r="M92" i="78"/>
  <c r="N92" i="78" s="1"/>
  <c r="O92" i="78" s="1"/>
  <c r="C92" i="78"/>
  <c r="R91" i="78"/>
  <c r="Q91" i="78"/>
  <c r="M91" i="78"/>
  <c r="N91" i="78" s="1"/>
  <c r="O91" i="78" s="1"/>
  <c r="C91" i="78"/>
  <c r="R90" i="78"/>
  <c r="Q90" i="78"/>
  <c r="M90" i="78"/>
  <c r="N90" i="78" s="1"/>
  <c r="O90" i="78" s="1"/>
  <c r="C90" i="78"/>
  <c r="R89" i="78"/>
  <c r="Q89" i="78"/>
  <c r="M89" i="78"/>
  <c r="N89" i="78" s="1"/>
  <c r="O89" i="78" s="1"/>
  <c r="C89" i="78"/>
  <c r="R88" i="78"/>
  <c r="Q88" i="78"/>
  <c r="M88" i="78"/>
  <c r="N88" i="78" s="1"/>
  <c r="O88" i="78" s="1"/>
  <c r="C88" i="78"/>
  <c r="R87" i="78"/>
  <c r="Q87" i="78"/>
  <c r="M87" i="78"/>
  <c r="N87" i="78" s="1"/>
  <c r="O87" i="78" s="1"/>
  <c r="C87" i="78"/>
  <c r="R86" i="78"/>
  <c r="Q86" i="78"/>
  <c r="M86" i="78"/>
  <c r="N86" i="78" s="1"/>
  <c r="O86" i="78" s="1"/>
  <c r="C86" i="78"/>
  <c r="R85" i="78"/>
  <c r="Q85" i="78"/>
  <c r="M85" i="78"/>
  <c r="N85" i="78" s="1"/>
  <c r="O85" i="78" s="1"/>
  <c r="C85" i="78"/>
  <c r="R84" i="78"/>
  <c r="Q84" i="78"/>
  <c r="M84" i="78"/>
  <c r="N84" i="78" s="1"/>
  <c r="O84" i="78" s="1"/>
  <c r="C84" i="78"/>
  <c r="R83" i="78"/>
  <c r="Q83" i="78"/>
  <c r="M83" i="78"/>
  <c r="N83" i="78" s="1"/>
  <c r="O83" i="78" s="1"/>
  <c r="C83" i="78"/>
  <c r="R82" i="78"/>
  <c r="Q82" i="78"/>
  <c r="M82" i="78"/>
  <c r="N82" i="78" s="1"/>
  <c r="O82" i="78" s="1"/>
  <c r="C82" i="78"/>
  <c r="R81" i="78"/>
  <c r="Q81" i="78"/>
  <c r="M81" i="78"/>
  <c r="N81" i="78" s="1"/>
  <c r="O81" i="78" s="1"/>
  <c r="C81" i="78"/>
  <c r="R80" i="78"/>
  <c r="Q80" i="78"/>
  <c r="M80" i="78"/>
  <c r="N80" i="78" s="1"/>
  <c r="O80" i="78" s="1"/>
  <c r="C80" i="78"/>
  <c r="R79" i="78"/>
  <c r="Q79" i="78"/>
  <c r="M79" i="78"/>
  <c r="N79" i="78" s="1"/>
  <c r="O79" i="78" s="1"/>
  <c r="C79" i="78"/>
  <c r="R78" i="78"/>
  <c r="Q78" i="78"/>
  <c r="M78" i="78"/>
  <c r="N78" i="78" s="1"/>
  <c r="O78" i="78" s="1"/>
  <c r="C78" i="78"/>
  <c r="R77" i="78"/>
  <c r="Q77" i="78"/>
  <c r="M77" i="78"/>
  <c r="N77" i="78" s="1"/>
  <c r="O77" i="78" s="1"/>
  <c r="C77" i="78"/>
  <c r="R76" i="78"/>
  <c r="Q76" i="78"/>
  <c r="M76" i="78"/>
  <c r="N76" i="78" s="1"/>
  <c r="O76" i="78" s="1"/>
  <c r="C76" i="78"/>
  <c r="R75" i="78"/>
  <c r="Q75" i="78"/>
  <c r="M75" i="78"/>
  <c r="N75" i="78" s="1"/>
  <c r="O75" i="78" s="1"/>
  <c r="C75" i="78"/>
  <c r="R74" i="78"/>
  <c r="Q74" i="78"/>
  <c r="M74" i="78"/>
  <c r="N74" i="78" s="1"/>
  <c r="O74" i="78" s="1"/>
  <c r="C74" i="78"/>
  <c r="R73" i="78"/>
  <c r="Q73" i="78"/>
  <c r="M73" i="78"/>
  <c r="N73" i="78" s="1"/>
  <c r="O73" i="78" s="1"/>
  <c r="C73" i="78"/>
  <c r="R72" i="78"/>
  <c r="Q72" i="78"/>
  <c r="M72" i="78"/>
  <c r="N72" i="78" s="1"/>
  <c r="O72" i="78" s="1"/>
  <c r="C72" i="78"/>
  <c r="R71" i="78"/>
  <c r="Q71" i="78"/>
  <c r="M71" i="78"/>
  <c r="N71" i="78" s="1"/>
  <c r="O71" i="78" s="1"/>
  <c r="C71" i="78"/>
  <c r="R70" i="78"/>
  <c r="Q70" i="78"/>
  <c r="M70" i="78"/>
  <c r="N70" i="78" s="1"/>
  <c r="O70" i="78" s="1"/>
  <c r="C70" i="78"/>
  <c r="R69" i="78"/>
  <c r="Q69" i="78"/>
  <c r="M69" i="78"/>
  <c r="N69" i="78" s="1"/>
  <c r="O69" i="78" s="1"/>
  <c r="C69" i="78"/>
  <c r="R68" i="78"/>
  <c r="Q68" i="78"/>
  <c r="M68" i="78"/>
  <c r="N68" i="78" s="1"/>
  <c r="O68" i="78" s="1"/>
  <c r="C68" i="78"/>
  <c r="R67" i="78"/>
  <c r="Q67" i="78"/>
  <c r="M67" i="78"/>
  <c r="N67" i="78" s="1"/>
  <c r="O67" i="78" s="1"/>
  <c r="C67" i="78"/>
  <c r="R66" i="78"/>
  <c r="Q66" i="78"/>
  <c r="M66" i="78"/>
  <c r="N66" i="78" s="1"/>
  <c r="O66" i="78" s="1"/>
  <c r="C66" i="78"/>
  <c r="R65" i="78"/>
  <c r="Q65" i="78"/>
  <c r="M65" i="78"/>
  <c r="N65" i="78" s="1"/>
  <c r="O65" i="78" s="1"/>
  <c r="C65" i="78"/>
  <c r="R64" i="78"/>
  <c r="Q64" i="78"/>
  <c r="M64" i="78"/>
  <c r="N64" i="78" s="1"/>
  <c r="O64" i="78" s="1"/>
  <c r="C64" i="78"/>
  <c r="R63" i="78"/>
  <c r="Q63" i="78"/>
  <c r="M63" i="78"/>
  <c r="N63" i="78" s="1"/>
  <c r="O63" i="78" s="1"/>
  <c r="C63" i="78"/>
  <c r="R62" i="78"/>
  <c r="Q62" i="78"/>
  <c r="M62" i="78"/>
  <c r="N62" i="78" s="1"/>
  <c r="O62" i="78" s="1"/>
  <c r="C62" i="78"/>
  <c r="R61" i="78"/>
  <c r="Q61" i="78"/>
  <c r="M61" i="78"/>
  <c r="N61" i="78" s="1"/>
  <c r="O61" i="78" s="1"/>
  <c r="C61" i="78"/>
  <c r="R60" i="78"/>
  <c r="Q60" i="78"/>
  <c r="M60" i="78"/>
  <c r="N60" i="78" s="1"/>
  <c r="O60" i="78" s="1"/>
  <c r="C60" i="78"/>
  <c r="R59" i="78"/>
  <c r="Q59" i="78"/>
  <c r="M59" i="78"/>
  <c r="N59" i="78" s="1"/>
  <c r="O59" i="78" s="1"/>
  <c r="C59" i="78"/>
  <c r="R58" i="78"/>
  <c r="Q58" i="78"/>
  <c r="M58" i="78"/>
  <c r="N58" i="78" s="1"/>
  <c r="O58" i="78" s="1"/>
  <c r="C58" i="78"/>
  <c r="R57" i="78"/>
  <c r="Q57" i="78"/>
  <c r="M57" i="78"/>
  <c r="N57" i="78" s="1"/>
  <c r="O57" i="78" s="1"/>
  <c r="C57" i="78"/>
  <c r="R56" i="78"/>
  <c r="Q56" i="78"/>
  <c r="M56" i="78"/>
  <c r="N56" i="78" s="1"/>
  <c r="O56" i="78" s="1"/>
  <c r="C56" i="78"/>
  <c r="R55" i="78"/>
  <c r="Q55" i="78"/>
  <c r="M55" i="78"/>
  <c r="N55" i="78" s="1"/>
  <c r="O55" i="78" s="1"/>
  <c r="C55" i="78"/>
  <c r="R54" i="78"/>
  <c r="Q54" i="78"/>
  <c r="M54" i="78"/>
  <c r="N54" i="78" s="1"/>
  <c r="O54" i="78" s="1"/>
  <c r="C54" i="78"/>
  <c r="R53" i="78"/>
  <c r="Q53" i="78"/>
  <c r="M53" i="78"/>
  <c r="N53" i="78" s="1"/>
  <c r="O53" i="78" s="1"/>
  <c r="C53" i="78"/>
  <c r="R52" i="78"/>
  <c r="Q52" i="78"/>
  <c r="M52" i="78"/>
  <c r="N52" i="78" s="1"/>
  <c r="O52" i="78" s="1"/>
  <c r="C52" i="78"/>
  <c r="R51" i="78"/>
  <c r="Q51" i="78"/>
  <c r="M51" i="78"/>
  <c r="N51" i="78" s="1"/>
  <c r="O51" i="78" s="1"/>
  <c r="C51" i="78"/>
  <c r="R50" i="78"/>
  <c r="Q50" i="78"/>
  <c r="M50" i="78"/>
  <c r="N50" i="78" s="1"/>
  <c r="O50" i="78" s="1"/>
  <c r="C50" i="78"/>
  <c r="R49" i="78"/>
  <c r="Q49" i="78"/>
  <c r="M49" i="78"/>
  <c r="N49" i="78" s="1"/>
  <c r="O49" i="78" s="1"/>
  <c r="C49" i="78"/>
  <c r="R48" i="78"/>
  <c r="Q48" i="78"/>
  <c r="M48" i="78"/>
  <c r="N48" i="78" s="1"/>
  <c r="O48" i="78" s="1"/>
  <c r="C48" i="78"/>
  <c r="R47" i="78"/>
  <c r="Q47" i="78"/>
  <c r="M47" i="78"/>
  <c r="N47" i="78" s="1"/>
  <c r="O47" i="78" s="1"/>
  <c r="C47" i="78"/>
  <c r="R46" i="78"/>
  <c r="Q46" i="78"/>
  <c r="M46" i="78"/>
  <c r="N46" i="78" s="1"/>
  <c r="O46" i="78" s="1"/>
  <c r="C46" i="78"/>
  <c r="R44" i="78"/>
  <c r="Q44" i="78"/>
  <c r="M44" i="78"/>
  <c r="N44" i="78" s="1"/>
  <c r="O44" i="78" s="1"/>
  <c r="C44" i="78"/>
  <c r="R43" i="78"/>
  <c r="Q43" i="78"/>
  <c r="M43" i="78"/>
  <c r="N43" i="78" s="1"/>
  <c r="O43" i="78" s="1"/>
  <c r="C43" i="78"/>
  <c r="R42" i="78"/>
  <c r="Q42" i="78"/>
  <c r="M42" i="78"/>
  <c r="N42" i="78" s="1"/>
  <c r="O42" i="78" s="1"/>
  <c r="C42" i="78"/>
  <c r="R41" i="78"/>
  <c r="Q41" i="78"/>
  <c r="M41" i="78"/>
  <c r="N41" i="78" s="1"/>
  <c r="O41" i="78" s="1"/>
  <c r="C41" i="78"/>
  <c r="R40" i="78"/>
  <c r="Q40" i="78"/>
  <c r="M40" i="78"/>
  <c r="N40" i="78" s="1"/>
  <c r="O40" i="78" s="1"/>
  <c r="C40" i="78"/>
  <c r="R39" i="78"/>
  <c r="Q39" i="78"/>
  <c r="M39" i="78"/>
  <c r="N39" i="78" s="1"/>
  <c r="O39" i="78" s="1"/>
  <c r="C39" i="78"/>
  <c r="R38" i="78"/>
  <c r="Q38" i="78"/>
  <c r="M38" i="78"/>
  <c r="N38" i="78" s="1"/>
  <c r="O38" i="78" s="1"/>
  <c r="C38" i="78"/>
  <c r="R37" i="78"/>
  <c r="Q37" i="78"/>
  <c r="M37" i="78"/>
  <c r="N37" i="78" s="1"/>
  <c r="O37" i="78" s="1"/>
  <c r="C37" i="78"/>
  <c r="R36" i="78"/>
  <c r="Q36" i="78"/>
  <c r="M36" i="78"/>
  <c r="N36" i="78" s="1"/>
  <c r="O36" i="78" s="1"/>
  <c r="C36" i="78"/>
  <c r="R35" i="78"/>
  <c r="Q35" i="78"/>
  <c r="M35" i="78"/>
  <c r="N35" i="78" s="1"/>
  <c r="O35" i="78" s="1"/>
  <c r="C35" i="78"/>
  <c r="R34" i="78"/>
  <c r="Q34" i="78"/>
  <c r="M34" i="78"/>
  <c r="N34" i="78" s="1"/>
  <c r="O34" i="78" s="1"/>
  <c r="C34" i="78"/>
  <c r="R33" i="78"/>
  <c r="Q33" i="78"/>
  <c r="M33" i="78"/>
  <c r="N33" i="78" s="1"/>
  <c r="O33" i="78" s="1"/>
  <c r="C33" i="78"/>
  <c r="R32" i="78"/>
  <c r="Q32" i="78"/>
  <c r="M32" i="78"/>
  <c r="N32" i="78" s="1"/>
  <c r="O32" i="78" s="1"/>
  <c r="C32" i="78"/>
  <c r="R31" i="78"/>
  <c r="Q31" i="78"/>
  <c r="M31" i="78"/>
  <c r="N31" i="78" s="1"/>
  <c r="O31" i="78" s="1"/>
  <c r="C31" i="78"/>
  <c r="R30" i="78"/>
  <c r="Q30" i="78"/>
  <c r="M30" i="78"/>
  <c r="N30" i="78" s="1"/>
  <c r="O30" i="78" s="1"/>
  <c r="C30" i="78"/>
  <c r="R29" i="78"/>
  <c r="Q29" i="78"/>
  <c r="M29" i="78"/>
  <c r="N29" i="78" s="1"/>
  <c r="O29" i="78" s="1"/>
  <c r="C29" i="78"/>
  <c r="R28" i="78"/>
  <c r="Q28" i="78"/>
  <c r="M28" i="78"/>
  <c r="N28" i="78" s="1"/>
  <c r="O28" i="78" s="1"/>
  <c r="C28" i="78"/>
  <c r="R27" i="78"/>
  <c r="Q27" i="78"/>
  <c r="M27" i="78"/>
  <c r="N27" i="78" s="1"/>
  <c r="O27" i="78" s="1"/>
  <c r="C27" i="78"/>
  <c r="R26" i="78"/>
  <c r="Q26" i="78"/>
  <c r="M26" i="78"/>
  <c r="N26" i="78" s="1"/>
  <c r="O26" i="78" s="1"/>
  <c r="C26" i="78"/>
  <c r="R25" i="78"/>
  <c r="Q25" i="78"/>
  <c r="M25" i="78"/>
  <c r="N25" i="78" s="1"/>
  <c r="O25" i="78" s="1"/>
  <c r="C25" i="78"/>
  <c r="R24" i="78"/>
  <c r="Q24" i="78"/>
  <c r="M24" i="78"/>
  <c r="N24" i="78" s="1"/>
  <c r="O24" i="78" s="1"/>
  <c r="C24" i="78"/>
  <c r="R23" i="78"/>
  <c r="Q23" i="78"/>
  <c r="M23" i="78"/>
  <c r="N23" i="78" s="1"/>
  <c r="O23" i="78" s="1"/>
  <c r="C23" i="78"/>
  <c r="R22" i="78"/>
  <c r="Q22" i="78"/>
  <c r="M22" i="78"/>
  <c r="N22" i="78" s="1"/>
  <c r="O22" i="78" s="1"/>
  <c r="C22" i="78"/>
  <c r="R21" i="78"/>
  <c r="Q21" i="78"/>
  <c r="M21" i="78"/>
  <c r="N21" i="78" s="1"/>
  <c r="O21" i="78" s="1"/>
  <c r="C21" i="78"/>
  <c r="R20" i="78"/>
  <c r="Q20" i="78"/>
  <c r="M20" i="78"/>
  <c r="N20" i="78" s="1"/>
  <c r="O20" i="78" s="1"/>
  <c r="C20" i="78"/>
  <c r="R19" i="78"/>
  <c r="Q19" i="78"/>
  <c r="M19" i="78"/>
  <c r="N19" i="78" s="1"/>
  <c r="O19" i="78" s="1"/>
  <c r="C19" i="78"/>
  <c r="R18" i="78"/>
  <c r="Q18" i="78"/>
  <c r="M18" i="78"/>
  <c r="N18" i="78" s="1"/>
  <c r="O18" i="78" s="1"/>
  <c r="C18" i="78"/>
  <c r="R17" i="78"/>
  <c r="Q17" i="78"/>
  <c r="M17" i="78"/>
  <c r="N17" i="78" s="1"/>
  <c r="O17" i="78" s="1"/>
  <c r="C17" i="78"/>
  <c r="R16" i="78"/>
  <c r="Q16" i="78"/>
  <c r="M16" i="78"/>
  <c r="N16" i="78" s="1"/>
  <c r="O16" i="78" s="1"/>
  <c r="C16" i="78"/>
  <c r="R15" i="78"/>
  <c r="Q15" i="78"/>
  <c r="M15" i="78"/>
  <c r="N15" i="78" s="1"/>
  <c r="O15" i="78" s="1"/>
  <c r="C15" i="78"/>
  <c r="R14" i="78"/>
  <c r="Q14" i="78"/>
  <c r="M14" i="78"/>
  <c r="N14" i="78" s="1"/>
  <c r="O14" i="78" s="1"/>
  <c r="C14" i="78"/>
  <c r="R13" i="78"/>
  <c r="Q13" i="78"/>
  <c r="M13" i="78"/>
  <c r="N13" i="78" s="1"/>
  <c r="O13" i="78" s="1"/>
  <c r="C13" i="78"/>
  <c r="R12" i="78"/>
  <c r="Q12" i="78"/>
  <c r="M12" i="78"/>
  <c r="N12" i="78" s="1"/>
  <c r="O12" i="78" s="1"/>
  <c r="C12" i="78"/>
  <c r="R11" i="78"/>
  <c r="Q11" i="78"/>
  <c r="M11" i="78"/>
  <c r="N11" i="78" s="1"/>
  <c r="O11" i="78" s="1"/>
  <c r="C11" i="78"/>
  <c r="R10" i="78"/>
  <c r="Q10" i="78"/>
  <c r="M10" i="78"/>
  <c r="N10" i="78" s="1"/>
  <c r="O10" i="78" s="1"/>
  <c r="C10" i="78"/>
  <c r="R9" i="78"/>
  <c r="Q9" i="78"/>
  <c r="M9" i="78"/>
  <c r="N9" i="78" s="1"/>
  <c r="O9" i="78" s="1"/>
  <c r="C9" i="78"/>
  <c r="R8" i="78"/>
  <c r="Q8" i="78"/>
  <c r="M8" i="78"/>
  <c r="N8" i="78" s="1"/>
  <c r="O8" i="78" s="1"/>
  <c r="C8" i="78"/>
  <c r="R7" i="78"/>
  <c r="Q7" i="78"/>
  <c r="M7" i="78"/>
  <c r="N7" i="78" s="1"/>
  <c r="O7" i="78" s="1"/>
  <c r="C7" i="78"/>
  <c r="R6" i="78"/>
  <c r="Q6" i="78"/>
  <c r="M6" i="78"/>
  <c r="N6" i="78" s="1"/>
  <c r="C6" i="78"/>
  <c r="L4" i="78"/>
  <c r="J4" i="78"/>
  <c r="M113" i="77"/>
  <c r="N113" i="77" s="1"/>
  <c r="O113" i="77" s="1"/>
  <c r="M112" i="77"/>
  <c r="N112" i="77" s="1"/>
  <c r="O112" i="77" s="1"/>
  <c r="M111" i="77"/>
  <c r="N111" i="77" s="1"/>
  <c r="O111" i="77" s="1"/>
  <c r="R113" i="77"/>
  <c r="Q113" i="77"/>
  <c r="R112" i="77"/>
  <c r="Q112" i="77"/>
  <c r="R111" i="77"/>
  <c r="Q111" i="77"/>
  <c r="C113" i="77"/>
  <c r="C112" i="77"/>
  <c r="C111" i="77"/>
  <c r="N4" i="78" l="1"/>
  <c r="O6" i="78"/>
  <c r="O4" i="78" s="1"/>
  <c r="C110" i="77"/>
  <c r="R110" i="77"/>
  <c r="Q110" i="77"/>
  <c r="M110" i="77"/>
  <c r="N110" i="77" s="1"/>
  <c r="O110" i="77" s="1"/>
  <c r="C68" i="76" l="1"/>
  <c r="M68" i="76"/>
  <c r="N68" i="76" s="1"/>
  <c r="O68" i="76" s="1"/>
  <c r="Q68" i="76"/>
  <c r="R68" i="76"/>
  <c r="C69" i="76"/>
  <c r="M69" i="76"/>
  <c r="N69" i="76" s="1"/>
  <c r="O69" i="76" s="1"/>
  <c r="Q69" i="76"/>
  <c r="R69" i="76"/>
  <c r="C70" i="76"/>
  <c r="M70" i="76"/>
  <c r="N70" i="76" s="1"/>
  <c r="O70" i="76" s="1"/>
  <c r="Q70" i="76"/>
  <c r="R70" i="76"/>
  <c r="C61" i="77" l="1"/>
  <c r="C60" i="77"/>
  <c r="M61" i="77"/>
  <c r="N61" i="77" s="1"/>
  <c r="O61" i="77" s="1"/>
  <c r="M60" i="77"/>
  <c r="N60" i="77" s="1"/>
  <c r="O60" i="77" s="1"/>
  <c r="R61" i="77"/>
  <c r="Q61" i="77"/>
  <c r="R60" i="77"/>
  <c r="Q60" i="77"/>
  <c r="R108" i="77" l="1"/>
  <c r="Q108" i="77"/>
  <c r="M108" i="77"/>
  <c r="N108" i="77" s="1"/>
  <c r="O108" i="77" s="1"/>
  <c r="C108" i="77"/>
  <c r="R107" i="77"/>
  <c r="Q107" i="77"/>
  <c r="M107" i="77"/>
  <c r="N107" i="77" s="1"/>
  <c r="O107" i="77" s="1"/>
  <c r="C107" i="77"/>
  <c r="R106" i="77"/>
  <c r="Q106" i="77"/>
  <c r="M106" i="77"/>
  <c r="N106" i="77" s="1"/>
  <c r="O106" i="77" s="1"/>
  <c r="C106" i="77"/>
  <c r="R105" i="77"/>
  <c r="Q105" i="77"/>
  <c r="M105" i="77"/>
  <c r="N105" i="77" s="1"/>
  <c r="O105" i="77" s="1"/>
  <c r="C105" i="77"/>
  <c r="R104" i="77"/>
  <c r="Q104" i="77"/>
  <c r="M104" i="77"/>
  <c r="N104" i="77" s="1"/>
  <c r="O104" i="77" s="1"/>
  <c r="C104" i="77"/>
  <c r="R103" i="77"/>
  <c r="Q103" i="77"/>
  <c r="M103" i="77"/>
  <c r="N103" i="77" s="1"/>
  <c r="O103" i="77" s="1"/>
  <c r="C103" i="77"/>
  <c r="R102" i="77"/>
  <c r="Q102" i="77"/>
  <c r="M102" i="77"/>
  <c r="N102" i="77" s="1"/>
  <c r="O102" i="77" s="1"/>
  <c r="C102" i="77"/>
  <c r="R101" i="77"/>
  <c r="Q101" i="77"/>
  <c r="M101" i="77"/>
  <c r="N101" i="77" s="1"/>
  <c r="O101" i="77" s="1"/>
  <c r="C101" i="77"/>
  <c r="R100" i="77"/>
  <c r="Q100" i="77"/>
  <c r="M100" i="77"/>
  <c r="N100" i="77" s="1"/>
  <c r="O100" i="77" s="1"/>
  <c r="C100" i="77"/>
  <c r="R99" i="77"/>
  <c r="Q99" i="77"/>
  <c r="M99" i="77"/>
  <c r="N99" i="77" s="1"/>
  <c r="O99" i="77" s="1"/>
  <c r="C99" i="77"/>
  <c r="R98" i="77"/>
  <c r="Q98" i="77"/>
  <c r="M98" i="77"/>
  <c r="N98" i="77" s="1"/>
  <c r="O98" i="77" s="1"/>
  <c r="C98" i="77"/>
  <c r="R97" i="77"/>
  <c r="Q97" i="77"/>
  <c r="M97" i="77"/>
  <c r="N97" i="77" s="1"/>
  <c r="O97" i="77" s="1"/>
  <c r="C97" i="77"/>
  <c r="R96" i="77"/>
  <c r="Q96" i="77"/>
  <c r="M96" i="77"/>
  <c r="N96" i="77" s="1"/>
  <c r="O96" i="77" s="1"/>
  <c r="C96" i="77"/>
  <c r="R95" i="77"/>
  <c r="Q95" i="77"/>
  <c r="M95" i="77"/>
  <c r="N95" i="77" s="1"/>
  <c r="O95" i="77" s="1"/>
  <c r="C95" i="77"/>
  <c r="R94" i="77"/>
  <c r="Q94" i="77"/>
  <c r="M94" i="77"/>
  <c r="N94" i="77" s="1"/>
  <c r="O94" i="77" s="1"/>
  <c r="C94" i="77"/>
  <c r="R93" i="77"/>
  <c r="Q93" i="77"/>
  <c r="M93" i="77"/>
  <c r="N93" i="77" s="1"/>
  <c r="O93" i="77" s="1"/>
  <c r="C93" i="77"/>
  <c r="R92" i="77"/>
  <c r="Q92" i="77"/>
  <c r="M92" i="77"/>
  <c r="N92" i="77" s="1"/>
  <c r="O92" i="77" s="1"/>
  <c r="C92" i="77"/>
  <c r="R91" i="77"/>
  <c r="Q91" i="77"/>
  <c r="M91" i="77"/>
  <c r="N91" i="77" s="1"/>
  <c r="O91" i="77" s="1"/>
  <c r="C91" i="77"/>
  <c r="R90" i="77"/>
  <c r="Q90" i="77"/>
  <c r="M90" i="77"/>
  <c r="N90" i="77" s="1"/>
  <c r="O90" i="77" s="1"/>
  <c r="C90" i="77"/>
  <c r="R89" i="77"/>
  <c r="Q89" i="77"/>
  <c r="M89" i="77"/>
  <c r="N89" i="77" s="1"/>
  <c r="O89" i="77" s="1"/>
  <c r="C89" i="77"/>
  <c r="R88" i="77"/>
  <c r="Q88" i="77"/>
  <c r="M88" i="77"/>
  <c r="N88" i="77" s="1"/>
  <c r="O88" i="77" s="1"/>
  <c r="C88" i="77"/>
  <c r="R87" i="77"/>
  <c r="Q87" i="77"/>
  <c r="M87" i="77"/>
  <c r="N87" i="77" s="1"/>
  <c r="O87" i="77" s="1"/>
  <c r="C87" i="77"/>
  <c r="R86" i="77"/>
  <c r="Q86" i="77"/>
  <c r="M86" i="77"/>
  <c r="N86" i="77" s="1"/>
  <c r="O86" i="77" s="1"/>
  <c r="C86" i="77"/>
  <c r="R85" i="77"/>
  <c r="Q85" i="77"/>
  <c r="M85" i="77"/>
  <c r="N85" i="77" s="1"/>
  <c r="O85" i="77" s="1"/>
  <c r="C85" i="77"/>
  <c r="R84" i="77"/>
  <c r="Q84" i="77"/>
  <c r="M84" i="77"/>
  <c r="N84" i="77" s="1"/>
  <c r="O84" i="77" s="1"/>
  <c r="C84" i="77"/>
  <c r="R83" i="77"/>
  <c r="Q83" i="77"/>
  <c r="M83" i="77"/>
  <c r="N83" i="77" s="1"/>
  <c r="O83" i="77" s="1"/>
  <c r="C83" i="77"/>
  <c r="R82" i="77"/>
  <c r="Q82" i="77"/>
  <c r="M82" i="77"/>
  <c r="N82" i="77" s="1"/>
  <c r="O82" i="77" s="1"/>
  <c r="C82" i="77"/>
  <c r="R81" i="77"/>
  <c r="Q81" i="77"/>
  <c r="M81" i="77"/>
  <c r="N81" i="77" s="1"/>
  <c r="O81" i="77" s="1"/>
  <c r="C81" i="77"/>
  <c r="R80" i="77"/>
  <c r="Q80" i="77"/>
  <c r="M80" i="77"/>
  <c r="N80" i="77" s="1"/>
  <c r="O80" i="77" s="1"/>
  <c r="C80" i="77"/>
  <c r="R79" i="77"/>
  <c r="Q79" i="77"/>
  <c r="M79" i="77"/>
  <c r="N79" i="77" s="1"/>
  <c r="O79" i="77" s="1"/>
  <c r="C79" i="77"/>
  <c r="R78" i="77"/>
  <c r="Q78" i="77"/>
  <c r="M78" i="77"/>
  <c r="N78" i="77" s="1"/>
  <c r="O78" i="77" s="1"/>
  <c r="C78" i="77"/>
  <c r="R77" i="77"/>
  <c r="Q77" i="77"/>
  <c r="M77" i="77"/>
  <c r="N77" i="77" s="1"/>
  <c r="O77" i="77" s="1"/>
  <c r="C77" i="77"/>
  <c r="R76" i="77"/>
  <c r="Q76" i="77"/>
  <c r="M76" i="77"/>
  <c r="N76" i="77" s="1"/>
  <c r="O76" i="77" s="1"/>
  <c r="C76" i="77"/>
  <c r="R75" i="77"/>
  <c r="Q75" i="77"/>
  <c r="M75" i="77"/>
  <c r="N75" i="77" s="1"/>
  <c r="O75" i="77" s="1"/>
  <c r="C75" i="77"/>
  <c r="R74" i="77"/>
  <c r="Q74" i="77"/>
  <c r="M74" i="77"/>
  <c r="N74" i="77" s="1"/>
  <c r="O74" i="77" s="1"/>
  <c r="C74" i="77"/>
  <c r="R73" i="77"/>
  <c r="Q73" i="77"/>
  <c r="M73" i="77"/>
  <c r="N73" i="77" s="1"/>
  <c r="O73" i="77" s="1"/>
  <c r="C73" i="77"/>
  <c r="R72" i="77"/>
  <c r="Q72" i="77"/>
  <c r="M72" i="77"/>
  <c r="N72" i="77" s="1"/>
  <c r="O72" i="77" s="1"/>
  <c r="C72" i="77"/>
  <c r="R71" i="77"/>
  <c r="Q71" i="77"/>
  <c r="M71" i="77"/>
  <c r="N71" i="77" s="1"/>
  <c r="O71" i="77" s="1"/>
  <c r="C71" i="77"/>
  <c r="R70" i="77"/>
  <c r="Q70" i="77"/>
  <c r="M70" i="77"/>
  <c r="N70" i="77" s="1"/>
  <c r="O70" i="77" s="1"/>
  <c r="C70" i="77"/>
  <c r="R69" i="77"/>
  <c r="Q69" i="77"/>
  <c r="M69" i="77"/>
  <c r="N69" i="77" s="1"/>
  <c r="O69" i="77" s="1"/>
  <c r="C69" i="77"/>
  <c r="R68" i="77"/>
  <c r="Q68" i="77"/>
  <c r="M68" i="77"/>
  <c r="N68" i="77" s="1"/>
  <c r="O68" i="77" s="1"/>
  <c r="C68" i="77"/>
  <c r="R67" i="77"/>
  <c r="Q67" i="77"/>
  <c r="M67" i="77"/>
  <c r="N67" i="77" s="1"/>
  <c r="O67" i="77" s="1"/>
  <c r="C67" i="77"/>
  <c r="R66" i="77"/>
  <c r="Q66" i="77"/>
  <c r="M66" i="77"/>
  <c r="N66" i="77" s="1"/>
  <c r="O66" i="77" s="1"/>
  <c r="C66" i="77"/>
  <c r="R65" i="77"/>
  <c r="Q65" i="77"/>
  <c r="M65" i="77"/>
  <c r="N65" i="77" s="1"/>
  <c r="O65" i="77" s="1"/>
  <c r="C65" i="77"/>
  <c r="R64" i="77"/>
  <c r="Q64" i="77"/>
  <c r="M64" i="77"/>
  <c r="N64" i="77" s="1"/>
  <c r="O64" i="77" s="1"/>
  <c r="C64" i="77"/>
  <c r="R63" i="77"/>
  <c r="Q63" i="77"/>
  <c r="M63" i="77"/>
  <c r="N63" i="77" s="1"/>
  <c r="O63" i="77" s="1"/>
  <c r="C63" i="77"/>
  <c r="R62" i="77"/>
  <c r="Q62" i="77"/>
  <c r="M62" i="77"/>
  <c r="N62" i="77" s="1"/>
  <c r="O62" i="77" s="1"/>
  <c r="C62" i="77"/>
  <c r="R59" i="77"/>
  <c r="Q59" i="77"/>
  <c r="M59" i="77"/>
  <c r="N59" i="77" s="1"/>
  <c r="O59" i="77" s="1"/>
  <c r="C59" i="77"/>
  <c r="R58" i="77"/>
  <c r="Q58" i="77"/>
  <c r="M58" i="77"/>
  <c r="N58" i="77" s="1"/>
  <c r="O58" i="77" s="1"/>
  <c r="C58" i="77"/>
  <c r="R57" i="77"/>
  <c r="Q57" i="77"/>
  <c r="M57" i="77"/>
  <c r="N57" i="77" s="1"/>
  <c r="O57" i="77" s="1"/>
  <c r="C57" i="77"/>
  <c r="R56" i="77"/>
  <c r="Q56" i="77"/>
  <c r="M56" i="77"/>
  <c r="N56" i="77" s="1"/>
  <c r="O56" i="77" s="1"/>
  <c r="C56" i="77"/>
  <c r="R55" i="77"/>
  <c r="Q55" i="77"/>
  <c r="M55" i="77"/>
  <c r="N55" i="77" s="1"/>
  <c r="O55" i="77" s="1"/>
  <c r="C55" i="77"/>
  <c r="R54" i="77"/>
  <c r="Q54" i="77"/>
  <c r="M54" i="77"/>
  <c r="N54" i="77" s="1"/>
  <c r="O54" i="77" s="1"/>
  <c r="C54" i="77"/>
  <c r="R53" i="77"/>
  <c r="Q53" i="77"/>
  <c r="M53" i="77"/>
  <c r="N53" i="77" s="1"/>
  <c r="O53" i="77" s="1"/>
  <c r="C53" i="77"/>
  <c r="R52" i="77"/>
  <c r="Q52" i="77"/>
  <c r="M52" i="77"/>
  <c r="N52" i="77" s="1"/>
  <c r="O52" i="77" s="1"/>
  <c r="C52" i="77"/>
  <c r="R51" i="77"/>
  <c r="Q51" i="77"/>
  <c r="M51" i="77"/>
  <c r="N51" i="77" s="1"/>
  <c r="O51" i="77" s="1"/>
  <c r="C51" i="77"/>
  <c r="R50" i="77"/>
  <c r="Q50" i="77"/>
  <c r="M50" i="77"/>
  <c r="N50" i="77" s="1"/>
  <c r="O50" i="77" s="1"/>
  <c r="C50" i="77"/>
  <c r="R49" i="77"/>
  <c r="Q49" i="77"/>
  <c r="M49" i="77"/>
  <c r="N49" i="77" s="1"/>
  <c r="O49" i="77" s="1"/>
  <c r="C49" i="77"/>
  <c r="R48" i="77"/>
  <c r="Q48" i="77"/>
  <c r="M48" i="77"/>
  <c r="N48" i="77" s="1"/>
  <c r="O48" i="77" s="1"/>
  <c r="C48" i="77"/>
  <c r="R47" i="77"/>
  <c r="Q47" i="77"/>
  <c r="M47" i="77"/>
  <c r="N47" i="77" s="1"/>
  <c r="O47" i="77" s="1"/>
  <c r="C47" i="77"/>
  <c r="R46" i="77"/>
  <c r="Q46" i="77"/>
  <c r="M46" i="77"/>
  <c r="N46" i="77" s="1"/>
  <c r="O46" i="77" s="1"/>
  <c r="C46" i="77"/>
  <c r="R45" i="77"/>
  <c r="Q45" i="77"/>
  <c r="M45" i="77"/>
  <c r="N45" i="77" s="1"/>
  <c r="O45" i="77" s="1"/>
  <c r="C45" i="77"/>
  <c r="R109" i="77"/>
  <c r="Q109" i="77"/>
  <c r="M109" i="77"/>
  <c r="N109" i="77" s="1"/>
  <c r="O109" i="77" s="1"/>
  <c r="C109" i="77"/>
  <c r="R44" i="77"/>
  <c r="Q44" i="77"/>
  <c r="M44" i="77"/>
  <c r="N44" i="77" s="1"/>
  <c r="O44" i="77" s="1"/>
  <c r="C44" i="77"/>
  <c r="R43" i="77"/>
  <c r="Q43" i="77"/>
  <c r="M43" i="77"/>
  <c r="N43" i="77" s="1"/>
  <c r="O43" i="77" s="1"/>
  <c r="C43" i="77"/>
  <c r="R42" i="77"/>
  <c r="Q42" i="77"/>
  <c r="M42" i="77"/>
  <c r="N42" i="77" s="1"/>
  <c r="O42" i="77" s="1"/>
  <c r="C42" i="77"/>
  <c r="R41" i="77"/>
  <c r="Q41" i="77"/>
  <c r="M41" i="77"/>
  <c r="N41" i="77" s="1"/>
  <c r="O41" i="77" s="1"/>
  <c r="C41" i="77"/>
  <c r="R40" i="77"/>
  <c r="Q40" i="77"/>
  <c r="M40" i="77"/>
  <c r="N40" i="77" s="1"/>
  <c r="O40" i="77" s="1"/>
  <c r="C40" i="77"/>
  <c r="R39" i="77"/>
  <c r="Q39" i="77"/>
  <c r="M39" i="77"/>
  <c r="N39" i="77" s="1"/>
  <c r="O39" i="77" s="1"/>
  <c r="C39" i="77"/>
  <c r="R38" i="77"/>
  <c r="Q38" i="77"/>
  <c r="M38" i="77"/>
  <c r="N38" i="77" s="1"/>
  <c r="O38" i="77" s="1"/>
  <c r="C38" i="77"/>
  <c r="R37" i="77"/>
  <c r="Q37" i="77"/>
  <c r="M37" i="77"/>
  <c r="N37" i="77" s="1"/>
  <c r="O37" i="77" s="1"/>
  <c r="C37" i="77"/>
  <c r="R36" i="77"/>
  <c r="Q36" i="77"/>
  <c r="M36" i="77"/>
  <c r="N36" i="77" s="1"/>
  <c r="O36" i="77" s="1"/>
  <c r="C36" i="77"/>
  <c r="R35" i="77"/>
  <c r="Q35" i="77"/>
  <c r="M35" i="77"/>
  <c r="N35" i="77" s="1"/>
  <c r="O35" i="77" s="1"/>
  <c r="C35" i="77"/>
  <c r="R34" i="77"/>
  <c r="Q34" i="77"/>
  <c r="M34" i="77"/>
  <c r="N34" i="77" s="1"/>
  <c r="O34" i="77" s="1"/>
  <c r="C34" i="77"/>
  <c r="R33" i="77"/>
  <c r="Q33" i="77"/>
  <c r="M33" i="77"/>
  <c r="N33" i="77" s="1"/>
  <c r="O33" i="77" s="1"/>
  <c r="C33" i="77"/>
  <c r="R32" i="77"/>
  <c r="Q32" i="77"/>
  <c r="M32" i="77"/>
  <c r="N32" i="77" s="1"/>
  <c r="O32" i="77" s="1"/>
  <c r="C32" i="77"/>
  <c r="R31" i="77"/>
  <c r="Q31" i="77"/>
  <c r="M31" i="77"/>
  <c r="N31" i="77" s="1"/>
  <c r="O31" i="77" s="1"/>
  <c r="C31" i="77"/>
  <c r="R30" i="77"/>
  <c r="Q30" i="77"/>
  <c r="M30" i="77"/>
  <c r="N30" i="77" s="1"/>
  <c r="O30" i="77" s="1"/>
  <c r="C30" i="77"/>
  <c r="R29" i="77"/>
  <c r="Q29" i="77"/>
  <c r="M29" i="77"/>
  <c r="N29" i="77" s="1"/>
  <c r="O29" i="77" s="1"/>
  <c r="C29" i="77"/>
  <c r="R28" i="77"/>
  <c r="Q28" i="77"/>
  <c r="M28" i="77"/>
  <c r="N28" i="77" s="1"/>
  <c r="O28" i="77" s="1"/>
  <c r="C28" i="77"/>
  <c r="R27" i="77"/>
  <c r="Q27" i="77"/>
  <c r="M27" i="77"/>
  <c r="N27" i="77" s="1"/>
  <c r="O27" i="77" s="1"/>
  <c r="C27" i="77"/>
  <c r="R26" i="77"/>
  <c r="Q26" i="77"/>
  <c r="M26" i="77"/>
  <c r="N26" i="77" s="1"/>
  <c r="O26" i="77" s="1"/>
  <c r="C26" i="77"/>
  <c r="R25" i="77"/>
  <c r="Q25" i="77"/>
  <c r="M25" i="77"/>
  <c r="N25" i="77" s="1"/>
  <c r="O25" i="77" s="1"/>
  <c r="C25" i="77"/>
  <c r="R24" i="77"/>
  <c r="Q24" i="77"/>
  <c r="M24" i="77"/>
  <c r="N24" i="77" s="1"/>
  <c r="O24" i="77" s="1"/>
  <c r="C24" i="77"/>
  <c r="R23" i="77"/>
  <c r="Q23" i="77"/>
  <c r="M23" i="77"/>
  <c r="N23" i="77" s="1"/>
  <c r="O23" i="77" s="1"/>
  <c r="C23" i="77"/>
  <c r="R22" i="77"/>
  <c r="Q22" i="77"/>
  <c r="M22" i="77"/>
  <c r="N22" i="77" s="1"/>
  <c r="O22" i="77" s="1"/>
  <c r="C22" i="77"/>
  <c r="R21" i="77"/>
  <c r="Q21" i="77"/>
  <c r="M21" i="77"/>
  <c r="N21" i="77" s="1"/>
  <c r="O21" i="77" s="1"/>
  <c r="C21" i="77"/>
  <c r="R20" i="77"/>
  <c r="Q20" i="77"/>
  <c r="M20" i="77"/>
  <c r="N20" i="77" s="1"/>
  <c r="O20" i="77" s="1"/>
  <c r="C20" i="77"/>
  <c r="R19" i="77"/>
  <c r="Q19" i="77"/>
  <c r="M19" i="77"/>
  <c r="N19" i="77" s="1"/>
  <c r="O19" i="77" s="1"/>
  <c r="C19" i="77"/>
  <c r="R18" i="77"/>
  <c r="Q18" i="77"/>
  <c r="M18" i="77"/>
  <c r="N18" i="77" s="1"/>
  <c r="O18" i="77" s="1"/>
  <c r="C18" i="77"/>
  <c r="R17" i="77"/>
  <c r="Q17" i="77"/>
  <c r="M17" i="77"/>
  <c r="N17" i="77" s="1"/>
  <c r="O17" i="77" s="1"/>
  <c r="C17" i="77"/>
  <c r="R16" i="77"/>
  <c r="Q16" i="77"/>
  <c r="M16" i="77"/>
  <c r="N16" i="77" s="1"/>
  <c r="O16" i="77" s="1"/>
  <c r="C16" i="77"/>
  <c r="R15" i="77"/>
  <c r="Q15" i="77"/>
  <c r="M15" i="77"/>
  <c r="N15" i="77" s="1"/>
  <c r="O15" i="77" s="1"/>
  <c r="C15" i="77"/>
  <c r="R14" i="77"/>
  <c r="Q14" i="77"/>
  <c r="M14" i="77"/>
  <c r="N14" i="77" s="1"/>
  <c r="O14" i="77" s="1"/>
  <c r="C14" i="77"/>
  <c r="R13" i="77"/>
  <c r="Q13" i="77"/>
  <c r="M13" i="77"/>
  <c r="N13" i="77" s="1"/>
  <c r="O13" i="77" s="1"/>
  <c r="C13" i="77"/>
  <c r="R12" i="77"/>
  <c r="Q12" i="77"/>
  <c r="M12" i="77"/>
  <c r="N12" i="77" s="1"/>
  <c r="O12" i="77" s="1"/>
  <c r="C12" i="77"/>
  <c r="R11" i="77"/>
  <c r="Q11" i="77"/>
  <c r="M11" i="77"/>
  <c r="N11" i="77" s="1"/>
  <c r="O11" i="77" s="1"/>
  <c r="C11" i="77"/>
  <c r="R10" i="77"/>
  <c r="Q10" i="77"/>
  <c r="M10" i="77"/>
  <c r="N10" i="77" s="1"/>
  <c r="O10" i="77" s="1"/>
  <c r="C10" i="77"/>
  <c r="R9" i="77"/>
  <c r="Q9" i="77"/>
  <c r="M9" i="77"/>
  <c r="N9" i="77" s="1"/>
  <c r="O9" i="77" s="1"/>
  <c r="C9" i="77"/>
  <c r="R8" i="77"/>
  <c r="Q8" i="77"/>
  <c r="M8" i="77"/>
  <c r="N8" i="77" s="1"/>
  <c r="O8" i="77" s="1"/>
  <c r="C8" i="77"/>
  <c r="R7" i="77"/>
  <c r="Q7" i="77"/>
  <c r="M7" i="77"/>
  <c r="N7" i="77" s="1"/>
  <c r="O7" i="77" s="1"/>
  <c r="C7" i="77"/>
  <c r="R6" i="77"/>
  <c r="Q6" i="77"/>
  <c r="M6" i="77"/>
  <c r="N6" i="77" s="1"/>
  <c r="C6" i="77"/>
  <c r="L4" i="77"/>
  <c r="J4" i="77"/>
  <c r="O6" i="77" l="1"/>
  <c r="O4" i="77" s="1"/>
  <c r="N4" i="77"/>
  <c r="R72" i="76"/>
  <c r="Q72" i="76"/>
  <c r="M72" i="76"/>
  <c r="N72" i="76" s="1"/>
  <c r="O72" i="76" s="1"/>
  <c r="C72" i="76"/>
  <c r="R71" i="76"/>
  <c r="Q71" i="76"/>
  <c r="M71" i="76"/>
  <c r="N71" i="76" s="1"/>
  <c r="O71" i="76" s="1"/>
  <c r="C71" i="76"/>
  <c r="R128" i="76" l="1"/>
  <c r="Q128" i="76"/>
  <c r="M128" i="76"/>
  <c r="N128" i="76" s="1"/>
  <c r="O128" i="76" s="1"/>
  <c r="C128" i="76"/>
  <c r="R127" i="76"/>
  <c r="Q127" i="76"/>
  <c r="M127" i="76"/>
  <c r="N127" i="76" s="1"/>
  <c r="O127" i="76" s="1"/>
  <c r="C127" i="76"/>
  <c r="R126" i="76"/>
  <c r="Q126" i="76"/>
  <c r="M126" i="76"/>
  <c r="N126" i="76" s="1"/>
  <c r="O126" i="76" s="1"/>
  <c r="C126" i="76"/>
  <c r="R129" i="76"/>
  <c r="Q129" i="76"/>
  <c r="M129" i="76"/>
  <c r="N129" i="76" s="1"/>
  <c r="O129" i="76" s="1"/>
  <c r="C129" i="76"/>
  <c r="R120" i="76" l="1"/>
  <c r="Q120" i="76"/>
  <c r="M120" i="76"/>
  <c r="N120" i="76" s="1"/>
  <c r="O120" i="76" s="1"/>
  <c r="C120" i="76"/>
  <c r="R119" i="76"/>
  <c r="Q119" i="76"/>
  <c r="M119" i="76"/>
  <c r="N119" i="76" s="1"/>
  <c r="O119" i="76" s="1"/>
  <c r="C119" i="76"/>
  <c r="R118" i="76"/>
  <c r="Q118" i="76"/>
  <c r="M118" i="76"/>
  <c r="N118" i="76" s="1"/>
  <c r="O118" i="76" s="1"/>
  <c r="C118" i="76"/>
  <c r="R138" i="76" l="1"/>
  <c r="Q138" i="76"/>
  <c r="M138" i="76"/>
  <c r="N138" i="76" s="1"/>
  <c r="O138" i="76" s="1"/>
  <c r="C138" i="76"/>
  <c r="R137" i="76"/>
  <c r="Q137" i="76"/>
  <c r="M137" i="76"/>
  <c r="N137" i="76" s="1"/>
  <c r="O137" i="76" s="1"/>
  <c r="C137" i="76"/>
  <c r="R136" i="76"/>
  <c r="Q136" i="76"/>
  <c r="M136" i="76"/>
  <c r="N136" i="76" s="1"/>
  <c r="O136" i="76" s="1"/>
  <c r="C136" i="76"/>
  <c r="R135" i="76"/>
  <c r="Q135" i="76"/>
  <c r="M135" i="76"/>
  <c r="N135" i="76" s="1"/>
  <c r="O135" i="76" s="1"/>
  <c r="C135" i="76"/>
  <c r="R134" i="76"/>
  <c r="Q134" i="76"/>
  <c r="M134" i="76"/>
  <c r="N134" i="76" s="1"/>
  <c r="O134" i="76" s="1"/>
  <c r="C134" i="76"/>
  <c r="R133" i="76"/>
  <c r="Q133" i="76"/>
  <c r="M133" i="76"/>
  <c r="N133" i="76" s="1"/>
  <c r="O133" i="76" s="1"/>
  <c r="C133" i="76"/>
  <c r="R132" i="76"/>
  <c r="Q132" i="76"/>
  <c r="M132" i="76"/>
  <c r="N132" i="76" s="1"/>
  <c r="O132" i="76" s="1"/>
  <c r="C132" i="76"/>
  <c r="R131" i="76"/>
  <c r="Q131" i="76"/>
  <c r="M131" i="76"/>
  <c r="N131" i="76" s="1"/>
  <c r="O131" i="76" s="1"/>
  <c r="C131" i="76"/>
  <c r="R130" i="76"/>
  <c r="Q130" i="76"/>
  <c r="M130" i="76"/>
  <c r="N130" i="76" s="1"/>
  <c r="O130" i="76" s="1"/>
  <c r="C130" i="76"/>
  <c r="R125" i="76"/>
  <c r="Q125" i="76"/>
  <c r="M125" i="76"/>
  <c r="N125" i="76" s="1"/>
  <c r="O125" i="76" s="1"/>
  <c r="C125" i="76"/>
  <c r="R124" i="76"/>
  <c r="Q124" i="76"/>
  <c r="M124" i="76"/>
  <c r="N124" i="76" s="1"/>
  <c r="O124" i="76" s="1"/>
  <c r="C124" i="76"/>
  <c r="R123" i="76"/>
  <c r="Q123" i="76"/>
  <c r="M123" i="76"/>
  <c r="N123" i="76" s="1"/>
  <c r="O123" i="76" s="1"/>
  <c r="C123" i="76"/>
  <c r="R122" i="76"/>
  <c r="Q122" i="76"/>
  <c r="M122" i="76"/>
  <c r="N122" i="76" s="1"/>
  <c r="O122" i="76" s="1"/>
  <c r="C122" i="76"/>
  <c r="R121" i="76"/>
  <c r="Q121" i="76"/>
  <c r="M121" i="76"/>
  <c r="N121" i="76" s="1"/>
  <c r="O121" i="76" s="1"/>
  <c r="C121" i="76"/>
  <c r="R117" i="76"/>
  <c r="Q117" i="76"/>
  <c r="M117" i="76"/>
  <c r="N117" i="76" s="1"/>
  <c r="O117" i="76" s="1"/>
  <c r="C117" i="76"/>
  <c r="R116" i="76"/>
  <c r="Q116" i="76"/>
  <c r="M116" i="76"/>
  <c r="N116" i="76" s="1"/>
  <c r="O116" i="76" s="1"/>
  <c r="C116" i="76"/>
  <c r="R115" i="76"/>
  <c r="Q115" i="76"/>
  <c r="M115" i="76"/>
  <c r="N115" i="76" s="1"/>
  <c r="O115" i="76" s="1"/>
  <c r="C115" i="76"/>
  <c r="R114" i="76"/>
  <c r="Q114" i="76"/>
  <c r="M114" i="76"/>
  <c r="N114" i="76" s="1"/>
  <c r="O114" i="76" s="1"/>
  <c r="C114" i="76"/>
  <c r="R113" i="76"/>
  <c r="Q113" i="76"/>
  <c r="M113" i="76"/>
  <c r="N113" i="76" s="1"/>
  <c r="O113" i="76" s="1"/>
  <c r="C113" i="76"/>
  <c r="R112" i="76"/>
  <c r="Q112" i="76"/>
  <c r="M112" i="76"/>
  <c r="N112" i="76" s="1"/>
  <c r="O112" i="76" s="1"/>
  <c r="C112" i="76"/>
  <c r="R111" i="76"/>
  <c r="Q111" i="76"/>
  <c r="M111" i="76"/>
  <c r="N111" i="76" s="1"/>
  <c r="O111" i="76" s="1"/>
  <c r="C111" i="76"/>
  <c r="R110" i="76"/>
  <c r="Q110" i="76"/>
  <c r="M110" i="76"/>
  <c r="N110" i="76" s="1"/>
  <c r="O110" i="76" s="1"/>
  <c r="C110" i="76"/>
  <c r="R109" i="76"/>
  <c r="Q109" i="76"/>
  <c r="M109" i="76"/>
  <c r="N109" i="76" s="1"/>
  <c r="O109" i="76" s="1"/>
  <c r="C109" i="76"/>
  <c r="R108" i="76"/>
  <c r="Q108" i="76"/>
  <c r="M108" i="76"/>
  <c r="N108" i="76" s="1"/>
  <c r="O108" i="76" s="1"/>
  <c r="C108" i="76"/>
  <c r="R107" i="76"/>
  <c r="Q107" i="76"/>
  <c r="M107" i="76"/>
  <c r="N107" i="76" s="1"/>
  <c r="O107" i="76" s="1"/>
  <c r="C107" i="76"/>
  <c r="R106" i="76"/>
  <c r="Q106" i="76"/>
  <c r="M106" i="76"/>
  <c r="N106" i="76" s="1"/>
  <c r="O106" i="76" s="1"/>
  <c r="C106" i="76"/>
  <c r="R105" i="76"/>
  <c r="Q105" i="76"/>
  <c r="M105" i="76"/>
  <c r="N105" i="76" s="1"/>
  <c r="O105" i="76" s="1"/>
  <c r="C105" i="76"/>
  <c r="R104" i="76"/>
  <c r="Q104" i="76"/>
  <c r="M104" i="76"/>
  <c r="N104" i="76" s="1"/>
  <c r="O104" i="76" s="1"/>
  <c r="C104" i="76"/>
  <c r="R103" i="76"/>
  <c r="Q103" i="76"/>
  <c r="M103" i="76"/>
  <c r="N103" i="76" s="1"/>
  <c r="O103" i="76" s="1"/>
  <c r="C103" i="76"/>
  <c r="R102" i="76"/>
  <c r="Q102" i="76"/>
  <c r="M102" i="76"/>
  <c r="N102" i="76" s="1"/>
  <c r="O102" i="76" s="1"/>
  <c r="C102" i="76"/>
  <c r="R101" i="76"/>
  <c r="Q101" i="76"/>
  <c r="M101" i="76"/>
  <c r="N101" i="76" s="1"/>
  <c r="O101" i="76" s="1"/>
  <c r="C101" i="76"/>
  <c r="R100" i="76"/>
  <c r="Q100" i="76"/>
  <c r="M100" i="76"/>
  <c r="N100" i="76" s="1"/>
  <c r="O100" i="76" s="1"/>
  <c r="C100" i="76"/>
  <c r="R99" i="76"/>
  <c r="Q99" i="76"/>
  <c r="M99" i="76"/>
  <c r="N99" i="76" s="1"/>
  <c r="O99" i="76" s="1"/>
  <c r="C99" i="76"/>
  <c r="R98" i="76"/>
  <c r="Q98" i="76"/>
  <c r="M98" i="76"/>
  <c r="N98" i="76" s="1"/>
  <c r="O98" i="76" s="1"/>
  <c r="C98" i="76"/>
  <c r="R97" i="76"/>
  <c r="Q97" i="76"/>
  <c r="M97" i="76"/>
  <c r="N97" i="76" s="1"/>
  <c r="O97" i="76" s="1"/>
  <c r="C97" i="76"/>
  <c r="R96" i="76"/>
  <c r="Q96" i="76"/>
  <c r="M96" i="76"/>
  <c r="N96" i="76" s="1"/>
  <c r="O96" i="76" s="1"/>
  <c r="C96" i="76"/>
  <c r="R95" i="76"/>
  <c r="Q95" i="76"/>
  <c r="M95" i="76"/>
  <c r="N95" i="76" s="1"/>
  <c r="O95" i="76" s="1"/>
  <c r="C95" i="76"/>
  <c r="R94" i="76"/>
  <c r="Q94" i="76"/>
  <c r="M94" i="76"/>
  <c r="N94" i="76" s="1"/>
  <c r="O94" i="76" s="1"/>
  <c r="C94" i="76"/>
  <c r="R93" i="76"/>
  <c r="Q93" i="76"/>
  <c r="M93" i="76"/>
  <c r="N93" i="76" s="1"/>
  <c r="O93" i="76" s="1"/>
  <c r="C93" i="76"/>
  <c r="R92" i="76"/>
  <c r="Q92" i="76"/>
  <c r="M92" i="76"/>
  <c r="N92" i="76" s="1"/>
  <c r="O92" i="76" s="1"/>
  <c r="C92" i="76"/>
  <c r="R91" i="76"/>
  <c r="Q91" i="76"/>
  <c r="M91" i="76"/>
  <c r="N91" i="76" s="1"/>
  <c r="O91" i="76" s="1"/>
  <c r="C91" i="76"/>
  <c r="R90" i="76"/>
  <c r="Q90" i="76"/>
  <c r="M90" i="76"/>
  <c r="N90" i="76" s="1"/>
  <c r="O90" i="76" s="1"/>
  <c r="C90" i="76"/>
  <c r="R89" i="76"/>
  <c r="Q89" i="76"/>
  <c r="M89" i="76"/>
  <c r="N89" i="76" s="1"/>
  <c r="O89" i="76" s="1"/>
  <c r="C89" i="76"/>
  <c r="R88" i="76"/>
  <c r="Q88" i="76"/>
  <c r="M88" i="76"/>
  <c r="N88" i="76" s="1"/>
  <c r="O88" i="76" s="1"/>
  <c r="C88" i="76"/>
  <c r="R87" i="76"/>
  <c r="Q87" i="76"/>
  <c r="M87" i="76"/>
  <c r="N87" i="76" s="1"/>
  <c r="O87" i="76" s="1"/>
  <c r="C87" i="76"/>
  <c r="R86" i="76"/>
  <c r="Q86" i="76"/>
  <c r="M86" i="76"/>
  <c r="N86" i="76" s="1"/>
  <c r="O86" i="76" s="1"/>
  <c r="C86" i="76"/>
  <c r="R85" i="76"/>
  <c r="Q85" i="76"/>
  <c r="M85" i="76"/>
  <c r="N85" i="76" s="1"/>
  <c r="O85" i="76" s="1"/>
  <c r="C85" i="76"/>
  <c r="R84" i="76"/>
  <c r="Q84" i="76"/>
  <c r="M84" i="76"/>
  <c r="N84" i="76" s="1"/>
  <c r="O84" i="76" s="1"/>
  <c r="C84" i="76"/>
  <c r="R83" i="76"/>
  <c r="Q83" i="76"/>
  <c r="M83" i="76"/>
  <c r="N83" i="76" s="1"/>
  <c r="O83" i="76" s="1"/>
  <c r="C83" i="76"/>
  <c r="R82" i="76"/>
  <c r="Q82" i="76"/>
  <c r="M82" i="76"/>
  <c r="N82" i="76" s="1"/>
  <c r="O82" i="76" s="1"/>
  <c r="C82" i="76"/>
  <c r="R81" i="76"/>
  <c r="Q81" i="76"/>
  <c r="M81" i="76"/>
  <c r="N81" i="76" s="1"/>
  <c r="O81" i="76" s="1"/>
  <c r="C81" i="76"/>
  <c r="R80" i="76"/>
  <c r="Q80" i="76"/>
  <c r="M80" i="76"/>
  <c r="N80" i="76" s="1"/>
  <c r="O80" i="76" s="1"/>
  <c r="C80" i="76"/>
  <c r="R79" i="76"/>
  <c r="Q79" i="76"/>
  <c r="M79" i="76"/>
  <c r="N79" i="76" s="1"/>
  <c r="O79" i="76" s="1"/>
  <c r="C79" i="76"/>
  <c r="R78" i="76"/>
  <c r="Q78" i="76"/>
  <c r="M78" i="76"/>
  <c r="N78" i="76" s="1"/>
  <c r="O78" i="76" s="1"/>
  <c r="C78" i="76"/>
  <c r="R77" i="76"/>
  <c r="Q77" i="76"/>
  <c r="M77" i="76"/>
  <c r="N77" i="76" s="1"/>
  <c r="O77" i="76" s="1"/>
  <c r="C77" i="76"/>
  <c r="R76" i="76"/>
  <c r="Q76" i="76"/>
  <c r="M76" i="76"/>
  <c r="N76" i="76" s="1"/>
  <c r="O76" i="76" s="1"/>
  <c r="C76" i="76"/>
  <c r="R75" i="76"/>
  <c r="Q75" i="76"/>
  <c r="M75" i="76"/>
  <c r="N75" i="76" s="1"/>
  <c r="O75" i="76" s="1"/>
  <c r="C75" i="76"/>
  <c r="R74" i="76"/>
  <c r="Q74" i="76"/>
  <c r="M74" i="76"/>
  <c r="N74" i="76" s="1"/>
  <c r="O74" i="76" s="1"/>
  <c r="C74" i="76"/>
  <c r="R73" i="76"/>
  <c r="Q73" i="76"/>
  <c r="M73" i="76"/>
  <c r="N73" i="76" s="1"/>
  <c r="O73" i="76" s="1"/>
  <c r="C73" i="76"/>
  <c r="R67" i="76"/>
  <c r="Q67" i="76"/>
  <c r="M67" i="76"/>
  <c r="N67" i="76" s="1"/>
  <c r="O67" i="76" s="1"/>
  <c r="C67" i="76"/>
  <c r="R66" i="76"/>
  <c r="Q66" i="76"/>
  <c r="M66" i="76"/>
  <c r="N66" i="76" s="1"/>
  <c r="O66" i="76" s="1"/>
  <c r="C66" i="76"/>
  <c r="R65" i="76"/>
  <c r="Q65" i="76"/>
  <c r="M65" i="76"/>
  <c r="N65" i="76" s="1"/>
  <c r="O65" i="76" s="1"/>
  <c r="C65" i="76"/>
  <c r="R64" i="76"/>
  <c r="Q64" i="76"/>
  <c r="M64" i="76"/>
  <c r="N64" i="76" s="1"/>
  <c r="O64" i="76" s="1"/>
  <c r="C64" i="76"/>
  <c r="R63" i="76"/>
  <c r="Q63" i="76"/>
  <c r="M63" i="76"/>
  <c r="N63" i="76" s="1"/>
  <c r="O63" i="76" s="1"/>
  <c r="C63" i="76"/>
  <c r="R62" i="76"/>
  <c r="Q62" i="76"/>
  <c r="M62" i="76"/>
  <c r="N62" i="76" s="1"/>
  <c r="O62" i="76" s="1"/>
  <c r="C62" i="76"/>
  <c r="R61" i="76"/>
  <c r="Q61" i="76"/>
  <c r="M61" i="76"/>
  <c r="N61" i="76" s="1"/>
  <c r="O61" i="76" s="1"/>
  <c r="C61" i="76"/>
  <c r="R60" i="76"/>
  <c r="Q60" i="76"/>
  <c r="M60" i="76"/>
  <c r="N60" i="76" s="1"/>
  <c r="O60" i="76" s="1"/>
  <c r="C60" i="76"/>
  <c r="R59" i="76"/>
  <c r="Q59" i="76"/>
  <c r="M59" i="76"/>
  <c r="N59" i="76" s="1"/>
  <c r="O59" i="76" s="1"/>
  <c r="C59" i="76"/>
  <c r="R58" i="76"/>
  <c r="Q58" i="76"/>
  <c r="M58" i="76"/>
  <c r="N58" i="76" s="1"/>
  <c r="O58" i="76" s="1"/>
  <c r="C58" i="76"/>
  <c r="R57" i="76"/>
  <c r="Q57" i="76"/>
  <c r="M57" i="76"/>
  <c r="N57" i="76" s="1"/>
  <c r="O57" i="76" s="1"/>
  <c r="C57" i="76"/>
  <c r="R56" i="76"/>
  <c r="Q56" i="76"/>
  <c r="M56" i="76"/>
  <c r="N56" i="76" s="1"/>
  <c r="O56" i="76" s="1"/>
  <c r="C56" i="76"/>
  <c r="R55" i="76"/>
  <c r="Q55" i="76"/>
  <c r="M55" i="76"/>
  <c r="N55" i="76" s="1"/>
  <c r="O55" i="76" s="1"/>
  <c r="C55" i="76"/>
  <c r="R54" i="76"/>
  <c r="Q54" i="76"/>
  <c r="M54" i="76"/>
  <c r="N54" i="76" s="1"/>
  <c r="O54" i="76" s="1"/>
  <c r="C54" i="76"/>
  <c r="R53" i="76"/>
  <c r="Q53" i="76"/>
  <c r="M53" i="76"/>
  <c r="N53" i="76" s="1"/>
  <c r="O53" i="76" s="1"/>
  <c r="C53" i="76"/>
  <c r="R52" i="76"/>
  <c r="Q52" i="76"/>
  <c r="M52" i="76"/>
  <c r="N52" i="76" s="1"/>
  <c r="O52" i="76" s="1"/>
  <c r="C52" i="76"/>
  <c r="R51" i="76"/>
  <c r="Q51" i="76"/>
  <c r="M51" i="76"/>
  <c r="N51" i="76" s="1"/>
  <c r="O51" i="76" s="1"/>
  <c r="C51" i="76"/>
  <c r="R50" i="76"/>
  <c r="Q50" i="76"/>
  <c r="M50" i="76"/>
  <c r="N50" i="76" s="1"/>
  <c r="O50" i="76" s="1"/>
  <c r="C50" i="76"/>
  <c r="R49" i="76"/>
  <c r="Q49" i="76"/>
  <c r="M49" i="76"/>
  <c r="N49" i="76" s="1"/>
  <c r="O49" i="76" s="1"/>
  <c r="C49" i="76"/>
  <c r="R48" i="76"/>
  <c r="Q48" i="76"/>
  <c r="M48" i="76"/>
  <c r="N48" i="76" s="1"/>
  <c r="O48" i="76" s="1"/>
  <c r="C48" i="76"/>
  <c r="R47" i="76"/>
  <c r="Q47" i="76"/>
  <c r="M47" i="76"/>
  <c r="N47" i="76" s="1"/>
  <c r="O47" i="76" s="1"/>
  <c r="C47" i="76"/>
  <c r="R46" i="76"/>
  <c r="Q46" i="76"/>
  <c r="M46" i="76"/>
  <c r="N46" i="76" s="1"/>
  <c r="O46" i="76" s="1"/>
  <c r="C46" i="76"/>
  <c r="R45" i="76"/>
  <c r="Q45" i="76"/>
  <c r="M45" i="76"/>
  <c r="N45" i="76" s="1"/>
  <c r="O45" i="76" s="1"/>
  <c r="C45" i="76"/>
  <c r="R44" i="76"/>
  <c r="Q44" i="76"/>
  <c r="M44" i="76"/>
  <c r="N44" i="76" s="1"/>
  <c r="O44" i="76" s="1"/>
  <c r="C44" i="76"/>
  <c r="R43" i="76"/>
  <c r="Q43" i="76"/>
  <c r="M43" i="76"/>
  <c r="N43" i="76" s="1"/>
  <c r="O43" i="76" s="1"/>
  <c r="C43" i="76"/>
  <c r="R42" i="76"/>
  <c r="Q42" i="76"/>
  <c r="M42" i="76"/>
  <c r="N42" i="76" s="1"/>
  <c r="O42" i="76" s="1"/>
  <c r="C42" i="76"/>
  <c r="R41" i="76"/>
  <c r="Q41" i="76"/>
  <c r="M41" i="76"/>
  <c r="N41" i="76" s="1"/>
  <c r="O41" i="76" s="1"/>
  <c r="C41" i="76"/>
  <c r="R40" i="76"/>
  <c r="Q40" i="76"/>
  <c r="M40" i="76"/>
  <c r="N40" i="76" s="1"/>
  <c r="O40" i="76" s="1"/>
  <c r="C40" i="76"/>
  <c r="R39" i="76"/>
  <c r="Q39" i="76"/>
  <c r="M39" i="76"/>
  <c r="N39" i="76" s="1"/>
  <c r="O39" i="76" s="1"/>
  <c r="C39" i="76"/>
  <c r="R38" i="76"/>
  <c r="Q38" i="76"/>
  <c r="M38" i="76"/>
  <c r="N38" i="76" s="1"/>
  <c r="O38" i="76" s="1"/>
  <c r="C38" i="76"/>
  <c r="R37" i="76"/>
  <c r="Q37" i="76"/>
  <c r="M37" i="76"/>
  <c r="N37" i="76" s="1"/>
  <c r="O37" i="76" s="1"/>
  <c r="C37" i="76"/>
  <c r="R36" i="76"/>
  <c r="Q36" i="76"/>
  <c r="M36" i="76"/>
  <c r="N36" i="76" s="1"/>
  <c r="O36" i="76" s="1"/>
  <c r="C36" i="76"/>
  <c r="R35" i="76"/>
  <c r="Q35" i="76"/>
  <c r="M35" i="76"/>
  <c r="N35" i="76" s="1"/>
  <c r="O35" i="76" s="1"/>
  <c r="C35" i="76"/>
  <c r="R34" i="76"/>
  <c r="Q34" i="76"/>
  <c r="M34" i="76"/>
  <c r="N34" i="76" s="1"/>
  <c r="O34" i="76" s="1"/>
  <c r="C34" i="76"/>
  <c r="R33" i="76"/>
  <c r="Q33" i="76"/>
  <c r="M33" i="76"/>
  <c r="N33" i="76" s="1"/>
  <c r="O33" i="76" s="1"/>
  <c r="C33" i="76"/>
  <c r="R32" i="76"/>
  <c r="Q32" i="76"/>
  <c r="M32" i="76"/>
  <c r="N32" i="76" s="1"/>
  <c r="O32" i="76" s="1"/>
  <c r="C32" i="76"/>
  <c r="R31" i="76"/>
  <c r="Q31" i="76"/>
  <c r="M31" i="76"/>
  <c r="N31" i="76" s="1"/>
  <c r="O31" i="76" s="1"/>
  <c r="C31" i="76"/>
  <c r="R30" i="76"/>
  <c r="Q30" i="76"/>
  <c r="M30" i="76"/>
  <c r="N30" i="76" s="1"/>
  <c r="O30" i="76" s="1"/>
  <c r="C30" i="76"/>
  <c r="R29" i="76"/>
  <c r="Q29" i="76"/>
  <c r="M29" i="76"/>
  <c r="N29" i="76" s="1"/>
  <c r="O29" i="76" s="1"/>
  <c r="C29" i="76"/>
  <c r="R28" i="76"/>
  <c r="Q28" i="76"/>
  <c r="M28" i="76"/>
  <c r="N28" i="76" s="1"/>
  <c r="O28" i="76" s="1"/>
  <c r="C28" i="76"/>
  <c r="R27" i="76"/>
  <c r="Q27" i="76"/>
  <c r="M27" i="76"/>
  <c r="N27" i="76" s="1"/>
  <c r="O27" i="76" s="1"/>
  <c r="C27" i="76"/>
  <c r="R26" i="76"/>
  <c r="Q26" i="76"/>
  <c r="M26" i="76"/>
  <c r="N26" i="76" s="1"/>
  <c r="O26" i="76" s="1"/>
  <c r="C26" i="76"/>
  <c r="R25" i="76"/>
  <c r="Q25" i="76"/>
  <c r="M25" i="76"/>
  <c r="N25" i="76" s="1"/>
  <c r="O25" i="76" s="1"/>
  <c r="C25" i="76"/>
  <c r="R24" i="76"/>
  <c r="Q24" i="76"/>
  <c r="M24" i="76"/>
  <c r="N24" i="76" s="1"/>
  <c r="O24" i="76" s="1"/>
  <c r="C24" i="76"/>
  <c r="R23" i="76"/>
  <c r="Q23" i="76"/>
  <c r="M23" i="76"/>
  <c r="N23" i="76" s="1"/>
  <c r="O23" i="76" s="1"/>
  <c r="C23" i="76"/>
  <c r="R22" i="76"/>
  <c r="Q22" i="76"/>
  <c r="M22" i="76"/>
  <c r="N22" i="76" s="1"/>
  <c r="O22" i="76" s="1"/>
  <c r="C22" i="76"/>
  <c r="R21" i="76"/>
  <c r="Q21" i="76"/>
  <c r="M21" i="76"/>
  <c r="N21" i="76" s="1"/>
  <c r="O21" i="76" s="1"/>
  <c r="C21" i="76"/>
  <c r="R20" i="76"/>
  <c r="Q20" i="76"/>
  <c r="M20" i="76"/>
  <c r="N20" i="76" s="1"/>
  <c r="O20" i="76" s="1"/>
  <c r="C20" i="76"/>
  <c r="R19" i="76"/>
  <c r="Q19" i="76"/>
  <c r="M19" i="76"/>
  <c r="N19" i="76" s="1"/>
  <c r="O19" i="76" s="1"/>
  <c r="C19" i="76"/>
  <c r="R18" i="76"/>
  <c r="Q18" i="76"/>
  <c r="M18" i="76"/>
  <c r="N18" i="76" s="1"/>
  <c r="O18" i="76" s="1"/>
  <c r="C18" i="76"/>
  <c r="R17" i="76"/>
  <c r="Q17" i="76"/>
  <c r="M17" i="76"/>
  <c r="N17" i="76" s="1"/>
  <c r="O17" i="76" s="1"/>
  <c r="C17" i="76"/>
  <c r="R16" i="76"/>
  <c r="Q16" i="76"/>
  <c r="M16" i="76"/>
  <c r="N16" i="76" s="1"/>
  <c r="O16" i="76" s="1"/>
  <c r="C16" i="76"/>
  <c r="R15" i="76"/>
  <c r="Q15" i="76"/>
  <c r="M15" i="76"/>
  <c r="N15" i="76" s="1"/>
  <c r="O15" i="76" s="1"/>
  <c r="C15" i="76"/>
  <c r="R14" i="76"/>
  <c r="Q14" i="76"/>
  <c r="M14" i="76"/>
  <c r="N14" i="76" s="1"/>
  <c r="O14" i="76" s="1"/>
  <c r="C14" i="76"/>
  <c r="R13" i="76"/>
  <c r="Q13" i="76"/>
  <c r="M13" i="76"/>
  <c r="N13" i="76" s="1"/>
  <c r="O13" i="76" s="1"/>
  <c r="C13" i="76"/>
  <c r="R12" i="76"/>
  <c r="Q12" i="76"/>
  <c r="M12" i="76"/>
  <c r="N12" i="76" s="1"/>
  <c r="O12" i="76" s="1"/>
  <c r="C12" i="76"/>
  <c r="R11" i="76"/>
  <c r="Q11" i="76"/>
  <c r="M11" i="76"/>
  <c r="N11" i="76" s="1"/>
  <c r="O11" i="76" s="1"/>
  <c r="C11" i="76"/>
  <c r="R10" i="76"/>
  <c r="Q10" i="76"/>
  <c r="M10" i="76"/>
  <c r="N10" i="76" s="1"/>
  <c r="O10" i="76" s="1"/>
  <c r="C10" i="76"/>
  <c r="R9" i="76"/>
  <c r="Q9" i="76"/>
  <c r="M9" i="76"/>
  <c r="N9" i="76" s="1"/>
  <c r="O9" i="76" s="1"/>
  <c r="C9" i="76"/>
  <c r="R8" i="76"/>
  <c r="Q8" i="76"/>
  <c r="M8" i="76"/>
  <c r="N8" i="76" s="1"/>
  <c r="O8" i="76" s="1"/>
  <c r="C8" i="76"/>
  <c r="R7" i="76"/>
  <c r="Q7" i="76"/>
  <c r="M7" i="76"/>
  <c r="N7" i="76" s="1"/>
  <c r="O7" i="76" s="1"/>
  <c r="C7" i="76"/>
  <c r="R6" i="76"/>
  <c r="Q6" i="76"/>
  <c r="M6" i="76"/>
  <c r="N6" i="76" s="1"/>
  <c r="C6" i="76"/>
  <c r="L4" i="76"/>
  <c r="J4" i="76"/>
  <c r="C93" i="75"/>
  <c r="C92" i="75"/>
  <c r="C91" i="75"/>
  <c r="C90" i="75"/>
  <c r="R93" i="75"/>
  <c r="Q93" i="75"/>
  <c r="M93" i="75"/>
  <c r="N93" i="75" s="1"/>
  <c r="O93" i="75" s="1"/>
  <c r="R92" i="75"/>
  <c r="Q92" i="75"/>
  <c r="M92" i="75"/>
  <c r="N92" i="75" s="1"/>
  <c r="O92" i="75" s="1"/>
  <c r="R91" i="75"/>
  <c r="Q91" i="75"/>
  <c r="M91" i="75"/>
  <c r="N91" i="75" s="1"/>
  <c r="O91" i="75" s="1"/>
  <c r="O6" i="76" l="1"/>
  <c r="O4" i="76" s="1"/>
  <c r="N4" i="76"/>
  <c r="R121" i="75"/>
  <c r="Q121" i="75"/>
  <c r="M121" i="75"/>
  <c r="N121" i="75" s="1"/>
  <c r="O121" i="75" s="1"/>
  <c r="C121" i="75"/>
  <c r="R120" i="75"/>
  <c r="Q120" i="75"/>
  <c r="M120" i="75"/>
  <c r="N120" i="75" s="1"/>
  <c r="O120" i="75" s="1"/>
  <c r="C120" i="75"/>
  <c r="R119" i="75"/>
  <c r="Q119" i="75"/>
  <c r="M119" i="75"/>
  <c r="N119" i="75" s="1"/>
  <c r="O119" i="75" s="1"/>
  <c r="C119" i="75"/>
  <c r="R118" i="75"/>
  <c r="Q118" i="75"/>
  <c r="M118" i="75"/>
  <c r="N118" i="75" s="1"/>
  <c r="O118" i="75" s="1"/>
  <c r="C118" i="75"/>
  <c r="R117" i="75"/>
  <c r="Q117" i="75"/>
  <c r="M117" i="75"/>
  <c r="N117" i="75" s="1"/>
  <c r="O117" i="75" s="1"/>
  <c r="C117" i="75"/>
  <c r="R116" i="75"/>
  <c r="Q116" i="75"/>
  <c r="M116" i="75"/>
  <c r="N116" i="75" s="1"/>
  <c r="O116" i="75" s="1"/>
  <c r="C116" i="75"/>
  <c r="R115" i="75"/>
  <c r="Q115" i="75"/>
  <c r="M115" i="75"/>
  <c r="N115" i="75" s="1"/>
  <c r="O115" i="75" s="1"/>
  <c r="C115" i="75"/>
  <c r="R114" i="75"/>
  <c r="Q114" i="75"/>
  <c r="M114" i="75"/>
  <c r="N114" i="75" s="1"/>
  <c r="O114" i="75" s="1"/>
  <c r="C114" i="75"/>
  <c r="R113" i="75"/>
  <c r="Q113" i="75"/>
  <c r="M113" i="75"/>
  <c r="N113" i="75" s="1"/>
  <c r="O113" i="75" s="1"/>
  <c r="C113" i="75"/>
  <c r="R112" i="75"/>
  <c r="Q112" i="75"/>
  <c r="M112" i="75"/>
  <c r="N112" i="75" s="1"/>
  <c r="O112" i="75" s="1"/>
  <c r="C112" i="75"/>
  <c r="R111" i="75"/>
  <c r="Q111" i="75"/>
  <c r="M111" i="75"/>
  <c r="N111" i="75" s="1"/>
  <c r="O111" i="75" s="1"/>
  <c r="C111" i="75"/>
  <c r="R110" i="75"/>
  <c r="Q110" i="75"/>
  <c r="M110" i="75"/>
  <c r="N110" i="75" s="1"/>
  <c r="O110" i="75" s="1"/>
  <c r="C110" i="75"/>
  <c r="R109" i="75"/>
  <c r="Q109" i="75"/>
  <c r="M109" i="75"/>
  <c r="N109" i="75" s="1"/>
  <c r="O109" i="75" s="1"/>
  <c r="C109" i="75"/>
  <c r="R108" i="75"/>
  <c r="Q108" i="75"/>
  <c r="M108" i="75"/>
  <c r="N108" i="75" s="1"/>
  <c r="O108" i="75" s="1"/>
  <c r="C108" i="75"/>
  <c r="R107" i="75"/>
  <c r="Q107" i="75"/>
  <c r="M107" i="75"/>
  <c r="N107" i="75" s="1"/>
  <c r="O107" i="75" s="1"/>
  <c r="C107" i="75"/>
  <c r="R106" i="75"/>
  <c r="Q106" i="75"/>
  <c r="M106" i="75"/>
  <c r="N106" i="75" s="1"/>
  <c r="O106" i="75" s="1"/>
  <c r="C106" i="75"/>
  <c r="R105" i="75"/>
  <c r="Q105" i="75"/>
  <c r="M105" i="75"/>
  <c r="N105" i="75" s="1"/>
  <c r="O105" i="75" s="1"/>
  <c r="C105" i="75"/>
  <c r="R104" i="75"/>
  <c r="Q104" i="75"/>
  <c r="M104" i="75"/>
  <c r="N104" i="75" s="1"/>
  <c r="O104" i="75" s="1"/>
  <c r="C104" i="75"/>
  <c r="R103" i="75"/>
  <c r="Q103" i="75"/>
  <c r="M103" i="75"/>
  <c r="N103" i="75" s="1"/>
  <c r="O103" i="75" s="1"/>
  <c r="C103" i="75"/>
  <c r="R102" i="75"/>
  <c r="Q102" i="75"/>
  <c r="M102" i="75"/>
  <c r="N102" i="75" s="1"/>
  <c r="O102" i="75" s="1"/>
  <c r="C102" i="75"/>
  <c r="R101" i="75"/>
  <c r="Q101" i="75"/>
  <c r="M101" i="75"/>
  <c r="N101" i="75" s="1"/>
  <c r="O101" i="75" s="1"/>
  <c r="C101" i="75"/>
  <c r="R100" i="75"/>
  <c r="Q100" i="75"/>
  <c r="M100" i="75"/>
  <c r="N100" i="75" s="1"/>
  <c r="O100" i="75" s="1"/>
  <c r="C100" i="75"/>
  <c r="R99" i="75"/>
  <c r="Q99" i="75"/>
  <c r="M99" i="75"/>
  <c r="N99" i="75" s="1"/>
  <c r="O99" i="75" s="1"/>
  <c r="C99" i="75"/>
  <c r="R98" i="75"/>
  <c r="Q98" i="75"/>
  <c r="M98" i="75"/>
  <c r="N98" i="75" s="1"/>
  <c r="O98" i="75" s="1"/>
  <c r="C98" i="75"/>
  <c r="R97" i="75"/>
  <c r="Q97" i="75"/>
  <c r="M97" i="75"/>
  <c r="N97" i="75" s="1"/>
  <c r="O97" i="75" s="1"/>
  <c r="C97" i="75"/>
  <c r="R96" i="75"/>
  <c r="Q96" i="75"/>
  <c r="M96" i="75"/>
  <c r="N96" i="75" s="1"/>
  <c r="O96" i="75" s="1"/>
  <c r="C96" i="75"/>
  <c r="R95" i="75"/>
  <c r="Q95" i="75"/>
  <c r="M95" i="75"/>
  <c r="N95" i="75" s="1"/>
  <c r="O95" i="75" s="1"/>
  <c r="C95" i="75"/>
  <c r="R94" i="75"/>
  <c r="Q94" i="75"/>
  <c r="M94" i="75"/>
  <c r="N94" i="75" s="1"/>
  <c r="O94" i="75" s="1"/>
  <c r="C94" i="75"/>
  <c r="R90" i="75"/>
  <c r="Q90" i="75"/>
  <c r="M90" i="75"/>
  <c r="N90" i="75" s="1"/>
  <c r="O90" i="75" s="1"/>
  <c r="R89" i="75"/>
  <c r="Q89" i="75"/>
  <c r="M89" i="75"/>
  <c r="N89" i="75" s="1"/>
  <c r="O89" i="75" s="1"/>
  <c r="C89" i="75"/>
  <c r="R88" i="75"/>
  <c r="Q88" i="75"/>
  <c r="M88" i="75"/>
  <c r="N88" i="75" s="1"/>
  <c r="O88" i="75" s="1"/>
  <c r="C88" i="75"/>
  <c r="R87" i="75"/>
  <c r="Q87" i="75"/>
  <c r="M87" i="75"/>
  <c r="N87" i="75" s="1"/>
  <c r="O87" i="75" s="1"/>
  <c r="C87" i="75"/>
  <c r="R86" i="75"/>
  <c r="Q86" i="75"/>
  <c r="M86" i="75"/>
  <c r="N86" i="75" s="1"/>
  <c r="O86" i="75" s="1"/>
  <c r="C86" i="75"/>
  <c r="R85" i="75"/>
  <c r="Q85" i="75"/>
  <c r="M85" i="75"/>
  <c r="N85" i="75" s="1"/>
  <c r="O85" i="75" s="1"/>
  <c r="C85" i="75"/>
  <c r="R84" i="75"/>
  <c r="Q84" i="75"/>
  <c r="M84" i="75"/>
  <c r="N84" i="75" s="1"/>
  <c r="O84" i="75" s="1"/>
  <c r="C84" i="75"/>
  <c r="R83" i="75"/>
  <c r="Q83" i="75"/>
  <c r="M83" i="75"/>
  <c r="N83" i="75" s="1"/>
  <c r="O83" i="75" s="1"/>
  <c r="C83" i="75"/>
  <c r="R82" i="75"/>
  <c r="Q82" i="75"/>
  <c r="M82" i="75"/>
  <c r="N82" i="75" s="1"/>
  <c r="O82" i="75" s="1"/>
  <c r="C82" i="75"/>
  <c r="R81" i="75"/>
  <c r="Q81" i="75"/>
  <c r="M81" i="75"/>
  <c r="N81" i="75" s="1"/>
  <c r="O81" i="75" s="1"/>
  <c r="C81" i="75"/>
  <c r="R80" i="75"/>
  <c r="Q80" i="75"/>
  <c r="M80" i="75"/>
  <c r="N80" i="75" s="1"/>
  <c r="O80" i="75" s="1"/>
  <c r="C80" i="75"/>
  <c r="R79" i="75"/>
  <c r="Q79" i="75"/>
  <c r="M79" i="75"/>
  <c r="N79" i="75" s="1"/>
  <c r="O79" i="75" s="1"/>
  <c r="C79" i="75"/>
  <c r="R78" i="75"/>
  <c r="Q78" i="75"/>
  <c r="M78" i="75"/>
  <c r="N78" i="75" s="1"/>
  <c r="O78" i="75" s="1"/>
  <c r="C78" i="75"/>
  <c r="R77" i="75"/>
  <c r="Q77" i="75"/>
  <c r="M77" i="75"/>
  <c r="N77" i="75" s="1"/>
  <c r="O77" i="75" s="1"/>
  <c r="C77" i="75"/>
  <c r="R76" i="75"/>
  <c r="Q76" i="75"/>
  <c r="M76" i="75"/>
  <c r="N76" i="75" s="1"/>
  <c r="O76" i="75" s="1"/>
  <c r="C76" i="75"/>
  <c r="R75" i="75"/>
  <c r="Q75" i="75"/>
  <c r="M75" i="75"/>
  <c r="N75" i="75" s="1"/>
  <c r="O75" i="75" s="1"/>
  <c r="C75" i="75"/>
  <c r="R74" i="75"/>
  <c r="Q74" i="75"/>
  <c r="M74" i="75"/>
  <c r="N74" i="75" s="1"/>
  <c r="O74" i="75" s="1"/>
  <c r="C74" i="75"/>
  <c r="R73" i="75"/>
  <c r="Q73" i="75"/>
  <c r="M73" i="75"/>
  <c r="N73" i="75" s="1"/>
  <c r="O73" i="75" s="1"/>
  <c r="C73" i="75"/>
  <c r="R72" i="75"/>
  <c r="Q72" i="75"/>
  <c r="M72" i="75"/>
  <c r="N72" i="75" s="1"/>
  <c r="O72" i="75" s="1"/>
  <c r="C72" i="75"/>
  <c r="R71" i="75"/>
  <c r="Q71" i="75"/>
  <c r="M71" i="75"/>
  <c r="N71" i="75" s="1"/>
  <c r="O71" i="75" s="1"/>
  <c r="C71" i="75"/>
  <c r="R70" i="75"/>
  <c r="Q70" i="75"/>
  <c r="M70" i="75"/>
  <c r="N70" i="75" s="1"/>
  <c r="O70" i="75" s="1"/>
  <c r="C70" i="75"/>
  <c r="R69" i="75"/>
  <c r="Q69" i="75"/>
  <c r="M69" i="75"/>
  <c r="N69" i="75" s="1"/>
  <c r="O69" i="75" s="1"/>
  <c r="C69" i="75"/>
  <c r="R68" i="75"/>
  <c r="Q68" i="75"/>
  <c r="M68" i="75"/>
  <c r="N68" i="75" s="1"/>
  <c r="O68" i="75" s="1"/>
  <c r="C68" i="75"/>
  <c r="R67" i="75"/>
  <c r="Q67" i="75"/>
  <c r="M67" i="75"/>
  <c r="N67" i="75" s="1"/>
  <c r="O67" i="75" s="1"/>
  <c r="C67" i="75"/>
  <c r="R66" i="75"/>
  <c r="Q66" i="75"/>
  <c r="M66" i="75"/>
  <c r="N66" i="75" s="1"/>
  <c r="O66" i="75" s="1"/>
  <c r="C66" i="75"/>
  <c r="R65" i="75"/>
  <c r="Q65" i="75"/>
  <c r="M65" i="75"/>
  <c r="N65" i="75" s="1"/>
  <c r="O65" i="75" s="1"/>
  <c r="C65" i="75"/>
  <c r="R64" i="75"/>
  <c r="Q64" i="75"/>
  <c r="M64" i="75"/>
  <c r="N64" i="75" s="1"/>
  <c r="O64" i="75" s="1"/>
  <c r="C64" i="75"/>
  <c r="R63" i="75"/>
  <c r="Q63" i="75"/>
  <c r="M63" i="75"/>
  <c r="N63" i="75" s="1"/>
  <c r="O63" i="75" s="1"/>
  <c r="C63" i="75"/>
  <c r="R62" i="75"/>
  <c r="Q62" i="75"/>
  <c r="M62" i="75"/>
  <c r="N62" i="75" s="1"/>
  <c r="O62" i="75" s="1"/>
  <c r="C62" i="75"/>
  <c r="R61" i="75"/>
  <c r="Q61" i="75"/>
  <c r="M61" i="75"/>
  <c r="N61" i="75" s="1"/>
  <c r="O61" i="75" s="1"/>
  <c r="C61" i="75"/>
  <c r="R60" i="75"/>
  <c r="Q60" i="75"/>
  <c r="M60" i="75"/>
  <c r="N60" i="75" s="1"/>
  <c r="O60" i="75" s="1"/>
  <c r="C60" i="75"/>
  <c r="R59" i="75"/>
  <c r="Q59" i="75"/>
  <c r="M59" i="75"/>
  <c r="N59" i="75" s="1"/>
  <c r="O59" i="75" s="1"/>
  <c r="C59" i="75"/>
  <c r="R58" i="75"/>
  <c r="Q58" i="75"/>
  <c r="M58" i="75"/>
  <c r="N58" i="75" s="1"/>
  <c r="O58" i="75" s="1"/>
  <c r="C58" i="75"/>
  <c r="R57" i="75"/>
  <c r="Q57" i="75"/>
  <c r="M57" i="75"/>
  <c r="N57" i="75" s="1"/>
  <c r="O57" i="75" s="1"/>
  <c r="C57" i="75"/>
  <c r="R56" i="75"/>
  <c r="Q56" i="75"/>
  <c r="M56" i="75"/>
  <c r="N56" i="75" s="1"/>
  <c r="O56" i="75" s="1"/>
  <c r="C56" i="75"/>
  <c r="R55" i="75"/>
  <c r="Q55" i="75"/>
  <c r="M55" i="75"/>
  <c r="N55" i="75" s="1"/>
  <c r="O55" i="75" s="1"/>
  <c r="C55" i="75"/>
  <c r="R54" i="75"/>
  <c r="Q54" i="75"/>
  <c r="M54" i="75"/>
  <c r="N54" i="75" s="1"/>
  <c r="O54" i="75" s="1"/>
  <c r="C54" i="75"/>
  <c r="R53" i="75"/>
  <c r="Q53" i="75"/>
  <c r="M53" i="75"/>
  <c r="N53" i="75" s="1"/>
  <c r="O53" i="75" s="1"/>
  <c r="C53" i="75"/>
  <c r="R52" i="75"/>
  <c r="Q52" i="75"/>
  <c r="M52" i="75"/>
  <c r="N52" i="75" s="1"/>
  <c r="O52" i="75" s="1"/>
  <c r="C52" i="75"/>
  <c r="R51" i="75"/>
  <c r="Q51" i="75"/>
  <c r="M51" i="75"/>
  <c r="N51" i="75" s="1"/>
  <c r="O51" i="75" s="1"/>
  <c r="C51" i="75"/>
  <c r="R50" i="75"/>
  <c r="Q50" i="75"/>
  <c r="M50" i="75"/>
  <c r="N50" i="75" s="1"/>
  <c r="O50" i="75" s="1"/>
  <c r="C50" i="75"/>
  <c r="R49" i="75"/>
  <c r="Q49" i="75"/>
  <c r="M49" i="75"/>
  <c r="N49" i="75" s="1"/>
  <c r="O49" i="75" s="1"/>
  <c r="C49" i="75"/>
  <c r="R48" i="75"/>
  <c r="Q48" i="75"/>
  <c r="M48" i="75"/>
  <c r="N48" i="75" s="1"/>
  <c r="O48" i="75" s="1"/>
  <c r="C48" i="75"/>
  <c r="R47" i="75"/>
  <c r="Q47" i="75"/>
  <c r="M47" i="75"/>
  <c r="N47" i="75" s="1"/>
  <c r="O47" i="75" s="1"/>
  <c r="C47" i="75"/>
  <c r="R46" i="75"/>
  <c r="Q46" i="75"/>
  <c r="M46" i="75"/>
  <c r="N46" i="75" s="1"/>
  <c r="O46" i="75" s="1"/>
  <c r="C46" i="75"/>
  <c r="R45" i="75"/>
  <c r="Q45" i="75"/>
  <c r="M45" i="75"/>
  <c r="N45" i="75" s="1"/>
  <c r="O45" i="75" s="1"/>
  <c r="C45" i="75"/>
  <c r="R44" i="75"/>
  <c r="Q44" i="75"/>
  <c r="M44" i="75"/>
  <c r="N44" i="75" s="1"/>
  <c r="O44" i="75" s="1"/>
  <c r="C44" i="75"/>
  <c r="R43" i="75"/>
  <c r="Q43" i="75"/>
  <c r="M43" i="75"/>
  <c r="N43" i="75" s="1"/>
  <c r="O43" i="75" s="1"/>
  <c r="C43" i="75"/>
  <c r="R42" i="75"/>
  <c r="Q42" i="75"/>
  <c r="M42" i="75"/>
  <c r="N42" i="75" s="1"/>
  <c r="O42" i="75" s="1"/>
  <c r="C42" i="75"/>
  <c r="R41" i="75"/>
  <c r="Q41" i="75"/>
  <c r="M41" i="75"/>
  <c r="N41" i="75" s="1"/>
  <c r="O41" i="75" s="1"/>
  <c r="C41" i="75"/>
  <c r="R40" i="75"/>
  <c r="Q40" i="75"/>
  <c r="M40" i="75"/>
  <c r="N40" i="75" s="1"/>
  <c r="O40" i="75" s="1"/>
  <c r="C40" i="75"/>
  <c r="R39" i="75"/>
  <c r="Q39" i="75"/>
  <c r="M39" i="75"/>
  <c r="N39" i="75" s="1"/>
  <c r="O39" i="75" s="1"/>
  <c r="C39" i="75"/>
  <c r="R38" i="75"/>
  <c r="Q38" i="75"/>
  <c r="M38" i="75"/>
  <c r="N38" i="75" s="1"/>
  <c r="O38" i="75" s="1"/>
  <c r="C38" i="75"/>
  <c r="R37" i="75"/>
  <c r="Q37" i="75"/>
  <c r="M37" i="75"/>
  <c r="N37" i="75" s="1"/>
  <c r="O37" i="75" s="1"/>
  <c r="C37" i="75"/>
  <c r="R36" i="75"/>
  <c r="Q36" i="75"/>
  <c r="M36" i="75"/>
  <c r="N36" i="75" s="1"/>
  <c r="O36" i="75" s="1"/>
  <c r="C36" i="75"/>
  <c r="R35" i="75"/>
  <c r="Q35" i="75"/>
  <c r="M35" i="75"/>
  <c r="N35" i="75" s="1"/>
  <c r="O35" i="75" s="1"/>
  <c r="C35" i="75"/>
  <c r="R34" i="75"/>
  <c r="Q34" i="75"/>
  <c r="M34" i="75"/>
  <c r="N34" i="75" s="1"/>
  <c r="O34" i="75" s="1"/>
  <c r="C34" i="75"/>
  <c r="R33" i="75"/>
  <c r="Q33" i="75"/>
  <c r="M33" i="75"/>
  <c r="N33" i="75" s="1"/>
  <c r="O33" i="75" s="1"/>
  <c r="C33" i="75"/>
  <c r="R32" i="75"/>
  <c r="Q32" i="75"/>
  <c r="M32" i="75"/>
  <c r="N32" i="75" s="1"/>
  <c r="O32" i="75" s="1"/>
  <c r="C32" i="75"/>
  <c r="R31" i="75"/>
  <c r="Q31" i="75"/>
  <c r="M31" i="75"/>
  <c r="N31" i="75" s="1"/>
  <c r="O31" i="75" s="1"/>
  <c r="C31" i="75"/>
  <c r="R30" i="75"/>
  <c r="Q30" i="75"/>
  <c r="M30" i="75"/>
  <c r="N30" i="75" s="1"/>
  <c r="O30" i="75" s="1"/>
  <c r="C30" i="75"/>
  <c r="R29" i="75"/>
  <c r="Q29" i="75"/>
  <c r="M29" i="75"/>
  <c r="N29" i="75" s="1"/>
  <c r="O29" i="75" s="1"/>
  <c r="C29" i="75"/>
  <c r="R28" i="75"/>
  <c r="Q28" i="75"/>
  <c r="M28" i="75"/>
  <c r="N28" i="75" s="1"/>
  <c r="O28" i="75" s="1"/>
  <c r="C28" i="75"/>
  <c r="R27" i="75"/>
  <c r="Q27" i="75"/>
  <c r="M27" i="75"/>
  <c r="N27" i="75" s="1"/>
  <c r="O27" i="75" s="1"/>
  <c r="C27" i="75"/>
  <c r="R26" i="75"/>
  <c r="Q26" i="75"/>
  <c r="M26" i="75"/>
  <c r="N26" i="75" s="1"/>
  <c r="O26" i="75" s="1"/>
  <c r="C26" i="75"/>
  <c r="R25" i="75"/>
  <c r="Q25" i="75"/>
  <c r="M25" i="75"/>
  <c r="N25" i="75" s="1"/>
  <c r="O25" i="75" s="1"/>
  <c r="C25" i="75"/>
  <c r="R24" i="75"/>
  <c r="Q24" i="75"/>
  <c r="M24" i="75"/>
  <c r="N24" i="75" s="1"/>
  <c r="O24" i="75" s="1"/>
  <c r="C24" i="75"/>
  <c r="R23" i="75"/>
  <c r="Q23" i="75"/>
  <c r="M23" i="75"/>
  <c r="N23" i="75" s="1"/>
  <c r="O23" i="75" s="1"/>
  <c r="C23" i="75"/>
  <c r="R22" i="75"/>
  <c r="Q22" i="75"/>
  <c r="M22" i="75"/>
  <c r="N22" i="75" s="1"/>
  <c r="O22" i="75" s="1"/>
  <c r="C22" i="75"/>
  <c r="R21" i="75"/>
  <c r="Q21" i="75"/>
  <c r="M21" i="75"/>
  <c r="N21" i="75" s="1"/>
  <c r="O21" i="75" s="1"/>
  <c r="C21" i="75"/>
  <c r="R20" i="75"/>
  <c r="Q20" i="75"/>
  <c r="M20" i="75"/>
  <c r="N20" i="75" s="1"/>
  <c r="O20" i="75" s="1"/>
  <c r="C20" i="75"/>
  <c r="R19" i="75"/>
  <c r="Q19" i="75"/>
  <c r="M19" i="75"/>
  <c r="N19" i="75" s="1"/>
  <c r="O19" i="75" s="1"/>
  <c r="C19" i="75"/>
  <c r="R18" i="75"/>
  <c r="Q18" i="75"/>
  <c r="M18" i="75"/>
  <c r="N18" i="75" s="1"/>
  <c r="O18" i="75" s="1"/>
  <c r="C18" i="75"/>
  <c r="R17" i="75"/>
  <c r="Q17" i="75"/>
  <c r="M17" i="75"/>
  <c r="N17" i="75" s="1"/>
  <c r="O17" i="75" s="1"/>
  <c r="C17" i="75"/>
  <c r="R16" i="75"/>
  <c r="Q16" i="75"/>
  <c r="M16" i="75"/>
  <c r="N16" i="75" s="1"/>
  <c r="O16" i="75" s="1"/>
  <c r="C16" i="75"/>
  <c r="R15" i="75"/>
  <c r="Q15" i="75"/>
  <c r="M15" i="75"/>
  <c r="N15" i="75" s="1"/>
  <c r="O15" i="75" s="1"/>
  <c r="C15" i="75"/>
  <c r="R14" i="75"/>
  <c r="Q14" i="75"/>
  <c r="M14" i="75"/>
  <c r="N14" i="75" s="1"/>
  <c r="O14" i="75" s="1"/>
  <c r="C14" i="75"/>
  <c r="R13" i="75"/>
  <c r="Q13" i="75"/>
  <c r="M13" i="75"/>
  <c r="N13" i="75" s="1"/>
  <c r="O13" i="75" s="1"/>
  <c r="C13" i="75"/>
  <c r="R12" i="75"/>
  <c r="Q12" i="75"/>
  <c r="M12" i="75"/>
  <c r="N12" i="75" s="1"/>
  <c r="O12" i="75" s="1"/>
  <c r="C12" i="75"/>
  <c r="R11" i="75"/>
  <c r="Q11" i="75"/>
  <c r="M11" i="75"/>
  <c r="N11" i="75" s="1"/>
  <c r="O11" i="75" s="1"/>
  <c r="C11" i="75"/>
  <c r="R10" i="75"/>
  <c r="Q10" i="75"/>
  <c r="M10" i="75"/>
  <c r="N10" i="75" s="1"/>
  <c r="O10" i="75" s="1"/>
  <c r="C10" i="75"/>
  <c r="R9" i="75"/>
  <c r="Q9" i="75"/>
  <c r="M9" i="75"/>
  <c r="N9" i="75" s="1"/>
  <c r="O9" i="75" s="1"/>
  <c r="C9" i="75"/>
  <c r="R8" i="75"/>
  <c r="Q8" i="75"/>
  <c r="M8" i="75"/>
  <c r="N8" i="75" s="1"/>
  <c r="O8" i="75" s="1"/>
  <c r="C8" i="75"/>
  <c r="R7" i="75"/>
  <c r="Q7" i="75"/>
  <c r="M7" i="75"/>
  <c r="N7" i="75" s="1"/>
  <c r="O7" i="75" s="1"/>
  <c r="C7" i="75"/>
  <c r="R6" i="75"/>
  <c r="Q6" i="75"/>
  <c r="M6" i="75"/>
  <c r="N6" i="75" s="1"/>
  <c r="C6" i="75"/>
  <c r="L4" i="75"/>
  <c r="J4" i="75"/>
  <c r="R90" i="74"/>
  <c r="Q90" i="74"/>
  <c r="M90" i="74"/>
  <c r="N90" i="74" s="1"/>
  <c r="O90" i="74" s="1"/>
  <c r="C90" i="74"/>
  <c r="N4" i="75" l="1"/>
  <c r="O6" i="75"/>
  <c r="O4" i="75" s="1"/>
  <c r="R103" i="74"/>
  <c r="Q103" i="74"/>
  <c r="M103" i="74"/>
  <c r="N103" i="74" s="1"/>
  <c r="O103" i="74" s="1"/>
  <c r="C103" i="74"/>
  <c r="R102" i="74"/>
  <c r="Q102" i="74"/>
  <c r="M102" i="74"/>
  <c r="N102" i="74" s="1"/>
  <c r="O102" i="74" s="1"/>
  <c r="C102" i="74"/>
  <c r="R101" i="74"/>
  <c r="Q101" i="74"/>
  <c r="M101" i="74"/>
  <c r="N101" i="74" s="1"/>
  <c r="O101" i="74" s="1"/>
  <c r="C101" i="74"/>
  <c r="R117" i="74" l="1"/>
  <c r="Q117" i="74"/>
  <c r="M117" i="74"/>
  <c r="N117" i="74" s="1"/>
  <c r="O117" i="74" s="1"/>
  <c r="C117" i="74"/>
  <c r="R116" i="74"/>
  <c r="Q116" i="74"/>
  <c r="M116" i="74"/>
  <c r="N116" i="74" s="1"/>
  <c r="O116" i="74" s="1"/>
  <c r="C116" i="74"/>
  <c r="R115" i="74"/>
  <c r="Q115" i="74"/>
  <c r="M115" i="74"/>
  <c r="N115" i="74" s="1"/>
  <c r="O115" i="74" s="1"/>
  <c r="C115" i="74"/>
  <c r="R114" i="74"/>
  <c r="Q114" i="74"/>
  <c r="M114" i="74"/>
  <c r="N114" i="74" s="1"/>
  <c r="O114" i="74" s="1"/>
  <c r="C114" i="74"/>
  <c r="R113" i="74"/>
  <c r="Q113" i="74"/>
  <c r="M113" i="74"/>
  <c r="N113" i="74" s="1"/>
  <c r="O113" i="74" s="1"/>
  <c r="C113" i="74"/>
  <c r="R112" i="74"/>
  <c r="Q112" i="74"/>
  <c r="M112" i="74"/>
  <c r="N112" i="74" s="1"/>
  <c r="O112" i="74" s="1"/>
  <c r="C112" i="74"/>
  <c r="R111" i="74"/>
  <c r="Q111" i="74"/>
  <c r="M111" i="74"/>
  <c r="N111" i="74" s="1"/>
  <c r="O111" i="74" s="1"/>
  <c r="C111" i="74"/>
  <c r="R110" i="74"/>
  <c r="Q110" i="74"/>
  <c r="M110" i="74"/>
  <c r="N110" i="74" s="1"/>
  <c r="O110" i="74" s="1"/>
  <c r="C110" i="74"/>
  <c r="R109" i="74"/>
  <c r="Q109" i="74"/>
  <c r="M109" i="74"/>
  <c r="N109" i="74" s="1"/>
  <c r="O109" i="74" s="1"/>
  <c r="C109" i="74"/>
  <c r="R108" i="74"/>
  <c r="Q108" i="74"/>
  <c r="M108" i="74"/>
  <c r="N108" i="74" s="1"/>
  <c r="O108" i="74" s="1"/>
  <c r="C108" i="74"/>
  <c r="R107" i="74"/>
  <c r="Q107" i="74"/>
  <c r="M107" i="74"/>
  <c r="N107" i="74" s="1"/>
  <c r="O107" i="74" s="1"/>
  <c r="C107" i="74"/>
  <c r="R106" i="74"/>
  <c r="Q106" i="74"/>
  <c r="M106" i="74"/>
  <c r="N106" i="74" s="1"/>
  <c r="O106" i="74" s="1"/>
  <c r="C106" i="74"/>
  <c r="R105" i="74"/>
  <c r="Q105" i="74"/>
  <c r="M105" i="74"/>
  <c r="N105" i="74" s="1"/>
  <c r="O105" i="74" s="1"/>
  <c r="C105" i="74"/>
  <c r="R104" i="74"/>
  <c r="Q104" i="74"/>
  <c r="M104" i="74"/>
  <c r="N104" i="74" s="1"/>
  <c r="O104" i="74" s="1"/>
  <c r="C104" i="74"/>
  <c r="R100" i="74"/>
  <c r="Q100" i="74"/>
  <c r="M100" i="74"/>
  <c r="N100" i="74" s="1"/>
  <c r="O100" i="74" s="1"/>
  <c r="C100" i="74"/>
  <c r="R99" i="74"/>
  <c r="Q99" i="74"/>
  <c r="M99" i="74"/>
  <c r="N99" i="74" s="1"/>
  <c r="O99" i="74" s="1"/>
  <c r="C99" i="74"/>
  <c r="R98" i="74"/>
  <c r="Q98" i="74"/>
  <c r="M98" i="74"/>
  <c r="N98" i="74" s="1"/>
  <c r="O98" i="74" s="1"/>
  <c r="C98" i="74"/>
  <c r="R97" i="74"/>
  <c r="Q97" i="74"/>
  <c r="M97" i="74"/>
  <c r="N97" i="74" s="1"/>
  <c r="O97" i="74" s="1"/>
  <c r="C97" i="74"/>
  <c r="R96" i="74"/>
  <c r="Q96" i="74"/>
  <c r="M96" i="74"/>
  <c r="N96" i="74" s="1"/>
  <c r="O96" i="74" s="1"/>
  <c r="C96" i="74"/>
  <c r="R95" i="74"/>
  <c r="Q95" i="74"/>
  <c r="M95" i="74"/>
  <c r="N95" i="74" s="1"/>
  <c r="O95" i="74" s="1"/>
  <c r="C95" i="74"/>
  <c r="R94" i="74"/>
  <c r="Q94" i="74"/>
  <c r="M94" i="74"/>
  <c r="N94" i="74" s="1"/>
  <c r="O94" i="74" s="1"/>
  <c r="C94" i="74"/>
  <c r="R93" i="74"/>
  <c r="Q93" i="74"/>
  <c r="M93" i="74"/>
  <c r="N93" i="74" s="1"/>
  <c r="O93" i="74" s="1"/>
  <c r="C93" i="74"/>
  <c r="R92" i="74"/>
  <c r="Q92" i="74"/>
  <c r="M92" i="74"/>
  <c r="N92" i="74" s="1"/>
  <c r="O92" i="74" s="1"/>
  <c r="C92" i="74"/>
  <c r="R91" i="74"/>
  <c r="Q91" i="74"/>
  <c r="M91" i="74"/>
  <c r="N91" i="74" s="1"/>
  <c r="O91" i="74" s="1"/>
  <c r="C91" i="74"/>
  <c r="R89" i="74"/>
  <c r="Q89" i="74"/>
  <c r="M89" i="74"/>
  <c r="N89" i="74" s="1"/>
  <c r="O89" i="74" s="1"/>
  <c r="C89" i="74"/>
  <c r="R88" i="74"/>
  <c r="Q88" i="74"/>
  <c r="M88" i="74"/>
  <c r="N88" i="74" s="1"/>
  <c r="O88" i="74" s="1"/>
  <c r="C88" i="74"/>
  <c r="R87" i="74"/>
  <c r="Q87" i="74"/>
  <c r="M87" i="74"/>
  <c r="N87" i="74" s="1"/>
  <c r="O87" i="74" s="1"/>
  <c r="C87" i="74"/>
  <c r="R86" i="74"/>
  <c r="Q86" i="74"/>
  <c r="M86" i="74"/>
  <c r="N86" i="74" s="1"/>
  <c r="O86" i="74" s="1"/>
  <c r="C86" i="74"/>
  <c r="R85" i="74"/>
  <c r="Q85" i="74"/>
  <c r="M85" i="74"/>
  <c r="N85" i="74" s="1"/>
  <c r="O85" i="74" s="1"/>
  <c r="C85" i="74"/>
  <c r="R84" i="74"/>
  <c r="Q84" i="74"/>
  <c r="M84" i="74"/>
  <c r="N84" i="74" s="1"/>
  <c r="O84" i="74" s="1"/>
  <c r="C84" i="74"/>
  <c r="R83" i="74"/>
  <c r="Q83" i="74"/>
  <c r="M83" i="74"/>
  <c r="N83" i="74" s="1"/>
  <c r="O83" i="74" s="1"/>
  <c r="C83" i="74"/>
  <c r="R82" i="74"/>
  <c r="Q82" i="74"/>
  <c r="M82" i="74"/>
  <c r="N82" i="74" s="1"/>
  <c r="O82" i="74" s="1"/>
  <c r="C82" i="74"/>
  <c r="R81" i="74"/>
  <c r="Q81" i="74"/>
  <c r="M81" i="74"/>
  <c r="N81" i="74" s="1"/>
  <c r="O81" i="74" s="1"/>
  <c r="C81" i="74"/>
  <c r="R80" i="74"/>
  <c r="Q80" i="74"/>
  <c r="M80" i="74"/>
  <c r="N80" i="74" s="1"/>
  <c r="O80" i="74" s="1"/>
  <c r="C80" i="74"/>
  <c r="R79" i="74"/>
  <c r="Q79" i="74"/>
  <c r="M79" i="74"/>
  <c r="N79" i="74" s="1"/>
  <c r="O79" i="74" s="1"/>
  <c r="C79" i="74"/>
  <c r="R78" i="74"/>
  <c r="Q78" i="74"/>
  <c r="M78" i="74"/>
  <c r="N78" i="74" s="1"/>
  <c r="O78" i="74" s="1"/>
  <c r="C78" i="74"/>
  <c r="R77" i="74"/>
  <c r="Q77" i="74"/>
  <c r="M77" i="74"/>
  <c r="N77" i="74" s="1"/>
  <c r="O77" i="74" s="1"/>
  <c r="C77" i="74"/>
  <c r="R76" i="74"/>
  <c r="Q76" i="74"/>
  <c r="M76" i="74"/>
  <c r="N76" i="74" s="1"/>
  <c r="O76" i="74" s="1"/>
  <c r="C76" i="74"/>
  <c r="R75" i="74"/>
  <c r="Q75" i="74"/>
  <c r="M75" i="74"/>
  <c r="N75" i="74" s="1"/>
  <c r="O75" i="74" s="1"/>
  <c r="C75" i="74"/>
  <c r="R74" i="74"/>
  <c r="Q74" i="74"/>
  <c r="M74" i="74"/>
  <c r="N74" i="74" s="1"/>
  <c r="O74" i="74" s="1"/>
  <c r="C74" i="74"/>
  <c r="R73" i="74"/>
  <c r="Q73" i="74"/>
  <c r="M73" i="74"/>
  <c r="N73" i="74" s="1"/>
  <c r="O73" i="74" s="1"/>
  <c r="C73" i="74"/>
  <c r="R72" i="74"/>
  <c r="Q72" i="74"/>
  <c r="M72" i="74"/>
  <c r="N72" i="74" s="1"/>
  <c r="O72" i="74" s="1"/>
  <c r="C72" i="74"/>
  <c r="R71" i="74"/>
  <c r="Q71" i="74"/>
  <c r="M71" i="74"/>
  <c r="N71" i="74" s="1"/>
  <c r="O71" i="74" s="1"/>
  <c r="C71" i="74"/>
  <c r="R70" i="74"/>
  <c r="Q70" i="74"/>
  <c r="M70" i="74"/>
  <c r="N70" i="74" s="1"/>
  <c r="O70" i="74" s="1"/>
  <c r="C70" i="74"/>
  <c r="R69" i="74"/>
  <c r="Q69" i="74"/>
  <c r="M69" i="74"/>
  <c r="N69" i="74" s="1"/>
  <c r="O69" i="74" s="1"/>
  <c r="C69" i="74"/>
  <c r="R68" i="74"/>
  <c r="Q68" i="74"/>
  <c r="M68" i="74"/>
  <c r="N68" i="74" s="1"/>
  <c r="O68" i="74" s="1"/>
  <c r="C68" i="74"/>
  <c r="R67" i="74"/>
  <c r="Q67" i="74"/>
  <c r="M67" i="74"/>
  <c r="N67" i="74" s="1"/>
  <c r="O67" i="74" s="1"/>
  <c r="C67" i="74"/>
  <c r="R66" i="74"/>
  <c r="Q66" i="74"/>
  <c r="M66" i="74"/>
  <c r="N66" i="74" s="1"/>
  <c r="O66" i="74" s="1"/>
  <c r="C66" i="74"/>
  <c r="R65" i="74"/>
  <c r="Q65" i="74"/>
  <c r="M65" i="74"/>
  <c r="N65" i="74" s="1"/>
  <c r="O65" i="74" s="1"/>
  <c r="C65" i="74"/>
  <c r="R64" i="74"/>
  <c r="Q64" i="74"/>
  <c r="M64" i="74"/>
  <c r="N64" i="74" s="1"/>
  <c r="O64" i="74" s="1"/>
  <c r="C64" i="74"/>
  <c r="R63" i="74"/>
  <c r="Q63" i="74"/>
  <c r="M63" i="74"/>
  <c r="N63" i="74" s="1"/>
  <c r="O63" i="74" s="1"/>
  <c r="C63" i="74"/>
  <c r="R62" i="74"/>
  <c r="Q62" i="74"/>
  <c r="M62" i="74"/>
  <c r="N62" i="74" s="1"/>
  <c r="O62" i="74" s="1"/>
  <c r="C62" i="74"/>
  <c r="R61" i="74"/>
  <c r="Q61" i="74"/>
  <c r="M61" i="74"/>
  <c r="N61" i="74" s="1"/>
  <c r="O61" i="74" s="1"/>
  <c r="C61" i="74"/>
  <c r="R60" i="74"/>
  <c r="Q60" i="74"/>
  <c r="M60" i="74"/>
  <c r="N60" i="74" s="1"/>
  <c r="O60" i="74" s="1"/>
  <c r="C60" i="74"/>
  <c r="R59" i="74"/>
  <c r="Q59" i="74"/>
  <c r="M59" i="74"/>
  <c r="N59" i="74" s="1"/>
  <c r="O59" i="74" s="1"/>
  <c r="C59" i="74"/>
  <c r="R58" i="74"/>
  <c r="Q58" i="74"/>
  <c r="M58" i="74"/>
  <c r="N58" i="74" s="1"/>
  <c r="O58" i="74" s="1"/>
  <c r="C58" i="74"/>
  <c r="R57" i="74"/>
  <c r="Q57" i="74"/>
  <c r="M57" i="74"/>
  <c r="N57" i="74" s="1"/>
  <c r="O57" i="74" s="1"/>
  <c r="C57" i="74"/>
  <c r="R56" i="74"/>
  <c r="Q56" i="74"/>
  <c r="M56" i="74"/>
  <c r="N56" i="74" s="1"/>
  <c r="O56" i="74" s="1"/>
  <c r="C56" i="74"/>
  <c r="R55" i="74"/>
  <c r="Q55" i="74"/>
  <c r="M55" i="74"/>
  <c r="N55" i="74" s="1"/>
  <c r="O55" i="74" s="1"/>
  <c r="C55" i="74"/>
  <c r="R54" i="74"/>
  <c r="Q54" i="74"/>
  <c r="M54" i="74"/>
  <c r="N54" i="74" s="1"/>
  <c r="O54" i="74" s="1"/>
  <c r="C54" i="74"/>
  <c r="R53" i="74"/>
  <c r="Q53" i="74"/>
  <c r="M53" i="74"/>
  <c r="N53" i="74" s="1"/>
  <c r="O53" i="74" s="1"/>
  <c r="C53" i="74"/>
  <c r="R52" i="74"/>
  <c r="Q52" i="74"/>
  <c r="M52" i="74"/>
  <c r="N52" i="74" s="1"/>
  <c r="O52" i="74" s="1"/>
  <c r="C52" i="74"/>
  <c r="R51" i="74"/>
  <c r="Q51" i="74"/>
  <c r="M51" i="74"/>
  <c r="N51" i="74" s="1"/>
  <c r="O51" i="74" s="1"/>
  <c r="C51" i="74"/>
  <c r="R50" i="74"/>
  <c r="Q50" i="74"/>
  <c r="M50" i="74"/>
  <c r="N50" i="74" s="1"/>
  <c r="O50" i="74" s="1"/>
  <c r="C50" i="74"/>
  <c r="R49" i="74"/>
  <c r="Q49" i="74"/>
  <c r="M49" i="74"/>
  <c r="N49" i="74" s="1"/>
  <c r="O49" i="74" s="1"/>
  <c r="C49" i="74"/>
  <c r="R48" i="74"/>
  <c r="Q48" i="74"/>
  <c r="M48" i="74"/>
  <c r="N48" i="74" s="1"/>
  <c r="O48" i="74" s="1"/>
  <c r="C48" i="74"/>
  <c r="R47" i="74"/>
  <c r="Q47" i="74"/>
  <c r="M47" i="74"/>
  <c r="N47" i="74" s="1"/>
  <c r="O47" i="74" s="1"/>
  <c r="C47" i="74"/>
  <c r="R46" i="74"/>
  <c r="Q46" i="74"/>
  <c r="M46" i="74"/>
  <c r="N46" i="74" s="1"/>
  <c r="O46" i="74" s="1"/>
  <c r="C46" i="74"/>
  <c r="R45" i="74"/>
  <c r="Q45" i="74"/>
  <c r="M45" i="74"/>
  <c r="N45" i="74" s="1"/>
  <c r="O45" i="74" s="1"/>
  <c r="C45" i="74"/>
  <c r="R44" i="74"/>
  <c r="Q44" i="74"/>
  <c r="M44" i="74"/>
  <c r="N44" i="74" s="1"/>
  <c r="O44" i="74" s="1"/>
  <c r="C44" i="74"/>
  <c r="R43" i="74"/>
  <c r="Q43" i="74"/>
  <c r="M43" i="74"/>
  <c r="N43" i="74" s="1"/>
  <c r="O43" i="74" s="1"/>
  <c r="C43" i="74"/>
  <c r="R42" i="74"/>
  <c r="Q42" i="74"/>
  <c r="M42" i="74"/>
  <c r="N42" i="74" s="1"/>
  <c r="O42" i="74" s="1"/>
  <c r="C42" i="74"/>
  <c r="R41" i="74"/>
  <c r="Q41" i="74"/>
  <c r="M41" i="74"/>
  <c r="N41" i="74" s="1"/>
  <c r="O41" i="74" s="1"/>
  <c r="C41" i="74"/>
  <c r="R40" i="74"/>
  <c r="Q40" i="74"/>
  <c r="M40" i="74"/>
  <c r="N40" i="74" s="1"/>
  <c r="O40" i="74" s="1"/>
  <c r="C40" i="74"/>
  <c r="R39" i="74"/>
  <c r="Q39" i="74"/>
  <c r="M39" i="74"/>
  <c r="N39" i="74" s="1"/>
  <c r="O39" i="74" s="1"/>
  <c r="C39" i="74"/>
  <c r="R38" i="74"/>
  <c r="Q38" i="74"/>
  <c r="M38" i="74"/>
  <c r="N38" i="74" s="1"/>
  <c r="O38" i="74" s="1"/>
  <c r="C38" i="74"/>
  <c r="R37" i="74"/>
  <c r="Q37" i="74"/>
  <c r="M37" i="74"/>
  <c r="N37" i="74" s="1"/>
  <c r="O37" i="74" s="1"/>
  <c r="C37" i="74"/>
  <c r="R36" i="74"/>
  <c r="Q36" i="74"/>
  <c r="M36" i="74"/>
  <c r="N36" i="74" s="1"/>
  <c r="O36" i="74" s="1"/>
  <c r="C36" i="74"/>
  <c r="R35" i="74"/>
  <c r="Q35" i="74"/>
  <c r="M35" i="74"/>
  <c r="N35" i="74" s="1"/>
  <c r="O35" i="74" s="1"/>
  <c r="C35" i="74"/>
  <c r="R34" i="74"/>
  <c r="Q34" i="74"/>
  <c r="M34" i="74"/>
  <c r="N34" i="74" s="1"/>
  <c r="O34" i="74" s="1"/>
  <c r="C34" i="74"/>
  <c r="R33" i="74"/>
  <c r="Q33" i="74"/>
  <c r="M33" i="74"/>
  <c r="N33" i="74" s="1"/>
  <c r="O33" i="74" s="1"/>
  <c r="C33" i="74"/>
  <c r="R32" i="74"/>
  <c r="Q32" i="74"/>
  <c r="M32" i="74"/>
  <c r="N32" i="74" s="1"/>
  <c r="O32" i="74" s="1"/>
  <c r="C32" i="74"/>
  <c r="R31" i="74"/>
  <c r="Q31" i="74"/>
  <c r="M31" i="74"/>
  <c r="N31" i="74" s="1"/>
  <c r="O31" i="74" s="1"/>
  <c r="C31" i="74"/>
  <c r="R30" i="74"/>
  <c r="Q30" i="74"/>
  <c r="M30" i="74"/>
  <c r="N30" i="74" s="1"/>
  <c r="O30" i="74" s="1"/>
  <c r="C30" i="74"/>
  <c r="R29" i="74"/>
  <c r="Q29" i="74"/>
  <c r="M29" i="74"/>
  <c r="N29" i="74" s="1"/>
  <c r="O29" i="74" s="1"/>
  <c r="C29" i="74"/>
  <c r="R28" i="74"/>
  <c r="Q28" i="74"/>
  <c r="M28" i="74"/>
  <c r="N28" i="74" s="1"/>
  <c r="O28" i="74" s="1"/>
  <c r="C28" i="74"/>
  <c r="R27" i="74"/>
  <c r="Q27" i="74"/>
  <c r="M27" i="74"/>
  <c r="N27" i="74" s="1"/>
  <c r="O27" i="74" s="1"/>
  <c r="C27" i="74"/>
  <c r="R26" i="74"/>
  <c r="Q26" i="74"/>
  <c r="M26" i="74"/>
  <c r="N26" i="74" s="1"/>
  <c r="O26" i="74" s="1"/>
  <c r="C26" i="74"/>
  <c r="R25" i="74"/>
  <c r="Q25" i="74"/>
  <c r="M25" i="74"/>
  <c r="N25" i="74" s="1"/>
  <c r="O25" i="74" s="1"/>
  <c r="C25" i="74"/>
  <c r="R24" i="74"/>
  <c r="Q24" i="74"/>
  <c r="M24" i="74"/>
  <c r="N24" i="74" s="1"/>
  <c r="O24" i="74" s="1"/>
  <c r="C24" i="74"/>
  <c r="R23" i="74"/>
  <c r="Q23" i="74"/>
  <c r="M23" i="74"/>
  <c r="N23" i="74" s="1"/>
  <c r="O23" i="74" s="1"/>
  <c r="C23" i="74"/>
  <c r="R22" i="74"/>
  <c r="Q22" i="74"/>
  <c r="M22" i="74"/>
  <c r="N22" i="74" s="1"/>
  <c r="O22" i="74" s="1"/>
  <c r="C22" i="74"/>
  <c r="R21" i="74"/>
  <c r="Q21" i="74"/>
  <c r="M21" i="74"/>
  <c r="N21" i="74" s="1"/>
  <c r="O21" i="74" s="1"/>
  <c r="C21" i="74"/>
  <c r="R20" i="74"/>
  <c r="Q20" i="74"/>
  <c r="M20" i="74"/>
  <c r="N20" i="74" s="1"/>
  <c r="O20" i="74" s="1"/>
  <c r="C20" i="74"/>
  <c r="R19" i="74"/>
  <c r="Q19" i="74"/>
  <c r="M19" i="74"/>
  <c r="N19" i="74" s="1"/>
  <c r="O19" i="74" s="1"/>
  <c r="C19" i="74"/>
  <c r="R18" i="74"/>
  <c r="Q18" i="74"/>
  <c r="M18" i="74"/>
  <c r="N18" i="74" s="1"/>
  <c r="O18" i="74" s="1"/>
  <c r="C18" i="74"/>
  <c r="R17" i="74"/>
  <c r="Q17" i="74"/>
  <c r="M17" i="74"/>
  <c r="N17" i="74" s="1"/>
  <c r="O17" i="74" s="1"/>
  <c r="C17" i="74"/>
  <c r="R16" i="74"/>
  <c r="Q16" i="74"/>
  <c r="M16" i="74"/>
  <c r="N16" i="74" s="1"/>
  <c r="O16" i="74" s="1"/>
  <c r="C16" i="74"/>
  <c r="R15" i="74"/>
  <c r="Q15" i="74"/>
  <c r="M15" i="74"/>
  <c r="N15" i="74" s="1"/>
  <c r="O15" i="74" s="1"/>
  <c r="C15" i="74"/>
  <c r="R14" i="74"/>
  <c r="Q14" i="74"/>
  <c r="M14" i="74"/>
  <c r="N14" i="74" s="1"/>
  <c r="O14" i="74" s="1"/>
  <c r="C14" i="74"/>
  <c r="R13" i="74"/>
  <c r="Q13" i="74"/>
  <c r="M13" i="74"/>
  <c r="N13" i="74" s="1"/>
  <c r="O13" i="74" s="1"/>
  <c r="C13" i="74"/>
  <c r="R12" i="74"/>
  <c r="Q12" i="74"/>
  <c r="M12" i="74"/>
  <c r="N12" i="74" s="1"/>
  <c r="O12" i="74" s="1"/>
  <c r="C12" i="74"/>
  <c r="R11" i="74"/>
  <c r="Q11" i="74"/>
  <c r="M11" i="74"/>
  <c r="N11" i="74" s="1"/>
  <c r="O11" i="74" s="1"/>
  <c r="C11" i="74"/>
  <c r="R10" i="74"/>
  <c r="Q10" i="74"/>
  <c r="M10" i="74"/>
  <c r="N10" i="74" s="1"/>
  <c r="O10" i="74" s="1"/>
  <c r="C10" i="74"/>
  <c r="R9" i="74"/>
  <c r="Q9" i="74"/>
  <c r="M9" i="74"/>
  <c r="N9" i="74" s="1"/>
  <c r="O9" i="74" s="1"/>
  <c r="C9" i="74"/>
  <c r="R8" i="74"/>
  <c r="Q8" i="74"/>
  <c r="M8" i="74"/>
  <c r="N8" i="74" s="1"/>
  <c r="O8" i="74" s="1"/>
  <c r="C8" i="74"/>
  <c r="R7" i="74"/>
  <c r="Q7" i="74"/>
  <c r="M7" i="74"/>
  <c r="N7" i="74" s="1"/>
  <c r="O7" i="74" s="1"/>
  <c r="C7" i="74"/>
  <c r="R6" i="74"/>
  <c r="Q6" i="74"/>
  <c r="M6" i="74"/>
  <c r="N6" i="74" s="1"/>
  <c r="C6" i="74"/>
  <c r="L4" i="74"/>
  <c r="J4" i="74"/>
  <c r="C92" i="73"/>
  <c r="R92" i="73"/>
  <c r="Q92" i="73"/>
  <c r="M92" i="73"/>
  <c r="N92" i="73" s="1"/>
  <c r="O92" i="73" s="1"/>
  <c r="O6" i="74" l="1"/>
  <c r="O4" i="74" s="1"/>
  <c r="N4" i="74"/>
  <c r="R62" i="73"/>
  <c r="Q62" i="73"/>
  <c r="M62" i="73"/>
  <c r="N62" i="73" s="1"/>
  <c r="O62" i="73" s="1"/>
  <c r="C62" i="73"/>
  <c r="R61" i="73"/>
  <c r="Q61" i="73"/>
  <c r="M61" i="73"/>
  <c r="N61" i="73" s="1"/>
  <c r="O61" i="73" s="1"/>
  <c r="C61" i="73"/>
  <c r="R60" i="73"/>
  <c r="Q60" i="73"/>
  <c r="M60" i="73"/>
  <c r="N60" i="73" s="1"/>
  <c r="O60" i="73" s="1"/>
  <c r="C60" i="73"/>
  <c r="R140" i="73" l="1"/>
  <c r="Q140" i="73"/>
  <c r="M140" i="73"/>
  <c r="N140" i="73" s="1"/>
  <c r="O140" i="73" s="1"/>
  <c r="C140" i="73"/>
  <c r="R139" i="73"/>
  <c r="Q139" i="73"/>
  <c r="M139" i="73"/>
  <c r="N139" i="73" s="1"/>
  <c r="O139" i="73" s="1"/>
  <c r="C139" i="73"/>
  <c r="R138" i="73"/>
  <c r="Q138" i="73"/>
  <c r="M138" i="73"/>
  <c r="N138" i="73" s="1"/>
  <c r="O138" i="73" s="1"/>
  <c r="C138" i="73"/>
  <c r="R137" i="73"/>
  <c r="Q137" i="73"/>
  <c r="M137" i="73"/>
  <c r="N137" i="73" s="1"/>
  <c r="O137" i="73" s="1"/>
  <c r="C137" i="73"/>
  <c r="R136" i="73"/>
  <c r="Q136" i="73"/>
  <c r="M136" i="73"/>
  <c r="N136" i="73" s="1"/>
  <c r="O136" i="73" s="1"/>
  <c r="C136" i="73"/>
  <c r="R135" i="73"/>
  <c r="Q135" i="73"/>
  <c r="M135" i="73"/>
  <c r="N135" i="73" s="1"/>
  <c r="O135" i="73" s="1"/>
  <c r="C135" i="73"/>
  <c r="R134" i="73"/>
  <c r="Q134" i="73"/>
  <c r="M134" i="73"/>
  <c r="N134" i="73" s="1"/>
  <c r="O134" i="73" s="1"/>
  <c r="C134" i="73"/>
  <c r="R133" i="73"/>
  <c r="Q133" i="73"/>
  <c r="M133" i="73"/>
  <c r="N133" i="73" s="1"/>
  <c r="O133" i="73" s="1"/>
  <c r="C133" i="73"/>
  <c r="R132" i="73"/>
  <c r="Q132" i="73"/>
  <c r="M132" i="73"/>
  <c r="N132" i="73" s="1"/>
  <c r="O132" i="73" s="1"/>
  <c r="C132" i="73"/>
  <c r="R131" i="73"/>
  <c r="Q131" i="73"/>
  <c r="M131" i="73"/>
  <c r="N131" i="73" s="1"/>
  <c r="O131" i="73" s="1"/>
  <c r="C131" i="73"/>
  <c r="R130" i="73"/>
  <c r="Q130" i="73"/>
  <c r="M130" i="73"/>
  <c r="N130" i="73" s="1"/>
  <c r="O130" i="73" s="1"/>
  <c r="C130" i="73"/>
  <c r="R129" i="73"/>
  <c r="Q129" i="73"/>
  <c r="M129" i="73"/>
  <c r="N129" i="73" s="1"/>
  <c r="O129" i="73" s="1"/>
  <c r="C129" i="73"/>
  <c r="R128" i="73"/>
  <c r="Q128" i="73"/>
  <c r="M128" i="73"/>
  <c r="N128" i="73" s="1"/>
  <c r="O128" i="73" s="1"/>
  <c r="C128" i="73"/>
  <c r="R127" i="73"/>
  <c r="Q127" i="73"/>
  <c r="M127" i="73"/>
  <c r="N127" i="73" s="1"/>
  <c r="O127" i="73" s="1"/>
  <c r="C127" i="73"/>
  <c r="R126" i="73"/>
  <c r="Q126" i="73"/>
  <c r="M126" i="73"/>
  <c r="N126" i="73" s="1"/>
  <c r="O126" i="73" s="1"/>
  <c r="C126" i="73"/>
  <c r="R125" i="73"/>
  <c r="Q125" i="73"/>
  <c r="M125" i="73"/>
  <c r="N125" i="73" s="1"/>
  <c r="O125" i="73" s="1"/>
  <c r="C125" i="73"/>
  <c r="R124" i="73"/>
  <c r="Q124" i="73"/>
  <c r="M124" i="73"/>
  <c r="N124" i="73" s="1"/>
  <c r="O124" i="73" s="1"/>
  <c r="C124" i="73"/>
  <c r="R123" i="73"/>
  <c r="Q123" i="73"/>
  <c r="M123" i="73"/>
  <c r="N123" i="73" s="1"/>
  <c r="O123" i="73" s="1"/>
  <c r="C123" i="73"/>
  <c r="R122" i="73"/>
  <c r="Q122" i="73"/>
  <c r="M122" i="73"/>
  <c r="N122" i="73" s="1"/>
  <c r="O122" i="73" s="1"/>
  <c r="C122" i="73"/>
  <c r="R121" i="73"/>
  <c r="Q121" i="73"/>
  <c r="M121" i="73"/>
  <c r="N121" i="73" s="1"/>
  <c r="O121" i="73" s="1"/>
  <c r="C121" i="73"/>
  <c r="R120" i="73"/>
  <c r="Q120" i="73"/>
  <c r="M120" i="73"/>
  <c r="N120" i="73" s="1"/>
  <c r="O120" i="73" s="1"/>
  <c r="C120" i="73"/>
  <c r="R119" i="73"/>
  <c r="Q119" i="73"/>
  <c r="M119" i="73"/>
  <c r="N119" i="73" s="1"/>
  <c r="O119" i="73" s="1"/>
  <c r="C119" i="73"/>
  <c r="R118" i="73"/>
  <c r="Q118" i="73"/>
  <c r="M118" i="73"/>
  <c r="N118" i="73" s="1"/>
  <c r="O118" i="73" s="1"/>
  <c r="C118" i="73"/>
  <c r="R117" i="73"/>
  <c r="Q117" i="73"/>
  <c r="M117" i="73"/>
  <c r="N117" i="73" s="1"/>
  <c r="O117" i="73" s="1"/>
  <c r="C117" i="73"/>
  <c r="R116" i="73"/>
  <c r="Q116" i="73"/>
  <c r="M116" i="73"/>
  <c r="N116" i="73" s="1"/>
  <c r="O116" i="73" s="1"/>
  <c r="C116" i="73"/>
  <c r="R115" i="73"/>
  <c r="Q115" i="73"/>
  <c r="M115" i="73"/>
  <c r="N115" i="73" s="1"/>
  <c r="O115" i="73" s="1"/>
  <c r="C115" i="73"/>
  <c r="R114" i="73"/>
  <c r="Q114" i="73"/>
  <c r="M114" i="73"/>
  <c r="N114" i="73" s="1"/>
  <c r="O114" i="73" s="1"/>
  <c r="C114" i="73"/>
  <c r="R113" i="73"/>
  <c r="Q113" i="73"/>
  <c r="M113" i="73"/>
  <c r="N113" i="73" s="1"/>
  <c r="O113" i="73" s="1"/>
  <c r="C113" i="73"/>
  <c r="R112" i="73"/>
  <c r="Q112" i="73"/>
  <c r="M112" i="73"/>
  <c r="N112" i="73" s="1"/>
  <c r="O112" i="73" s="1"/>
  <c r="C112" i="73"/>
  <c r="R111" i="73"/>
  <c r="Q111" i="73"/>
  <c r="M111" i="73"/>
  <c r="N111" i="73" s="1"/>
  <c r="O111" i="73" s="1"/>
  <c r="C111" i="73"/>
  <c r="R110" i="73"/>
  <c r="Q110" i="73"/>
  <c r="M110" i="73"/>
  <c r="N110" i="73" s="1"/>
  <c r="O110" i="73" s="1"/>
  <c r="C110" i="73"/>
  <c r="R109" i="73"/>
  <c r="Q109" i="73"/>
  <c r="M109" i="73"/>
  <c r="N109" i="73" s="1"/>
  <c r="O109" i="73" s="1"/>
  <c r="C109" i="73"/>
  <c r="R108" i="73"/>
  <c r="Q108" i="73"/>
  <c r="M108" i="73"/>
  <c r="N108" i="73" s="1"/>
  <c r="O108" i="73" s="1"/>
  <c r="C108" i="73"/>
  <c r="R107" i="73"/>
  <c r="Q107" i="73"/>
  <c r="M107" i="73"/>
  <c r="N107" i="73" s="1"/>
  <c r="O107" i="73" s="1"/>
  <c r="C107" i="73"/>
  <c r="R106" i="73"/>
  <c r="Q106" i="73"/>
  <c r="M106" i="73"/>
  <c r="N106" i="73" s="1"/>
  <c r="O106" i="73" s="1"/>
  <c r="C106" i="73"/>
  <c r="R105" i="73"/>
  <c r="Q105" i="73"/>
  <c r="M105" i="73"/>
  <c r="N105" i="73" s="1"/>
  <c r="O105" i="73" s="1"/>
  <c r="C105" i="73"/>
  <c r="R104" i="73"/>
  <c r="Q104" i="73"/>
  <c r="M104" i="73"/>
  <c r="N104" i="73" s="1"/>
  <c r="O104" i="73" s="1"/>
  <c r="C104" i="73"/>
  <c r="R103" i="73"/>
  <c r="Q103" i="73"/>
  <c r="M103" i="73"/>
  <c r="N103" i="73" s="1"/>
  <c r="O103" i="73" s="1"/>
  <c r="C103" i="73"/>
  <c r="R102" i="73"/>
  <c r="Q102" i="73"/>
  <c r="M102" i="73"/>
  <c r="N102" i="73" s="1"/>
  <c r="O102" i="73" s="1"/>
  <c r="C102" i="73"/>
  <c r="R101" i="73"/>
  <c r="Q101" i="73"/>
  <c r="M101" i="73"/>
  <c r="N101" i="73" s="1"/>
  <c r="O101" i="73" s="1"/>
  <c r="C101" i="73"/>
  <c r="R100" i="73"/>
  <c r="Q100" i="73"/>
  <c r="M100" i="73"/>
  <c r="N100" i="73" s="1"/>
  <c r="O100" i="73" s="1"/>
  <c r="C100" i="73"/>
  <c r="R99" i="73"/>
  <c r="Q99" i="73"/>
  <c r="M99" i="73"/>
  <c r="N99" i="73" s="1"/>
  <c r="O99" i="73" s="1"/>
  <c r="C99" i="73"/>
  <c r="R98" i="73"/>
  <c r="Q98" i="73"/>
  <c r="M98" i="73"/>
  <c r="N98" i="73" s="1"/>
  <c r="O98" i="73" s="1"/>
  <c r="C98" i="73"/>
  <c r="R97" i="73"/>
  <c r="Q97" i="73"/>
  <c r="M97" i="73"/>
  <c r="N97" i="73" s="1"/>
  <c r="O97" i="73" s="1"/>
  <c r="C97" i="73"/>
  <c r="R96" i="73"/>
  <c r="Q96" i="73"/>
  <c r="M96" i="73"/>
  <c r="N96" i="73" s="1"/>
  <c r="O96" i="73" s="1"/>
  <c r="C96" i="73"/>
  <c r="R95" i="73"/>
  <c r="Q95" i="73"/>
  <c r="M95" i="73"/>
  <c r="N95" i="73" s="1"/>
  <c r="O95" i="73" s="1"/>
  <c r="C95" i="73"/>
  <c r="R94" i="73"/>
  <c r="Q94" i="73"/>
  <c r="M94" i="73"/>
  <c r="N94" i="73" s="1"/>
  <c r="O94" i="73" s="1"/>
  <c r="C94" i="73"/>
  <c r="R93" i="73"/>
  <c r="Q93" i="73"/>
  <c r="M93" i="73"/>
  <c r="N93" i="73" s="1"/>
  <c r="O93" i="73" s="1"/>
  <c r="C93" i="73"/>
  <c r="R91" i="73"/>
  <c r="Q91" i="73"/>
  <c r="M91" i="73"/>
  <c r="N91" i="73" s="1"/>
  <c r="O91" i="73" s="1"/>
  <c r="C91" i="73"/>
  <c r="R90" i="73"/>
  <c r="Q90" i="73"/>
  <c r="M90" i="73"/>
  <c r="N90" i="73" s="1"/>
  <c r="O90" i="73" s="1"/>
  <c r="C90" i="73"/>
  <c r="R89" i="73"/>
  <c r="Q89" i="73"/>
  <c r="M89" i="73"/>
  <c r="N89" i="73" s="1"/>
  <c r="O89" i="73" s="1"/>
  <c r="C89" i="73"/>
  <c r="R88" i="73"/>
  <c r="Q88" i="73"/>
  <c r="M88" i="73"/>
  <c r="N88" i="73" s="1"/>
  <c r="O88" i="73" s="1"/>
  <c r="C88" i="73"/>
  <c r="R87" i="73"/>
  <c r="Q87" i="73"/>
  <c r="M87" i="73"/>
  <c r="N87" i="73" s="1"/>
  <c r="O87" i="73" s="1"/>
  <c r="C87" i="73"/>
  <c r="R86" i="73"/>
  <c r="Q86" i="73"/>
  <c r="M86" i="73"/>
  <c r="N86" i="73" s="1"/>
  <c r="O86" i="73" s="1"/>
  <c r="C86" i="73"/>
  <c r="R85" i="73"/>
  <c r="Q85" i="73"/>
  <c r="M85" i="73"/>
  <c r="N85" i="73" s="1"/>
  <c r="O85" i="73" s="1"/>
  <c r="C85" i="73"/>
  <c r="R84" i="73"/>
  <c r="Q84" i="73"/>
  <c r="M84" i="73"/>
  <c r="N84" i="73" s="1"/>
  <c r="O84" i="73" s="1"/>
  <c r="C84" i="73"/>
  <c r="R83" i="73"/>
  <c r="Q83" i="73"/>
  <c r="M83" i="73"/>
  <c r="N83" i="73" s="1"/>
  <c r="O83" i="73" s="1"/>
  <c r="C83" i="73"/>
  <c r="R82" i="73"/>
  <c r="Q82" i="73"/>
  <c r="M82" i="73"/>
  <c r="N82" i="73" s="1"/>
  <c r="O82" i="73" s="1"/>
  <c r="C82" i="73"/>
  <c r="R81" i="73"/>
  <c r="Q81" i="73"/>
  <c r="M81" i="73"/>
  <c r="N81" i="73" s="1"/>
  <c r="O81" i="73" s="1"/>
  <c r="C81" i="73"/>
  <c r="R80" i="73"/>
  <c r="Q80" i="73"/>
  <c r="M80" i="73"/>
  <c r="N80" i="73" s="1"/>
  <c r="O80" i="73" s="1"/>
  <c r="C80" i="73"/>
  <c r="R79" i="73"/>
  <c r="Q79" i="73"/>
  <c r="M79" i="73"/>
  <c r="N79" i="73" s="1"/>
  <c r="O79" i="73" s="1"/>
  <c r="C79" i="73"/>
  <c r="R78" i="73"/>
  <c r="Q78" i="73"/>
  <c r="M78" i="73"/>
  <c r="N78" i="73" s="1"/>
  <c r="O78" i="73" s="1"/>
  <c r="C78" i="73"/>
  <c r="R77" i="73"/>
  <c r="Q77" i="73"/>
  <c r="M77" i="73"/>
  <c r="N77" i="73" s="1"/>
  <c r="O77" i="73" s="1"/>
  <c r="C77" i="73"/>
  <c r="R76" i="73"/>
  <c r="Q76" i="73"/>
  <c r="M76" i="73"/>
  <c r="N76" i="73" s="1"/>
  <c r="O76" i="73" s="1"/>
  <c r="C76" i="73"/>
  <c r="R75" i="73"/>
  <c r="Q75" i="73"/>
  <c r="M75" i="73"/>
  <c r="N75" i="73" s="1"/>
  <c r="O75" i="73" s="1"/>
  <c r="C75" i="73"/>
  <c r="R74" i="73"/>
  <c r="Q74" i="73"/>
  <c r="M74" i="73"/>
  <c r="N74" i="73" s="1"/>
  <c r="O74" i="73" s="1"/>
  <c r="C74" i="73"/>
  <c r="R73" i="73"/>
  <c r="Q73" i="73"/>
  <c r="M73" i="73"/>
  <c r="N73" i="73" s="1"/>
  <c r="O73" i="73" s="1"/>
  <c r="C73" i="73"/>
  <c r="R72" i="73"/>
  <c r="Q72" i="73"/>
  <c r="M72" i="73"/>
  <c r="N72" i="73" s="1"/>
  <c r="O72" i="73" s="1"/>
  <c r="C72" i="73"/>
  <c r="R71" i="73"/>
  <c r="Q71" i="73"/>
  <c r="M71" i="73"/>
  <c r="N71" i="73" s="1"/>
  <c r="O71" i="73" s="1"/>
  <c r="C71" i="73"/>
  <c r="R70" i="73"/>
  <c r="Q70" i="73"/>
  <c r="M70" i="73"/>
  <c r="N70" i="73" s="1"/>
  <c r="O70" i="73" s="1"/>
  <c r="C70" i="73"/>
  <c r="R69" i="73"/>
  <c r="Q69" i="73"/>
  <c r="M69" i="73"/>
  <c r="N69" i="73" s="1"/>
  <c r="O69" i="73" s="1"/>
  <c r="C69" i="73"/>
  <c r="R68" i="73"/>
  <c r="Q68" i="73"/>
  <c r="M68" i="73"/>
  <c r="N68" i="73" s="1"/>
  <c r="O68" i="73" s="1"/>
  <c r="C68" i="73"/>
  <c r="R67" i="73"/>
  <c r="Q67" i="73"/>
  <c r="M67" i="73"/>
  <c r="N67" i="73" s="1"/>
  <c r="O67" i="73" s="1"/>
  <c r="C67" i="73"/>
  <c r="R66" i="73"/>
  <c r="Q66" i="73"/>
  <c r="M66" i="73"/>
  <c r="N66" i="73" s="1"/>
  <c r="O66" i="73" s="1"/>
  <c r="C66" i="73"/>
  <c r="R65" i="73"/>
  <c r="Q65" i="73"/>
  <c r="M65" i="73"/>
  <c r="N65" i="73" s="1"/>
  <c r="O65" i="73" s="1"/>
  <c r="C65" i="73"/>
  <c r="R64" i="73"/>
  <c r="Q64" i="73"/>
  <c r="M64" i="73"/>
  <c r="N64" i="73" s="1"/>
  <c r="O64" i="73" s="1"/>
  <c r="C64" i="73"/>
  <c r="R63" i="73"/>
  <c r="Q63" i="73"/>
  <c r="M63" i="73"/>
  <c r="N63" i="73" s="1"/>
  <c r="O63" i="73" s="1"/>
  <c r="C63" i="73"/>
  <c r="R59" i="73"/>
  <c r="Q59" i="73"/>
  <c r="M59" i="73"/>
  <c r="N59" i="73" s="1"/>
  <c r="O59" i="73" s="1"/>
  <c r="C59" i="73"/>
  <c r="R58" i="73"/>
  <c r="Q58" i="73"/>
  <c r="M58" i="73"/>
  <c r="N58" i="73" s="1"/>
  <c r="O58" i="73" s="1"/>
  <c r="C58" i="73"/>
  <c r="R57" i="73"/>
  <c r="Q57" i="73"/>
  <c r="M57" i="73"/>
  <c r="N57" i="73" s="1"/>
  <c r="O57" i="73" s="1"/>
  <c r="C57" i="73"/>
  <c r="R56" i="73"/>
  <c r="Q56" i="73"/>
  <c r="M56" i="73"/>
  <c r="N56" i="73" s="1"/>
  <c r="O56" i="73" s="1"/>
  <c r="C56" i="73"/>
  <c r="R55" i="73"/>
  <c r="Q55" i="73"/>
  <c r="M55" i="73"/>
  <c r="N55" i="73" s="1"/>
  <c r="O55" i="73" s="1"/>
  <c r="C55" i="73"/>
  <c r="R54" i="73"/>
  <c r="Q54" i="73"/>
  <c r="M54" i="73"/>
  <c r="N54" i="73" s="1"/>
  <c r="O54" i="73" s="1"/>
  <c r="C54" i="73"/>
  <c r="R53" i="73"/>
  <c r="Q53" i="73"/>
  <c r="M53" i="73"/>
  <c r="N53" i="73" s="1"/>
  <c r="O53" i="73" s="1"/>
  <c r="C53" i="73"/>
  <c r="R52" i="73"/>
  <c r="Q52" i="73"/>
  <c r="M52" i="73"/>
  <c r="N52" i="73" s="1"/>
  <c r="O52" i="73" s="1"/>
  <c r="C52" i="73"/>
  <c r="R51" i="73"/>
  <c r="Q51" i="73"/>
  <c r="M51" i="73"/>
  <c r="N51" i="73" s="1"/>
  <c r="O51" i="73" s="1"/>
  <c r="C51" i="73"/>
  <c r="R50" i="73"/>
  <c r="Q50" i="73"/>
  <c r="M50" i="73"/>
  <c r="N50" i="73" s="1"/>
  <c r="O50" i="73" s="1"/>
  <c r="C50" i="73"/>
  <c r="R49" i="73"/>
  <c r="Q49" i="73"/>
  <c r="M49" i="73"/>
  <c r="N49" i="73" s="1"/>
  <c r="O49" i="73" s="1"/>
  <c r="C49" i="73"/>
  <c r="R48" i="73"/>
  <c r="Q48" i="73"/>
  <c r="M48" i="73"/>
  <c r="N48" i="73" s="1"/>
  <c r="O48" i="73" s="1"/>
  <c r="C48" i="73"/>
  <c r="R47" i="73"/>
  <c r="Q47" i="73"/>
  <c r="M47" i="73"/>
  <c r="N47" i="73" s="1"/>
  <c r="O47" i="73" s="1"/>
  <c r="C47" i="73"/>
  <c r="R46" i="73"/>
  <c r="Q46" i="73"/>
  <c r="M46" i="73"/>
  <c r="N46" i="73" s="1"/>
  <c r="O46" i="73" s="1"/>
  <c r="C46" i="73"/>
  <c r="R45" i="73"/>
  <c r="Q45" i="73"/>
  <c r="M45" i="73"/>
  <c r="N45" i="73" s="1"/>
  <c r="O45" i="73" s="1"/>
  <c r="C45" i="73"/>
  <c r="R44" i="73"/>
  <c r="Q44" i="73"/>
  <c r="M44" i="73"/>
  <c r="N44" i="73" s="1"/>
  <c r="O44" i="73" s="1"/>
  <c r="C44" i="73"/>
  <c r="R43" i="73"/>
  <c r="Q43" i="73"/>
  <c r="M43" i="73"/>
  <c r="N43" i="73" s="1"/>
  <c r="O43" i="73" s="1"/>
  <c r="C43" i="73"/>
  <c r="R42" i="73"/>
  <c r="Q42" i="73"/>
  <c r="M42" i="73"/>
  <c r="N42" i="73" s="1"/>
  <c r="O42" i="73" s="1"/>
  <c r="C42" i="73"/>
  <c r="R41" i="73"/>
  <c r="Q41" i="73"/>
  <c r="M41" i="73"/>
  <c r="N41" i="73" s="1"/>
  <c r="O41" i="73" s="1"/>
  <c r="C41" i="73"/>
  <c r="R40" i="73"/>
  <c r="Q40" i="73"/>
  <c r="M40" i="73"/>
  <c r="N40" i="73" s="1"/>
  <c r="O40" i="73" s="1"/>
  <c r="C40" i="73"/>
  <c r="R39" i="73"/>
  <c r="Q39" i="73"/>
  <c r="M39" i="73"/>
  <c r="N39" i="73" s="1"/>
  <c r="O39" i="73" s="1"/>
  <c r="C39" i="73"/>
  <c r="R38" i="73"/>
  <c r="Q38" i="73"/>
  <c r="M38" i="73"/>
  <c r="N38" i="73" s="1"/>
  <c r="O38" i="73" s="1"/>
  <c r="C38" i="73"/>
  <c r="R37" i="73"/>
  <c r="Q37" i="73"/>
  <c r="M37" i="73"/>
  <c r="N37" i="73" s="1"/>
  <c r="O37" i="73" s="1"/>
  <c r="C37" i="73"/>
  <c r="R36" i="73"/>
  <c r="Q36" i="73"/>
  <c r="M36" i="73"/>
  <c r="N36" i="73" s="1"/>
  <c r="O36" i="73" s="1"/>
  <c r="C36" i="73"/>
  <c r="R35" i="73"/>
  <c r="Q35" i="73"/>
  <c r="M35" i="73"/>
  <c r="N35" i="73" s="1"/>
  <c r="O35" i="73" s="1"/>
  <c r="C35" i="73"/>
  <c r="R34" i="73"/>
  <c r="Q34" i="73"/>
  <c r="M34" i="73"/>
  <c r="N34" i="73" s="1"/>
  <c r="O34" i="73" s="1"/>
  <c r="C34" i="73"/>
  <c r="R33" i="73"/>
  <c r="Q33" i="73"/>
  <c r="M33" i="73"/>
  <c r="N33" i="73" s="1"/>
  <c r="O33" i="73" s="1"/>
  <c r="C33" i="73"/>
  <c r="R32" i="73"/>
  <c r="Q32" i="73"/>
  <c r="M32" i="73"/>
  <c r="N32" i="73" s="1"/>
  <c r="O32" i="73" s="1"/>
  <c r="C32" i="73"/>
  <c r="R31" i="73"/>
  <c r="Q31" i="73"/>
  <c r="M31" i="73"/>
  <c r="N31" i="73" s="1"/>
  <c r="O31" i="73" s="1"/>
  <c r="C31" i="73"/>
  <c r="R30" i="73"/>
  <c r="Q30" i="73"/>
  <c r="M30" i="73"/>
  <c r="N30" i="73" s="1"/>
  <c r="O30" i="73" s="1"/>
  <c r="C30" i="73"/>
  <c r="R29" i="73"/>
  <c r="Q29" i="73"/>
  <c r="M29" i="73"/>
  <c r="N29" i="73" s="1"/>
  <c r="O29" i="73" s="1"/>
  <c r="C29" i="73"/>
  <c r="R28" i="73"/>
  <c r="Q28" i="73"/>
  <c r="M28" i="73"/>
  <c r="N28" i="73" s="1"/>
  <c r="O28" i="73" s="1"/>
  <c r="C28" i="73"/>
  <c r="R27" i="73"/>
  <c r="Q27" i="73"/>
  <c r="M27" i="73"/>
  <c r="N27" i="73" s="1"/>
  <c r="O27" i="73" s="1"/>
  <c r="C27" i="73"/>
  <c r="R26" i="73"/>
  <c r="Q26" i="73"/>
  <c r="M26" i="73"/>
  <c r="N26" i="73" s="1"/>
  <c r="O26" i="73" s="1"/>
  <c r="C26" i="73"/>
  <c r="R25" i="73"/>
  <c r="Q25" i="73"/>
  <c r="M25" i="73"/>
  <c r="N25" i="73" s="1"/>
  <c r="O25" i="73" s="1"/>
  <c r="C25" i="73"/>
  <c r="R24" i="73"/>
  <c r="Q24" i="73"/>
  <c r="M24" i="73"/>
  <c r="N24" i="73" s="1"/>
  <c r="O24" i="73" s="1"/>
  <c r="C24" i="73"/>
  <c r="R23" i="73"/>
  <c r="Q23" i="73"/>
  <c r="M23" i="73"/>
  <c r="N23" i="73" s="1"/>
  <c r="O23" i="73" s="1"/>
  <c r="C23" i="73"/>
  <c r="R22" i="73"/>
  <c r="Q22" i="73"/>
  <c r="M22" i="73"/>
  <c r="N22" i="73" s="1"/>
  <c r="O22" i="73" s="1"/>
  <c r="C22" i="73"/>
  <c r="R21" i="73"/>
  <c r="Q21" i="73"/>
  <c r="M21" i="73"/>
  <c r="N21" i="73" s="1"/>
  <c r="O21" i="73" s="1"/>
  <c r="C21" i="73"/>
  <c r="R20" i="73"/>
  <c r="Q20" i="73"/>
  <c r="M20" i="73"/>
  <c r="N20" i="73" s="1"/>
  <c r="O20" i="73" s="1"/>
  <c r="C20" i="73"/>
  <c r="R19" i="73"/>
  <c r="Q19" i="73"/>
  <c r="M19" i="73"/>
  <c r="N19" i="73" s="1"/>
  <c r="O19" i="73" s="1"/>
  <c r="C19" i="73"/>
  <c r="R18" i="73"/>
  <c r="Q18" i="73"/>
  <c r="M18" i="73"/>
  <c r="N18" i="73" s="1"/>
  <c r="O18" i="73" s="1"/>
  <c r="C18" i="73"/>
  <c r="R17" i="73"/>
  <c r="Q17" i="73"/>
  <c r="M17" i="73"/>
  <c r="N17" i="73" s="1"/>
  <c r="O17" i="73" s="1"/>
  <c r="C17" i="73"/>
  <c r="R16" i="73"/>
  <c r="Q16" i="73"/>
  <c r="M16" i="73"/>
  <c r="N16" i="73" s="1"/>
  <c r="O16" i="73" s="1"/>
  <c r="C16" i="73"/>
  <c r="R15" i="73"/>
  <c r="Q15" i="73"/>
  <c r="M15" i="73"/>
  <c r="N15" i="73" s="1"/>
  <c r="O15" i="73" s="1"/>
  <c r="C15" i="73"/>
  <c r="R14" i="73"/>
  <c r="Q14" i="73"/>
  <c r="M14" i="73"/>
  <c r="N14" i="73" s="1"/>
  <c r="O14" i="73" s="1"/>
  <c r="C14" i="73"/>
  <c r="R13" i="73"/>
  <c r="Q13" i="73"/>
  <c r="M13" i="73"/>
  <c r="N13" i="73" s="1"/>
  <c r="O13" i="73" s="1"/>
  <c r="C13" i="73"/>
  <c r="R12" i="73"/>
  <c r="Q12" i="73"/>
  <c r="M12" i="73"/>
  <c r="N12" i="73" s="1"/>
  <c r="O12" i="73" s="1"/>
  <c r="C12" i="73"/>
  <c r="R11" i="73"/>
  <c r="Q11" i="73"/>
  <c r="M11" i="73"/>
  <c r="N11" i="73" s="1"/>
  <c r="O11" i="73" s="1"/>
  <c r="C11" i="73"/>
  <c r="R10" i="73"/>
  <c r="Q10" i="73"/>
  <c r="M10" i="73"/>
  <c r="N10" i="73" s="1"/>
  <c r="O10" i="73" s="1"/>
  <c r="C10" i="73"/>
  <c r="R9" i="73"/>
  <c r="Q9" i="73"/>
  <c r="M9" i="73"/>
  <c r="N9" i="73" s="1"/>
  <c r="O9" i="73" s="1"/>
  <c r="C9" i="73"/>
  <c r="R8" i="73"/>
  <c r="Q8" i="73"/>
  <c r="M8" i="73"/>
  <c r="N8" i="73" s="1"/>
  <c r="O8" i="73" s="1"/>
  <c r="C8" i="73"/>
  <c r="R7" i="73"/>
  <c r="Q7" i="73"/>
  <c r="M7" i="73"/>
  <c r="N7" i="73" s="1"/>
  <c r="O7" i="73" s="1"/>
  <c r="C7" i="73"/>
  <c r="R6" i="73"/>
  <c r="Q6" i="73"/>
  <c r="M6" i="73"/>
  <c r="N6" i="73" s="1"/>
  <c r="C6" i="73"/>
  <c r="L4" i="73"/>
  <c r="J4" i="73"/>
  <c r="R119" i="72"/>
  <c r="Q119" i="72"/>
  <c r="M119" i="72"/>
  <c r="N119" i="72" s="1"/>
  <c r="O119" i="72" s="1"/>
  <c r="C119" i="72"/>
  <c r="R118" i="72"/>
  <c r="Q118" i="72"/>
  <c r="M118" i="72"/>
  <c r="N118" i="72" s="1"/>
  <c r="O118" i="72" s="1"/>
  <c r="C118" i="72"/>
  <c r="R117" i="72"/>
  <c r="Q117" i="72"/>
  <c r="M117" i="72"/>
  <c r="N117" i="72" s="1"/>
  <c r="O117" i="72" s="1"/>
  <c r="C117" i="72"/>
  <c r="R116" i="72"/>
  <c r="Q116" i="72"/>
  <c r="M116" i="72"/>
  <c r="N116" i="72" s="1"/>
  <c r="O116" i="72" s="1"/>
  <c r="C116" i="72"/>
  <c r="R115" i="72"/>
  <c r="Q115" i="72"/>
  <c r="M115" i="72"/>
  <c r="N115" i="72" s="1"/>
  <c r="O115" i="72" s="1"/>
  <c r="C115" i="72"/>
  <c r="R114" i="72"/>
  <c r="Q114" i="72"/>
  <c r="M114" i="72"/>
  <c r="N114" i="72" s="1"/>
  <c r="O114" i="72" s="1"/>
  <c r="C114" i="72"/>
  <c r="R113" i="72"/>
  <c r="Q113" i="72"/>
  <c r="M113" i="72"/>
  <c r="N113" i="72" s="1"/>
  <c r="O113" i="72" s="1"/>
  <c r="C113" i="72"/>
  <c r="R112" i="72"/>
  <c r="Q112" i="72"/>
  <c r="M112" i="72"/>
  <c r="N112" i="72" s="1"/>
  <c r="O112" i="72" s="1"/>
  <c r="C112" i="72"/>
  <c r="R111" i="72"/>
  <c r="Q111" i="72"/>
  <c r="M111" i="72"/>
  <c r="N111" i="72" s="1"/>
  <c r="O111" i="72" s="1"/>
  <c r="C111" i="72"/>
  <c r="R110" i="72"/>
  <c r="Q110" i="72"/>
  <c r="M110" i="72"/>
  <c r="N110" i="72" s="1"/>
  <c r="O110" i="72" s="1"/>
  <c r="C110" i="72"/>
  <c r="R109" i="72"/>
  <c r="Q109" i="72"/>
  <c r="M109" i="72"/>
  <c r="N109" i="72" s="1"/>
  <c r="O109" i="72" s="1"/>
  <c r="C109" i="72"/>
  <c r="R108" i="72"/>
  <c r="Q108" i="72"/>
  <c r="M108" i="72"/>
  <c r="N108" i="72" s="1"/>
  <c r="O108" i="72" s="1"/>
  <c r="C108" i="72"/>
  <c r="R107" i="72"/>
  <c r="Q107" i="72"/>
  <c r="M107" i="72"/>
  <c r="N107" i="72" s="1"/>
  <c r="O107" i="72" s="1"/>
  <c r="C107" i="72"/>
  <c r="R106" i="72"/>
  <c r="Q106" i="72"/>
  <c r="M106" i="72"/>
  <c r="N106" i="72" s="1"/>
  <c r="O106" i="72" s="1"/>
  <c r="C106" i="72"/>
  <c r="R105" i="72"/>
  <c r="Q105" i="72"/>
  <c r="M105" i="72"/>
  <c r="N105" i="72" s="1"/>
  <c r="O105" i="72" s="1"/>
  <c r="C105" i="72"/>
  <c r="R104" i="72"/>
  <c r="Q104" i="72"/>
  <c r="M104" i="72"/>
  <c r="N104" i="72" s="1"/>
  <c r="O104" i="72" s="1"/>
  <c r="C104" i="72"/>
  <c r="R103" i="72"/>
  <c r="Q103" i="72"/>
  <c r="M103" i="72"/>
  <c r="N103" i="72" s="1"/>
  <c r="O103" i="72" s="1"/>
  <c r="C103" i="72"/>
  <c r="R102" i="72"/>
  <c r="Q102" i="72"/>
  <c r="M102" i="72"/>
  <c r="N102" i="72" s="1"/>
  <c r="O102" i="72" s="1"/>
  <c r="C102" i="72"/>
  <c r="R101" i="72"/>
  <c r="Q101" i="72"/>
  <c r="M101" i="72"/>
  <c r="N101" i="72" s="1"/>
  <c r="O101" i="72" s="1"/>
  <c r="C101" i="72"/>
  <c r="R100" i="72"/>
  <c r="Q100" i="72"/>
  <c r="M100" i="72"/>
  <c r="N100" i="72" s="1"/>
  <c r="O100" i="72" s="1"/>
  <c r="C100" i="72"/>
  <c r="R99" i="72"/>
  <c r="Q99" i="72"/>
  <c r="M99" i="72"/>
  <c r="N99" i="72" s="1"/>
  <c r="O99" i="72" s="1"/>
  <c r="C99" i="72"/>
  <c r="R98" i="72"/>
  <c r="Q98" i="72"/>
  <c r="M98" i="72"/>
  <c r="N98" i="72" s="1"/>
  <c r="O98" i="72" s="1"/>
  <c r="C98" i="72"/>
  <c r="R97" i="72"/>
  <c r="Q97" i="72"/>
  <c r="M97" i="72"/>
  <c r="N97" i="72" s="1"/>
  <c r="O97" i="72" s="1"/>
  <c r="C97" i="72"/>
  <c r="R96" i="72"/>
  <c r="Q96" i="72"/>
  <c r="M96" i="72"/>
  <c r="N96" i="72" s="1"/>
  <c r="O96" i="72" s="1"/>
  <c r="C96" i="72"/>
  <c r="R95" i="72"/>
  <c r="Q95" i="72"/>
  <c r="M95" i="72"/>
  <c r="N95" i="72" s="1"/>
  <c r="O95" i="72" s="1"/>
  <c r="C95" i="72"/>
  <c r="R94" i="72"/>
  <c r="Q94" i="72"/>
  <c r="M94" i="72"/>
  <c r="N94" i="72" s="1"/>
  <c r="O94" i="72" s="1"/>
  <c r="C94" i="72"/>
  <c r="R93" i="72"/>
  <c r="Q93" i="72"/>
  <c r="M93" i="72"/>
  <c r="N93" i="72" s="1"/>
  <c r="O93" i="72" s="1"/>
  <c r="C93" i="72"/>
  <c r="R92" i="72"/>
  <c r="Q92" i="72"/>
  <c r="M92" i="72"/>
  <c r="N92" i="72" s="1"/>
  <c r="O92" i="72" s="1"/>
  <c r="C92" i="72"/>
  <c r="R91" i="72"/>
  <c r="Q91" i="72"/>
  <c r="M91" i="72"/>
  <c r="N91" i="72" s="1"/>
  <c r="O91" i="72" s="1"/>
  <c r="C91" i="72"/>
  <c r="R90" i="72"/>
  <c r="Q90" i="72"/>
  <c r="M90" i="72"/>
  <c r="N90" i="72" s="1"/>
  <c r="O90" i="72" s="1"/>
  <c r="C90" i="72"/>
  <c r="R89" i="72"/>
  <c r="Q89" i="72"/>
  <c r="M89" i="72"/>
  <c r="N89" i="72" s="1"/>
  <c r="O89" i="72" s="1"/>
  <c r="C89" i="72"/>
  <c r="R88" i="72"/>
  <c r="Q88" i="72"/>
  <c r="M88" i="72"/>
  <c r="N88" i="72" s="1"/>
  <c r="O88" i="72" s="1"/>
  <c r="C88" i="72"/>
  <c r="R87" i="72"/>
  <c r="Q87" i="72"/>
  <c r="M87" i="72"/>
  <c r="N87" i="72" s="1"/>
  <c r="O87" i="72" s="1"/>
  <c r="C87" i="72"/>
  <c r="R86" i="72"/>
  <c r="Q86" i="72"/>
  <c r="M86" i="72"/>
  <c r="N86" i="72" s="1"/>
  <c r="O86" i="72" s="1"/>
  <c r="C86" i="72"/>
  <c r="R85" i="72"/>
  <c r="Q85" i="72"/>
  <c r="M85" i="72"/>
  <c r="N85" i="72" s="1"/>
  <c r="O85" i="72" s="1"/>
  <c r="C85" i="72"/>
  <c r="R84" i="72"/>
  <c r="Q84" i="72"/>
  <c r="M84" i="72"/>
  <c r="N84" i="72" s="1"/>
  <c r="O84" i="72" s="1"/>
  <c r="C84" i="72"/>
  <c r="R83" i="72"/>
  <c r="Q83" i="72"/>
  <c r="M83" i="72"/>
  <c r="N83" i="72" s="1"/>
  <c r="O83" i="72" s="1"/>
  <c r="C83" i="72"/>
  <c r="R82" i="72"/>
  <c r="Q82" i="72"/>
  <c r="M82" i="72"/>
  <c r="N82" i="72" s="1"/>
  <c r="O82" i="72" s="1"/>
  <c r="C82" i="72"/>
  <c r="R81" i="72"/>
  <c r="Q81" i="72"/>
  <c r="M81" i="72"/>
  <c r="N81" i="72" s="1"/>
  <c r="O81" i="72" s="1"/>
  <c r="C81" i="72"/>
  <c r="R80" i="72"/>
  <c r="Q80" i="72"/>
  <c r="M80" i="72"/>
  <c r="N80" i="72" s="1"/>
  <c r="O80" i="72" s="1"/>
  <c r="C80" i="72"/>
  <c r="R79" i="72"/>
  <c r="Q79" i="72"/>
  <c r="M79" i="72"/>
  <c r="N79" i="72" s="1"/>
  <c r="O79" i="72" s="1"/>
  <c r="C79" i="72"/>
  <c r="R78" i="72"/>
  <c r="Q78" i="72"/>
  <c r="M78" i="72"/>
  <c r="N78" i="72" s="1"/>
  <c r="O78" i="72" s="1"/>
  <c r="C78" i="72"/>
  <c r="R77" i="72"/>
  <c r="Q77" i="72"/>
  <c r="M77" i="72"/>
  <c r="N77" i="72" s="1"/>
  <c r="O77" i="72" s="1"/>
  <c r="C77" i="72"/>
  <c r="R76" i="72"/>
  <c r="Q76" i="72"/>
  <c r="M76" i="72"/>
  <c r="N76" i="72" s="1"/>
  <c r="O76" i="72" s="1"/>
  <c r="C76" i="72"/>
  <c r="R75" i="72"/>
  <c r="Q75" i="72"/>
  <c r="M75" i="72"/>
  <c r="N75" i="72" s="1"/>
  <c r="O75" i="72" s="1"/>
  <c r="C75" i="72"/>
  <c r="R74" i="72"/>
  <c r="Q74" i="72"/>
  <c r="M74" i="72"/>
  <c r="N74" i="72" s="1"/>
  <c r="O74" i="72" s="1"/>
  <c r="C74" i="72"/>
  <c r="R73" i="72"/>
  <c r="Q73" i="72"/>
  <c r="M73" i="72"/>
  <c r="N73" i="72" s="1"/>
  <c r="O73" i="72" s="1"/>
  <c r="C73" i="72"/>
  <c r="R72" i="72"/>
  <c r="Q72" i="72"/>
  <c r="M72" i="72"/>
  <c r="N72" i="72" s="1"/>
  <c r="O72" i="72" s="1"/>
  <c r="C72" i="72"/>
  <c r="R71" i="72"/>
  <c r="Q71" i="72"/>
  <c r="M71" i="72"/>
  <c r="N71" i="72" s="1"/>
  <c r="O71" i="72" s="1"/>
  <c r="C71" i="72"/>
  <c r="R70" i="72"/>
  <c r="Q70" i="72"/>
  <c r="M70" i="72"/>
  <c r="N70" i="72" s="1"/>
  <c r="O70" i="72" s="1"/>
  <c r="C70" i="72"/>
  <c r="R69" i="72"/>
  <c r="Q69" i="72"/>
  <c r="M69" i="72"/>
  <c r="N69" i="72" s="1"/>
  <c r="O69" i="72" s="1"/>
  <c r="C69" i="72"/>
  <c r="R68" i="72"/>
  <c r="Q68" i="72"/>
  <c r="M68" i="72"/>
  <c r="N68" i="72" s="1"/>
  <c r="O68" i="72" s="1"/>
  <c r="C68" i="72"/>
  <c r="R67" i="72"/>
  <c r="Q67" i="72"/>
  <c r="M67" i="72"/>
  <c r="N67" i="72" s="1"/>
  <c r="O67" i="72" s="1"/>
  <c r="C67" i="72"/>
  <c r="R66" i="72"/>
  <c r="Q66" i="72"/>
  <c r="M66" i="72"/>
  <c r="N66" i="72" s="1"/>
  <c r="O66" i="72" s="1"/>
  <c r="C66" i="72"/>
  <c r="R65" i="72"/>
  <c r="Q65" i="72"/>
  <c r="M65" i="72"/>
  <c r="N65" i="72" s="1"/>
  <c r="O65" i="72" s="1"/>
  <c r="C65" i="72"/>
  <c r="R64" i="72"/>
  <c r="Q64" i="72"/>
  <c r="M64" i="72"/>
  <c r="N64" i="72" s="1"/>
  <c r="O64" i="72" s="1"/>
  <c r="C64" i="72"/>
  <c r="R63" i="72"/>
  <c r="Q63" i="72"/>
  <c r="M63" i="72"/>
  <c r="N63" i="72" s="1"/>
  <c r="O63" i="72" s="1"/>
  <c r="C63" i="72"/>
  <c r="R62" i="72"/>
  <c r="Q62" i="72"/>
  <c r="M62" i="72"/>
  <c r="N62" i="72" s="1"/>
  <c r="O62" i="72" s="1"/>
  <c r="C62" i="72"/>
  <c r="R61" i="72"/>
  <c r="Q61" i="72"/>
  <c r="M61" i="72"/>
  <c r="N61" i="72" s="1"/>
  <c r="O61" i="72" s="1"/>
  <c r="C61" i="72"/>
  <c r="R60" i="72"/>
  <c r="Q60" i="72"/>
  <c r="M60" i="72"/>
  <c r="N60" i="72" s="1"/>
  <c r="O60" i="72" s="1"/>
  <c r="C60" i="72"/>
  <c r="R59" i="72"/>
  <c r="Q59" i="72"/>
  <c r="M59" i="72"/>
  <c r="N59" i="72" s="1"/>
  <c r="O59" i="72" s="1"/>
  <c r="C59" i="72"/>
  <c r="R58" i="72"/>
  <c r="Q58" i="72"/>
  <c r="M58" i="72"/>
  <c r="N58" i="72" s="1"/>
  <c r="O58" i="72" s="1"/>
  <c r="C58" i="72"/>
  <c r="R57" i="72"/>
  <c r="Q57" i="72"/>
  <c r="M57" i="72"/>
  <c r="N57" i="72" s="1"/>
  <c r="O57" i="72" s="1"/>
  <c r="C57" i="72"/>
  <c r="R56" i="72"/>
  <c r="Q56" i="72"/>
  <c r="M56" i="72"/>
  <c r="N56" i="72" s="1"/>
  <c r="O56" i="72" s="1"/>
  <c r="C56" i="72"/>
  <c r="R55" i="72"/>
  <c r="Q55" i="72"/>
  <c r="M55" i="72"/>
  <c r="N55" i="72" s="1"/>
  <c r="O55" i="72" s="1"/>
  <c r="C55" i="72"/>
  <c r="R54" i="72"/>
  <c r="Q54" i="72"/>
  <c r="M54" i="72"/>
  <c r="N54" i="72" s="1"/>
  <c r="O54" i="72" s="1"/>
  <c r="C54" i="72"/>
  <c r="R53" i="72"/>
  <c r="Q53" i="72"/>
  <c r="M53" i="72"/>
  <c r="N53" i="72" s="1"/>
  <c r="O53" i="72" s="1"/>
  <c r="C53" i="72"/>
  <c r="R52" i="72"/>
  <c r="Q52" i="72"/>
  <c r="M52" i="72"/>
  <c r="N52" i="72" s="1"/>
  <c r="O52" i="72" s="1"/>
  <c r="C52" i="72"/>
  <c r="R51" i="72"/>
  <c r="Q51" i="72"/>
  <c r="M51" i="72"/>
  <c r="N51" i="72" s="1"/>
  <c r="O51" i="72" s="1"/>
  <c r="C51" i="72"/>
  <c r="R50" i="72"/>
  <c r="Q50" i="72"/>
  <c r="M50" i="72"/>
  <c r="N50" i="72" s="1"/>
  <c r="O50" i="72" s="1"/>
  <c r="C50" i="72"/>
  <c r="R49" i="72"/>
  <c r="Q49" i="72"/>
  <c r="M49" i="72"/>
  <c r="N49" i="72" s="1"/>
  <c r="O49" i="72" s="1"/>
  <c r="C49" i="72"/>
  <c r="R48" i="72"/>
  <c r="Q48" i="72"/>
  <c r="M48" i="72"/>
  <c r="N48" i="72" s="1"/>
  <c r="O48" i="72" s="1"/>
  <c r="C48" i="72"/>
  <c r="R47" i="72"/>
  <c r="Q47" i="72"/>
  <c r="M47" i="72"/>
  <c r="N47" i="72" s="1"/>
  <c r="O47" i="72" s="1"/>
  <c r="C47" i="72"/>
  <c r="R46" i="72"/>
  <c r="Q46" i="72"/>
  <c r="M46" i="72"/>
  <c r="N46" i="72" s="1"/>
  <c r="O46" i="72" s="1"/>
  <c r="C46" i="72"/>
  <c r="R45" i="72"/>
  <c r="Q45" i="72"/>
  <c r="M45" i="72"/>
  <c r="N45" i="72" s="1"/>
  <c r="O45" i="72" s="1"/>
  <c r="C45" i="72"/>
  <c r="R44" i="72"/>
  <c r="Q44" i="72"/>
  <c r="M44" i="72"/>
  <c r="N44" i="72" s="1"/>
  <c r="O44" i="72" s="1"/>
  <c r="C44" i="72"/>
  <c r="R43" i="72"/>
  <c r="Q43" i="72"/>
  <c r="M43" i="72"/>
  <c r="N43" i="72" s="1"/>
  <c r="O43" i="72" s="1"/>
  <c r="C43" i="72"/>
  <c r="R42" i="72"/>
  <c r="Q42" i="72"/>
  <c r="M42" i="72"/>
  <c r="N42" i="72" s="1"/>
  <c r="O42" i="72" s="1"/>
  <c r="C42" i="72"/>
  <c r="R41" i="72"/>
  <c r="Q41" i="72"/>
  <c r="M41" i="72"/>
  <c r="N41" i="72" s="1"/>
  <c r="O41" i="72" s="1"/>
  <c r="C41" i="72"/>
  <c r="R40" i="72"/>
  <c r="Q40" i="72"/>
  <c r="M40" i="72"/>
  <c r="N40" i="72" s="1"/>
  <c r="O40" i="72" s="1"/>
  <c r="C40" i="72"/>
  <c r="R39" i="72"/>
  <c r="Q39" i="72"/>
  <c r="M39" i="72"/>
  <c r="N39" i="72" s="1"/>
  <c r="O39" i="72" s="1"/>
  <c r="C39" i="72"/>
  <c r="R38" i="72"/>
  <c r="Q38" i="72"/>
  <c r="M38" i="72"/>
  <c r="N38" i="72" s="1"/>
  <c r="O38" i="72" s="1"/>
  <c r="C38" i="72"/>
  <c r="R37" i="72"/>
  <c r="Q37" i="72"/>
  <c r="M37" i="72"/>
  <c r="N37" i="72" s="1"/>
  <c r="O37" i="72" s="1"/>
  <c r="C37" i="72"/>
  <c r="R36" i="72"/>
  <c r="Q36" i="72"/>
  <c r="M36" i="72"/>
  <c r="N36" i="72" s="1"/>
  <c r="O36" i="72" s="1"/>
  <c r="C36" i="72"/>
  <c r="R35" i="72"/>
  <c r="Q35" i="72"/>
  <c r="M35" i="72"/>
  <c r="N35" i="72" s="1"/>
  <c r="O35" i="72" s="1"/>
  <c r="C35" i="72"/>
  <c r="R34" i="72"/>
  <c r="Q34" i="72"/>
  <c r="M34" i="72"/>
  <c r="N34" i="72" s="1"/>
  <c r="O34" i="72" s="1"/>
  <c r="C34" i="72"/>
  <c r="R33" i="72"/>
  <c r="Q33" i="72"/>
  <c r="M33" i="72"/>
  <c r="N33" i="72" s="1"/>
  <c r="O33" i="72" s="1"/>
  <c r="C33" i="72"/>
  <c r="R32" i="72"/>
  <c r="Q32" i="72"/>
  <c r="M32" i="72"/>
  <c r="N32" i="72" s="1"/>
  <c r="O32" i="72" s="1"/>
  <c r="C32" i="72"/>
  <c r="R31" i="72"/>
  <c r="Q31" i="72"/>
  <c r="M31" i="72"/>
  <c r="N31" i="72" s="1"/>
  <c r="O31" i="72" s="1"/>
  <c r="C31" i="72"/>
  <c r="R30" i="72"/>
  <c r="Q30" i="72"/>
  <c r="M30" i="72"/>
  <c r="N30" i="72" s="1"/>
  <c r="O30" i="72" s="1"/>
  <c r="C30" i="72"/>
  <c r="R29" i="72"/>
  <c r="Q29" i="72"/>
  <c r="M29" i="72"/>
  <c r="N29" i="72" s="1"/>
  <c r="O29" i="72" s="1"/>
  <c r="C29" i="72"/>
  <c r="R28" i="72"/>
  <c r="Q28" i="72"/>
  <c r="M28" i="72"/>
  <c r="N28" i="72" s="1"/>
  <c r="O28" i="72" s="1"/>
  <c r="C28" i="72"/>
  <c r="R27" i="72"/>
  <c r="Q27" i="72"/>
  <c r="M27" i="72"/>
  <c r="N27" i="72" s="1"/>
  <c r="O27" i="72" s="1"/>
  <c r="C27" i="72"/>
  <c r="R26" i="72"/>
  <c r="Q26" i="72"/>
  <c r="M26" i="72"/>
  <c r="N26" i="72" s="1"/>
  <c r="O26" i="72" s="1"/>
  <c r="C26" i="72"/>
  <c r="R25" i="72"/>
  <c r="Q25" i="72"/>
  <c r="M25" i="72"/>
  <c r="N25" i="72" s="1"/>
  <c r="O25" i="72" s="1"/>
  <c r="C25" i="72"/>
  <c r="R24" i="72"/>
  <c r="Q24" i="72"/>
  <c r="M24" i="72"/>
  <c r="N24" i="72" s="1"/>
  <c r="O24" i="72" s="1"/>
  <c r="C24" i="72"/>
  <c r="R23" i="72"/>
  <c r="Q23" i="72"/>
  <c r="N23" i="72"/>
  <c r="O23" i="72" s="1"/>
  <c r="M23" i="72"/>
  <c r="C23" i="72"/>
  <c r="R22" i="72"/>
  <c r="Q22" i="72"/>
  <c r="M22" i="72"/>
  <c r="N22" i="72" s="1"/>
  <c r="O22" i="72" s="1"/>
  <c r="C22" i="72"/>
  <c r="R21" i="72"/>
  <c r="Q21" i="72"/>
  <c r="M21" i="72"/>
  <c r="N21" i="72" s="1"/>
  <c r="O21" i="72" s="1"/>
  <c r="C21" i="72"/>
  <c r="R20" i="72"/>
  <c r="Q20" i="72"/>
  <c r="M20" i="72"/>
  <c r="N20" i="72" s="1"/>
  <c r="O20" i="72" s="1"/>
  <c r="C20" i="72"/>
  <c r="R19" i="72"/>
  <c r="Q19" i="72"/>
  <c r="M19" i="72"/>
  <c r="N19" i="72" s="1"/>
  <c r="O19" i="72" s="1"/>
  <c r="C19" i="72"/>
  <c r="R18" i="72"/>
  <c r="Q18" i="72"/>
  <c r="M18" i="72"/>
  <c r="N18" i="72" s="1"/>
  <c r="O18" i="72" s="1"/>
  <c r="C18" i="72"/>
  <c r="R17" i="72"/>
  <c r="Q17" i="72"/>
  <c r="M17" i="72"/>
  <c r="N17" i="72" s="1"/>
  <c r="O17" i="72" s="1"/>
  <c r="C17" i="72"/>
  <c r="R16" i="72"/>
  <c r="Q16" i="72"/>
  <c r="M16" i="72"/>
  <c r="N16" i="72" s="1"/>
  <c r="O16" i="72" s="1"/>
  <c r="C16" i="72"/>
  <c r="R15" i="72"/>
  <c r="Q15" i="72"/>
  <c r="M15" i="72"/>
  <c r="N15" i="72" s="1"/>
  <c r="O15" i="72" s="1"/>
  <c r="C15" i="72"/>
  <c r="R14" i="72"/>
  <c r="Q14" i="72"/>
  <c r="M14" i="72"/>
  <c r="N14" i="72" s="1"/>
  <c r="O14" i="72" s="1"/>
  <c r="C14" i="72"/>
  <c r="R13" i="72"/>
  <c r="Q13" i="72"/>
  <c r="M13" i="72"/>
  <c r="N13" i="72" s="1"/>
  <c r="O13" i="72" s="1"/>
  <c r="C13" i="72"/>
  <c r="R12" i="72"/>
  <c r="Q12" i="72"/>
  <c r="M12" i="72"/>
  <c r="N12" i="72" s="1"/>
  <c r="O12" i="72" s="1"/>
  <c r="C12" i="72"/>
  <c r="R11" i="72"/>
  <c r="Q11" i="72"/>
  <c r="M11" i="72"/>
  <c r="N11" i="72" s="1"/>
  <c r="O11" i="72" s="1"/>
  <c r="C11" i="72"/>
  <c r="R10" i="72"/>
  <c r="Q10" i="72"/>
  <c r="M10" i="72"/>
  <c r="N10" i="72" s="1"/>
  <c r="O10" i="72" s="1"/>
  <c r="C10" i="72"/>
  <c r="R9" i="72"/>
  <c r="Q9" i="72"/>
  <c r="M9" i="72"/>
  <c r="N9" i="72" s="1"/>
  <c r="O9" i="72" s="1"/>
  <c r="C9" i="72"/>
  <c r="R8" i="72"/>
  <c r="Q8" i="72"/>
  <c r="M8" i="72"/>
  <c r="N8" i="72" s="1"/>
  <c r="O8" i="72" s="1"/>
  <c r="C8" i="72"/>
  <c r="R7" i="72"/>
  <c r="Q7" i="72"/>
  <c r="M7" i="72"/>
  <c r="N7" i="72" s="1"/>
  <c r="O7" i="72" s="1"/>
  <c r="C7" i="72"/>
  <c r="R6" i="72"/>
  <c r="Q6" i="72"/>
  <c r="M6" i="72"/>
  <c r="N6" i="72" s="1"/>
  <c r="O6" i="72" s="1"/>
  <c r="C6" i="72"/>
  <c r="L4" i="72"/>
  <c r="J4" i="72"/>
  <c r="R116" i="71"/>
  <c r="Q116" i="71"/>
  <c r="M116" i="71"/>
  <c r="N116" i="71" s="1"/>
  <c r="O116" i="71" s="1"/>
  <c r="C116" i="71"/>
  <c r="N4" i="73" l="1"/>
  <c r="O6" i="73"/>
  <c r="O4" i="73" s="1"/>
  <c r="O4" i="72"/>
  <c r="N4" i="72"/>
  <c r="R76" i="71"/>
  <c r="Q76" i="71"/>
  <c r="M76" i="71"/>
  <c r="N76" i="71" s="1"/>
  <c r="O76" i="71" s="1"/>
  <c r="C76" i="71"/>
  <c r="R106" i="71" l="1"/>
  <c r="Q106" i="71"/>
  <c r="M106" i="71"/>
  <c r="N106" i="71" s="1"/>
  <c r="O106" i="71" s="1"/>
  <c r="C106" i="71"/>
  <c r="R105" i="71"/>
  <c r="Q105" i="71"/>
  <c r="M105" i="71"/>
  <c r="N105" i="71" s="1"/>
  <c r="O105" i="71" s="1"/>
  <c r="C105" i="71"/>
  <c r="R62" i="71" l="1"/>
  <c r="Q62" i="71"/>
  <c r="M62" i="71"/>
  <c r="N62" i="71" s="1"/>
  <c r="O62" i="71" s="1"/>
  <c r="C62" i="71"/>
  <c r="R101" i="71" l="1"/>
  <c r="Q101" i="71"/>
  <c r="M101" i="71"/>
  <c r="N101" i="71" s="1"/>
  <c r="O101" i="71" s="1"/>
  <c r="C101" i="71"/>
  <c r="R100" i="71"/>
  <c r="Q100" i="71"/>
  <c r="M100" i="71"/>
  <c r="N100" i="71" s="1"/>
  <c r="O100" i="71" s="1"/>
  <c r="C100" i="71"/>
  <c r="R99" i="71"/>
  <c r="Q99" i="71"/>
  <c r="M99" i="71"/>
  <c r="N99" i="71" s="1"/>
  <c r="O99" i="71" s="1"/>
  <c r="C99" i="71"/>
  <c r="R115" i="71" l="1"/>
  <c r="Q115" i="71"/>
  <c r="M115" i="71"/>
  <c r="N115" i="71" s="1"/>
  <c r="O115" i="71" s="1"/>
  <c r="C115" i="71"/>
  <c r="R114" i="71"/>
  <c r="Q114" i="71"/>
  <c r="M114" i="71"/>
  <c r="N114" i="71" s="1"/>
  <c r="O114" i="71" s="1"/>
  <c r="C114" i="71"/>
  <c r="R113" i="71"/>
  <c r="Q113" i="71"/>
  <c r="M113" i="71"/>
  <c r="N113" i="71" s="1"/>
  <c r="O113" i="71" s="1"/>
  <c r="C113" i="71"/>
  <c r="R112" i="71"/>
  <c r="Q112" i="71"/>
  <c r="M112" i="71"/>
  <c r="N112" i="71" s="1"/>
  <c r="O112" i="71" s="1"/>
  <c r="C112" i="71"/>
  <c r="R111" i="71"/>
  <c r="Q111" i="71"/>
  <c r="M111" i="71"/>
  <c r="N111" i="71" s="1"/>
  <c r="O111" i="71" s="1"/>
  <c r="C111" i="71"/>
  <c r="R110" i="71"/>
  <c r="Q110" i="71"/>
  <c r="M110" i="71"/>
  <c r="N110" i="71" s="1"/>
  <c r="O110" i="71" s="1"/>
  <c r="C110" i="71"/>
  <c r="R109" i="71"/>
  <c r="Q109" i="71"/>
  <c r="M109" i="71"/>
  <c r="N109" i="71" s="1"/>
  <c r="O109" i="71" s="1"/>
  <c r="C109" i="71"/>
  <c r="R108" i="71"/>
  <c r="Q108" i="71"/>
  <c r="M108" i="71"/>
  <c r="N108" i="71" s="1"/>
  <c r="O108" i="71" s="1"/>
  <c r="C108" i="71"/>
  <c r="R107" i="71"/>
  <c r="Q107" i="71"/>
  <c r="M107" i="71"/>
  <c r="N107" i="71" s="1"/>
  <c r="O107" i="71" s="1"/>
  <c r="C107" i="71"/>
  <c r="R104" i="71"/>
  <c r="Q104" i="71"/>
  <c r="M104" i="71"/>
  <c r="N104" i="71" s="1"/>
  <c r="O104" i="71" s="1"/>
  <c r="C104" i="71"/>
  <c r="R103" i="71"/>
  <c r="Q103" i="71"/>
  <c r="M103" i="71"/>
  <c r="N103" i="71" s="1"/>
  <c r="O103" i="71" s="1"/>
  <c r="C103" i="71"/>
  <c r="R102" i="71"/>
  <c r="Q102" i="71"/>
  <c r="M102" i="71"/>
  <c r="N102" i="71" s="1"/>
  <c r="O102" i="71" s="1"/>
  <c r="C102" i="71"/>
  <c r="R98" i="71"/>
  <c r="Q98" i="71"/>
  <c r="M98" i="71"/>
  <c r="N98" i="71" s="1"/>
  <c r="O98" i="71" s="1"/>
  <c r="C98" i="71"/>
  <c r="R97" i="71"/>
  <c r="Q97" i="71"/>
  <c r="M97" i="71"/>
  <c r="N97" i="71" s="1"/>
  <c r="O97" i="71" s="1"/>
  <c r="C97" i="71"/>
  <c r="R96" i="71"/>
  <c r="Q96" i="71"/>
  <c r="M96" i="71"/>
  <c r="N96" i="71" s="1"/>
  <c r="O96" i="71" s="1"/>
  <c r="C96" i="71"/>
  <c r="R95" i="71"/>
  <c r="Q95" i="71"/>
  <c r="M95" i="71"/>
  <c r="N95" i="71" s="1"/>
  <c r="O95" i="71" s="1"/>
  <c r="C95" i="71"/>
  <c r="R94" i="71"/>
  <c r="Q94" i="71"/>
  <c r="M94" i="71"/>
  <c r="N94" i="71" s="1"/>
  <c r="O94" i="71" s="1"/>
  <c r="C94" i="71"/>
  <c r="R93" i="71"/>
  <c r="Q93" i="71"/>
  <c r="M93" i="71"/>
  <c r="N93" i="71" s="1"/>
  <c r="O93" i="71" s="1"/>
  <c r="C93" i="71"/>
  <c r="R92" i="71"/>
  <c r="Q92" i="71"/>
  <c r="M92" i="71"/>
  <c r="N92" i="71" s="1"/>
  <c r="O92" i="71" s="1"/>
  <c r="C92" i="71"/>
  <c r="R91" i="71"/>
  <c r="Q91" i="71"/>
  <c r="M91" i="71"/>
  <c r="N91" i="71" s="1"/>
  <c r="O91" i="71" s="1"/>
  <c r="C91" i="71"/>
  <c r="R90" i="71"/>
  <c r="Q90" i="71"/>
  <c r="M90" i="71"/>
  <c r="N90" i="71" s="1"/>
  <c r="O90" i="71" s="1"/>
  <c r="C90" i="71"/>
  <c r="R89" i="71"/>
  <c r="Q89" i="71"/>
  <c r="M89" i="71"/>
  <c r="N89" i="71" s="1"/>
  <c r="O89" i="71" s="1"/>
  <c r="C89" i="71"/>
  <c r="R88" i="71"/>
  <c r="Q88" i="71"/>
  <c r="M88" i="71"/>
  <c r="N88" i="71" s="1"/>
  <c r="O88" i="71" s="1"/>
  <c r="C88" i="71"/>
  <c r="R87" i="71"/>
  <c r="Q87" i="71"/>
  <c r="M87" i="71"/>
  <c r="N87" i="71" s="1"/>
  <c r="O87" i="71" s="1"/>
  <c r="C87" i="71"/>
  <c r="R86" i="71"/>
  <c r="Q86" i="71"/>
  <c r="M86" i="71"/>
  <c r="N86" i="71" s="1"/>
  <c r="O86" i="71" s="1"/>
  <c r="C86" i="71"/>
  <c r="R85" i="71"/>
  <c r="Q85" i="71"/>
  <c r="M85" i="71"/>
  <c r="N85" i="71" s="1"/>
  <c r="O85" i="71" s="1"/>
  <c r="C85" i="71"/>
  <c r="R84" i="71"/>
  <c r="Q84" i="71"/>
  <c r="M84" i="71"/>
  <c r="N84" i="71" s="1"/>
  <c r="O84" i="71" s="1"/>
  <c r="C84" i="71"/>
  <c r="R83" i="71"/>
  <c r="Q83" i="71"/>
  <c r="M83" i="71"/>
  <c r="N83" i="71" s="1"/>
  <c r="O83" i="71" s="1"/>
  <c r="C83" i="71"/>
  <c r="R82" i="71"/>
  <c r="Q82" i="71"/>
  <c r="M82" i="71"/>
  <c r="N82" i="71" s="1"/>
  <c r="O82" i="71" s="1"/>
  <c r="C82" i="71"/>
  <c r="R81" i="71"/>
  <c r="Q81" i="71"/>
  <c r="M81" i="71"/>
  <c r="N81" i="71" s="1"/>
  <c r="O81" i="71" s="1"/>
  <c r="C81" i="71"/>
  <c r="R80" i="71"/>
  <c r="Q80" i="71"/>
  <c r="M80" i="71"/>
  <c r="N80" i="71" s="1"/>
  <c r="O80" i="71" s="1"/>
  <c r="C80" i="71"/>
  <c r="R79" i="71"/>
  <c r="Q79" i="71"/>
  <c r="M79" i="71"/>
  <c r="N79" i="71" s="1"/>
  <c r="O79" i="71" s="1"/>
  <c r="C79" i="71"/>
  <c r="R78" i="71"/>
  <c r="Q78" i="71"/>
  <c r="M78" i="71"/>
  <c r="N78" i="71" s="1"/>
  <c r="O78" i="71" s="1"/>
  <c r="C78" i="71"/>
  <c r="R77" i="71"/>
  <c r="Q77" i="71"/>
  <c r="M77" i="71"/>
  <c r="N77" i="71" s="1"/>
  <c r="O77" i="71" s="1"/>
  <c r="C77" i="71"/>
  <c r="R75" i="71"/>
  <c r="Q75" i="71"/>
  <c r="M75" i="71"/>
  <c r="N75" i="71" s="1"/>
  <c r="O75" i="71" s="1"/>
  <c r="C75" i="71"/>
  <c r="R74" i="71"/>
  <c r="Q74" i="71"/>
  <c r="M74" i="71"/>
  <c r="N74" i="71" s="1"/>
  <c r="O74" i="71" s="1"/>
  <c r="C74" i="71"/>
  <c r="R73" i="71"/>
  <c r="Q73" i="71"/>
  <c r="M73" i="71"/>
  <c r="N73" i="71" s="1"/>
  <c r="O73" i="71" s="1"/>
  <c r="C73" i="71"/>
  <c r="R72" i="71"/>
  <c r="Q72" i="71"/>
  <c r="M72" i="71"/>
  <c r="N72" i="71" s="1"/>
  <c r="O72" i="71" s="1"/>
  <c r="C72" i="71"/>
  <c r="R71" i="71"/>
  <c r="Q71" i="71"/>
  <c r="M71" i="71"/>
  <c r="N71" i="71" s="1"/>
  <c r="O71" i="71" s="1"/>
  <c r="C71" i="71"/>
  <c r="R70" i="71"/>
  <c r="Q70" i="71"/>
  <c r="M70" i="71"/>
  <c r="N70" i="71" s="1"/>
  <c r="O70" i="71" s="1"/>
  <c r="C70" i="71"/>
  <c r="R69" i="71"/>
  <c r="Q69" i="71"/>
  <c r="M69" i="71"/>
  <c r="N69" i="71" s="1"/>
  <c r="O69" i="71" s="1"/>
  <c r="C69" i="71"/>
  <c r="R68" i="71"/>
  <c r="Q68" i="71"/>
  <c r="M68" i="71"/>
  <c r="N68" i="71" s="1"/>
  <c r="O68" i="71" s="1"/>
  <c r="C68" i="71"/>
  <c r="R67" i="71"/>
  <c r="Q67" i="71"/>
  <c r="M67" i="71"/>
  <c r="N67" i="71" s="1"/>
  <c r="O67" i="71" s="1"/>
  <c r="C67" i="71"/>
  <c r="R66" i="71"/>
  <c r="Q66" i="71"/>
  <c r="M66" i="71"/>
  <c r="N66" i="71" s="1"/>
  <c r="O66" i="71" s="1"/>
  <c r="C66" i="71"/>
  <c r="R65" i="71"/>
  <c r="Q65" i="71"/>
  <c r="M65" i="71"/>
  <c r="N65" i="71" s="1"/>
  <c r="O65" i="71" s="1"/>
  <c r="C65" i="71"/>
  <c r="R64" i="71"/>
  <c r="Q64" i="71"/>
  <c r="M64" i="71"/>
  <c r="N64" i="71" s="1"/>
  <c r="O64" i="71" s="1"/>
  <c r="C64" i="71"/>
  <c r="R63" i="71"/>
  <c r="Q63" i="71"/>
  <c r="M63" i="71"/>
  <c r="N63" i="71" s="1"/>
  <c r="O63" i="71" s="1"/>
  <c r="C63" i="71"/>
  <c r="R61" i="71"/>
  <c r="Q61" i="71"/>
  <c r="M61" i="71"/>
  <c r="N61" i="71" s="1"/>
  <c r="O61" i="71" s="1"/>
  <c r="C61" i="71"/>
  <c r="R60" i="71"/>
  <c r="Q60" i="71"/>
  <c r="M60" i="71"/>
  <c r="N60" i="71" s="1"/>
  <c r="O60" i="71" s="1"/>
  <c r="C60" i="71"/>
  <c r="R59" i="71"/>
  <c r="Q59" i="71"/>
  <c r="M59" i="71"/>
  <c r="N59" i="71" s="1"/>
  <c r="O59" i="71" s="1"/>
  <c r="C59" i="71"/>
  <c r="R58" i="71"/>
  <c r="Q58" i="71"/>
  <c r="M58" i="71"/>
  <c r="N58" i="71" s="1"/>
  <c r="O58" i="71" s="1"/>
  <c r="C58" i="71"/>
  <c r="R57" i="71"/>
  <c r="Q57" i="71"/>
  <c r="M57" i="71"/>
  <c r="N57" i="71" s="1"/>
  <c r="O57" i="71" s="1"/>
  <c r="C57" i="71"/>
  <c r="R56" i="71"/>
  <c r="Q56" i="71"/>
  <c r="M56" i="71"/>
  <c r="N56" i="71" s="1"/>
  <c r="O56" i="71" s="1"/>
  <c r="C56" i="71"/>
  <c r="R55" i="71"/>
  <c r="Q55" i="71"/>
  <c r="M55" i="71"/>
  <c r="N55" i="71" s="1"/>
  <c r="O55" i="71" s="1"/>
  <c r="C55" i="71"/>
  <c r="R54" i="71"/>
  <c r="Q54" i="71"/>
  <c r="M54" i="71"/>
  <c r="N54" i="71" s="1"/>
  <c r="O54" i="71" s="1"/>
  <c r="C54" i="71"/>
  <c r="R53" i="71"/>
  <c r="Q53" i="71"/>
  <c r="M53" i="71"/>
  <c r="N53" i="71" s="1"/>
  <c r="O53" i="71" s="1"/>
  <c r="C53" i="71"/>
  <c r="R52" i="71"/>
  <c r="Q52" i="71"/>
  <c r="M52" i="71"/>
  <c r="N52" i="71" s="1"/>
  <c r="O52" i="71" s="1"/>
  <c r="C52" i="71"/>
  <c r="R51" i="71"/>
  <c r="Q51" i="71"/>
  <c r="M51" i="71"/>
  <c r="N51" i="71" s="1"/>
  <c r="O51" i="71" s="1"/>
  <c r="C51" i="71"/>
  <c r="R50" i="71"/>
  <c r="Q50" i="71"/>
  <c r="M50" i="71"/>
  <c r="N50" i="71" s="1"/>
  <c r="O50" i="71" s="1"/>
  <c r="C50" i="71"/>
  <c r="R49" i="71"/>
  <c r="Q49" i="71"/>
  <c r="M49" i="71"/>
  <c r="N49" i="71" s="1"/>
  <c r="O49" i="71" s="1"/>
  <c r="C49" i="71"/>
  <c r="R48" i="71"/>
  <c r="Q48" i="71"/>
  <c r="M48" i="71"/>
  <c r="N48" i="71" s="1"/>
  <c r="O48" i="71" s="1"/>
  <c r="C48" i="71"/>
  <c r="R47" i="71"/>
  <c r="Q47" i="71"/>
  <c r="M47" i="71"/>
  <c r="N47" i="71" s="1"/>
  <c r="O47" i="71" s="1"/>
  <c r="C47" i="71"/>
  <c r="R46" i="71"/>
  <c r="Q46" i="71"/>
  <c r="M46" i="71"/>
  <c r="N46" i="71" s="1"/>
  <c r="O46" i="71" s="1"/>
  <c r="C46" i="71"/>
  <c r="R45" i="71"/>
  <c r="Q45" i="71"/>
  <c r="M45" i="71"/>
  <c r="N45" i="71" s="1"/>
  <c r="O45" i="71" s="1"/>
  <c r="C45" i="71"/>
  <c r="R44" i="71"/>
  <c r="Q44" i="71"/>
  <c r="M44" i="71"/>
  <c r="N44" i="71" s="1"/>
  <c r="O44" i="71" s="1"/>
  <c r="C44" i="71"/>
  <c r="R43" i="71"/>
  <c r="Q43" i="71"/>
  <c r="M43" i="71"/>
  <c r="N43" i="71" s="1"/>
  <c r="O43" i="71" s="1"/>
  <c r="C43" i="71"/>
  <c r="R42" i="71"/>
  <c r="Q42" i="71"/>
  <c r="M42" i="71"/>
  <c r="N42" i="71" s="1"/>
  <c r="O42" i="71" s="1"/>
  <c r="C42" i="71"/>
  <c r="R41" i="71"/>
  <c r="Q41" i="71"/>
  <c r="M41" i="71"/>
  <c r="N41" i="71" s="1"/>
  <c r="O41" i="71" s="1"/>
  <c r="C41" i="71"/>
  <c r="R40" i="71"/>
  <c r="Q40" i="71"/>
  <c r="M40" i="71"/>
  <c r="N40" i="71" s="1"/>
  <c r="O40" i="71" s="1"/>
  <c r="C40" i="71"/>
  <c r="R39" i="71"/>
  <c r="Q39" i="71"/>
  <c r="M39" i="71"/>
  <c r="N39" i="71" s="1"/>
  <c r="O39" i="71" s="1"/>
  <c r="C39" i="71"/>
  <c r="R38" i="71"/>
  <c r="Q38" i="71"/>
  <c r="M38" i="71"/>
  <c r="N38" i="71" s="1"/>
  <c r="O38" i="71" s="1"/>
  <c r="C38" i="71"/>
  <c r="R37" i="71"/>
  <c r="Q37" i="71"/>
  <c r="M37" i="71"/>
  <c r="N37" i="71" s="1"/>
  <c r="O37" i="71" s="1"/>
  <c r="C37" i="71"/>
  <c r="R36" i="71"/>
  <c r="Q36" i="71"/>
  <c r="M36" i="71"/>
  <c r="N36" i="71" s="1"/>
  <c r="O36" i="71" s="1"/>
  <c r="C36" i="71"/>
  <c r="R35" i="71"/>
  <c r="Q35" i="71"/>
  <c r="M35" i="71"/>
  <c r="N35" i="71" s="1"/>
  <c r="O35" i="71" s="1"/>
  <c r="C35" i="71"/>
  <c r="R34" i="71"/>
  <c r="Q34" i="71"/>
  <c r="M34" i="71"/>
  <c r="N34" i="71" s="1"/>
  <c r="O34" i="71" s="1"/>
  <c r="C34" i="71"/>
  <c r="R33" i="71"/>
  <c r="Q33" i="71"/>
  <c r="M33" i="71"/>
  <c r="N33" i="71" s="1"/>
  <c r="O33" i="71" s="1"/>
  <c r="C33" i="71"/>
  <c r="R32" i="71"/>
  <c r="Q32" i="71"/>
  <c r="M32" i="71"/>
  <c r="N32" i="71" s="1"/>
  <c r="O32" i="71" s="1"/>
  <c r="C32" i="71"/>
  <c r="R31" i="71"/>
  <c r="Q31" i="71"/>
  <c r="M31" i="71"/>
  <c r="N31" i="71" s="1"/>
  <c r="O31" i="71" s="1"/>
  <c r="C31" i="71"/>
  <c r="R30" i="71"/>
  <c r="Q30" i="71"/>
  <c r="M30" i="71"/>
  <c r="N30" i="71" s="1"/>
  <c r="O30" i="71" s="1"/>
  <c r="C30" i="71"/>
  <c r="R29" i="71"/>
  <c r="Q29" i="71"/>
  <c r="M29" i="71"/>
  <c r="N29" i="71" s="1"/>
  <c r="O29" i="71" s="1"/>
  <c r="C29" i="71"/>
  <c r="R28" i="71"/>
  <c r="Q28" i="71"/>
  <c r="M28" i="71"/>
  <c r="N28" i="71" s="1"/>
  <c r="O28" i="71" s="1"/>
  <c r="C28" i="71"/>
  <c r="R27" i="71"/>
  <c r="Q27" i="71"/>
  <c r="M27" i="71"/>
  <c r="N27" i="71" s="1"/>
  <c r="O27" i="71" s="1"/>
  <c r="C27" i="71"/>
  <c r="R26" i="71"/>
  <c r="Q26" i="71"/>
  <c r="M26" i="71"/>
  <c r="N26" i="71" s="1"/>
  <c r="O26" i="71" s="1"/>
  <c r="C26" i="71"/>
  <c r="R25" i="71"/>
  <c r="Q25" i="71"/>
  <c r="M25" i="71"/>
  <c r="N25" i="71" s="1"/>
  <c r="O25" i="71" s="1"/>
  <c r="C25" i="71"/>
  <c r="R24" i="71"/>
  <c r="Q24" i="71"/>
  <c r="M24" i="71"/>
  <c r="N24" i="71" s="1"/>
  <c r="O24" i="71" s="1"/>
  <c r="C24" i="71"/>
  <c r="R23" i="71"/>
  <c r="Q23" i="71"/>
  <c r="M23" i="71"/>
  <c r="N23" i="71" s="1"/>
  <c r="O23" i="71" s="1"/>
  <c r="C23" i="71"/>
  <c r="R22" i="71"/>
  <c r="Q22" i="71"/>
  <c r="M22" i="71"/>
  <c r="N22" i="71" s="1"/>
  <c r="O22" i="71" s="1"/>
  <c r="C22" i="71"/>
  <c r="R21" i="71"/>
  <c r="Q21" i="71"/>
  <c r="M21" i="71"/>
  <c r="N21" i="71" s="1"/>
  <c r="O21" i="71" s="1"/>
  <c r="C21" i="71"/>
  <c r="R20" i="71"/>
  <c r="Q20" i="71"/>
  <c r="M20" i="71"/>
  <c r="N20" i="71" s="1"/>
  <c r="O20" i="71" s="1"/>
  <c r="C20" i="71"/>
  <c r="R19" i="71"/>
  <c r="Q19" i="71"/>
  <c r="M19" i="71"/>
  <c r="N19" i="71" s="1"/>
  <c r="O19" i="71" s="1"/>
  <c r="C19" i="71"/>
  <c r="R18" i="71"/>
  <c r="Q18" i="71"/>
  <c r="M18" i="71"/>
  <c r="N18" i="71" s="1"/>
  <c r="O18" i="71" s="1"/>
  <c r="C18" i="71"/>
  <c r="R17" i="71"/>
  <c r="Q17" i="71"/>
  <c r="M17" i="71"/>
  <c r="N17" i="71" s="1"/>
  <c r="O17" i="71" s="1"/>
  <c r="C17" i="71"/>
  <c r="R16" i="71"/>
  <c r="Q16" i="71"/>
  <c r="M16" i="71"/>
  <c r="N16" i="71" s="1"/>
  <c r="O16" i="71" s="1"/>
  <c r="C16" i="71"/>
  <c r="R15" i="71"/>
  <c r="Q15" i="71"/>
  <c r="M15" i="71"/>
  <c r="N15" i="71" s="1"/>
  <c r="O15" i="71" s="1"/>
  <c r="C15" i="71"/>
  <c r="R14" i="71"/>
  <c r="Q14" i="71"/>
  <c r="M14" i="71"/>
  <c r="N14" i="71" s="1"/>
  <c r="O14" i="71" s="1"/>
  <c r="C14" i="71"/>
  <c r="R13" i="71"/>
  <c r="Q13" i="71"/>
  <c r="M13" i="71"/>
  <c r="N13" i="71" s="1"/>
  <c r="O13" i="71" s="1"/>
  <c r="C13" i="71"/>
  <c r="R12" i="71"/>
  <c r="Q12" i="71"/>
  <c r="M12" i="71"/>
  <c r="N12" i="71" s="1"/>
  <c r="O12" i="71" s="1"/>
  <c r="C12" i="71"/>
  <c r="R11" i="71"/>
  <c r="Q11" i="71"/>
  <c r="M11" i="71"/>
  <c r="N11" i="71" s="1"/>
  <c r="O11" i="71" s="1"/>
  <c r="C11" i="71"/>
  <c r="R10" i="71"/>
  <c r="Q10" i="71"/>
  <c r="M10" i="71"/>
  <c r="N10" i="71" s="1"/>
  <c r="O10" i="71" s="1"/>
  <c r="C10" i="71"/>
  <c r="R9" i="71"/>
  <c r="Q9" i="71"/>
  <c r="M9" i="71"/>
  <c r="N9" i="71" s="1"/>
  <c r="O9" i="71" s="1"/>
  <c r="C9" i="71"/>
  <c r="R8" i="71"/>
  <c r="Q8" i="71"/>
  <c r="M8" i="71"/>
  <c r="N8" i="71" s="1"/>
  <c r="O8" i="71" s="1"/>
  <c r="C8" i="71"/>
  <c r="R7" i="71"/>
  <c r="Q7" i="71"/>
  <c r="M7" i="71"/>
  <c r="N7" i="71" s="1"/>
  <c r="O7" i="71" s="1"/>
  <c r="C7" i="71"/>
  <c r="R6" i="71"/>
  <c r="Q6" i="71"/>
  <c r="M6" i="71"/>
  <c r="N6" i="71" s="1"/>
  <c r="C6" i="71"/>
  <c r="L4" i="71"/>
  <c r="J4" i="71"/>
  <c r="M134" i="70"/>
  <c r="N134" i="70" s="1"/>
  <c r="O134" i="70" s="1"/>
  <c r="M133" i="70"/>
  <c r="N133" i="70" s="1"/>
  <c r="O133" i="70" s="1"/>
  <c r="M132" i="70"/>
  <c r="N132" i="70" s="1"/>
  <c r="O132" i="70" s="1"/>
  <c r="C134" i="70"/>
  <c r="C133" i="70"/>
  <c r="C132" i="70"/>
  <c r="R134" i="70"/>
  <c r="Q134" i="70"/>
  <c r="R133" i="70"/>
  <c r="Q133" i="70"/>
  <c r="R132" i="70"/>
  <c r="Q132" i="70"/>
  <c r="O6" i="71" l="1"/>
  <c r="O4" i="71" s="1"/>
  <c r="N4" i="71"/>
  <c r="R83" i="70"/>
  <c r="Q83" i="70"/>
  <c r="M83" i="70"/>
  <c r="N83" i="70" s="1"/>
  <c r="O83" i="70" s="1"/>
  <c r="C83" i="70"/>
  <c r="C116" i="70" l="1"/>
  <c r="R116" i="70"/>
  <c r="Q116" i="70"/>
  <c r="M116" i="70"/>
  <c r="N116" i="70" s="1"/>
  <c r="O116" i="70" s="1"/>
  <c r="R115" i="70" l="1"/>
  <c r="Q115" i="70"/>
  <c r="M115" i="70"/>
  <c r="N115" i="70" s="1"/>
  <c r="O115" i="70" s="1"/>
  <c r="C115" i="70"/>
  <c r="R131" i="70" l="1"/>
  <c r="Q131" i="70"/>
  <c r="M131" i="70"/>
  <c r="N131" i="70" s="1"/>
  <c r="O131" i="70" s="1"/>
  <c r="C131" i="70"/>
  <c r="R130" i="70"/>
  <c r="Q130" i="70"/>
  <c r="M130" i="70"/>
  <c r="N130" i="70" s="1"/>
  <c r="O130" i="70" s="1"/>
  <c r="C130" i="70"/>
  <c r="R129" i="70"/>
  <c r="Q129" i="70"/>
  <c r="M129" i="70"/>
  <c r="N129" i="70" s="1"/>
  <c r="O129" i="70" s="1"/>
  <c r="C129" i="70"/>
  <c r="R128" i="70"/>
  <c r="Q128" i="70"/>
  <c r="M128" i="70"/>
  <c r="N128" i="70" s="1"/>
  <c r="O128" i="70" s="1"/>
  <c r="C128" i="70"/>
  <c r="R127" i="70"/>
  <c r="Q127" i="70"/>
  <c r="M127" i="70"/>
  <c r="N127" i="70" s="1"/>
  <c r="O127" i="70" s="1"/>
  <c r="C127" i="70"/>
  <c r="R126" i="70"/>
  <c r="Q126" i="70"/>
  <c r="M126" i="70"/>
  <c r="N126" i="70" s="1"/>
  <c r="O126" i="70" s="1"/>
  <c r="C126" i="70"/>
  <c r="R125" i="70"/>
  <c r="Q125" i="70"/>
  <c r="M125" i="70"/>
  <c r="N125" i="70" s="1"/>
  <c r="O125" i="70" s="1"/>
  <c r="C125" i="70"/>
  <c r="R124" i="70"/>
  <c r="Q124" i="70"/>
  <c r="M124" i="70"/>
  <c r="N124" i="70" s="1"/>
  <c r="O124" i="70" s="1"/>
  <c r="C124" i="70"/>
  <c r="R123" i="70"/>
  <c r="Q123" i="70"/>
  <c r="M123" i="70"/>
  <c r="N123" i="70" s="1"/>
  <c r="O123" i="70" s="1"/>
  <c r="C123" i="70"/>
  <c r="R122" i="70"/>
  <c r="Q122" i="70"/>
  <c r="M122" i="70"/>
  <c r="N122" i="70" s="1"/>
  <c r="O122" i="70" s="1"/>
  <c r="C122" i="70"/>
  <c r="R121" i="70"/>
  <c r="Q121" i="70"/>
  <c r="M121" i="70"/>
  <c r="N121" i="70" s="1"/>
  <c r="O121" i="70" s="1"/>
  <c r="C121" i="70"/>
  <c r="R120" i="70"/>
  <c r="Q120" i="70"/>
  <c r="M120" i="70"/>
  <c r="N120" i="70" s="1"/>
  <c r="O120" i="70" s="1"/>
  <c r="C120" i="70"/>
  <c r="R119" i="70"/>
  <c r="Q119" i="70"/>
  <c r="M119" i="70"/>
  <c r="N119" i="70" s="1"/>
  <c r="O119" i="70" s="1"/>
  <c r="C119" i="70"/>
  <c r="R118" i="70"/>
  <c r="Q118" i="70"/>
  <c r="M118" i="70"/>
  <c r="N118" i="70" s="1"/>
  <c r="O118" i="70" s="1"/>
  <c r="C118" i="70"/>
  <c r="R117" i="70"/>
  <c r="Q117" i="70"/>
  <c r="M117" i="70"/>
  <c r="N117" i="70" s="1"/>
  <c r="O117" i="70" s="1"/>
  <c r="C117" i="70"/>
  <c r="R114" i="70"/>
  <c r="Q114" i="70"/>
  <c r="M114" i="70"/>
  <c r="N114" i="70" s="1"/>
  <c r="O114" i="70" s="1"/>
  <c r="C114" i="70"/>
  <c r="R113" i="70"/>
  <c r="Q113" i="70"/>
  <c r="M113" i="70"/>
  <c r="N113" i="70" s="1"/>
  <c r="O113" i="70" s="1"/>
  <c r="C113" i="70"/>
  <c r="R112" i="70"/>
  <c r="Q112" i="70"/>
  <c r="M112" i="70"/>
  <c r="N112" i="70" s="1"/>
  <c r="O112" i="70" s="1"/>
  <c r="C112" i="70"/>
  <c r="R111" i="70"/>
  <c r="Q111" i="70"/>
  <c r="M111" i="70"/>
  <c r="N111" i="70" s="1"/>
  <c r="O111" i="70" s="1"/>
  <c r="C111" i="70"/>
  <c r="R110" i="70"/>
  <c r="Q110" i="70"/>
  <c r="M110" i="70"/>
  <c r="N110" i="70" s="1"/>
  <c r="O110" i="70" s="1"/>
  <c r="C110" i="70"/>
  <c r="R109" i="70"/>
  <c r="Q109" i="70"/>
  <c r="M109" i="70"/>
  <c r="N109" i="70" s="1"/>
  <c r="O109" i="70" s="1"/>
  <c r="C109" i="70"/>
  <c r="R108" i="70"/>
  <c r="Q108" i="70"/>
  <c r="M108" i="70"/>
  <c r="N108" i="70" s="1"/>
  <c r="O108" i="70" s="1"/>
  <c r="C108" i="70"/>
  <c r="R107" i="70"/>
  <c r="Q107" i="70"/>
  <c r="M107" i="70"/>
  <c r="N107" i="70" s="1"/>
  <c r="O107" i="70" s="1"/>
  <c r="C107" i="70"/>
  <c r="R106" i="70"/>
  <c r="Q106" i="70"/>
  <c r="M106" i="70"/>
  <c r="N106" i="70" s="1"/>
  <c r="O106" i="70" s="1"/>
  <c r="C106" i="70"/>
  <c r="R105" i="70"/>
  <c r="Q105" i="70"/>
  <c r="M105" i="70"/>
  <c r="N105" i="70" s="1"/>
  <c r="O105" i="70" s="1"/>
  <c r="C105" i="70"/>
  <c r="R104" i="70"/>
  <c r="Q104" i="70"/>
  <c r="M104" i="70"/>
  <c r="N104" i="70" s="1"/>
  <c r="O104" i="70" s="1"/>
  <c r="C104" i="70"/>
  <c r="R103" i="70"/>
  <c r="Q103" i="70"/>
  <c r="M103" i="70"/>
  <c r="N103" i="70" s="1"/>
  <c r="O103" i="70" s="1"/>
  <c r="C103" i="70"/>
  <c r="R102" i="70"/>
  <c r="Q102" i="70"/>
  <c r="M102" i="70"/>
  <c r="N102" i="70" s="1"/>
  <c r="O102" i="70" s="1"/>
  <c r="C102" i="70"/>
  <c r="R101" i="70"/>
  <c r="Q101" i="70"/>
  <c r="M101" i="70"/>
  <c r="N101" i="70" s="1"/>
  <c r="O101" i="70" s="1"/>
  <c r="C101" i="70"/>
  <c r="R100" i="70"/>
  <c r="Q100" i="70"/>
  <c r="M100" i="70"/>
  <c r="N100" i="70" s="1"/>
  <c r="O100" i="70" s="1"/>
  <c r="C100" i="70"/>
  <c r="R99" i="70"/>
  <c r="Q99" i="70"/>
  <c r="M99" i="70"/>
  <c r="N99" i="70" s="1"/>
  <c r="O99" i="70" s="1"/>
  <c r="C99" i="70"/>
  <c r="R98" i="70"/>
  <c r="Q98" i="70"/>
  <c r="M98" i="70"/>
  <c r="N98" i="70" s="1"/>
  <c r="O98" i="70" s="1"/>
  <c r="C98" i="70"/>
  <c r="R97" i="70"/>
  <c r="Q97" i="70"/>
  <c r="M97" i="70"/>
  <c r="N97" i="70" s="1"/>
  <c r="O97" i="70" s="1"/>
  <c r="C97" i="70"/>
  <c r="R96" i="70" l="1"/>
  <c r="Q96" i="70"/>
  <c r="M96" i="70"/>
  <c r="N96" i="70" s="1"/>
  <c r="O96" i="70" s="1"/>
  <c r="C96" i="70"/>
  <c r="R95" i="70"/>
  <c r="Q95" i="70"/>
  <c r="M95" i="70"/>
  <c r="N95" i="70" s="1"/>
  <c r="O95" i="70" s="1"/>
  <c r="C95" i="70"/>
  <c r="R94" i="70"/>
  <c r="Q94" i="70"/>
  <c r="M94" i="70"/>
  <c r="N94" i="70" s="1"/>
  <c r="O94" i="70" s="1"/>
  <c r="C94" i="70"/>
  <c r="R93" i="70"/>
  <c r="Q93" i="70"/>
  <c r="M93" i="70"/>
  <c r="N93" i="70" s="1"/>
  <c r="O93" i="70" s="1"/>
  <c r="C93" i="70"/>
  <c r="R92" i="70"/>
  <c r="Q92" i="70"/>
  <c r="M92" i="70"/>
  <c r="N92" i="70" s="1"/>
  <c r="O92" i="70" s="1"/>
  <c r="C92" i="70"/>
  <c r="R91" i="70"/>
  <c r="Q91" i="70"/>
  <c r="M91" i="70"/>
  <c r="N91" i="70" s="1"/>
  <c r="O91" i="70" s="1"/>
  <c r="C91" i="70"/>
  <c r="R90" i="70"/>
  <c r="Q90" i="70"/>
  <c r="M90" i="70"/>
  <c r="N90" i="70" s="1"/>
  <c r="O90" i="70" s="1"/>
  <c r="C90" i="70"/>
  <c r="R89" i="70"/>
  <c r="Q89" i="70"/>
  <c r="M89" i="70"/>
  <c r="N89" i="70" s="1"/>
  <c r="O89" i="70" s="1"/>
  <c r="C89" i="70"/>
  <c r="R88" i="70"/>
  <c r="Q88" i="70"/>
  <c r="M88" i="70"/>
  <c r="N88" i="70" s="1"/>
  <c r="O88" i="70" s="1"/>
  <c r="C88" i="70"/>
  <c r="R87" i="70"/>
  <c r="Q87" i="70"/>
  <c r="M87" i="70"/>
  <c r="N87" i="70" s="1"/>
  <c r="O87" i="70" s="1"/>
  <c r="C87" i="70"/>
  <c r="R86" i="70"/>
  <c r="Q86" i="70"/>
  <c r="M86" i="70"/>
  <c r="N86" i="70" s="1"/>
  <c r="O86" i="70" s="1"/>
  <c r="C86" i="70"/>
  <c r="R85" i="70"/>
  <c r="Q85" i="70"/>
  <c r="M85" i="70"/>
  <c r="N85" i="70" s="1"/>
  <c r="O85" i="70" s="1"/>
  <c r="C85" i="70"/>
  <c r="R84" i="70"/>
  <c r="Q84" i="70"/>
  <c r="M84" i="70"/>
  <c r="N84" i="70" s="1"/>
  <c r="O84" i="70" s="1"/>
  <c r="C84" i="70"/>
  <c r="R82" i="70"/>
  <c r="Q82" i="70"/>
  <c r="M82" i="70"/>
  <c r="N82" i="70" s="1"/>
  <c r="O82" i="70" s="1"/>
  <c r="C82" i="70"/>
  <c r="R81" i="70"/>
  <c r="Q81" i="70"/>
  <c r="M81" i="70"/>
  <c r="N81" i="70" s="1"/>
  <c r="O81" i="70" s="1"/>
  <c r="C81" i="70"/>
  <c r="R80" i="70"/>
  <c r="Q80" i="70"/>
  <c r="M80" i="70"/>
  <c r="N80" i="70" s="1"/>
  <c r="O80" i="70" s="1"/>
  <c r="C80" i="70"/>
  <c r="R79" i="70"/>
  <c r="Q79" i="70"/>
  <c r="M79" i="70"/>
  <c r="N79" i="70" s="1"/>
  <c r="O79" i="70" s="1"/>
  <c r="C79" i="70"/>
  <c r="R78" i="70"/>
  <c r="Q78" i="70"/>
  <c r="M78" i="70"/>
  <c r="N78" i="70" s="1"/>
  <c r="O78" i="70" s="1"/>
  <c r="C78" i="70"/>
  <c r="R77" i="70"/>
  <c r="Q77" i="70"/>
  <c r="M77" i="70"/>
  <c r="N77" i="70" s="1"/>
  <c r="O77" i="70" s="1"/>
  <c r="C77" i="70"/>
  <c r="R76" i="70"/>
  <c r="Q76" i="70"/>
  <c r="M76" i="70"/>
  <c r="N76" i="70" s="1"/>
  <c r="O76" i="70" s="1"/>
  <c r="C76" i="70"/>
  <c r="R75" i="70"/>
  <c r="Q75" i="70"/>
  <c r="M75" i="70"/>
  <c r="N75" i="70" s="1"/>
  <c r="O75" i="70" s="1"/>
  <c r="C75" i="70"/>
  <c r="R74" i="70"/>
  <c r="Q74" i="70"/>
  <c r="M74" i="70"/>
  <c r="N74" i="70" s="1"/>
  <c r="O74" i="70" s="1"/>
  <c r="C74" i="70"/>
  <c r="R73" i="70"/>
  <c r="Q73" i="70"/>
  <c r="M73" i="70"/>
  <c r="N73" i="70" s="1"/>
  <c r="O73" i="70" s="1"/>
  <c r="C73" i="70"/>
  <c r="R72" i="70"/>
  <c r="Q72" i="70"/>
  <c r="M72" i="70"/>
  <c r="N72" i="70" s="1"/>
  <c r="O72" i="70" s="1"/>
  <c r="C72" i="70"/>
  <c r="R71" i="70"/>
  <c r="Q71" i="70"/>
  <c r="M71" i="70"/>
  <c r="N71" i="70" s="1"/>
  <c r="O71" i="70" s="1"/>
  <c r="C71" i="70"/>
  <c r="R70" i="70"/>
  <c r="Q70" i="70"/>
  <c r="M70" i="70"/>
  <c r="N70" i="70" s="1"/>
  <c r="O70" i="70" s="1"/>
  <c r="C70" i="70"/>
  <c r="R69" i="70"/>
  <c r="Q69" i="70"/>
  <c r="M69" i="70"/>
  <c r="N69" i="70" s="1"/>
  <c r="O69" i="70" s="1"/>
  <c r="C69" i="70"/>
  <c r="R68" i="70"/>
  <c r="Q68" i="70"/>
  <c r="M68" i="70"/>
  <c r="N68" i="70" s="1"/>
  <c r="O68" i="70" s="1"/>
  <c r="C68" i="70"/>
  <c r="R67" i="70"/>
  <c r="Q67" i="70"/>
  <c r="M67" i="70"/>
  <c r="N67" i="70" s="1"/>
  <c r="O67" i="70" s="1"/>
  <c r="C67" i="70"/>
  <c r="R66" i="70"/>
  <c r="Q66" i="70"/>
  <c r="M66" i="70"/>
  <c r="N66" i="70" s="1"/>
  <c r="O66" i="70" s="1"/>
  <c r="C66" i="70"/>
  <c r="R65" i="70"/>
  <c r="Q65" i="70"/>
  <c r="M65" i="70"/>
  <c r="N65" i="70" s="1"/>
  <c r="O65" i="70" s="1"/>
  <c r="C65" i="70"/>
  <c r="R64" i="70"/>
  <c r="Q64" i="70"/>
  <c r="M64" i="70"/>
  <c r="N64" i="70" s="1"/>
  <c r="O64" i="70" s="1"/>
  <c r="C64" i="70"/>
  <c r="R63" i="70"/>
  <c r="Q63" i="70"/>
  <c r="M63" i="70"/>
  <c r="N63" i="70" s="1"/>
  <c r="O63" i="70" s="1"/>
  <c r="C63" i="70"/>
  <c r="R62" i="70"/>
  <c r="Q62" i="70"/>
  <c r="M62" i="70"/>
  <c r="N62" i="70" s="1"/>
  <c r="O62" i="70" s="1"/>
  <c r="C62" i="70"/>
  <c r="R61" i="70"/>
  <c r="Q61" i="70"/>
  <c r="M61" i="70"/>
  <c r="N61" i="70" s="1"/>
  <c r="O61" i="70" s="1"/>
  <c r="C61" i="70"/>
  <c r="R60" i="70"/>
  <c r="Q60" i="70"/>
  <c r="M60" i="70"/>
  <c r="N60" i="70" s="1"/>
  <c r="O60" i="70" s="1"/>
  <c r="C60" i="70"/>
  <c r="R59" i="70"/>
  <c r="Q59" i="70"/>
  <c r="M59" i="70"/>
  <c r="N59" i="70" s="1"/>
  <c r="O59" i="70" s="1"/>
  <c r="C59" i="70"/>
  <c r="R58" i="70"/>
  <c r="Q58" i="70"/>
  <c r="M58" i="70"/>
  <c r="N58" i="70" s="1"/>
  <c r="O58" i="70" s="1"/>
  <c r="C58" i="70"/>
  <c r="R57" i="70"/>
  <c r="Q57" i="70"/>
  <c r="M57" i="70"/>
  <c r="N57" i="70" s="1"/>
  <c r="O57" i="70" s="1"/>
  <c r="C57" i="70"/>
  <c r="R56" i="70"/>
  <c r="Q56" i="70"/>
  <c r="M56" i="70"/>
  <c r="N56" i="70" s="1"/>
  <c r="O56" i="70" s="1"/>
  <c r="C56" i="70"/>
  <c r="R55" i="70"/>
  <c r="Q55" i="70"/>
  <c r="M55" i="70"/>
  <c r="N55" i="70" s="1"/>
  <c r="O55" i="70" s="1"/>
  <c r="C55" i="70"/>
  <c r="R54" i="70"/>
  <c r="Q54" i="70"/>
  <c r="M54" i="70"/>
  <c r="N54" i="70" s="1"/>
  <c r="O54" i="70" s="1"/>
  <c r="C54" i="70"/>
  <c r="R53" i="70"/>
  <c r="Q53" i="70"/>
  <c r="M53" i="70"/>
  <c r="N53" i="70" s="1"/>
  <c r="O53" i="70" s="1"/>
  <c r="C53" i="70"/>
  <c r="R52" i="70"/>
  <c r="Q52" i="70"/>
  <c r="M52" i="70"/>
  <c r="N52" i="70" s="1"/>
  <c r="O52" i="70" s="1"/>
  <c r="C52" i="70"/>
  <c r="R51" i="70"/>
  <c r="Q51" i="70"/>
  <c r="M51" i="70"/>
  <c r="N51" i="70" s="1"/>
  <c r="O51" i="70" s="1"/>
  <c r="C51" i="70"/>
  <c r="R50" i="70"/>
  <c r="Q50" i="70"/>
  <c r="M50" i="70"/>
  <c r="N50" i="70" s="1"/>
  <c r="O50" i="70" s="1"/>
  <c r="C50" i="70"/>
  <c r="R49" i="70"/>
  <c r="Q49" i="70"/>
  <c r="M49" i="70"/>
  <c r="N49" i="70" s="1"/>
  <c r="O49" i="70" s="1"/>
  <c r="C49" i="70"/>
  <c r="R48" i="70"/>
  <c r="Q48" i="70"/>
  <c r="M48" i="70"/>
  <c r="N48" i="70" s="1"/>
  <c r="O48" i="70" s="1"/>
  <c r="C48" i="70"/>
  <c r="R47" i="70"/>
  <c r="Q47" i="70"/>
  <c r="M47" i="70"/>
  <c r="N47" i="70" s="1"/>
  <c r="O47" i="70" s="1"/>
  <c r="C47" i="70"/>
  <c r="R46" i="70"/>
  <c r="Q46" i="70"/>
  <c r="M46" i="70"/>
  <c r="N46" i="70" s="1"/>
  <c r="O46" i="70" s="1"/>
  <c r="C46" i="70"/>
  <c r="R45" i="70"/>
  <c r="Q45" i="70"/>
  <c r="M45" i="70"/>
  <c r="N45" i="70" s="1"/>
  <c r="O45" i="70" s="1"/>
  <c r="C45" i="70"/>
  <c r="R44" i="70"/>
  <c r="Q44" i="70"/>
  <c r="M44" i="70"/>
  <c r="N44" i="70" s="1"/>
  <c r="O44" i="70" s="1"/>
  <c r="C44" i="70"/>
  <c r="R43" i="70"/>
  <c r="Q43" i="70"/>
  <c r="M43" i="70"/>
  <c r="N43" i="70" s="1"/>
  <c r="O43" i="70" s="1"/>
  <c r="C43" i="70"/>
  <c r="R42" i="70"/>
  <c r="Q42" i="70"/>
  <c r="M42" i="70"/>
  <c r="N42" i="70" s="1"/>
  <c r="O42" i="70" s="1"/>
  <c r="C42" i="70"/>
  <c r="R41" i="70"/>
  <c r="Q41" i="70"/>
  <c r="M41" i="70"/>
  <c r="N41" i="70" s="1"/>
  <c r="O41" i="70" s="1"/>
  <c r="C41" i="70"/>
  <c r="R40" i="70"/>
  <c r="Q40" i="70"/>
  <c r="M40" i="70"/>
  <c r="N40" i="70" s="1"/>
  <c r="O40" i="70" s="1"/>
  <c r="C40" i="70"/>
  <c r="R39" i="70"/>
  <c r="Q39" i="70"/>
  <c r="M39" i="70"/>
  <c r="N39" i="70" s="1"/>
  <c r="O39" i="70" s="1"/>
  <c r="C39" i="70"/>
  <c r="R38" i="70"/>
  <c r="Q38" i="70"/>
  <c r="M38" i="70"/>
  <c r="N38" i="70" s="1"/>
  <c r="O38" i="70" s="1"/>
  <c r="C38" i="70"/>
  <c r="R37" i="70"/>
  <c r="Q37" i="70"/>
  <c r="M37" i="70"/>
  <c r="N37" i="70" s="1"/>
  <c r="O37" i="70" s="1"/>
  <c r="C37" i="70"/>
  <c r="R36" i="70"/>
  <c r="Q36" i="70"/>
  <c r="M36" i="70"/>
  <c r="N36" i="70" s="1"/>
  <c r="O36" i="70" s="1"/>
  <c r="C36" i="70"/>
  <c r="R35" i="70"/>
  <c r="Q35" i="70"/>
  <c r="M35" i="70"/>
  <c r="N35" i="70" s="1"/>
  <c r="O35" i="70" s="1"/>
  <c r="C35" i="70"/>
  <c r="R34" i="70"/>
  <c r="Q34" i="70"/>
  <c r="M34" i="70"/>
  <c r="N34" i="70" s="1"/>
  <c r="O34" i="70" s="1"/>
  <c r="C34" i="70"/>
  <c r="R33" i="70"/>
  <c r="Q33" i="70"/>
  <c r="M33" i="70"/>
  <c r="N33" i="70" s="1"/>
  <c r="O33" i="70" s="1"/>
  <c r="C33" i="70"/>
  <c r="R32" i="70"/>
  <c r="Q32" i="70"/>
  <c r="M32" i="70"/>
  <c r="N32" i="70" s="1"/>
  <c r="O32" i="70" s="1"/>
  <c r="C32" i="70"/>
  <c r="R31" i="70"/>
  <c r="Q31" i="70"/>
  <c r="M31" i="70"/>
  <c r="N31" i="70" s="1"/>
  <c r="O31" i="70" s="1"/>
  <c r="C31" i="70"/>
  <c r="R30" i="70"/>
  <c r="Q30" i="70"/>
  <c r="M30" i="70"/>
  <c r="N30" i="70" s="1"/>
  <c r="O30" i="70" s="1"/>
  <c r="C30" i="70"/>
  <c r="R29" i="70"/>
  <c r="Q29" i="70"/>
  <c r="M29" i="70"/>
  <c r="N29" i="70" s="1"/>
  <c r="O29" i="70" s="1"/>
  <c r="C29" i="70"/>
  <c r="R28" i="70"/>
  <c r="Q28" i="70"/>
  <c r="M28" i="70"/>
  <c r="N28" i="70" s="1"/>
  <c r="O28" i="70" s="1"/>
  <c r="C28" i="70"/>
  <c r="R27" i="70"/>
  <c r="Q27" i="70"/>
  <c r="M27" i="70"/>
  <c r="N27" i="70" s="1"/>
  <c r="O27" i="70" s="1"/>
  <c r="C27" i="70"/>
  <c r="R26" i="70"/>
  <c r="Q26" i="70"/>
  <c r="M26" i="70"/>
  <c r="N26" i="70" s="1"/>
  <c r="O26" i="70" s="1"/>
  <c r="C26" i="70"/>
  <c r="R25" i="70"/>
  <c r="Q25" i="70"/>
  <c r="M25" i="70"/>
  <c r="N25" i="70" s="1"/>
  <c r="O25" i="70" s="1"/>
  <c r="C25" i="70"/>
  <c r="R24" i="70"/>
  <c r="Q24" i="70"/>
  <c r="M24" i="70"/>
  <c r="N24" i="70" s="1"/>
  <c r="O24" i="70" s="1"/>
  <c r="C24" i="70"/>
  <c r="R23" i="70"/>
  <c r="Q23" i="70"/>
  <c r="M23" i="70"/>
  <c r="N23" i="70" s="1"/>
  <c r="O23" i="70" s="1"/>
  <c r="C23" i="70"/>
  <c r="R22" i="70"/>
  <c r="Q22" i="70"/>
  <c r="M22" i="70"/>
  <c r="N22" i="70" s="1"/>
  <c r="O22" i="70" s="1"/>
  <c r="C22" i="70"/>
  <c r="R21" i="70"/>
  <c r="Q21" i="70"/>
  <c r="M21" i="70"/>
  <c r="N21" i="70" s="1"/>
  <c r="O21" i="70" s="1"/>
  <c r="C21" i="70"/>
  <c r="R20" i="70"/>
  <c r="Q20" i="70"/>
  <c r="M20" i="70"/>
  <c r="N20" i="70" s="1"/>
  <c r="O20" i="70" s="1"/>
  <c r="C20" i="70"/>
  <c r="R19" i="70"/>
  <c r="Q19" i="70"/>
  <c r="M19" i="70"/>
  <c r="N19" i="70" s="1"/>
  <c r="O19" i="70" s="1"/>
  <c r="C19" i="70"/>
  <c r="R18" i="70"/>
  <c r="Q18" i="70"/>
  <c r="M18" i="70"/>
  <c r="N18" i="70" s="1"/>
  <c r="O18" i="70" s="1"/>
  <c r="C18" i="70"/>
  <c r="R17" i="70"/>
  <c r="Q17" i="70"/>
  <c r="M17" i="70"/>
  <c r="N17" i="70" s="1"/>
  <c r="O17" i="70" s="1"/>
  <c r="C17" i="70"/>
  <c r="R16" i="70"/>
  <c r="Q16" i="70"/>
  <c r="M16" i="70"/>
  <c r="N16" i="70" s="1"/>
  <c r="O16" i="70" s="1"/>
  <c r="C16" i="70"/>
  <c r="R15" i="70"/>
  <c r="Q15" i="70"/>
  <c r="M15" i="70"/>
  <c r="N15" i="70" s="1"/>
  <c r="O15" i="70" s="1"/>
  <c r="C15" i="70"/>
  <c r="R14" i="70"/>
  <c r="Q14" i="70"/>
  <c r="M14" i="70"/>
  <c r="N14" i="70" s="1"/>
  <c r="O14" i="70" s="1"/>
  <c r="C14" i="70"/>
  <c r="R13" i="70"/>
  <c r="Q13" i="70"/>
  <c r="M13" i="70"/>
  <c r="N13" i="70" s="1"/>
  <c r="O13" i="70" s="1"/>
  <c r="C13" i="70"/>
  <c r="R12" i="70"/>
  <c r="Q12" i="70"/>
  <c r="M12" i="70"/>
  <c r="N12" i="70" s="1"/>
  <c r="O12" i="70" s="1"/>
  <c r="C12" i="70"/>
  <c r="R11" i="70"/>
  <c r="Q11" i="70"/>
  <c r="M11" i="70"/>
  <c r="N11" i="70" s="1"/>
  <c r="O11" i="70" s="1"/>
  <c r="C11" i="70"/>
  <c r="R10" i="70"/>
  <c r="Q10" i="70"/>
  <c r="M10" i="70"/>
  <c r="N10" i="70" s="1"/>
  <c r="O10" i="70" s="1"/>
  <c r="C10" i="70"/>
  <c r="R9" i="70"/>
  <c r="Q9" i="70"/>
  <c r="M9" i="70"/>
  <c r="N9" i="70" s="1"/>
  <c r="O9" i="70" s="1"/>
  <c r="C9" i="70"/>
  <c r="R8" i="70"/>
  <c r="Q8" i="70"/>
  <c r="M8" i="70"/>
  <c r="N8" i="70" s="1"/>
  <c r="O8" i="70" s="1"/>
  <c r="C8" i="70"/>
  <c r="R7" i="70"/>
  <c r="Q7" i="70"/>
  <c r="M7" i="70"/>
  <c r="N7" i="70" s="1"/>
  <c r="O7" i="70" s="1"/>
  <c r="C7" i="70"/>
  <c r="R6" i="70"/>
  <c r="Q6" i="70"/>
  <c r="M6" i="70"/>
  <c r="N6" i="70" s="1"/>
  <c r="C6" i="70"/>
  <c r="L4" i="70"/>
  <c r="J4" i="70"/>
  <c r="C118" i="69"/>
  <c r="C117" i="69"/>
  <c r="R118" i="69"/>
  <c r="Q118" i="69"/>
  <c r="M118" i="69"/>
  <c r="N118" i="69" s="1"/>
  <c r="O118" i="69" s="1"/>
  <c r="R117" i="69"/>
  <c r="Q117" i="69"/>
  <c r="M117" i="69"/>
  <c r="N117" i="69" s="1"/>
  <c r="O117" i="69" s="1"/>
  <c r="O6" i="70" l="1"/>
  <c r="O4" i="70" s="1"/>
  <c r="N4" i="70"/>
  <c r="C74" i="69"/>
  <c r="M74" i="69"/>
  <c r="N74" i="69" s="1"/>
  <c r="O74" i="69" s="1"/>
  <c r="R74" i="69"/>
  <c r="Q74" i="69"/>
  <c r="C116" i="69" l="1"/>
  <c r="C115" i="69"/>
  <c r="C114" i="69"/>
  <c r="C113" i="69"/>
  <c r="C112" i="69"/>
  <c r="C111" i="69"/>
  <c r="C110" i="69"/>
  <c r="C109" i="69"/>
  <c r="C108" i="69"/>
  <c r="C107" i="69"/>
  <c r="C106" i="69"/>
  <c r="C105" i="69"/>
  <c r="C104" i="69"/>
  <c r="C103" i="69"/>
  <c r="C102" i="69"/>
  <c r="C101" i="69"/>
  <c r="C100" i="69"/>
  <c r="C99" i="69"/>
  <c r="R115" i="69"/>
  <c r="Q115" i="69"/>
  <c r="M115" i="69"/>
  <c r="N115" i="69" s="1"/>
  <c r="O115" i="69" s="1"/>
  <c r="R114" i="69"/>
  <c r="Q114" i="69"/>
  <c r="M114" i="69"/>
  <c r="N114" i="69" s="1"/>
  <c r="O114" i="69" s="1"/>
  <c r="R113" i="69"/>
  <c r="Q113" i="69"/>
  <c r="M113" i="69"/>
  <c r="N113" i="69" s="1"/>
  <c r="O113" i="69" s="1"/>
  <c r="R112" i="69"/>
  <c r="Q112" i="69"/>
  <c r="M112" i="69"/>
  <c r="N112" i="69" s="1"/>
  <c r="O112" i="69" s="1"/>
  <c r="R111" i="69"/>
  <c r="Q111" i="69"/>
  <c r="M111" i="69"/>
  <c r="N111" i="69" s="1"/>
  <c r="O111" i="69" s="1"/>
  <c r="R110" i="69"/>
  <c r="Q110" i="69"/>
  <c r="M110" i="69"/>
  <c r="N110" i="69" s="1"/>
  <c r="O110" i="69" s="1"/>
  <c r="R109" i="69"/>
  <c r="Q109" i="69"/>
  <c r="M109" i="69"/>
  <c r="N109" i="69" s="1"/>
  <c r="O109" i="69" s="1"/>
  <c r="R108" i="69"/>
  <c r="Q108" i="69"/>
  <c r="M108" i="69"/>
  <c r="N108" i="69" s="1"/>
  <c r="O108" i="69" s="1"/>
  <c r="R107" i="69"/>
  <c r="Q107" i="69"/>
  <c r="M107" i="69"/>
  <c r="N107" i="69" s="1"/>
  <c r="O107" i="69" s="1"/>
  <c r="C98" i="69" l="1"/>
  <c r="C97" i="69"/>
  <c r="C96" i="69"/>
  <c r="R116" i="69" l="1"/>
  <c r="Q116" i="69"/>
  <c r="M116" i="69"/>
  <c r="N116" i="69" s="1"/>
  <c r="O116" i="69" s="1"/>
  <c r="R106" i="69"/>
  <c r="Q106" i="69"/>
  <c r="M106" i="69"/>
  <c r="N106" i="69" s="1"/>
  <c r="O106" i="69" s="1"/>
  <c r="R105" i="69"/>
  <c r="Q105" i="69"/>
  <c r="M105" i="69"/>
  <c r="N105" i="69" s="1"/>
  <c r="O105" i="69" s="1"/>
  <c r="R104" i="69"/>
  <c r="Q104" i="69"/>
  <c r="M104" i="69"/>
  <c r="N104" i="69" s="1"/>
  <c r="O104" i="69" s="1"/>
  <c r="R103" i="69"/>
  <c r="Q103" i="69"/>
  <c r="M103" i="69"/>
  <c r="N103" i="69" s="1"/>
  <c r="O103" i="69" s="1"/>
  <c r="R102" i="69"/>
  <c r="Q102" i="69"/>
  <c r="M102" i="69"/>
  <c r="N102" i="69" s="1"/>
  <c r="O102" i="69" s="1"/>
  <c r="R101" i="69"/>
  <c r="Q101" i="69"/>
  <c r="M101" i="69"/>
  <c r="N101" i="69" s="1"/>
  <c r="O101" i="69" s="1"/>
  <c r="R100" i="69"/>
  <c r="Q100" i="69"/>
  <c r="M100" i="69"/>
  <c r="N100" i="69" s="1"/>
  <c r="O100" i="69" s="1"/>
  <c r="R99" i="69"/>
  <c r="Q99" i="69"/>
  <c r="M99" i="69"/>
  <c r="N99" i="69" s="1"/>
  <c r="O99" i="69" s="1"/>
  <c r="R98" i="69"/>
  <c r="Q98" i="69"/>
  <c r="M98" i="69"/>
  <c r="N98" i="69" s="1"/>
  <c r="O98" i="69" s="1"/>
  <c r="R97" i="69"/>
  <c r="Q97" i="69"/>
  <c r="M97" i="69"/>
  <c r="N97" i="69" s="1"/>
  <c r="O97" i="69" s="1"/>
  <c r="R96" i="69"/>
  <c r="Q96" i="69"/>
  <c r="M96" i="69"/>
  <c r="N96" i="69" s="1"/>
  <c r="O96" i="69" s="1"/>
  <c r="R95" i="69"/>
  <c r="Q95" i="69"/>
  <c r="M95" i="69"/>
  <c r="N95" i="69" s="1"/>
  <c r="O95" i="69" s="1"/>
  <c r="C95" i="69"/>
  <c r="R94" i="69"/>
  <c r="Q94" i="69"/>
  <c r="M94" i="69"/>
  <c r="N94" i="69" s="1"/>
  <c r="O94" i="69" s="1"/>
  <c r="C94" i="69"/>
  <c r="R93" i="69"/>
  <c r="Q93" i="69"/>
  <c r="M93" i="69"/>
  <c r="N93" i="69" s="1"/>
  <c r="O93" i="69" s="1"/>
  <c r="C93" i="69"/>
  <c r="R92" i="69"/>
  <c r="Q92" i="69"/>
  <c r="M92" i="69"/>
  <c r="N92" i="69" s="1"/>
  <c r="O92" i="69" s="1"/>
  <c r="C92" i="69"/>
  <c r="R91" i="69"/>
  <c r="Q91" i="69"/>
  <c r="M91" i="69"/>
  <c r="N91" i="69" s="1"/>
  <c r="O91" i="69" s="1"/>
  <c r="C91" i="69"/>
  <c r="R90" i="69"/>
  <c r="Q90" i="69"/>
  <c r="M90" i="69"/>
  <c r="N90" i="69" s="1"/>
  <c r="O90" i="69" s="1"/>
  <c r="C90" i="69"/>
  <c r="R89" i="69"/>
  <c r="Q89" i="69"/>
  <c r="M89" i="69"/>
  <c r="N89" i="69" s="1"/>
  <c r="O89" i="69" s="1"/>
  <c r="C89" i="69"/>
  <c r="R88" i="69"/>
  <c r="Q88" i="69"/>
  <c r="M88" i="69"/>
  <c r="N88" i="69" s="1"/>
  <c r="O88" i="69" s="1"/>
  <c r="C88" i="69"/>
  <c r="R87" i="69"/>
  <c r="Q87" i="69"/>
  <c r="M87" i="69"/>
  <c r="N87" i="69" s="1"/>
  <c r="O87" i="69" s="1"/>
  <c r="C87" i="69"/>
  <c r="R86" i="69"/>
  <c r="Q86" i="69"/>
  <c r="M86" i="69"/>
  <c r="N86" i="69" s="1"/>
  <c r="O86" i="69" s="1"/>
  <c r="C86" i="69"/>
  <c r="R85" i="69"/>
  <c r="Q85" i="69"/>
  <c r="M85" i="69"/>
  <c r="N85" i="69" s="1"/>
  <c r="O85" i="69" s="1"/>
  <c r="C85" i="69"/>
  <c r="R84" i="69"/>
  <c r="Q84" i="69"/>
  <c r="M84" i="69"/>
  <c r="N84" i="69" s="1"/>
  <c r="O84" i="69" s="1"/>
  <c r="C84" i="69"/>
  <c r="R83" i="69"/>
  <c r="Q83" i="69"/>
  <c r="M83" i="69"/>
  <c r="N83" i="69" s="1"/>
  <c r="O83" i="69" s="1"/>
  <c r="C83" i="69"/>
  <c r="R82" i="69"/>
  <c r="Q82" i="69"/>
  <c r="M82" i="69"/>
  <c r="N82" i="69" s="1"/>
  <c r="O82" i="69" s="1"/>
  <c r="C82" i="69"/>
  <c r="R81" i="69"/>
  <c r="Q81" i="69"/>
  <c r="M81" i="69"/>
  <c r="N81" i="69" s="1"/>
  <c r="O81" i="69" s="1"/>
  <c r="C81" i="69"/>
  <c r="R80" i="69"/>
  <c r="Q80" i="69"/>
  <c r="M80" i="69"/>
  <c r="N80" i="69" s="1"/>
  <c r="O80" i="69" s="1"/>
  <c r="C80" i="69"/>
  <c r="R79" i="69"/>
  <c r="Q79" i="69"/>
  <c r="M79" i="69"/>
  <c r="N79" i="69" s="1"/>
  <c r="O79" i="69" s="1"/>
  <c r="C79" i="69"/>
  <c r="R78" i="69"/>
  <c r="Q78" i="69"/>
  <c r="M78" i="69"/>
  <c r="N78" i="69" s="1"/>
  <c r="O78" i="69" s="1"/>
  <c r="C78" i="69"/>
  <c r="R77" i="69"/>
  <c r="Q77" i="69"/>
  <c r="M77" i="69"/>
  <c r="N77" i="69" s="1"/>
  <c r="O77" i="69" s="1"/>
  <c r="C77" i="69"/>
  <c r="R76" i="69"/>
  <c r="Q76" i="69"/>
  <c r="M76" i="69"/>
  <c r="N76" i="69" s="1"/>
  <c r="O76" i="69" s="1"/>
  <c r="C76" i="69"/>
  <c r="R75" i="69"/>
  <c r="Q75" i="69"/>
  <c r="M75" i="69"/>
  <c r="N75" i="69" s="1"/>
  <c r="O75" i="69" s="1"/>
  <c r="C75" i="69"/>
  <c r="R73" i="69"/>
  <c r="Q73" i="69"/>
  <c r="M73" i="69"/>
  <c r="N73" i="69" s="1"/>
  <c r="O73" i="69" s="1"/>
  <c r="C73" i="69"/>
  <c r="R72" i="69"/>
  <c r="Q72" i="69"/>
  <c r="M72" i="69"/>
  <c r="N72" i="69" s="1"/>
  <c r="O72" i="69" s="1"/>
  <c r="C72" i="69"/>
  <c r="R71" i="69"/>
  <c r="Q71" i="69"/>
  <c r="M71" i="69"/>
  <c r="N71" i="69" s="1"/>
  <c r="O71" i="69" s="1"/>
  <c r="C71" i="69"/>
  <c r="R70" i="69"/>
  <c r="Q70" i="69"/>
  <c r="M70" i="69"/>
  <c r="N70" i="69" s="1"/>
  <c r="O70" i="69" s="1"/>
  <c r="C70" i="69"/>
  <c r="R69" i="69"/>
  <c r="Q69" i="69"/>
  <c r="M69" i="69"/>
  <c r="N69" i="69" s="1"/>
  <c r="O69" i="69" s="1"/>
  <c r="C69" i="69"/>
  <c r="R68" i="69"/>
  <c r="Q68" i="69"/>
  <c r="M68" i="69"/>
  <c r="N68" i="69" s="1"/>
  <c r="O68" i="69" s="1"/>
  <c r="C68" i="69"/>
  <c r="R67" i="69"/>
  <c r="Q67" i="69"/>
  <c r="M67" i="69"/>
  <c r="N67" i="69" s="1"/>
  <c r="O67" i="69" s="1"/>
  <c r="C67" i="69"/>
  <c r="R66" i="69"/>
  <c r="Q66" i="69"/>
  <c r="M66" i="69"/>
  <c r="N66" i="69" s="1"/>
  <c r="O66" i="69" s="1"/>
  <c r="C66" i="69"/>
  <c r="R65" i="69"/>
  <c r="Q65" i="69"/>
  <c r="M65" i="69"/>
  <c r="N65" i="69" s="1"/>
  <c r="O65" i="69" s="1"/>
  <c r="C65" i="69"/>
  <c r="R64" i="69"/>
  <c r="Q64" i="69"/>
  <c r="M64" i="69"/>
  <c r="N64" i="69" s="1"/>
  <c r="O64" i="69" s="1"/>
  <c r="C64" i="69"/>
  <c r="R63" i="69"/>
  <c r="Q63" i="69"/>
  <c r="M63" i="69"/>
  <c r="N63" i="69" s="1"/>
  <c r="O63" i="69" s="1"/>
  <c r="C63" i="69"/>
  <c r="R62" i="69"/>
  <c r="Q62" i="69"/>
  <c r="M62" i="69"/>
  <c r="N62" i="69" s="1"/>
  <c r="O62" i="69" s="1"/>
  <c r="C62" i="69"/>
  <c r="R61" i="69"/>
  <c r="Q61" i="69"/>
  <c r="M61" i="69"/>
  <c r="N61" i="69" s="1"/>
  <c r="O61" i="69" s="1"/>
  <c r="C61" i="69"/>
  <c r="R60" i="69"/>
  <c r="Q60" i="69"/>
  <c r="M60" i="69"/>
  <c r="N60" i="69" s="1"/>
  <c r="O60" i="69" s="1"/>
  <c r="C60" i="69"/>
  <c r="R59" i="69"/>
  <c r="Q59" i="69"/>
  <c r="M59" i="69"/>
  <c r="N59" i="69" s="1"/>
  <c r="O59" i="69" s="1"/>
  <c r="C59" i="69"/>
  <c r="R58" i="69"/>
  <c r="Q58" i="69"/>
  <c r="M58" i="69"/>
  <c r="N58" i="69" s="1"/>
  <c r="O58" i="69" s="1"/>
  <c r="C58" i="69"/>
  <c r="R57" i="69"/>
  <c r="Q57" i="69"/>
  <c r="M57" i="69"/>
  <c r="N57" i="69" s="1"/>
  <c r="O57" i="69" s="1"/>
  <c r="C57" i="69"/>
  <c r="R56" i="69"/>
  <c r="Q56" i="69"/>
  <c r="M56" i="69"/>
  <c r="N56" i="69" s="1"/>
  <c r="O56" i="69" s="1"/>
  <c r="C56" i="69"/>
  <c r="R55" i="69"/>
  <c r="Q55" i="69"/>
  <c r="M55" i="69"/>
  <c r="N55" i="69" s="1"/>
  <c r="O55" i="69" s="1"/>
  <c r="C55" i="69"/>
  <c r="R54" i="69"/>
  <c r="Q54" i="69"/>
  <c r="M54" i="69"/>
  <c r="N54" i="69" s="1"/>
  <c r="O54" i="69" s="1"/>
  <c r="C54" i="69"/>
  <c r="R53" i="69"/>
  <c r="Q53" i="69"/>
  <c r="M53" i="69"/>
  <c r="N53" i="69" s="1"/>
  <c r="O53" i="69" s="1"/>
  <c r="C53" i="69"/>
  <c r="R52" i="69"/>
  <c r="Q52" i="69"/>
  <c r="M52" i="69"/>
  <c r="N52" i="69" s="1"/>
  <c r="O52" i="69" s="1"/>
  <c r="C52" i="69"/>
  <c r="R51" i="69"/>
  <c r="Q51" i="69"/>
  <c r="M51" i="69"/>
  <c r="N51" i="69" s="1"/>
  <c r="O51" i="69" s="1"/>
  <c r="C51" i="69"/>
  <c r="R50" i="69"/>
  <c r="Q50" i="69"/>
  <c r="M50" i="69"/>
  <c r="N50" i="69" s="1"/>
  <c r="O50" i="69" s="1"/>
  <c r="C50" i="69"/>
  <c r="R49" i="69"/>
  <c r="Q49" i="69"/>
  <c r="M49" i="69"/>
  <c r="N49" i="69" s="1"/>
  <c r="O49" i="69" s="1"/>
  <c r="C49" i="69"/>
  <c r="R48" i="69"/>
  <c r="Q48" i="69"/>
  <c r="M48" i="69"/>
  <c r="N48" i="69" s="1"/>
  <c r="O48" i="69" s="1"/>
  <c r="C48" i="69"/>
  <c r="R47" i="69"/>
  <c r="Q47" i="69"/>
  <c r="M47" i="69"/>
  <c r="N47" i="69" s="1"/>
  <c r="O47" i="69" s="1"/>
  <c r="C47" i="69"/>
  <c r="R46" i="69"/>
  <c r="Q46" i="69"/>
  <c r="M46" i="69"/>
  <c r="N46" i="69" s="1"/>
  <c r="O46" i="69" s="1"/>
  <c r="C46" i="69"/>
  <c r="R45" i="69"/>
  <c r="Q45" i="69"/>
  <c r="M45" i="69"/>
  <c r="N45" i="69" s="1"/>
  <c r="O45" i="69" s="1"/>
  <c r="C45" i="69"/>
  <c r="R44" i="69"/>
  <c r="Q44" i="69"/>
  <c r="M44" i="69"/>
  <c r="N44" i="69" s="1"/>
  <c r="O44" i="69" s="1"/>
  <c r="C44" i="69"/>
  <c r="R43" i="69"/>
  <c r="Q43" i="69"/>
  <c r="M43" i="69"/>
  <c r="N43" i="69" s="1"/>
  <c r="O43" i="69" s="1"/>
  <c r="C43" i="69"/>
  <c r="R42" i="69"/>
  <c r="Q42" i="69"/>
  <c r="M42" i="69"/>
  <c r="N42" i="69" s="1"/>
  <c r="O42" i="69" s="1"/>
  <c r="C42" i="69"/>
  <c r="R41" i="69"/>
  <c r="Q41" i="69"/>
  <c r="M41" i="69"/>
  <c r="N41" i="69" s="1"/>
  <c r="O41" i="69" s="1"/>
  <c r="C41" i="69"/>
  <c r="R40" i="69"/>
  <c r="Q40" i="69"/>
  <c r="M40" i="69"/>
  <c r="N40" i="69" s="1"/>
  <c r="O40" i="69" s="1"/>
  <c r="C40" i="69"/>
  <c r="R39" i="69"/>
  <c r="Q39" i="69"/>
  <c r="M39" i="69"/>
  <c r="N39" i="69" s="1"/>
  <c r="O39" i="69" s="1"/>
  <c r="C39" i="69"/>
  <c r="R38" i="69"/>
  <c r="Q38" i="69"/>
  <c r="M38" i="69"/>
  <c r="N38" i="69" s="1"/>
  <c r="O38" i="69" s="1"/>
  <c r="C38" i="69"/>
  <c r="R37" i="69"/>
  <c r="Q37" i="69"/>
  <c r="M37" i="69"/>
  <c r="N37" i="69" s="1"/>
  <c r="O37" i="69" s="1"/>
  <c r="C37" i="69"/>
  <c r="R36" i="69"/>
  <c r="Q36" i="69"/>
  <c r="M36" i="69"/>
  <c r="N36" i="69" s="1"/>
  <c r="O36" i="69" s="1"/>
  <c r="C36" i="69"/>
  <c r="R35" i="69"/>
  <c r="Q35" i="69"/>
  <c r="M35" i="69"/>
  <c r="N35" i="69" s="1"/>
  <c r="O35" i="69" s="1"/>
  <c r="C35" i="69"/>
  <c r="R34" i="69"/>
  <c r="Q34" i="69"/>
  <c r="M34" i="69"/>
  <c r="N34" i="69" s="1"/>
  <c r="O34" i="69" s="1"/>
  <c r="C34" i="69"/>
  <c r="R33" i="69"/>
  <c r="Q33" i="69"/>
  <c r="M33" i="69"/>
  <c r="N33" i="69" s="1"/>
  <c r="O33" i="69" s="1"/>
  <c r="C33" i="69"/>
  <c r="R32" i="69"/>
  <c r="Q32" i="69"/>
  <c r="M32" i="69"/>
  <c r="N32" i="69" s="1"/>
  <c r="O32" i="69" s="1"/>
  <c r="C32" i="69"/>
  <c r="R31" i="69"/>
  <c r="Q31" i="69"/>
  <c r="M31" i="69"/>
  <c r="N31" i="69" s="1"/>
  <c r="O31" i="69" s="1"/>
  <c r="C31" i="69"/>
  <c r="R30" i="69"/>
  <c r="Q30" i="69"/>
  <c r="M30" i="69"/>
  <c r="N30" i="69" s="1"/>
  <c r="O30" i="69" s="1"/>
  <c r="C30" i="69"/>
  <c r="R29" i="69"/>
  <c r="Q29" i="69"/>
  <c r="M29" i="69"/>
  <c r="N29" i="69" s="1"/>
  <c r="O29" i="69" s="1"/>
  <c r="C29" i="69"/>
  <c r="R28" i="69"/>
  <c r="Q28" i="69"/>
  <c r="M28" i="69"/>
  <c r="N28" i="69" s="1"/>
  <c r="O28" i="69" s="1"/>
  <c r="C28" i="69"/>
  <c r="R27" i="69"/>
  <c r="Q27" i="69"/>
  <c r="M27" i="69"/>
  <c r="N27" i="69" s="1"/>
  <c r="O27" i="69" s="1"/>
  <c r="C27" i="69"/>
  <c r="R26" i="69"/>
  <c r="Q26" i="69"/>
  <c r="M26" i="69"/>
  <c r="N26" i="69" s="1"/>
  <c r="O26" i="69" s="1"/>
  <c r="C26" i="69"/>
  <c r="R25" i="69"/>
  <c r="Q25" i="69"/>
  <c r="M25" i="69"/>
  <c r="N25" i="69" s="1"/>
  <c r="O25" i="69" s="1"/>
  <c r="C25" i="69"/>
  <c r="R24" i="69"/>
  <c r="Q24" i="69"/>
  <c r="M24" i="69"/>
  <c r="N24" i="69" s="1"/>
  <c r="O24" i="69" s="1"/>
  <c r="C24" i="69"/>
  <c r="R23" i="69"/>
  <c r="Q23" i="69"/>
  <c r="M23" i="69"/>
  <c r="N23" i="69" s="1"/>
  <c r="O23" i="69" s="1"/>
  <c r="C23" i="69"/>
  <c r="R22" i="69"/>
  <c r="Q22" i="69"/>
  <c r="M22" i="69"/>
  <c r="N22" i="69" s="1"/>
  <c r="O22" i="69" s="1"/>
  <c r="C22" i="69"/>
  <c r="R21" i="69"/>
  <c r="Q21" i="69"/>
  <c r="M21" i="69"/>
  <c r="N21" i="69" s="1"/>
  <c r="O21" i="69" s="1"/>
  <c r="C21" i="69"/>
  <c r="R20" i="69"/>
  <c r="Q20" i="69"/>
  <c r="M20" i="69"/>
  <c r="N20" i="69" s="1"/>
  <c r="O20" i="69" s="1"/>
  <c r="C20" i="69"/>
  <c r="R19" i="69"/>
  <c r="Q19" i="69"/>
  <c r="M19" i="69"/>
  <c r="N19" i="69" s="1"/>
  <c r="O19" i="69" s="1"/>
  <c r="C19" i="69"/>
  <c r="R18" i="69"/>
  <c r="Q18" i="69"/>
  <c r="M18" i="69"/>
  <c r="N18" i="69" s="1"/>
  <c r="O18" i="69" s="1"/>
  <c r="C18" i="69"/>
  <c r="R17" i="69"/>
  <c r="Q17" i="69"/>
  <c r="M17" i="69"/>
  <c r="N17" i="69" s="1"/>
  <c r="O17" i="69" s="1"/>
  <c r="C17" i="69"/>
  <c r="R16" i="69"/>
  <c r="Q16" i="69"/>
  <c r="M16" i="69"/>
  <c r="N16" i="69" s="1"/>
  <c r="O16" i="69" s="1"/>
  <c r="C16" i="69"/>
  <c r="R15" i="69"/>
  <c r="Q15" i="69"/>
  <c r="M15" i="69"/>
  <c r="N15" i="69" s="1"/>
  <c r="O15" i="69" s="1"/>
  <c r="C15" i="69"/>
  <c r="R14" i="69"/>
  <c r="Q14" i="69"/>
  <c r="M14" i="69"/>
  <c r="N14" i="69" s="1"/>
  <c r="O14" i="69" s="1"/>
  <c r="C14" i="69"/>
  <c r="R13" i="69"/>
  <c r="Q13" i="69"/>
  <c r="M13" i="69"/>
  <c r="N13" i="69" s="1"/>
  <c r="O13" i="69" s="1"/>
  <c r="C13" i="69"/>
  <c r="R12" i="69"/>
  <c r="Q12" i="69"/>
  <c r="M12" i="69"/>
  <c r="N12" i="69" s="1"/>
  <c r="O12" i="69" s="1"/>
  <c r="C12" i="69"/>
  <c r="R11" i="69"/>
  <c r="Q11" i="69"/>
  <c r="M11" i="69"/>
  <c r="N11" i="69" s="1"/>
  <c r="O11" i="69" s="1"/>
  <c r="C11" i="69"/>
  <c r="R10" i="69"/>
  <c r="Q10" i="69"/>
  <c r="M10" i="69"/>
  <c r="N10" i="69" s="1"/>
  <c r="O10" i="69" s="1"/>
  <c r="C10" i="69"/>
  <c r="R9" i="69"/>
  <c r="Q9" i="69"/>
  <c r="M9" i="69"/>
  <c r="N9" i="69" s="1"/>
  <c r="O9" i="69" s="1"/>
  <c r="C9" i="69"/>
  <c r="R8" i="69"/>
  <c r="Q8" i="69"/>
  <c r="M8" i="69"/>
  <c r="N8" i="69" s="1"/>
  <c r="O8" i="69" s="1"/>
  <c r="C8" i="69"/>
  <c r="R7" i="69"/>
  <c r="Q7" i="69"/>
  <c r="M7" i="69"/>
  <c r="N7" i="69" s="1"/>
  <c r="O7" i="69" s="1"/>
  <c r="C7" i="69"/>
  <c r="R6" i="69"/>
  <c r="Q6" i="69"/>
  <c r="M6" i="69"/>
  <c r="N6" i="69" s="1"/>
  <c r="O6" i="69" s="1"/>
  <c r="C6" i="69"/>
  <c r="L4" i="69"/>
  <c r="J4" i="69"/>
  <c r="R102" i="68"/>
  <c r="Q102" i="68"/>
  <c r="M102" i="68"/>
  <c r="N102" i="68" s="1"/>
  <c r="O102" i="68" s="1"/>
  <c r="R101" i="68"/>
  <c r="Q101" i="68"/>
  <c r="M101" i="68"/>
  <c r="N101" i="68" s="1"/>
  <c r="O101" i="68" s="1"/>
  <c r="R100" i="68"/>
  <c r="Q100" i="68"/>
  <c r="M100" i="68"/>
  <c r="N100" i="68" s="1"/>
  <c r="O100" i="68" s="1"/>
  <c r="R99" i="68"/>
  <c r="Q99" i="68"/>
  <c r="M99" i="68"/>
  <c r="N99" i="68" s="1"/>
  <c r="O99" i="68" s="1"/>
  <c r="R98" i="68"/>
  <c r="Q98" i="68"/>
  <c r="M98" i="68"/>
  <c r="N98" i="68" s="1"/>
  <c r="O98" i="68" s="1"/>
  <c r="R97" i="68"/>
  <c r="Q97" i="68"/>
  <c r="M97" i="68"/>
  <c r="N97" i="68" s="1"/>
  <c r="O97" i="68" s="1"/>
  <c r="R96" i="68"/>
  <c r="Q96" i="68"/>
  <c r="M96" i="68"/>
  <c r="N96" i="68" s="1"/>
  <c r="O96" i="68" s="1"/>
  <c r="R95" i="68"/>
  <c r="Q95" i="68"/>
  <c r="M95" i="68"/>
  <c r="N95" i="68" s="1"/>
  <c r="O95" i="68" s="1"/>
  <c r="R94" i="68"/>
  <c r="Q94" i="68"/>
  <c r="M94" i="68"/>
  <c r="N94" i="68" s="1"/>
  <c r="O94" i="68" s="1"/>
  <c r="R93" i="68"/>
  <c r="Q93" i="68"/>
  <c r="M93" i="68"/>
  <c r="N93" i="68" s="1"/>
  <c r="O93" i="68" s="1"/>
  <c r="R92" i="68"/>
  <c r="Q92" i="68"/>
  <c r="M92" i="68"/>
  <c r="N92" i="68" s="1"/>
  <c r="O92" i="68" s="1"/>
  <c r="C102" i="68"/>
  <c r="C101" i="68"/>
  <c r="C100" i="68"/>
  <c r="C99" i="68"/>
  <c r="C98" i="68"/>
  <c r="C97" i="68"/>
  <c r="C96" i="68"/>
  <c r="C95" i="68"/>
  <c r="C94" i="68"/>
  <c r="C93" i="68"/>
  <c r="C92" i="68"/>
  <c r="O4" i="69" l="1"/>
  <c r="N4" i="69"/>
  <c r="R69" i="68"/>
  <c r="Q69" i="68"/>
  <c r="M69" i="68"/>
  <c r="N69" i="68" s="1"/>
  <c r="O69" i="68" s="1"/>
  <c r="C69" i="68"/>
  <c r="R115" i="68" l="1"/>
  <c r="Q115" i="68"/>
  <c r="M115" i="68"/>
  <c r="N115" i="68" s="1"/>
  <c r="O115" i="68" s="1"/>
  <c r="R114" i="68"/>
  <c r="Q114" i="68"/>
  <c r="M114" i="68"/>
  <c r="N114" i="68" s="1"/>
  <c r="O114" i="68" s="1"/>
  <c r="R113" i="68"/>
  <c r="Q113" i="68"/>
  <c r="M113" i="68"/>
  <c r="C115" i="68"/>
  <c r="C114" i="68"/>
  <c r="C113" i="68"/>
  <c r="N113" i="68" l="1"/>
  <c r="O113" i="68" s="1"/>
  <c r="C46" i="68" l="1"/>
  <c r="R46" i="68"/>
  <c r="Q46" i="68"/>
  <c r="M46" i="68"/>
  <c r="N46" i="68" s="1"/>
  <c r="O46" i="68" s="1"/>
  <c r="R124" i="68" l="1"/>
  <c r="Q124" i="68"/>
  <c r="M124" i="68"/>
  <c r="N124" i="68" s="1"/>
  <c r="O124" i="68" s="1"/>
  <c r="C124" i="68"/>
  <c r="R123" i="68"/>
  <c r="Q123" i="68"/>
  <c r="M123" i="68"/>
  <c r="N123" i="68" s="1"/>
  <c r="O123" i="68" s="1"/>
  <c r="C123" i="68"/>
  <c r="R122" i="68"/>
  <c r="Q122" i="68"/>
  <c r="M122" i="68"/>
  <c r="N122" i="68" s="1"/>
  <c r="O122" i="68" s="1"/>
  <c r="C122" i="68"/>
  <c r="R121" i="68"/>
  <c r="Q121" i="68"/>
  <c r="M121" i="68"/>
  <c r="N121" i="68" s="1"/>
  <c r="O121" i="68" s="1"/>
  <c r="C121" i="68"/>
  <c r="R120" i="68"/>
  <c r="Q120" i="68"/>
  <c r="M120" i="68"/>
  <c r="N120" i="68" s="1"/>
  <c r="O120" i="68" s="1"/>
  <c r="C120" i="68"/>
  <c r="R119" i="68"/>
  <c r="Q119" i="68"/>
  <c r="M119" i="68"/>
  <c r="N119" i="68" s="1"/>
  <c r="O119" i="68" s="1"/>
  <c r="C119" i="68"/>
  <c r="R118" i="68"/>
  <c r="Q118" i="68"/>
  <c r="M118" i="68"/>
  <c r="N118" i="68" s="1"/>
  <c r="O118" i="68" s="1"/>
  <c r="C118" i="68"/>
  <c r="R117" i="68"/>
  <c r="Q117" i="68"/>
  <c r="M117" i="68"/>
  <c r="N117" i="68" s="1"/>
  <c r="O117" i="68" s="1"/>
  <c r="C117" i="68"/>
  <c r="R116" i="68"/>
  <c r="Q116" i="68"/>
  <c r="M116" i="68"/>
  <c r="N116" i="68" s="1"/>
  <c r="O116" i="68" s="1"/>
  <c r="C116" i="68"/>
  <c r="R112" i="68"/>
  <c r="Q112" i="68"/>
  <c r="M112" i="68"/>
  <c r="N112" i="68" s="1"/>
  <c r="O112" i="68" s="1"/>
  <c r="C112" i="68"/>
  <c r="R111" i="68"/>
  <c r="Q111" i="68"/>
  <c r="M111" i="68"/>
  <c r="N111" i="68" s="1"/>
  <c r="O111" i="68" s="1"/>
  <c r="C111" i="68"/>
  <c r="R110" i="68"/>
  <c r="Q110" i="68"/>
  <c r="M110" i="68"/>
  <c r="N110" i="68" s="1"/>
  <c r="O110" i="68" s="1"/>
  <c r="C110" i="68"/>
  <c r="R109" i="68"/>
  <c r="Q109" i="68"/>
  <c r="M109" i="68"/>
  <c r="N109" i="68" s="1"/>
  <c r="O109" i="68" s="1"/>
  <c r="C109" i="68"/>
  <c r="R108" i="68"/>
  <c r="Q108" i="68"/>
  <c r="M108" i="68"/>
  <c r="N108" i="68" s="1"/>
  <c r="O108" i="68" s="1"/>
  <c r="C108" i="68"/>
  <c r="R107" i="68"/>
  <c r="Q107" i="68"/>
  <c r="M107" i="68"/>
  <c r="N107" i="68" s="1"/>
  <c r="O107" i="68" s="1"/>
  <c r="C107" i="68"/>
  <c r="R106" i="68"/>
  <c r="Q106" i="68"/>
  <c r="M106" i="68"/>
  <c r="N106" i="68" s="1"/>
  <c r="O106" i="68" s="1"/>
  <c r="C106" i="68"/>
  <c r="R105" i="68"/>
  <c r="Q105" i="68"/>
  <c r="M105" i="68"/>
  <c r="N105" i="68" s="1"/>
  <c r="O105" i="68" s="1"/>
  <c r="C105" i="68"/>
  <c r="R104" i="68"/>
  <c r="Q104" i="68"/>
  <c r="M104" i="68"/>
  <c r="N104" i="68" s="1"/>
  <c r="O104" i="68" s="1"/>
  <c r="C104" i="68"/>
  <c r="R103" i="68"/>
  <c r="Q103" i="68"/>
  <c r="M103" i="68"/>
  <c r="N103" i="68" s="1"/>
  <c r="O103" i="68" s="1"/>
  <c r="C103" i="68"/>
  <c r="R91" i="68"/>
  <c r="Q91" i="68"/>
  <c r="M91" i="68"/>
  <c r="N91" i="68" s="1"/>
  <c r="O91" i="68" s="1"/>
  <c r="C91" i="68"/>
  <c r="R90" i="68"/>
  <c r="Q90" i="68"/>
  <c r="M90" i="68"/>
  <c r="N90" i="68" s="1"/>
  <c r="O90" i="68" s="1"/>
  <c r="C90" i="68"/>
  <c r="R89" i="68"/>
  <c r="Q89" i="68"/>
  <c r="M89" i="68"/>
  <c r="N89" i="68" s="1"/>
  <c r="O89" i="68" s="1"/>
  <c r="C89" i="68"/>
  <c r="R88" i="68"/>
  <c r="Q88" i="68"/>
  <c r="M88" i="68"/>
  <c r="N88" i="68" s="1"/>
  <c r="O88" i="68" s="1"/>
  <c r="C88" i="68"/>
  <c r="R87" i="68"/>
  <c r="Q87" i="68"/>
  <c r="M87" i="68"/>
  <c r="N87" i="68" s="1"/>
  <c r="O87" i="68" s="1"/>
  <c r="C87" i="68"/>
  <c r="R86" i="68"/>
  <c r="Q86" i="68"/>
  <c r="M86" i="68"/>
  <c r="N86" i="68" s="1"/>
  <c r="O86" i="68" s="1"/>
  <c r="C86" i="68"/>
  <c r="R85" i="68"/>
  <c r="Q85" i="68"/>
  <c r="M85" i="68"/>
  <c r="N85" i="68" s="1"/>
  <c r="O85" i="68" s="1"/>
  <c r="C85" i="68"/>
  <c r="R84" i="68"/>
  <c r="Q84" i="68"/>
  <c r="M84" i="68"/>
  <c r="N84" i="68" s="1"/>
  <c r="O84" i="68" s="1"/>
  <c r="C84" i="68"/>
  <c r="R83" i="68"/>
  <c r="Q83" i="68"/>
  <c r="M83" i="68"/>
  <c r="N83" i="68" s="1"/>
  <c r="O83" i="68" s="1"/>
  <c r="C83" i="68"/>
  <c r="R82" i="68"/>
  <c r="Q82" i="68"/>
  <c r="M82" i="68"/>
  <c r="N82" i="68" s="1"/>
  <c r="O82" i="68" s="1"/>
  <c r="C82" i="68"/>
  <c r="R81" i="68"/>
  <c r="Q81" i="68"/>
  <c r="M81" i="68"/>
  <c r="N81" i="68" s="1"/>
  <c r="O81" i="68" s="1"/>
  <c r="C81" i="68"/>
  <c r="R80" i="68"/>
  <c r="Q80" i="68"/>
  <c r="M80" i="68"/>
  <c r="N80" i="68" s="1"/>
  <c r="O80" i="68" s="1"/>
  <c r="C80" i="68"/>
  <c r="R79" i="68"/>
  <c r="Q79" i="68"/>
  <c r="M79" i="68"/>
  <c r="N79" i="68" s="1"/>
  <c r="O79" i="68" s="1"/>
  <c r="C79" i="68"/>
  <c r="R78" i="68"/>
  <c r="Q78" i="68"/>
  <c r="M78" i="68"/>
  <c r="N78" i="68" s="1"/>
  <c r="O78" i="68" s="1"/>
  <c r="C78" i="68"/>
  <c r="R77" i="68"/>
  <c r="Q77" i="68"/>
  <c r="M77" i="68"/>
  <c r="N77" i="68" s="1"/>
  <c r="O77" i="68" s="1"/>
  <c r="C77" i="68"/>
  <c r="R76" i="68"/>
  <c r="Q76" i="68"/>
  <c r="M76" i="68"/>
  <c r="N76" i="68" s="1"/>
  <c r="O76" i="68" s="1"/>
  <c r="C76" i="68"/>
  <c r="R75" i="68"/>
  <c r="Q75" i="68"/>
  <c r="M75" i="68"/>
  <c r="N75" i="68" s="1"/>
  <c r="O75" i="68" s="1"/>
  <c r="C75" i="68"/>
  <c r="R74" i="68"/>
  <c r="Q74" i="68"/>
  <c r="M74" i="68"/>
  <c r="N74" i="68" s="1"/>
  <c r="O74" i="68" s="1"/>
  <c r="C74" i="68"/>
  <c r="R73" i="68"/>
  <c r="Q73" i="68"/>
  <c r="M73" i="68"/>
  <c r="N73" i="68" s="1"/>
  <c r="O73" i="68" s="1"/>
  <c r="C73" i="68"/>
  <c r="R72" i="68"/>
  <c r="Q72" i="68"/>
  <c r="M72" i="68"/>
  <c r="N72" i="68" s="1"/>
  <c r="O72" i="68" s="1"/>
  <c r="C72" i="68"/>
  <c r="R71" i="68"/>
  <c r="Q71" i="68"/>
  <c r="M71" i="68"/>
  <c r="N71" i="68" s="1"/>
  <c r="O71" i="68" s="1"/>
  <c r="C71" i="68"/>
  <c r="R70" i="68"/>
  <c r="Q70" i="68"/>
  <c r="M70" i="68"/>
  <c r="N70" i="68" s="1"/>
  <c r="O70" i="68" s="1"/>
  <c r="C70" i="68"/>
  <c r="R68" i="68"/>
  <c r="Q68" i="68"/>
  <c r="M68" i="68"/>
  <c r="N68" i="68" s="1"/>
  <c r="O68" i="68" s="1"/>
  <c r="C68" i="68"/>
  <c r="R67" i="68"/>
  <c r="Q67" i="68"/>
  <c r="M67" i="68"/>
  <c r="N67" i="68" s="1"/>
  <c r="O67" i="68" s="1"/>
  <c r="C67" i="68"/>
  <c r="R66" i="68"/>
  <c r="Q66" i="68"/>
  <c r="M66" i="68"/>
  <c r="N66" i="68" s="1"/>
  <c r="O66" i="68" s="1"/>
  <c r="C66" i="68"/>
  <c r="R65" i="68"/>
  <c r="Q65" i="68"/>
  <c r="M65" i="68"/>
  <c r="N65" i="68" s="1"/>
  <c r="O65" i="68" s="1"/>
  <c r="C65" i="68"/>
  <c r="R64" i="68"/>
  <c r="Q64" i="68"/>
  <c r="M64" i="68"/>
  <c r="N64" i="68" s="1"/>
  <c r="O64" i="68" s="1"/>
  <c r="C64" i="68"/>
  <c r="R63" i="68"/>
  <c r="Q63" i="68"/>
  <c r="M63" i="68"/>
  <c r="N63" i="68" s="1"/>
  <c r="O63" i="68" s="1"/>
  <c r="C63" i="68"/>
  <c r="R62" i="68"/>
  <c r="Q62" i="68"/>
  <c r="M62" i="68"/>
  <c r="N62" i="68" s="1"/>
  <c r="O62" i="68" s="1"/>
  <c r="C62" i="68"/>
  <c r="R61" i="68"/>
  <c r="Q61" i="68"/>
  <c r="M61" i="68"/>
  <c r="N61" i="68" s="1"/>
  <c r="O61" i="68" s="1"/>
  <c r="C61" i="68"/>
  <c r="R60" i="68"/>
  <c r="Q60" i="68"/>
  <c r="M60" i="68"/>
  <c r="N60" i="68" s="1"/>
  <c r="O60" i="68" s="1"/>
  <c r="C60" i="68"/>
  <c r="R59" i="68"/>
  <c r="Q59" i="68"/>
  <c r="M59" i="68"/>
  <c r="N59" i="68" s="1"/>
  <c r="O59" i="68" s="1"/>
  <c r="C59" i="68"/>
  <c r="R58" i="68"/>
  <c r="Q58" i="68"/>
  <c r="M58" i="68"/>
  <c r="N58" i="68" s="1"/>
  <c r="O58" i="68" s="1"/>
  <c r="C58" i="68"/>
  <c r="R57" i="68"/>
  <c r="Q57" i="68"/>
  <c r="M57" i="68"/>
  <c r="N57" i="68" s="1"/>
  <c r="O57" i="68" s="1"/>
  <c r="C57" i="68"/>
  <c r="R56" i="68"/>
  <c r="Q56" i="68"/>
  <c r="M56" i="68"/>
  <c r="N56" i="68" s="1"/>
  <c r="O56" i="68" s="1"/>
  <c r="C56" i="68"/>
  <c r="R55" i="68"/>
  <c r="Q55" i="68"/>
  <c r="M55" i="68"/>
  <c r="N55" i="68" s="1"/>
  <c r="O55" i="68" s="1"/>
  <c r="C55" i="68"/>
  <c r="R54" i="68"/>
  <c r="Q54" i="68"/>
  <c r="M54" i="68"/>
  <c r="N54" i="68" s="1"/>
  <c r="O54" i="68" s="1"/>
  <c r="C54" i="68"/>
  <c r="R53" i="68"/>
  <c r="Q53" i="68"/>
  <c r="M53" i="68"/>
  <c r="N53" i="68" s="1"/>
  <c r="O53" i="68" s="1"/>
  <c r="C53" i="68"/>
  <c r="R52" i="68"/>
  <c r="Q52" i="68"/>
  <c r="M52" i="68"/>
  <c r="N52" i="68" s="1"/>
  <c r="O52" i="68" s="1"/>
  <c r="C52" i="68"/>
  <c r="R51" i="68"/>
  <c r="Q51" i="68"/>
  <c r="M51" i="68"/>
  <c r="N51" i="68" s="1"/>
  <c r="O51" i="68" s="1"/>
  <c r="C51" i="68"/>
  <c r="R50" i="68"/>
  <c r="Q50" i="68"/>
  <c r="M50" i="68"/>
  <c r="N50" i="68" s="1"/>
  <c r="O50" i="68" s="1"/>
  <c r="C50" i="68"/>
  <c r="R49" i="68"/>
  <c r="Q49" i="68"/>
  <c r="M49" i="68"/>
  <c r="N49" i="68" s="1"/>
  <c r="O49" i="68" s="1"/>
  <c r="C49" i="68"/>
  <c r="R48" i="68"/>
  <c r="Q48" i="68"/>
  <c r="M48" i="68"/>
  <c r="N48" i="68" s="1"/>
  <c r="O48" i="68" s="1"/>
  <c r="C48" i="68"/>
  <c r="R47" i="68"/>
  <c r="Q47" i="68"/>
  <c r="M47" i="68"/>
  <c r="N47" i="68" s="1"/>
  <c r="O47" i="68" s="1"/>
  <c r="C47" i="68"/>
  <c r="R45" i="68"/>
  <c r="Q45" i="68"/>
  <c r="M45" i="68"/>
  <c r="N45" i="68" s="1"/>
  <c r="O45" i="68" s="1"/>
  <c r="C45" i="68"/>
  <c r="R44" i="68"/>
  <c r="Q44" i="68"/>
  <c r="M44" i="68"/>
  <c r="N44" i="68" s="1"/>
  <c r="O44" i="68" s="1"/>
  <c r="C44" i="68"/>
  <c r="R43" i="68"/>
  <c r="Q43" i="68"/>
  <c r="M43" i="68"/>
  <c r="N43" i="68" s="1"/>
  <c r="O43" i="68" s="1"/>
  <c r="C43" i="68"/>
  <c r="R42" i="68"/>
  <c r="Q42" i="68"/>
  <c r="M42" i="68"/>
  <c r="N42" i="68" s="1"/>
  <c r="O42" i="68" s="1"/>
  <c r="C42" i="68"/>
  <c r="R41" i="68"/>
  <c r="Q41" i="68"/>
  <c r="M41" i="68"/>
  <c r="N41" i="68" s="1"/>
  <c r="O41" i="68" s="1"/>
  <c r="C41" i="68"/>
  <c r="R40" i="68"/>
  <c r="Q40" i="68"/>
  <c r="M40" i="68"/>
  <c r="N40" i="68" s="1"/>
  <c r="O40" i="68" s="1"/>
  <c r="C40" i="68"/>
  <c r="R39" i="68"/>
  <c r="Q39" i="68"/>
  <c r="M39" i="68"/>
  <c r="N39" i="68" s="1"/>
  <c r="O39" i="68" s="1"/>
  <c r="C39" i="68"/>
  <c r="R38" i="68"/>
  <c r="Q38" i="68"/>
  <c r="M38" i="68"/>
  <c r="N38" i="68" s="1"/>
  <c r="O38" i="68" s="1"/>
  <c r="C38" i="68"/>
  <c r="R37" i="68"/>
  <c r="Q37" i="68"/>
  <c r="M37" i="68"/>
  <c r="N37" i="68" s="1"/>
  <c r="O37" i="68" s="1"/>
  <c r="C37" i="68"/>
  <c r="R36" i="68"/>
  <c r="Q36" i="68"/>
  <c r="M36" i="68"/>
  <c r="N36" i="68" s="1"/>
  <c r="O36" i="68" s="1"/>
  <c r="C36" i="68"/>
  <c r="R35" i="68"/>
  <c r="Q35" i="68"/>
  <c r="M35" i="68"/>
  <c r="N35" i="68" s="1"/>
  <c r="O35" i="68" s="1"/>
  <c r="C35" i="68"/>
  <c r="R34" i="68"/>
  <c r="Q34" i="68"/>
  <c r="M34" i="68"/>
  <c r="N34" i="68" s="1"/>
  <c r="O34" i="68" s="1"/>
  <c r="C34" i="68"/>
  <c r="R33" i="68"/>
  <c r="Q33" i="68"/>
  <c r="M33" i="68"/>
  <c r="N33" i="68" s="1"/>
  <c r="O33" i="68" s="1"/>
  <c r="C33" i="68"/>
  <c r="R32" i="68"/>
  <c r="Q32" i="68"/>
  <c r="M32" i="68"/>
  <c r="N32" i="68" s="1"/>
  <c r="O32" i="68" s="1"/>
  <c r="C32" i="68"/>
  <c r="R31" i="68"/>
  <c r="Q31" i="68"/>
  <c r="M31" i="68"/>
  <c r="N31" i="68" s="1"/>
  <c r="O31" i="68" s="1"/>
  <c r="C31" i="68"/>
  <c r="R30" i="68"/>
  <c r="Q30" i="68"/>
  <c r="M30" i="68"/>
  <c r="N30" i="68" s="1"/>
  <c r="O30" i="68" s="1"/>
  <c r="C30" i="68"/>
  <c r="R29" i="68"/>
  <c r="Q29" i="68"/>
  <c r="M29" i="68"/>
  <c r="N29" i="68" s="1"/>
  <c r="O29" i="68" s="1"/>
  <c r="C29" i="68"/>
  <c r="R28" i="68"/>
  <c r="Q28" i="68"/>
  <c r="M28" i="68"/>
  <c r="N28" i="68" s="1"/>
  <c r="O28" i="68" s="1"/>
  <c r="C28" i="68"/>
  <c r="R27" i="68"/>
  <c r="Q27" i="68"/>
  <c r="M27" i="68"/>
  <c r="N27" i="68" s="1"/>
  <c r="O27" i="68" s="1"/>
  <c r="C27" i="68"/>
  <c r="R26" i="68"/>
  <c r="Q26" i="68"/>
  <c r="M26" i="68"/>
  <c r="N26" i="68" s="1"/>
  <c r="O26" i="68" s="1"/>
  <c r="C26" i="68"/>
  <c r="R25" i="68"/>
  <c r="Q25" i="68"/>
  <c r="M25" i="68"/>
  <c r="N25" i="68" s="1"/>
  <c r="O25" i="68" s="1"/>
  <c r="C25" i="68"/>
  <c r="R24" i="68"/>
  <c r="Q24" i="68"/>
  <c r="M24" i="68"/>
  <c r="N24" i="68" s="1"/>
  <c r="O24" i="68" s="1"/>
  <c r="C24" i="68"/>
  <c r="R23" i="68"/>
  <c r="Q23" i="68"/>
  <c r="M23" i="68"/>
  <c r="N23" i="68" s="1"/>
  <c r="O23" i="68" s="1"/>
  <c r="C23" i="68"/>
  <c r="R22" i="68"/>
  <c r="Q22" i="68"/>
  <c r="M22" i="68"/>
  <c r="N22" i="68" s="1"/>
  <c r="O22" i="68" s="1"/>
  <c r="C22" i="68"/>
  <c r="R21" i="68"/>
  <c r="Q21" i="68"/>
  <c r="M21" i="68"/>
  <c r="N21" i="68" s="1"/>
  <c r="O21" i="68" s="1"/>
  <c r="C21" i="68"/>
  <c r="R20" i="68"/>
  <c r="Q20" i="68"/>
  <c r="M20" i="68"/>
  <c r="N20" i="68" s="1"/>
  <c r="O20" i="68" s="1"/>
  <c r="C20" i="68"/>
  <c r="R19" i="68"/>
  <c r="Q19" i="68"/>
  <c r="M19" i="68"/>
  <c r="N19" i="68" s="1"/>
  <c r="O19" i="68" s="1"/>
  <c r="C19" i="68"/>
  <c r="R18" i="68"/>
  <c r="Q18" i="68"/>
  <c r="M18" i="68"/>
  <c r="N18" i="68" s="1"/>
  <c r="O18" i="68" s="1"/>
  <c r="C18" i="68"/>
  <c r="R17" i="68"/>
  <c r="Q17" i="68"/>
  <c r="M17" i="68"/>
  <c r="N17" i="68" s="1"/>
  <c r="O17" i="68" s="1"/>
  <c r="C17" i="68"/>
  <c r="R16" i="68"/>
  <c r="Q16" i="68"/>
  <c r="M16" i="68"/>
  <c r="N16" i="68" s="1"/>
  <c r="O16" i="68" s="1"/>
  <c r="C16" i="68"/>
  <c r="R15" i="68"/>
  <c r="Q15" i="68"/>
  <c r="M15" i="68"/>
  <c r="N15" i="68" s="1"/>
  <c r="O15" i="68" s="1"/>
  <c r="C15" i="68"/>
  <c r="R14" i="68"/>
  <c r="Q14" i="68"/>
  <c r="M14" i="68"/>
  <c r="N14" i="68" s="1"/>
  <c r="O14" i="68" s="1"/>
  <c r="C14" i="68"/>
  <c r="R13" i="68"/>
  <c r="Q13" i="68"/>
  <c r="M13" i="68"/>
  <c r="N13" i="68" s="1"/>
  <c r="O13" i="68" s="1"/>
  <c r="C13" i="68"/>
  <c r="R12" i="68"/>
  <c r="Q12" i="68"/>
  <c r="M12" i="68"/>
  <c r="N12" i="68" s="1"/>
  <c r="O12" i="68" s="1"/>
  <c r="C12" i="68"/>
  <c r="R11" i="68"/>
  <c r="Q11" i="68"/>
  <c r="M11" i="68"/>
  <c r="N11" i="68" s="1"/>
  <c r="O11" i="68" s="1"/>
  <c r="C11" i="68"/>
  <c r="R10" i="68"/>
  <c r="Q10" i="68"/>
  <c r="M10" i="68"/>
  <c r="N10" i="68" s="1"/>
  <c r="O10" i="68" s="1"/>
  <c r="C10" i="68"/>
  <c r="R9" i="68"/>
  <c r="Q9" i="68"/>
  <c r="M9" i="68"/>
  <c r="N9" i="68" s="1"/>
  <c r="O9" i="68" s="1"/>
  <c r="C9" i="68"/>
  <c r="R8" i="68"/>
  <c r="Q8" i="68"/>
  <c r="M8" i="68"/>
  <c r="N8" i="68" s="1"/>
  <c r="O8" i="68" s="1"/>
  <c r="C8" i="68"/>
  <c r="R7" i="68"/>
  <c r="Q7" i="68"/>
  <c r="M7" i="68"/>
  <c r="N7" i="68" s="1"/>
  <c r="O7" i="68" s="1"/>
  <c r="C7" i="68"/>
  <c r="R6" i="68"/>
  <c r="Q6" i="68"/>
  <c r="M6" i="68"/>
  <c r="N6" i="68" s="1"/>
  <c r="C6" i="68"/>
  <c r="L4" i="68"/>
  <c r="J4" i="68"/>
  <c r="C133" i="67"/>
  <c r="C132" i="67"/>
  <c r="C131" i="67"/>
  <c r="C130" i="67"/>
  <c r="C129" i="67"/>
  <c r="C128" i="67"/>
  <c r="R133" i="67"/>
  <c r="Q133" i="67"/>
  <c r="M133" i="67"/>
  <c r="N133" i="67" s="1"/>
  <c r="O133" i="67" s="1"/>
  <c r="R132" i="67"/>
  <c r="Q132" i="67"/>
  <c r="M132" i="67"/>
  <c r="N132" i="67" s="1"/>
  <c r="O132" i="67" s="1"/>
  <c r="R131" i="67"/>
  <c r="Q131" i="67"/>
  <c r="M131" i="67"/>
  <c r="N131" i="67" s="1"/>
  <c r="O131" i="67" s="1"/>
  <c r="R130" i="67"/>
  <c r="Q130" i="67"/>
  <c r="M130" i="67"/>
  <c r="N130" i="67" s="1"/>
  <c r="O130" i="67" s="1"/>
  <c r="R129" i="67"/>
  <c r="Q129" i="67"/>
  <c r="M129" i="67"/>
  <c r="N129" i="67" s="1"/>
  <c r="O129" i="67" s="1"/>
  <c r="R128" i="67"/>
  <c r="Q128" i="67"/>
  <c r="M128" i="67"/>
  <c r="N128" i="67" s="1"/>
  <c r="O128" i="67" s="1"/>
  <c r="N4" i="68" l="1"/>
  <c r="O6" i="68"/>
  <c r="O4" i="68" s="1"/>
  <c r="C127" i="67"/>
  <c r="C126" i="67"/>
  <c r="C125" i="67"/>
  <c r="C124" i="67"/>
  <c r="C123" i="67"/>
  <c r="C122" i="67"/>
  <c r="C121" i="67"/>
  <c r="C120" i="67"/>
  <c r="C119" i="67"/>
  <c r="R127" i="67"/>
  <c r="Q127" i="67"/>
  <c r="M127" i="67"/>
  <c r="N127" i="67" s="1"/>
  <c r="O127" i="67" s="1"/>
  <c r="R126" i="67"/>
  <c r="Q126" i="67"/>
  <c r="M126" i="67"/>
  <c r="N126" i="67" s="1"/>
  <c r="O126" i="67" s="1"/>
  <c r="R125" i="67"/>
  <c r="Q125" i="67"/>
  <c r="M125" i="67"/>
  <c r="N125" i="67" s="1"/>
  <c r="O125" i="67" s="1"/>
  <c r="R124" i="67"/>
  <c r="Q124" i="67"/>
  <c r="M124" i="67"/>
  <c r="N124" i="67" s="1"/>
  <c r="O124" i="67" s="1"/>
  <c r="R123" i="67"/>
  <c r="Q123" i="67"/>
  <c r="M123" i="67"/>
  <c r="N123" i="67" s="1"/>
  <c r="O123" i="67" s="1"/>
  <c r="R122" i="67"/>
  <c r="Q122" i="67"/>
  <c r="M122" i="67"/>
  <c r="N122" i="67" s="1"/>
  <c r="O122" i="67" s="1"/>
  <c r="R121" i="67"/>
  <c r="Q121" i="67"/>
  <c r="M121" i="67"/>
  <c r="N121" i="67" s="1"/>
  <c r="O121" i="67" s="1"/>
  <c r="R120" i="67"/>
  <c r="Q120" i="67"/>
  <c r="M120" i="67"/>
  <c r="N120" i="67" s="1"/>
  <c r="O120" i="67" s="1"/>
  <c r="R119" i="67"/>
  <c r="Q119" i="67"/>
  <c r="M119" i="67"/>
  <c r="N119" i="67" s="1"/>
  <c r="O119" i="67" s="1"/>
  <c r="R88" i="67" l="1"/>
  <c r="Q88" i="67"/>
  <c r="M88" i="67"/>
  <c r="N88" i="67" s="1"/>
  <c r="O88" i="67" s="1"/>
  <c r="R80" i="67"/>
  <c r="Q80" i="67"/>
  <c r="M80" i="67"/>
  <c r="N80" i="67" s="1"/>
  <c r="O80" i="67" s="1"/>
  <c r="C88" i="67"/>
  <c r="C87" i="67"/>
  <c r="C86" i="67"/>
  <c r="C85" i="67"/>
  <c r="C84" i="67"/>
  <c r="C83" i="67"/>
  <c r="C82" i="67"/>
  <c r="C81" i="67"/>
  <c r="C80" i="67"/>
  <c r="R70" i="67" l="1"/>
  <c r="Q70" i="67"/>
  <c r="M70" i="67"/>
  <c r="N70" i="67" s="1"/>
  <c r="O70" i="67" s="1"/>
  <c r="C70" i="67"/>
  <c r="R118" i="67" l="1"/>
  <c r="Q118" i="67"/>
  <c r="M118" i="67"/>
  <c r="N118" i="67" s="1"/>
  <c r="O118" i="67" s="1"/>
  <c r="R117" i="67"/>
  <c r="Q117" i="67"/>
  <c r="M117" i="67"/>
  <c r="N117" i="67" s="1"/>
  <c r="O117" i="67" s="1"/>
  <c r="R116" i="67"/>
  <c r="Q116" i="67"/>
  <c r="M116" i="67"/>
  <c r="N116" i="67" s="1"/>
  <c r="O116" i="67" s="1"/>
  <c r="C118" i="67"/>
  <c r="C117" i="67"/>
  <c r="C116" i="67"/>
  <c r="C46" i="67" l="1"/>
  <c r="C45" i="67"/>
  <c r="R46" i="67"/>
  <c r="Q46" i="67"/>
  <c r="M46" i="67"/>
  <c r="N46" i="67" s="1"/>
  <c r="O46" i="67" s="1"/>
  <c r="R45" i="67"/>
  <c r="Q45" i="67"/>
  <c r="M45" i="67"/>
  <c r="N45" i="67" l="1"/>
  <c r="O45" i="67" s="1"/>
  <c r="R115" i="67"/>
  <c r="Q115" i="67"/>
  <c r="M115" i="67"/>
  <c r="N115" i="67" s="1"/>
  <c r="O115" i="67" s="1"/>
  <c r="R114" i="67"/>
  <c r="Q114" i="67"/>
  <c r="M114" i="67"/>
  <c r="N114" i="67" s="1"/>
  <c r="O114" i="67" s="1"/>
  <c r="R113" i="67"/>
  <c r="Q113" i="67"/>
  <c r="M113" i="67"/>
  <c r="N113" i="67" s="1"/>
  <c r="O113" i="67" s="1"/>
  <c r="R112" i="67"/>
  <c r="Q112" i="67"/>
  <c r="M112" i="67"/>
  <c r="N112" i="67" s="1"/>
  <c r="O112" i="67" s="1"/>
  <c r="R111" i="67"/>
  <c r="Q111" i="67"/>
  <c r="M111" i="67"/>
  <c r="N111" i="67" s="1"/>
  <c r="O111" i="67" s="1"/>
  <c r="R110" i="67"/>
  <c r="Q110" i="67"/>
  <c r="M110" i="67"/>
  <c r="N110" i="67" s="1"/>
  <c r="O110" i="67" s="1"/>
  <c r="R109" i="67"/>
  <c r="Q109" i="67"/>
  <c r="M109" i="67"/>
  <c r="N109" i="67" s="1"/>
  <c r="O109" i="67" s="1"/>
  <c r="R108" i="67"/>
  <c r="Q108" i="67"/>
  <c r="M108" i="67"/>
  <c r="N108" i="67" s="1"/>
  <c r="O108" i="67" s="1"/>
  <c r="R107" i="67"/>
  <c r="Q107" i="67"/>
  <c r="M107" i="67"/>
  <c r="N107" i="67" s="1"/>
  <c r="O107" i="67" s="1"/>
  <c r="C115" i="67"/>
  <c r="C114" i="67"/>
  <c r="C113" i="67"/>
  <c r="C112" i="67"/>
  <c r="C111" i="67"/>
  <c r="C110" i="67"/>
  <c r="C109" i="67"/>
  <c r="C108" i="67"/>
  <c r="C107" i="67"/>
  <c r="R106" i="67" l="1"/>
  <c r="Q106" i="67"/>
  <c r="M106" i="67"/>
  <c r="N106" i="67" s="1"/>
  <c r="O106" i="67" s="1"/>
  <c r="R105" i="67"/>
  <c r="Q105" i="67"/>
  <c r="M105" i="67"/>
  <c r="N105" i="67" s="1"/>
  <c r="O105" i="67" s="1"/>
  <c r="R104" i="67"/>
  <c r="Q104" i="67"/>
  <c r="M104" i="67"/>
  <c r="N104" i="67" s="1"/>
  <c r="O104" i="67" s="1"/>
  <c r="R103" i="67"/>
  <c r="Q103" i="67"/>
  <c r="M103" i="67"/>
  <c r="N103" i="67" s="1"/>
  <c r="O103" i="67" s="1"/>
  <c r="R102" i="67"/>
  <c r="Q102" i="67"/>
  <c r="M102" i="67"/>
  <c r="N102" i="67" s="1"/>
  <c r="O102" i="67" s="1"/>
  <c r="R101" i="67"/>
  <c r="Q101" i="67"/>
  <c r="M101" i="67"/>
  <c r="N101" i="67" s="1"/>
  <c r="O101" i="67" s="1"/>
  <c r="C106" i="67"/>
  <c r="C105" i="67"/>
  <c r="C104" i="67"/>
  <c r="C103" i="67"/>
  <c r="C102" i="67"/>
  <c r="C101" i="67"/>
  <c r="C50" i="67" l="1"/>
  <c r="M50" i="67"/>
  <c r="N50" i="67" s="1"/>
  <c r="O50" i="67" s="1"/>
  <c r="R50" i="67"/>
  <c r="Q50" i="67"/>
  <c r="R100" i="67" l="1"/>
  <c r="Q100" i="67"/>
  <c r="M100" i="67"/>
  <c r="N100" i="67" s="1"/>
  <c r="O100" i="67" s="1"/>
  <c r="C100" i="67"/>
  <c r="R99" i="67"/>
  <c r="Q99" i="67"/>
  <c r="M99" i="67"/>
  <c r="N99" i="67" s="1"/>
  <c r="O99" i="67" s="1"/>
  <c r="C99" i="67"/>
  <c r="R98" i="67"/>
  <c r="Q98" i="67"/>
  <c r="M98" i="67"/>
  <c r="N98" i="67" s="1"/>
  <c r="O98" i="67" s="1"/>
  <c r="C98" i="67"/>
  <c r="R97" i="67"/>
  <c r="Q97" i="67"/>
  <c r="M97" i="67"/>
  <c r="N97" i="67" s="1"/>
  <c r="O97" i="67" s="1"/>
  <c r="C97" i="67"/>
  <c r="R96" i="67"/>
  <c r="Q96" i="67"/>
  <c r="M96" i="67"/>
  <c r="N96" i="67" s="1"/>
  <c r="O96" i="67" s="1"/>
  <c r="C96" i="67"/>
  <c r="R95" i="67"/>
  <c r="Q95" i="67"/>
  <c r="M95" i="67"/>
  <c r="N95" i="67" s="1"/>
  <c r="O95" i="67" s="1"/>
  <c r="C95" i="67"/>
  <c r="R94" i="67"/>
  <c r="Q94" i="67"/>
  <c r="M94" i="67"/>
  <c r="N94" i="67" s="1"/>
  <c r="O94" i="67" s="1"/>
  <c r="C94" i="67"/>
  <c r="R93" i="67"/>
  <c r="Q93" i="67"/>
  <c r="M93" i="67"/>
  <c r="N93" i="67" s="1"/>
  <c r="O93" i="67" s="1"/>
  <c r="C93" i="67"/>
  <c r="R92" i="67"/>
  <c r="Q92" i="67"/>
  <c r="M92" i="67"/>
  <c r="N92" i="67" s="1"/>
  <c r="O92" i="67" s="1"/>
  <c r="C92" i="67"/>
  <c r="R91" i="67"/>
  <c r="Q91" i="67"/>
  <c r="M91" i="67"/>
  <c r="N91" i="67" s="1"/>
  <c r="O91" i="67" s="1"/>
  <c r="C91" i="67"/>
  <c r="R90" i="67"/>
  <c r="Q90" i="67"/>
  <c r="M90" i="67"/>
  <c r="N90" i="67" s="1"/>
  <c r="O90" i="67" s="1"/>
  <c r="C90" i="67"/>
  <c r="R89" i="67"/>
  <c r="Q89" i="67"/>
  <c r="M89" i="67"/>
  <c r="N89" i="67" s="1"/>
  <c r="O89" i="67" s="1"/>
  <c r="C89" i="67"/>
  <c r="R87" i="67"/>
  <c r="Q87" i="67"/>
  <c r="M87" i="67"/>
  <c r="N87" i="67" s="1"/>
  <c r="O87" i="67" s="1"/>
  <c r="R86" i="67"/>
  <c r="Q86" i="67"/>
  <c r="M86" i="67"/>
  <c r="N86" i="67" s="1"/>
  <c r="O86" i="67" s="1"/>
  <c r="R85" i="67"/>
  <c r="Q85" i="67"/>
  <c r="M85" i="67"/>
  <c r="N85" i="67" s="1"/>
  <c r="O85" i="67" s="1"/>
  <c r="R84" i="67"/>
  <c r="Q84" i="67"/>
  <c r="M84" i="67"/>
  <c r="N84" i="67" s="1"/>
  <c r="O84" i="67" s="1"/>
  <c r="R83" i="67"/>
  <c r="Q83" i="67"/>
  <c r="M83" i="67"/>
  <c r="N83" i="67" s="1"/>
  <c r="O83" i="67" s="1"/>
  <c r="R82" i="67"/>
  <c r="Q82" i="67"/>
  <c r="M82" i="67"/>
  <c r="N82" i="67" s="1"/>
  <c r="O82" i="67" s="1"/>
  <c r="R81" i="67"/>
  <c r="Q81" i="67"/>
  <c r="M81" i="67"/>
  <c r="N81" i="67" s="1"/>
  <c r="O81" i="67" s="1"/>
  <c r="R79" i="67"/>
  <c r="Q79" i="67"/>
  <c r="M79" i="67"/>
  <c r="N79" i="67" s="1"/>
  <c r="O79" i="67" s="1"/>
  <c r="C79" i="67"/>
  <c r="R78" i="67"/>
  <c r="Q78" i="67"/>
  <c r="M78" i="67"/>
  <c r="N78" i="67" s="1"/>
  <c r="O78" i="67" s="1"/>
  <c r="C78" i="67"/>
  <c r="R77" i="67"/>
  <c r="Q77" i="67"/>
  <c r="M77" i="67"/>
  <c r="N77" i="67" s="1"/>
  <c r="O77" i="67" s="1"/>
  <c r="C77" i="67"/>
  <c r="R76" i="67"/>
  <c r="Q76" i="67"/>
  <c r="M76" i="67"/>
  <c r="N76" i="67" s="1"/>
  <c r="O76" i="67" s="1"/>
  <c r="C76" i="67"/>
  <c r="R75" i="67"/>
  <c r="Q75" i="67"/>
  <c r="M75" i="67"/>
  <c r="N75" i="67" s="1"/>
  <c r="O75" i="67" s="1"/>
  <c r="C75" i="67"/>
  <c r="R74" i="67"/>
  <c r="Q74" i="67"/>
  <c r="M74" i="67"/>
  <c r="N74" i="67" s="1"/>
  <c r="O74" i="67" s="1"/>
  <c r="C74" i="67"/>
  <c r="R73" i="67"/>
  <c r="Q73" i="67"/>
  <c r="M73" i="67"/>
  <c r="N73" i="67" s="1"/>
  <c r="O73" i="67" s="1"/>
  <c r="C73" i="67"/>
  <c r="R72" i="67"/>
  <c r="Q72" i="67"/>
  <c r="M72" i="67"/>
  <c r="N72" i="67" s="1"/>
  <c r="O72" i="67" s="1"/>
  <c r="C72" i="67"/>
  <c r="R71" i="67"/>
  <c r="Q71" i="67"/>
  <c r="M71" i="67"/>
  <c r="N71" i="67" s="1"/>
  <c r="O71" i="67" s="1"/>
  <c r="C71" i="67"/>
  <c r="R69" i="67"/>
  <c r="Q69" i="67"/>
  <c r="M69" i="67"/>
  <c r="N69" i="67" s="1"/>
  <c r="O69" i="67" s="1"/>
  <c r="C69" i="67"/>
  <c r="R68" i="67"/>
  <c r="Q68" i="67"/>
  <c r="M68" i="67"/>
  <c r="N68" i="67" s="1"/>
  <c r="O68" i="67" s="1"/>
  <c r="C68" i="67"/>
  <c r="R67" i="67"/>
  <c r="Q67" i="67"/>
  <c r="M67" i="67"/>
  <c r="N67" i="67" s="1"/>
  <c r="O67" i="67" s="1"/>
  <c r="C67" i="67"/>
  <c r="R66" i="67"/>
  <c r="Q66" i="67"/>
  <c r="M66" i="67"/>
  <c r="N66" i="67" s="1"/>
  <c r="O66" i="67" s="1"/>
  <c r="C66" i="67"/>
  <c r="R65" i="67"/>
  <c r="Q65" i="67"/>
  <c r="M65" i="67"/>
  <c r="N65" i="67" s="1"/>
  <c r="O65" i="67" s="1"/>
  <c r="C65" i="67"/>
  <c r="R64" i="67"/>
  <c r="Q64" i="67"/>
  <c r="M64" i="67"/>
  <c r="N64" i="67" s="1"/>
  <c r="O64" i="67" s="1"/>
  <c r="C64" i="67"/>
  <c r="R63" i="67"/>
  <c r="Q63" i="67"/>
  <c r="M63" i="67"/>
  <c r="N63" i="67" s="1"/>
  <c r="O63" i="67" s="1"/>
  <c r="C63" i="67"/>
  <c r="R62" i="67"/>
  <c r="Q62" i="67"/>
  <c r="M62" i="67"/>
  <c r="N62" i="67" s="1"/>
  <c r="O62" i="67" s="1"/>
  <c r="C62" i="67"/>
  <c r="R61" i="67"/>
  <c r="Q61" i="67"/>
  <c r="M61" i="67"/>
  <c r="N61" i="67" s="1"/>
  <c r="O61" i="67" s="1"/>
  <c r="C61" i="67"/>
  <c r="R60" i="67"/>
  <c r="Q60" i="67"/>
  <c r="M60" i="67"/>
  <c r="N60" i="67" s="1"/>
  <c r="O60" i="67" s="1"/>
  <c r="C60" i="67"/>
  <c r="R59" i="67"/>
  <c r="Q59" i="67"/>
  <c r="M59" i="67"/>
  <c r="N59" i="67" s="1"/>
  <c r="O59" i="67" s="1"/>
  <c r="C59" i="67"/>
  <c r="R58" i="67"/>
  <c r="Q58" i="67"/>
  <c r="M58" i="67"/>
  <c r="N58" i="67" s="1"/>
  <c r="O58" i="67" s="1"/>
  <c r="C58" i="67"/>
  <c r="R57" i="67"/>
  <c r="Q57" i="67"/>
  <c r="M57" i="67"/>
  <c r="N57" i="67" s="1"/>
  <c r="O57" i="67" s="1"/>
  <c r="C57" i="67"/>
  <c r="R56" i="67"/>
  <c r="Q56" i="67"/>
  <c r="M56" i="67"/>
  <c r="N56" i="67" s="1"/>
  <c r="O56" i="67" s="1"/>
  <c r="C56" i="67"/>
  <c r="R55" i="67"/>
  <c r="Q55" i="67"/>
  <c r="M55" i="67"/>
  <c r="N55" i="67" s="1"/>
  <c r="O55" i="67" s="1"/>
  <c r="C55" i="67"/>
  <c r="R54" i="67"/>
  <c r="Q54" i="67"/>
  <c r="M54" i="67"/>
  <c r="N54" i="67" s="1"/>
  <c r="O54" i="67" s="1"/>
  <c r="C54" i="67"/>
  <c r="R53" i="67"/>
  <c r="Q53" i="67"/>
  <c r="M53" i="67"/>
  <c r="N53" i="67" s="1"/>
  <c r="O53" i="67" s="1"/>
  <c r="C53" i="67"/>
  <c r="R52" i="67"/>
  <c r="Q52" i="67"/>
  <c r="M52" i="67"/>
  <c r="N52" i="67" s="1"/>
  <c r="O52" i="67" s="1"/>
  <c r="C52" i="67"/>
  <c r="R51" i="67"/>
  <c r="Q51" i="67"/>
  <c r="M51" i="67"/>
  <c r="N51" i="67" s="1"/>
  <c r="O51" i="67" s="1"/>
  <c r="C51" i="67"/>
  <c r="R49" i="67"/>
  <c r="Q49" i="67"/>
  <c r="M49" i="67"/>
  <c r="N49" i="67" s="1"/>
  <c r="O49" i="67" s="1"/>
  <c r="C49" i="67"/>
  <c r="R48" i="67"/>
  <c r="Q48" i="67"/>
  <c r="M48" i="67"/>
  <c r="N48" i="67" s="1"/>
  <c r="O48" i="67" s="1"/>
  <c r="C48" i="67"/>
  <c r="R47" i="67"/>
  <c r="Q47" i="67"/>
  <c r="M47" i="67"/>
  <c r="N47" i="67" s="1"/>
  <c r="O47" i="67" s="1"/>
  <c r="C47" i="67"/>
  <c r="R44" i="67"/>
  <c r="Q44" i="67"/>
  <c r="M44" i="67"/>
  <c r="N44" i="67" s="1"/>
  <c r="O44" i="67" s="1"/>
  <c r="C44" i="67"/>
  <c r="R43" i="67"/>
  <c r="Q43" i="67"/>
  <c r="M43" i="67"/>
  <c r="N43" i="67" s="1"/>
  <c r="O43" i="67" s="1"/>
  <c r="C43" i="67"/>
  <c r="R42" i="67"/>
  <c r="Q42" i="67"/>
  <c r="M42" i="67"/>
  <c r="N42" i="67" s="1"/>
  <c r="O42" i="67" s="1"/>
  <c r="C42" i="67"/>
  <c r="R41" i="67"/>
  <c r="Q41" i="67"/>
  <c r="M41" i="67"/>
  <c r="N41" i="67" s="1"/>
  <c r="O41" i="67" s="1"/>
  <c r="C41" i="67"/>
  <c r="R40" i="67"/>
  <c r="Q40" i="67"/>
  <c r="M40" i="67"/>
  <c r="N40" i="67" s="1"/>
  <c r="O40" i="67" s="1"/>
  <c r="C40" i="67"/>
  <c r="R39" i="67"/>
  <c r="Q39" i="67"/>
  <c r="M39" i="67"/>
  <c r="N39" i="67" s="1"/>
  <c r="O39" i="67" s="1"/>
  <c r="C39" i="67"/>
  <c r="R38" i="67"/>
  <c r="Q38" i="67"/>
  <c r="M38" i="67"/>
  <c r="N38" i="67" s="1"/>
  <c r="O38" i="67" s="1"/>
  <c r="C38" i="67"/>
  <c r="R37" i="67"/>
  <c r="Q37" i="67"/>
  <c r="M37" i="67"/>
  <c r="N37" i="67" s="1"/>
  <c r="O37" i="67" s="1"/>
  <c r="C37" i="67"/>
  <c r="R36" i="67"/>
  <c r="Q36" i="67"/>
  <c r="M36" i="67"/>
  <c r="N36" i="67" s="1"/>
  <c r="O36" i="67" s="1"/>
  <c r="C36" i="67"/>
  <c r="R35" i="67"/>
  <c r="Q35" i="67"/>
  <c r="M35" i="67"/>
  <c r="N35" i="67" s="1"/>
  <c r="O35" i="67" s="1"/>
  <c r="C35" i="67"/>
  <c r="R34" i="67"/>
  <c r="Q34" i="67"/>
  <c r="M34" i="67"/>
  <c r="N34" i="67" s="1"/>
  <c r="O34" i="67" s="1"/>
  <c r="C34" i="67"/>
  <c r="R33" i="67"/>
  <c r="Q33" i="67"/>
  <c r="M33" i="67"/>
  <c r="N33" i="67" s="1"/>
  <c r="O33" i="67" s="1"/>
  <c r="C33" i="67"/>
  <c r="R32" i="67"/>
  <c r="Q32" i="67"/>
  <c r="M32" i="67"/>
  <c r="N32" i="67" s="1"/>
  <c r="O32" i="67" s="1"/>
  <c r="C32" i="67"/>
  <c r="R31" i="67"/>
  <c r="Q31" i="67"/>
  <c r="M31" i="67"/>
  <c r="N31" i="67" s="1"/>
  <c r="O31" i="67" s="1"/>
  <c r="C31" i="67"/>
  <c r="R30" i="67"/>
  <c r="Q30" i="67"/>
  <c r="M30" i="67"/>
  <c r="N30" i="67" s="1"/>
  <c r="O30" i="67" s="1"/>
  <c r="C30" i="67"/>
  <c r="R29" i="67"/>
  <c r="Q29" i="67"/>
  <c r="M29" i="67"/>
  <c r="N29" i="67" s="1"/>
  <c r="O29" i="67" s="1"/>
  <c r="C29" i="67"/>
  <c r="R28" i="67"/>
  <c r="Q28" i="67"/>
  <c r="M28" i="67"/>
  <c r="N28" i="67" s="1"/>
  <c r="O28" i="67" s="1"/>
  <c r="C28" i="67"/>
  <c r="R27" i="67"/>
  <c r="Q27" i="67"/>
  <c r="M27" i="67"/>
  <c r="N27" i="67" s="1"/>
  <c r="O27" i="67" s="1"/>
  <c r="C27" i="67"/>
  <c r="R26" i="67"/>
  <c r="Q26" i="67"/>
  <c r="M26" i="67"/>
  <c r="N26" i="67" s="1"/>
  <c r="O26" i="67" s="1"/>
  <c r="C26" i="67"/>
  <c r="R25" i="67"/>
  <c r="Q25" i="67"/>
  <c r="M25" i="67"/>
  <c r="N25" i="67" s="1"/>
  <c r="O25" i="67" s="1"/>
  <c r="C25" i="67"/>
  <c r="R24" i="67"/>
  <c r="Q24" i="67"/>
  <c r="M24" i="67"/>
  <c r="N24" i="67" s="1"/>
  <c r="O24" i="67" s="1"/>
  <c r="C24" i="67"/>
  <c r="R23" i="67"/>
  <c r="Q23" i="67"/>
  <c r="M23" i="67"/>
  <c r="N23" i="67" s="1"/>
  <c r="O23" i="67" s="1"/>
  <c r="C23" i="67"/>
  <c r="R22" i="67"/>
  <c r="Q22" i="67"/>
  <c r="M22" i="67"/>
  <c r="N22" i="67" s="1"/>
  <c r="O22" i="67" s="1"/>
  <c r="C22" i="67"/>
  <c r="R21" i="67"/>
  <c r="Q21" i="67"/>
  <c r="M21" i="67"/>
  <c r="N21" i="67" s="1"/>
  <c r="O21" i="67" s="1"/>
  <c r="C21" i="67"/>
  <c r="R20" i="67"/>
  <c r="Q20" i="67"/>
  <c r="M20" i="67"/>
  <c r="N20" i="67" s="1"/>
  <c r="O20" i="67" s="1"/>
  <c r="C20" i="67"/>
  <c r="R19" i="67"/>
  <c r="Q19" i="67"/>
  <c r="M19" i="67"/>
  <c r="N19" i="67" s="1"/>
  <c r="O19" i="67" s="1"/>
  <c r="C19" i="67"/>
  <c r="R18" i="67"/>
  <c r="Q18" i="67"/>
  <c r="M18" i="67"/>
  <c r="N18" i="67" s="1"/>
  <c r="O18" i="67" s="1"/>
  <c r="C18" i="67"/>
  <c r="R17" i="67"/>
  <c r="Q17" i="67"/>
  <c r="M17" i="67"/>
  <c r="N17" i="67" s="1"/>
  <c r="O17" i="67" s="1"/>
  <c r="C17" i="67"/>
  <c r="R16" i="67"/>
  <c r="Q16" i="67"/>
  <c r="M16" i="67"/>
  <c r="N16" i="67" s="1"/>
  <c r="O16" i="67" s="1"/>
  <c r="C16" i="67"/>
  <c r="R15" i="67"/>
  <c r="Q15" i="67"/>
  <c r="M15" i="67"/>
  <c r="N15" i="67" s="1"/>
  <c r="O15" i="67" s="1"/>
  <c r="C15" i="67"/>
  <c r="R14" i="67"/>
  <c r="Q14" i="67"/>
  <c r="M14" i="67"/>
  <c r="N14" i="67" s="1"/>
  <c r="O14" i="67" s="1"/>
  <c r="C14" i="67"/>
  <c r="R13" i="67"/>
  <c r="Q13" i="67"/>
  <c r="M13" i="67"/>
  <c r="N13" i="67" s="1"/>
  <c r="O13" i="67" s="1"/>
  <c r="C13" i="67"/>
  <c r="R12" i="67"/>
  <c r="Q12" i="67"/>
  <c r="M12" i="67"/>
  <c r="N12" i="67" s="1"/>
  <c r="O12" i="67" s="1"/>
  <c r="C12" i="67"/>
  <c r="R11" i="67"/>
  <c r="Q11" i="67"/>
  <c r="M11" i="67"/>
  <c r="N11" i="67" s="1"/>
  <c r="O11" i="67" s="1"/>
  <c r="C11" i="67"/>
  <c r="R10" i="67"/>
  <c r="Q10" i="67"/>
  <c r="M10" i="67"/>
  <c r="N10" i="67" s="1"/>
  <c r="O10" i="67" s="1"/>
  <c r="C10" i="67"/>
  <c r="R9" i="67"/>
  <c r="Q9" i="67"/>
  <c r="M9" i="67"/>
  <c r="N9" i="67" s="1"/>
  <c r="O9" i="67" s="1"/>
  <c r="C9" i="67"/>
  <c r="R8" i="67"/>
  <c r="Q8" i="67"/>
  <c r="M8" i="67"/>
  <c r="N8" i="67" s="1"/>
  <c r="O8" i="67" s="1"/>
  <c r="C8" i="67"/>
  <c r="R7" i="67"/>
  <c r="Q7" i="67"/>
  <c r="M7" i="67"/>
  <c r="N7" i="67" s="1"/>
  <c r="O7" i="67" s="1"/>
  <c r="C7" i="67"/>
  <c r="R6" i="67"/>
  <c r="Q6" i="67"/>
  <c r="M6" i="67"/>
  <c r="N6" i="67" s="1"/>
  <c r="O6" i="67" s="1"/>
  <c r="C6" i="67"/>
  <c r="L4" i="67"/>
  <c r="J4" i="67"/>
  <c r="R86" i="66"/>
  <c r="Q86" i="66"/>
  <c r="M86" i="66"/>
  <c r="N86" i="66" s="1"/>
  <c r="O86" i="66" s="1"/>
  <c r="R85" i="66"/>
  <c r="Q85" i="66"/>
  <c r="M85" i="66"/>
  <c r="N85" i="66" s="1"/>
  <c r="O85" i="66" s="1"/>
  <c r="C86" i="66"/>
  <c r="C85" i="66"/>
  <c r="O4" i="67" l="1"/>
  <c r="N4" i="67"/>
  <c r="C84" i="66"/>
  <c r="C83" i="66"/>
  <c r="C82" i="66"/>
  <c r="C81" i="66"/>
  <c r="C80" i="66"/>
  <c r="C79" i="66"/>
  <c r="C78" i="66"/>
  <c r="C77" i="66"/>
  <c r="C76" i="66"/>
  <c r="C75" i="66"/>
  <c r="R84" i="66"/>
  <c r="Q84" i="66"/>
  <c r="M84" i="66"/>
  <c r="N84" i="66" s="1"/>
  <c r="O84" i="66" s="1"/>
  <c r="R83" i="66"/>
  <c r="Q83" i="66"/>
  <c r="M83" i="66"/>
  <c r="N83" i="66" s="1"/>
  <c r="O83" i="66" s="1"/>
  <c r="R82" i="66"/>
  <c r="Q82" i="66"/>
  <c r="M82" i="66"/>
  <c r="N82" i="66" s="1"/>
  <c r="O82" i="66" s="1"/>
  <c r="R81" i="66"/>
  <c r="Q81" i="66"/>
  <c r="M81" i="66"/>
  <c r="N81" i="66" s="1"/>
  <c r="O81" i="66" s="1"/>
  <c r="R80" i="66"/>
  <c r="Q80" i="66"/>
  <c r="M80" i="66"/>
  <c r="N80" i="66" s="1"/>
  <c r="O80" i="66" s="1"/>
  <c r="R79" i="66"/>
  <c r="Q79" i="66"/>
  <c r="M79" i="66"/>
  <c r="N79" i="66" s="1"/>
  <c r="O79" i="66" s="1"/>
  <c r="R78" i="66"/>
  <c r="Q78" i="66"/>
  <c r="M78" i="66"/>
  <c r="N78" i="66" s="1"/>
  <c r="O78" i="66" s="1"/>
  <c r="R77" i="66"/>
  <c r="Q77" i="66"/>
  <c r="M77" i="66"/>
  <c r="N77" i="66" s="1"/>
  <c r="O77" i="66" s="1"/>
  <c r="R76" i="66"/>
  <c r="Q76" i="66"/>
  <c r="M76" i="66"/>
  <c r="N76" i="66" s="1"/>
  <c r="O76" i="66" s="1"/>
  <c r="R75" i="66"/>
  <c r="Q75" i="66"/>
  <c r="M75" i="66"/>
  <c r="N75" i="66" s="1"/>
  <c r="O75" i="66" s="1"/>
  <c r="C74" i="66" l="1"/>
  <c r="C73" i="66"/>
  <c r="C72" i="66"/>
  <c r="C71" i="66"/>
  <c r="C70" i="66"/>
  <c r="R73" i="66"/>
  <c r="Q73" i="66"/>
  <c r="M73" i="66"/>
  <c r="N73" i="66" s="1"/>
  <c r="O73" i="66" s="1"/>
  <c r="R72" i="66"/>
  <c r="Q72" i="66"/>
  <c r="M72" i="66"/>
  <c r="N72" i="66" s="1"/>
  <c r="O72" i="66" s="1"/>
  <c r="R71" i="66"/>
  <c r="Q71" i="66"/>
  <c r="M71" i="66"/>
  <c r="N71" i="66" s="1"/>
  <c r="O71" i="66" s="1"/>
  <c r="R70" i="66"/>
  <c r="Q70" i="66"/>
  <c r="M70" i="66"/>
  <c r="N70" i="66" s="1"/>
  <c r="O70" i="66" s="1"/>
  <c r="R94" i="66" l="1"/>
  <c r="Q94" i="66"/>
  <c r="M94" i="66"/>
  <c r="N94" i="66" s="1"/>
  <c r="O94" i="66" s="1"/>
  <c r="C94" i="66"/>
  <c r="R93" i="66"/>
  <c r="Q93" i="66"/>
  <c r="M93" i="66"/>
  <c r="N93" i="66" s="1"/>
  <c r="O93" i="66" s="1"/>
  <c r="C93" i="66"/>
  <c r="R92" i="66"/>
  <c r="Q92" i="66"/>
  <c r="M92" i="66"/>
  <c r="N92" i="66" s="1"/>
  <c r="O92" i="66" s="1"/>
  <c r="C92" i="66"/>
  <c r="R91" i="66"/>
  <c r="Q91" i="66"/>
  <c r="M91" i="66"/>
  <c r="N91" i="66" s="1"/>
  <c r="O91" i="66" s="1"/>
  <c r="C91" i="66"/>
  <c r="R90" i="66"/>
  <c r="Q90" i="66"/>
  <c r="M90" i="66"/>
  <c r="N90" i="66" s="1"/>
  <c r="O90" i="66" s="1"/>
  <c r="C90" i="66"/>
  <c r="R89" i="66"/>
  <c r="Q89" i="66"/>
  <c r="M89" i="66"/>
  <c r="N89" i="66" s="1"/>
  <c r="O89" i="66" s="1"/>
  <c r="C89" i="66"/>
  <c r="R88" i="66"/>
  <c r="Q88" i="66"/>
  <c r="M88" i="66"/>
  <c r="N88" i="66" s="1"/>
  <c r="O88" i="66" s="1"/>
  <c r="C88" i="66"/>
  <c r="R87" i="66"/>
  <c r="Q87" i="66"/>
  <c r="M87" i="66"/>
  <c r="N87" i="66" s="1"/>
  <c r="O87" i="66" s="1"/>
  <c r="C87" i="66"/>
  <c r="R74" i="66"/>
  <c r="Q74" i="66"/>
  <c r="M74" i="66"/>
  <c r="N74" i="66" s="1"/>
  <c r="O74" i="66" s="1"/>
  <c r="R69" i="66"/>
  <c r="Q69" i="66"/>
  <c r="M69" i="66"/>
  <c r="N69" i="66" s="1"/>
  <c r="O69" i="66" s="1"/>
  <c r="C69" i="66"/>
  <c r="R68" i="66"/>
  <c r="Q68" i="66"/>
  <c r="M68" i="66"/>
  <c r="N68" i="66" s="1"/>
  <c r="O68" i="66" s="1"/>
  <c r="C68" i="66"/>
  <c r="R67" i="66"/>
  <c r="Q67" i="66"/>
  <c r="M67" i="66"/>
  <c r="N67" i="66" s="1"/>
  <c r="O67" i="66" s="1"/>
  <c r="C67" i="66"/>
  <c r="R66" i="66"/>
  <c r="Q66" i="66"/>
  <c r="M66" i="66"/>
  <c r="N66" i="66" s="1"/>
  <c r="O66" i="66" s="1"/>
  <c r="C66" i="66"/>
  <c r="R65" i="66"/>
  <c r="Q65" i="66"/>
  <c r="M65" i="66"/>
  <c r="N65" i="66" s="1"/>
  <c r="O65" i="66" s="1"/>
  <c r="C65" i="66"/>
  <c r="R64" i="66"/>
  <c r="Q64" i="66"/>
  <c r="M64" i="66"/>
  <c r="N64" i="66" s="1"/>
  <c r="O64" i="66" s="1"/>
  <c r="C64" i="66"/>
  <c r="R63" i="66"/>
  <c r="Q63" i="66"/>
  <c r="M63" i="66"/>
  <c r="N63" i="66" s="1"/>
  <c r="O63" i="66" s="1"/>
  <c r="C63" i="66"/>
  <c r="R62" i="66"/>
  <c r="Q62" i="66"/>
  <c r="M62" i="66"/>
  <c r="N62" i="66" s="1"/>
  <c r="O62" i="66" s="1"/>
  <c r="C62" i="66"/>
  <c r="R61" i="66"/>
  <c r="Q61" i="66"/>
  <c r="M61" i="66"/>
  <c r="N61" i="66" s="1"/>
  <c r="O61" i="66" s="1"/>
  <c r="C61" i="66"/>
  <c r="R60" i="66"/>
  <c r="Q60" i="66"/>
  <c r="M60" i="66"/>
  <c r="N60" i="66" s="1"/>
  <c r="O60" i="66" s="1"/>
  <c r="C60" i="66"/>
  <c r="R59" i="66"/>
  <c r="Q59" i="66"/>
  <c r="M59" i="66"/>
  <c r="N59" i="66" s="1"/>
  <c r="O59" i="66" s="1"/>
  <c r="C59" i="66"/>
  <c r="R58" i="66"/>
  <c r="Q58" i="66"/>
  <c r="M58" i="66"/>
  <c r="N58" i="66" s="1"/>
  <c r="O58" i="66" s="1"/>
  <c r="C58" i="66"/>
  <c r="R57" i="66"/>
  <c r="Q57" i="66"/>
  <c r="M57" i="66"/>
  <c r="N57" i="66" s="1"/>
  <c r="O57" i="66" s="1"/>
  <c r="C57" i="66"/>
  <c r="R56" i="66"/>
  <c r="Q56" i="66"/>
  <c r="M56" i="66"/>
  <c r="N56" i="66" s="1"/>
  <c r="O56" i="66" s="1"/>
  <c r="C56" i="66"/>
  <c r="R55" i="66"/>
  <c r="Q55" i="66"/>
  <c r="M55" i="66"/>
  <c r="N55" i="66" s="1"/>
  <c r="O55" i="66" s="1"/>
  <c r="C55" i="66"/>
  <c r="R54" i="66"/>
  <c r="Q54" i="66"/>
  <c r="M54" i="66"/>
  <c r="N54" i="66" s="1"/>
  <c r="O54" i="66" s="1"/>
  <c r="C54" i="66"/>
  <c r="R53" i="66"/>
  <c r="Q53" i="66"/>
  <c r="M53" i="66"/>
  <c r="N53" i="66" s="1"/>
  <c r="O53" i="66" s="1"/>
  <c r="C53" i="66"/>
  <c r="R52" i="66"/>
  <c r="Q52" i="66"/>
  <c r="M52" i="66"/>
  <c r="N52" i="66" s="1"/>
  <c r="O52" i="66" s="1"/>
  <c r="C52" i="66"/>
  <c r="R51" i="66"/>
  <c r="Q51" i="66"/>
  <c r="M51" i="66"/>
  <c r="N51" i="66" s="1"/>
  <c r="O51" i="66" s="1"/>
  <c r="C51" i="66"/>
  <c r="R50" i="66"/>
  <c r="Q50" i="66"/>
  <c r="M50" i="66"/>
  <c r="N50" i="66" s="1"/>
  <c r="O50" i="66" s="1"/>
  <c r="C50" i="66"/>
  <c r="R49" i="66"/>
  <c r="Q49" i="66"/>
  <c r="M49" i="66"/>
  <c r="N49" i="66" s="1"/>
  <c r="O49" i="66" s="1"/>
  <c r="C49" i="66"/>
  <c r="R48" i="66"/>
  <c r="Q48" i="66"/>
  <c r="M48" i="66"/>
  <c r="N48" i="66" s="1"/>
  <c r="O48" i="66" s="1"/>
  <c r="C48" i="66"/>
  <c r="R47" i="66"/>
  <c r="Q47" i="66"/>
  <c r="M47" i="66"/>
  <c r="N47" i="66" s="1"/>
  <c r="O47" i="66" s="1"/>
  <c r="C47" i="66"/>
  <c r="R46" i="66"/>
  <c r="Q46" i="66"/>
  <c r="M46" i="66"/>
  <c r="N46" i="66" s="1"/>
  <c r="O46" i="66" s="1"/>
  <c r="C46" i="66"/>
  <c r="R45" i="66"/>
  <c r="Q45" i="66"/>
  <c r="M45" i="66"/>
  <c r="N45" i="66" s="1"/>
  <c r="O45" i="66" s="1"/>
  <c r="C45" i="66"/>
  <c r="R44" i="66"/>
  <c r="Q44" i="66"/>
  <c r="M44" i="66"/>
  <c r="N44" i="66" s="1"/>
  <c r="O44" i="66" s="1"/>
  <c r="C44" i="66"/>
  <c r="R43" i="66"/>
  <c r="Q43" i="66"/>
  <c r="M43" i="66"/>
  <c r="N43" i="66" s="1"/>
  <c r="O43" i="66" s="1"/>
  <c r="C43" i="66"/>
  <c r="R42" i="66"/>
  <c r="Q42" i="66"/>
  <c r="M42" i="66"/>
  <c r="N42" i="66" s="1"/>
  <c r="O42" i="66" s="1"/>
  <c r="C42" i="66"/>
  <c r="R41" i="66"/>
  <c r="Q41" i="66"/>
  <c r="M41" i="66"/>
  <c r="N41" i="66" s="1"/>
  <c r="O41" i="66" s="1"/>
  <c r="C41" i="66"/>
  <c r="R40" i="66"/>
  <c r="Q40" i="66"/>
  <c r="M40" i="66"/>
  <c r="N40" i="66" s="1"/>
  <c r="O40" i="66" s="1"/>
  <c r="C40" i="66"/>
  <c r="R39" i="66"/>
  <c r="Q39" i="66"/>
  <c r="M39" i="66"/>
  <c r="N39" i="66" s="1"/>
  <c r="O39" i="66" s="1"/>
  <c r="C39" i="66"/>
  <c r="R38" i="66"/>
  <c r="Q38" i="66"/>
  <c r="M38" i="66"/>
  <c r="N38" i="66" s="1"/>
  <c r="O38" i="66" s="1"/>
  <c r="C38" i="66"/>
  <c r="R37" i="66"/>
  <c r="Q37" i="66"/>
  <c r="M37" i="66"/>
  <c r="N37" i="66" s="1"/>
  <c r="O37" i="66" s="1"/>
  <c r="C37" i="66"/>
  <c r="R36" i="66"/>
  <c r="Q36" i="66"/>
  <c r="M36" i="66"/>
  <c r="N36" i="66" s="1"/>
  <c r="O36" i="66" s="1"/>
  <c r="C36" i="66"/>
  <c r="R35" i="66"/>
  <c r="Q35" i="66"/>
  <c r="M35" i="66"/>
  <c r="N35" i="66" s="1"/>
  <c r="O35" i="66" s="1"/>
  <c r="C35" i="66"/>
  <c r="R34" i="66"/>
  <c r="Q34" i="66"/>
  <c r="M34" i="66"/>
  <c r="N34" i="66" s="1"/>
  <c r="O34" i="66" s="1"/>
  <c r="C34" i="66"/>
  <c r="R33" i="66"/>
  <c r="Q33" i="66"/>
  <c r="M33" i="66"/>
  <c r="N33" i="66" s="1"/>
  <c r="O33" i="66" s="1"/>
  <c r="C33" i="66"/>
  <c r="R32" i="66"/>
  <c r="Q32" i="66"/>
  <c r="M32" i="66"/>
  <c r="N32" i="66" s="1"/>
  <c r="O32" i="66" s="1"/>
  <c r="C32" i="66"/>
  <c r="R31" i="66"/>
  <c r="Q31" i="66"/>
  <c r="M31" i="66"/>
  <c r="N31" i="66" s="1"/>
  <c r="O31" i="66" s="1"/>
  <c r="C31" i="66"/>
  <c r="R30" i="66"/>
  <c r="Q30" i="66"/>
  <c r="M30" i="66"/>
  <c r="N30" i="66" s="1"/>
  <c r="O30" i="66" s="1"/>
  <c r="C30" i="66"/>
  <c r="R29" i="66"/>
  <c r="Q29" i="66"/>
  <c r="M29" i="66"/>
  <c r="N29" i="66" s="1"/>
  <c r="O29" i="66" s="1"/>
  <c r="C29" i="66"/>
  <c r="R28" i="66"/>
  <c r="Q28" i="66"/>
  <c r="M28" i="66"/>
  <c r="N28" i="66" s="1"/>
  <c r="O28" i="66" s="1"/>
  <c r="C28" i="66"/>
  <c r="R27" i="66"/>
  <c r="Q27" i="66"/>
  <c r="M27" i="66"/>
  <c r="N27" i="66" s="1"/>
  <c r="O27" i="66" s="1"/>
  <c r="C27" i="66"/>
  <c r="R26" i="66"/>
  <c r="Q26" i="66"/>
  <c r="M26" i="66"/>
  <c r="N26" i="66" s="1"/>
  <c r="O26" i="66" s="1"/>
  <c r="C26" i="66"/>
  <c r="R25" i="66"/>
  <c r="Q25" i="66"/>
  <c r="M25" i="66"/>
  <c r="N25" i="66" s="1"/>
  <c r="O25" i="66" s="1"/>
  <c r="C25" i="66"/>
  <c r="R24" i="66"/>
  <c r="Q24" i="66"/>
  <c r="M24" i="66"/>
  <c r="N24" i="66" s="1"/>
  <c r="O24" i="66" s="1"/>
  <c r="C24" i="66"/>
  <c r="R23" i="66"/>
  <c r="Q23" i="66"/>
  <c r="M23" i="66"/>
  <c r="N23" i="66" s="1"/>
  <c r="O23" i="66" s="1"/>
  <c r="C23" i="66"/>
  <c r="R22" i="66"/>
  <c r="Q22" i="66"/>
  <c r="M22" i="66"/>
  <c r="N22" i="66" s="1"/>
  <c r="O22" i="66" s="1"/>
  <c r="C22" i="66"/>
  <c r="R21" i="66"/>
  <c r="Q21" i="66"/>
  <c r="M21" i="66"/>
  <c r="N21" i="66" s="1"/>
  <c r="O21" i="66" s="1"/>
  <c r="C21" i="66"/>
  <c r="R20" i="66"/>
  <c r="Q20" i="66"/>
  <c r="M20" i="66"/>
  <c r="N20" i="66" s="1"/>
  <c r="O20" i="66" s="1"/>
  <c r="C20" i="66"/>
  <c r="R19" i="66"/>
  <c r="Q19" i="66"/>
  <c r="M19" i="66"/>
  <c r="N19" i="66" s="1"/>
  <c r="O19" i="66" s="1"/>
  <c r="C19" i="66"/>
  <c r="R18" i="66"/>
  <c r="Q18" i="66"/>
  <c r="M18" i="66"/>
  <c r="N18" i="66" s="1"/>
  <c r="O18" i="66" s="1"/>
  <c r="C18" i="66"/>
  <c r="R17" i="66"/>
  <c r="Q17" i="66"/>
  <c r="M17" i="66"/>
  <c r="N17" i="66" s="1"/>
  <c r="O17" i="66" s="1"/>
  <c r="C17" i="66"/>
  <c r="R16" i="66"/>
  <c r="Q16" i="66"/>
  <c r="M16" i="66"/>
  <c r="N16" i="66" s="1"/>
  <c r="O16" i="66" s="1"/>
  <c r="C16" i="66"/>
  <c r="R15" i="66"/>
  <c r="Q15" i="66"/>
  <c r="M15" i="66"/>
  <c r="N15" i="66" s="1"/>
  <c r="O15" i="66" s="1"/>
  <c r="C15" i="66"/>
  <c r="R14" i="66"/>
  <c r="Q14" i="66"/>
  <c r="M14" i="66"/>
  <c r="N14" i="66" s="1"/>
  <c r="O14" i="66" s="1"/>
  <c r="C14" i="66"/>
  <c r="R13" i="66"/>
  <c r="Q13" i="66"/>
  <c r="M13" i="66"/>
  <c r="N13" i="66" s="1"/>
  <c r="O13" i="66" s="1"/>
  <c r="C13" i="66"/>
  <c r="R12" i="66"/>
  <c r="Q12" i="66"/>
  <c r="M12" i="66"/>
  <c r="N12" i="66" s="1"/>
  <c r="O12" i="66" s="1"/>
  <c r="C12" i="66"/>
  <c r="R11" i="66"/>
  <c r="Q11" i="66"/>
  <c r="M11" i="66"/>
  <c r="N11" i="66" s="1"/>
  <c r="O11" i="66" s="1"/>
  <c r="C11" i="66"/>
  <c r="R10" i="66"/>
  <c r="Q10" i="66"/>
  <c r="M10" i="66"/>
  <c r="N10" i="66" s="1"/>
  <c r="O10" i="66" s="1"/>
  <c r="C10" i="66"/>
  <c r="R9" i="66"/>
  <c r="Q9" i="66"/>
  <c r="M9" i="66"/>
  <c r="N9" i="66" s="1"/>
  <c r="O9" i="66" s="1"/>
  <c r="C9" i="66"/>
  <c r="R8" i="66"/>
  <c r="Q8" i="66"/>
  <c r="M8" i="66"/>
  <c r="N8" i="66" s="1"/>
  <c r="O8" i="66" s="1"/>
  <c r="C8" i="66"/>
  <c r="R7" i="66"/>
  <c r="Q7" i="66"/>
  <c r="M7" i="66"/>
  <c r="N7" i="66" s="1"/>
  <c r="O7" i="66" s="1"/>
  <c r="C7" i="66"/>
  <c r="R6" i="66"/>
  <c r="Q6" i="66"/>
  <c r="M6" i="66"/>
  <c r="N6" i="66" s="1"/>
  <c r="C6" i="66"/>
  <c r="L4" i="66"/>
  <c r="J4" i="66"/>
  <c r="R82" i="65"/>
  <c r="Q82" i="65"/>
  <c r="M82" i="65"/>
  <c r="N82" i="65" s="1"/>
  <c r="O82" i="65" s="1"/>
  <c r="R81" i="65"/>
  <c r="Q81" i="65"/>
  <c r="M81" i="65"/>
  <c r="N81" i="65" s="1"/>
  <c r="O81" i="65" s="1"/>
  <c r="C82" i="65"/>
  <c r="C81" i="65"/>
  <c r="O6" i="66" l="1"/>
  <c r="O4" i="66" s="1"/>
  <c r="N4" i="66"/>
  <c r="C75" i="65"/>
  <c r="R75" i="65"/>
  <c r="Q75" i="65"/>
  <c r="M75" i="65"/>
  <c r="N75" i="65" s="1"/>
  <c r="O75" i="65" s="1"/>
  <c r="C69" i="65" l="1"/>
  <c r="C68" i="65"/>
  <c r="C67" i="65"/>
  <c r="R69" i="65"/>
  <c r="Q69" i="65"/>
  <c r="M69" i="65"/>
  <c r="N69" i="65" s="1"/>
  <c r="O69" i="65" s="1"/>
  <c r="R68" i="65"/>
  <c r="Q68" i="65"/>
  <c r="M68" i="65"/>
  <c r="N68" i="65" s="1"/>
  <c r="O68" i="65" s="1"/>
  <c r="R67" i="65"/>
  <c r="Q67" i="65"/>
  <c r="M67" i="65"/>
  <c r="N67" i="65" s="1"/>
  <c r="O67" i="65" s="1"/>
  <c r="R66" i="65" l="1"/>
  <c r="Q66" i="65"/>
  <c r="M66" i="65"/>
  <c r="N66" i="65" s="1"/>
  <c r="O66" i="65" s="1"/>
  <c r="C66" i="65"/>
  <c r="R65" i="65" l="1"/>
  <c r="Q65" i="65"/>
  <c r="M65" i="65"/>
  <c r="N65" i="65" s="1"/>
  <c r="O65" i="65" s="1"/>
  <c r="C65" i="65"/>
  <c r="R56" i="65" l="1"/>
  <c r="Q56" i="65"/>
  <c r="M56" i="65"/>
  <c r="N56" i="65" s="1"/>
  <c r="O56" i="65" s="1"/>
  <c r="R55" i="65"/>
  <c r="Q55" i="65"/>
  <c r="M55" i="65"/>
  <c r="N55" i="65" s="1"/>
  <c r="O55" i="65" s="1"/>
  <c r="C56" i="65" l="1"/>
  <c r="C55" i="65"/>
  <c r="R44" i="65" l="1"/>
  <c r="Q44" i="65"/>
  <c r="M44" i="65"/>
  <c r="N44" i="65" s="1"/>
  <c r="O44" i="65" s="1"/>
  <c r="R43" i="65"/>
  <c r="Q43" i="65"/>
  <c r="M43" i="65"/>
  <c r="N43" i="65" s="1"/>
  <c r="O43" i="65" s="1"/>
  <c r="R42" i="65"/>
  <c r="Q42" i="65"/>
  <c r="M42" i="65"/>
  <c r="N42" i="65" s="1"/>
  <c r="O42" i="65" s="1"/>
  <c r="R41" i="65"/>
  <c r="Q41" i="65"/>
  <c r="M41" i="65"/>
  <c r="N41" i="65" s="1"/>
  <c r="O41" i="65" s="1"/>
  <c r="R40" i="65"/>
  <c r="Q40" i="65"/>
  <c r="M40" i="65"/>
  <c r="N40" i="65" s="1"/>
  <c r="O40" i="65" s="1"/>
  <c r="R39" i="65"/>
  <c r="Q39" i="65"/>
  <c r="M39" i="65"/>
  <c r="N39" i="65" s="1"/>
  <c r="O39" i="65" s="1"/>
  <c r="R38" i="65"/>
  <c r="Q38" i="65"/>
  <c r="M38" i="65"/>
  <c r="N38" i="65" s="1"/>
  <c r="O38" i="65" s="1"/>
  <c r="R37" i="65"/>
  <c r="Q37" i="65"/>
  <c r="M37" i="65"/>
  <c r="N37" i="65" s="1"/>
  <c r="O37" i="65" s="1"/>
  <c r="R36" i="65"/>
  <c r="Q36" i="65"/>
  <c r="M36" i="65"/>
  <c r="N36" i="65" s="1"/>
  <c r="O36" i="65" s="1"/>
  <c r="R35" i="65"/>
  <c r="Q35" i="65"/>
  <c r="M35" i="65"/>
  <c r="N35" i="65" s="1"/>
  <c r="O35" i="65" s="1"/>
  <c r="R34" i="65"/>
  <c r="Q34" i="65"/>
  <c r="M34" i="65"/>
  <c r="N34" i="65" s="1"/>
  <c r="O34" i="65" s="1"/>
  <c r="R33" i="65"/>
  <c r="Q33" i="65"/>
  <c r="M33" i="65"/>
  <c r="N33" i="65" s="1"/>
  <c r="O33" i="65" s="1"/>
  <c r="C44" i="65"/>
  <c r="C43" i="65"/>
  <c r="C42" i="65"/>
  <c r="C41" i="65"/>
  <c r="C40" i="65"/>
  <c r="C39" i="65"/>
  <c r="C38" i="65"/>
  <c r="C37" i="65"/>
  <c r="C36" i="65"/>
  <c r="C35" i="65"/>
  <c r="C34" i="65"/>
  <c r="C33" i="65"/>
  <c r="R80" i="65" l="1"/>
  <c r="Q80" i="65"/>
  <c r="M80" i="65"/>
  <c r="N80" i="65" s="1"/>
  <c r="O80" i="65" s="1"/>
  <c r="C80" i="65"/>
  <c r="R79" i="65"/>
  <c r="Q79" i="65"/>
  <c r="M79" i="65"/>
  <c r="N79" i="65" s="1"/>
  <c r="O79" i="65" s="1"/>
  <c r="C79" i="65"/>
  <c r="R78" i="65"/>
  <c r="Q78" i="65"/>
  <c r="M78" i="65"/>
  <c r="N78" i="65" s="1"/>
  <c r="O78" i="65" s="1"/>
  <c r="C78" i="65"/>
  <c r="R77" i="65"/>
  <c r="Q77" i="65"/>
  <c r="M77" i="65"/>
  <c r="N77" i="65" s="1"/>
  <c r="O77" i="65" s="1"/>
  <c r="C77" i="65"/>
  <c r="R76" i="65"/>
  <c r="Q76" i="65"/>
  <c r="M76" i="65"/>
  <c r="N76" i="65" s="1"/>
  <c r="O76" i="65" s="1"/>
  <c r="C76" i="65"/>
  <c r="R74" i="65"/>
  <c r="Q74" i="65"/>
  <c r="M74" i="65"/>
  <c r="N74" i="65" s="1"/>
  <c r="O74" i="65" s="1"/>
  <c r="C74" i="65"/>
  <c r="R73" i="65"/>
  <c r="Q73" i="65"/>
  <c r="M73" i="65"/>
  <c r="N73" i="65" s="1"/>
  <c r="O73" i="65" s="1"/>
  <c r="C73" i="65"/>
  <c r="R72" i="65"/>
  <c r="Q72" i="65"/>
  <c r="M72" i="65"/>
  <c r="N72" i="65" s="1"/>
  <c r="O72" i="65" s="1"/>
  <c r="C72" i="65"/>
  <c r="R71" i="65"/>
  <c r="Q71" i="65"/>
  <c r="M71" i="65"/>
  <c r="N71" i="65" s="1"/>
  <c r="O71" i="65" s="1"/>
  <c r="C71" i="65"/>
  <c r="R70" i="65"/>
  <c r="Q70" i="65"/>
  <c r="M70" i="65"/>
  <c r="N70" i="65" s="1"/>
  <c r="O70" i="65" s="1"/>
  <c r="C70" i="65"/>
  <c r="R64" i="65"/>
  <c r="Q64" i="65"/>
  <c r="M64" i="65"/>
  <c r="N64" i="65" s="1"/>
  <c r="O64" i="65" s="1"/>
  <c r="C64" i="65"/>
  <c r="R63" i="65"/>
  <c r="Q63" i="65"/>
  <c r="M63" i="65"/>
  <c r="N63" i="65" s="1"/>
  <c r="O63" i="65" s="1"/>
  <c r="C63" i="65"/>
  <c r="R62" i="65"/>
  <c r="Q62" i="65"/>
  <c r="M62" i="65"/>
  <c r="N62" i="65" s="1"/>
  <c r="O62" i="65" s="1"/>
  <c r="C62" i="65"/>
  <c r="R61" i="65"/>
  <c r="Q61" i="65"/>
  <c r="M61" i="65"/>
  <c r="N61" i="65" s="1"/>
  <c r="O61" i="65" s="1"/>
  <c r="C61" i="65"/>
  <c r="R60" i="65"/>
  <c r="Q60" i="65"/>
  <c r="M60" i="65"/>
  <c r="N60" i="65" s="1"/>
  <c r="O60" i="65" s="1"/>
  <c r="C60" i="65"/>
  <c r="R59" i="65"/>
  <c r="Q59" i="65"/>
  <c r="M59" i="65"/>
  <c r="N59" i="65" s="1"/>
  <c r="O59" i="65" s="1"/>
  <c r="C59" i="65"/>
  <c r="R58" i="65"/>
  <c r="Q58" i="65"/>
  <c r="M58" i="65"/>
  <c r="N58" i="65" s="1"/>
  <c r="O58" i="65" s="1"/>
  <c r="C58" i="65"/>
  <c r="R57" i="65"/>
  <c r="Q57" i="65"/>
  <c r="M57" i="65"/>
  <c r="N57" i="65" s="1"/>
  <c r="O57" i="65" s="1"/>
  <c r="C57" i="65"/>
  <c r="R54" i="65"/>
  <c r="Q54" i="65"/>
  <c r="M54" i="65"/>
  <c r="N54" i="65" s="1"/>
  <c r="O54" i="65" s="1"/>
  <c r="C54" i="65"/>
  <c r="R53" i="65"/>
  <c r="Q53" i="65"/>
  <c r="M53" i="65"/>
  <c r="N53" i="65" s="1"/>
  <c r="O53" i="65" s="1"/>
  <c r="C53" i="65"/>
  <c r="R52" i="65"/>
  <c r="Q52" i="65"/>
  <c r="M52" i="65"/>
  <c r="N52" i="65" s="1"/>
  <c r="O52" i="65" s="1"/>
  <c r="C52" i="65"/>
  <c r="R51" i="65"/>
  <c r="Q51" i="65"/>
  <c r="M51" i="65"/>
  <c r="N51" i="65" s="1"/>
  <c r="O51" i="65" s="1"/>
  <c r="C51" i="65"/>
  <c r="R50" i="65"/>
  <c r="Q50" i="65"/>
  <c r="M50" i="65"/>
  <c r="N50" i="65" s="1"/>
  <c r="O50" i="65" s="1"/>
  <c r="C50" i="65"/>
  <c r="R49" i="65"/>
  <c r="Q49" i="65"/>
  <c r="M49" i="65"/>
  <c r="N49" i="65" s="1"/>
  <c r="O49" i="65" s="1"/>
  <c r="C49" i="65"/>
  <c r="R48" i="65"/>
  <c r="Q48" i="65"/>
  <c r="M48" i="65"/>
  <c r="N48" i="65" s="1"/>
  <c r="O48" i="65" s="1"/>
  <c r="C48" i="65"/>
  <c r="R47" i="65"/>
  <c r="Q47" i="65"/>
  <c r="M47" i="65"/>
  <c r="N47" i="65" s="1"/>
  <c r="O47" i="65" s="1"/>
  <c r="C47" i="65"/>
  <c r="R46" i="65"/>
  <c r="Q46" i="65"/>
  <c r="M46" i="65"/>
  <c r="N46" i="65" s="1"/>
  <c r="O46" i="65" s="1"/>
  <c r="C46" i="65"/>
  <c r="R45" i="65"/>
  <c r="Q45" i="65"/>
  <c r="M45" i="65"/>
  <c r="N45" i="65" s="1"/>
  <c r="O45" i="65" s="1"/>
  <c r="C45" i="65"/>
  <c r="R32" i="65"/>
  <c r="Q32" i="65"/>
  <c r="M32" i="65"/>
  <c r="N32" i="65" s="1"/>
  <c r="O32" i="65" s="1"/>
  <c r="C32" i="65"/>
  <c r="R31" i="65"/>
  <c r="Q31" i="65"/>
  <c r="M31" i="65"/>
  <c r="N31" i="65" s="1"/>
  <c r="O31" i="65" s="1"/>
  <c r="C31" i="65"/>
  <c r="R30" i="65"/>
  <c r="Q30" i="65"/>
  <c r="M30" i="65"/>
  <c r="N30" i="65" s="1"/>
  <c r="O30" i="65" s="1"/>
  <c r="C30" i="65"/>
  <c r="R29" i="65"/>
  <c r="Q29" i="65"/>
  <c r="M29" i="65"/>
  <c r="N29" i="65" s="1"/>
  <c r="O29" i="65" s="1"/>
  <c r="C29" i="65"/>
  <c r="R28" i="65"/>
  <c r="Q28" i="65"/>
  <c r="M28" i="65"/>
  <c r="N28" i="65" s="1"/>
  <c r="O28" i="65" s="1"/>
  <c r="C28" i="65"/>
  <c r="R27" i="65"/>
  <c r="Q27" i="65"/>
  <c r="M27" i="65"/>
  <c r="N27" i="65" s="1"/>
  <c r="O27" i="65" s="1"/>
  <c r="C27" i="65"/>
  <c r="R26" i="65"/>
  <c r="Q26" i="65"/>
  <c r="M26" i="65"/>
  <c r="N26" i="65" s="1"/>
  <c r="O26" i="65" s="1"/>
  <c r="C26" i="65"/>
  <c r="R25" i="65"/>
  <c r="Q25" i="65"/>
  <c r="M25" i="65"/>
  <c r="N25" i="65" s="1"/>
  <c r="O25" i="65" s="1"/>
  <c r="C25" i="65"/>
  <c r="R24" i="65"/>
  <c r="Q24" i="65"/>
  <c r="M24" i="65"/>
  <c r="N24" i="65" s="1"/>
  <c r="O24" i="65" s="1"/>
  <c r="C24" i="65"/>
  <c r="R23" i="65"/>
  <c r="Q23" i="65"/>
  <c r="M23" i="65"/>
  <c r="N23" i="65" s="1"/>
  <c r="O23" i="65" s="1"/>
  <c r="C23" i="65"/>
  <c r="R22" i="65"/>
  <c r="Q22" i="65"/>
  <c r="M22" i="65"/>
  <c r="N22" i="65" s="1"/>
  <c r="O22" i="65" s="1"/>
  <c r="C22" i="65"/>
  <c r="R21" i="65"/>
  <c r="Q21" i="65"/>
  <c r="M21" i="65"/>
  <c r="N21" i="65" s="1"/>
  <c r="O21" i="65" s="1"/>
  <c r="C21" i="65"/>
  <c r="R20" i="65"/>
  <c r="Q20" i="65"/>
  <c r="M20" i="65"/>
  <c r="N20" i="65" s="1"/>
  <c r="O20" i="65" s="1"/>
  <c r="C20" i="65"/>
  <c r="R19" i="65"/>
  <c r="Q19" i="65"/>
  <c r="M19" i="65"/>
  <c r="N19" i="65" s="1"/>
  <c r="O19" i="65" s="1"/>
  <c r="C19" i="65"/>
  <c r="R18" i="65"/>
  <c r="Q18" i="65"/>
  <c r="M18" i="65"/>
  <c r="N18" i="65" s="1"/>
  <c r="O18" i="65" s="1"/>
  <c r="C18" i="65"/>
  <c r="R17" i="65"/>
  <c r="Q17" i="65"/>
  <c r="M17" i="65"/>
  <c r="N17" i="65" s="1"/>
  <c r="O17" i="65" s="1"/>
  <c r="C17" i="65"/>
  <c r="R16" i="65"/>
  <c r="Q16" i="65"/>
  <c r="M16" i="65"/>
  <c r="N16" i="65" s="1"/>
  <c r="O16" i="65" s="1"/>
  <c r="C16" i="65"/>
  <c r="R15" i="65"/>
  <c r="Q15" i="65"/>
  <c r="M15" i="65"/>
  <c r="N15" i="65" s="1"/>
  <c r="O15" i="65" s="1"/>
  <c r="C15" i="65"/>
  <c r="R14" i="65"/>
  <c r="Q14" i="65"/>
  <c r="M14" i="65"/>
  <c r="N14" i="65" s="1"/>
  <c r="O14" i="65" s="1"/>
  <c r="C14" i="65"/>
  <c r="R13" i="65"/>
  <c r="Q13" i="65"/>
  <c r="M13" i="65"/>
  <c r="N13" i="65" s="1"/>
  <c r="O13" i="65" s="1"/>
  <c r="C13" i="65"/>
  <c r="R12" i="65"/>
  <c r="Q12" i="65"/>
  <c r="M12" i="65"/>
  <c r="N12" i="65" s="1"/>
  <c r="O12" i="65" s="1"/>
  <c r="C12" i="65"/>
  <c r="R11" i="65"/>
  <c r="Q11" i="65"/>
  <c r="M11" i="65"/>
  <c r="N11" i="65" s="1"/>
  <c r="O11" i="65" s="1"/>
  <c r="C11" i="65"/>
  <c r="R10" i="65"/>
  <c r="Q10" i="65"/>
  <c r="M10" i="65"/>
  <c r="N10" i="65" s="1"/>
  <c r="O10" i="65" s="1"/>
  <c r="C10" i="65"/>
  <c r="R9" i="65"/>
  <c r="Q9" i="65"/>
  <c r="M9" i="65"/>
  <c r="N9" i="65" s="1"/>
  <c r="O9" i="65" s="1"/>
  <c r="C9" i="65"/>
  <c r="R8" i="65"/>
  <c r="Q8" i="65"/>
  <c r="M8" i="65"/>
  <c r="N8" i="65" s="1"/>
  <c r="O8" i="65" s="1"/>
  <c r="C8" i="65"/>
  <c r="R7" i="65"/>
  <c r="Q7" i="65"/>
  <c r="M7" i="65"/>
  <c r="N7" i="65" s="1"/>
  <c r="O7" i="65" s="1"/>
  <c r="C7" i="65"/>
  <c r="R6" i="65"/>
  <c r="Q6" i="65"/>
  <c r="M6" i="65"/>
  <c r="N6" i="65" s="1"/>
  <c r="C6" i="65"/>
  <c r="L4" i="65"/>
  <c r="J4" i="65"/>
  <c r="R46" i="64"/>
  <c r="Q46" i="64"/>
  <c r="M46" i="64"/>
  <c r="N46" i="64" s="1"/>
  <c r="O46" i="64" s="1"/>
  <c r="C46" i="64"/>
  <c r="O6" i="65" l="1"/>
  <c r="O4" i="65" s="1"/>
  <c r="N4" i="65"/>
  <c r="C45" i="64"/>
  <c r="R45" i="64"/>
  <c r="Q45" i="64"/>
  <c r="M45" i="64"/>
  <c r="N45" i="64" s="1"/>
  <c r="O45" i="64" s="1"/>
  <c r="R42" i="64" l="1"/>
  <c r="Q42" i="64"/>
  <c r="M42" i="64"/>
  <c r="N42" i="64" s="1"/>
  <c r="O42" i="64" s="1"/>
  <c r="C42" i="64"/>
  <c r="R19" i="64" l="1"/>
  <c r="Q19" i="64"/>
  <c r="M19" i="64"/>
  <c r="N19" i="64" s="1"/>
  <c r="O19" i="64" s="1"/>
  <c r="C19" i="64"/>
  <c r="R60" i="64" l="1"/>
  <c r="Q60" i="64"/>
  <c r="M60" i="64"/>
  <c r="N60" i="64" s="1"/>
  <c r="O60" i="64" s="1"/>
  <c r="C60" i="64"/>
  <c r="R59" i="64"/>
  <c r="Q59" i="64"/>
  <c r="M59" i="64"/>
  <c r="N59" i="64" s="1"/>
  <c r="O59" i="64" s="1"/>
  <c r="C59" i="64"/>
  <c r="R58" i="64"/>
  <c r="Q58" i="64"/>
  <c r="M58" i="64"/>
  <c r="N58" i="64" s="1"/>
  <c r="O58" i="64" s="1"/>
  <c r="C58" i="64"/>
  <c r="R57" i="64"/>
  <c r="Q57" i="64"/>
  <c r="M57" i="64"/>
  <c r="N57" i="64" s="1"/>
  <c r="O57" i="64" s="1"/>
  <c r="C57" i="64"/>
  <c r="R56" i="64"/>
  <c r="Q56" i="64"/>
  <c r="M56" i="64"/>
  <c r="N56" i="64" s="1"/>
  <c r="O56" i="64" s="1"/>
  <c r="C56" i="64"/>
  <c r="R55" i="64"/>
  <c r="Q55" i="64"/>
  <c r="M55" i="64"/>
  <c r="N55" i="64" s="1"/>
  <c r="O55" i="64" s="1"/>
  <c r="C55" i="64"/>
  <c r="R54" i="64"/>
  <c r="Q54" i="64"/>
  <c r="M54" i="64"/>
  <c r="N54" i="64" s="1"/>
  <c r="O54" i="64" s="1"/>
  <c r="C54" i="64"/>
  <c r="R53" i="64"/>
  <c r="Q53" i="64"/>
  <c r="M53" i="64"/>
  <c r="N53" i="64" s="1"/>
  <c r="O53" i="64" s="1"/>
  <c r="C53" i="64"/>
  <c r="R52" i="64"/>
  <c r="Q52" i="64"/>
  <c r="M52" i="64"/>
  <c r="N52" i="64" s="1"/>
  <c r="O52" i="64" s="1"/>
  <c r="C52" i="64"/>
  <c r="R51" i="64"/>
  <c r="Q51" i="64"/>
  <c r="M51" i="64"/>
  <c r="N51" i="64" s="1"/>
  <c r="O51" i="64" s="1"/>
  <c r="C51" i="64"/>
  <c r="R50" i="64"/>
  <c r="Q50" i="64"/>
  <c r="M50" i="64"/>
  <c r="N50" i="64" s="1"/>
  <c r="O50" i="64" s="1"/>
  <c r="C50" i="64"/>
  <c r="R49" i="64"/>
  <c r="Q49" i="64"/>
  <c r="M49" i="64"/>
  <c r="N49" i="64" s="1"/>
  <c r="O49" i="64" s="1"/>
  <c r="C49" i="64"/>
  <c r="R48" i="64"/>
  <c r="Q48" i="64"/>
  <c r="M48" i="64"/>
  <c r="N48" i="64" s="1"/>
  <c r="O48" i="64" s="1"/>
  <c r="C48" i="64"/>
  <c r="R47" i="64"/>
  <c r="Q47" i="64"/>
  <c r="M47" i="64"/>
  <c r="N47" i="64" s="1"/>
  <c r="O47" i="64" s="1"/>
  <c r="C47" i="64"/>
  <c r="R44" i="64"/>
  <c r="Q44" i="64"/>
  <c r="M44" i="64"/>
  <c r="N44" i="64" s="1"/>
  <c r="O44" i="64" s="1"/>
  <c r="C44" i="64"/>
  <c r="R43" i="64"/>
  <c r="Q43" i="64"/>
  <c r="M43" i="64"/>
  <c r="N43" i="64" s="1"/>
  <c r="O43" i="64" s="1"/>
  <c r="C43" i="64"/>
  <c r="R41" i="64"/>
  <c r="Q41" i="64"/>
  <c r="M41" i="64"/>
  <c r="N41" i="64" s="1"/>
  <c r="O41" i="64" s="1"/>
  <c r="C41" i="64"/>
  <c r="R40" i="64"/>
  <c r="Q40" i="64"/>
  <c r="M40" i="64"/>
  <c r="N40" i="64" s="1"/>
  <c r="O40" i="64" s="1"/>
  <c r="C40" i="64"/>
  <c r="R39" i="64"/>
  <c r="Q39" i="64"/>
  <c r="M39" i="64"/>
  <c r="N39" i="64" s="1"/>
  <c r="O39" i="64" s="1"/>
  <c r="C39" i="64"/>
  <c r="R38" i="64"/>
  <c r="Q38" i="64"/>
  <c r="M38" i="64"/>
  <c r="N38" i="64" s="1"/>
  <c r="O38" i="64" s="1"/>
  <c r="C38" i="64"/>
  <c r="R37" i="64"/>
  <c r="Q37" i="64"/>
  <c r="M37" i="64"/>
  <c r="N37" i="64" s="1"/>
  <c r="O37" i="64" s="1"/>
  <c r="C37" i="64"/>
  <c r="R36" i="64"/>
  <c r="Q36" i="64"/>
  <c r="M36" i="64"/>
  <c r="N36" i="64" s="1"/>
  <c r="O36" i="64" s="1"/>
  <c r="C36" i="64"/>
  <c r="R35" i="64"/>
  <c r="Q35" i="64"/>
  <c r="M35" i="64"/>
  <c r="N35" i="64" s="1"/>
  <c r="O35" i="64" s="1"/>
  <c r="C35" i="64"/>
  <c r="R34" i="64"/>
  <c r="Q34" i="64"/>
  <c r="M34" i="64"/>
  <c r="N34" i="64" s="1"/>
  <c r="O34" i="64" s="1"/>
  <c r="C34" i="64"/>
  <c r="R33" i="64"/>
  <c r="Q33" i="64"/>
  <c r="M33" i="64"/>
  <c r="N33" i="64" s="1"/>
  <c r="O33" i="64" s="1"/>
  <c r="C33" i="64"/>
  <c r="R32" i="64"/>
  <c r="Q32" i="64"/>
  <c r="M32" i="64"/>
  <c r="N32" i="64" s="1"/>
  <c r="O32" i="64" s="1"/>
  <c r="C32" i="64"/>
  <c r="R31" i="64"/>
  <c r="Q31" i="64"/>
  <c r="M31" i="64"/>
  <c r="N31" i="64" s="1"/>
  <c r="O31" i="64" s="1"/>
  <c r="C31" i="64"/>
  <c r="R30" i="64"/>
  <c r="Q30" i="64"/>
  <c r="M30" i="64"/>
  <c r="N30" i="64" s="1"/>
  <c r="O30" i="64" s="1"/>
  <c r="C30" i="64"/>
  <c r="R29" i="64"/>
  <c r="Q29" i="64"/>
  <c r="M29" i="64"/>
  <c r="N29" i="64" s="1"/>
  <c r="O29" i="64" s="1"/>
  <c r="C29" i="64"/>
  <c r="R28" i="64"/>
  <c r="Q28" i="64"/>
  <c r="M28" i="64"/>
  <c r="N28" i="64" s="1"/>
  <c r="O28" i="64" s="1"/>
  <c r="C28" i="64"/>
  <c r="R27" i="64"/>
  <c r="Q27" i="64"/>
  <c r="M27" i="64"/>
  <c r="N27" i="64" s="1"/>
  <c r="O27" i="64" s="1"/>
  <c r="C27" i="64"/>
  <c r="R26" i="64"/>
  <c r="Q26" i="64"/>
  <c r="M26" i="64"/>
  <c r="N26" i="64" s="1"/>
  <c r="O26" i="64" s="1"/>
  <c r="C26" i="64"/>
  <c r="R25" i="64"/>
  <c r="Q25" i="64"/>
  <c r="M25" i="64"/>
  <c r="N25" i="64" s="1"/>
  <c r="O25" i="64" s="1"/>
  <c r="C25" i="64"/>
  <c r="R24" i="64"/>
  <c r="Q24" i="64"/>
  <c r="M24" i="64"/>
  <c r="N24" i="64" s="1"/>
  <c r="O24" i="64" s="1"/>
  <c r="C24" i="64"/>
  <c r="R23" i="64"/>
  <c r="Q23" i="64"/>
  <c r="M23" i="64"/>
  <c r="N23" i="64" s="1"/>
  <c r="O23" i="64" s="1"/>
  <c r="C23" i="64"/>
  <c r="R22" i="64"/>
  <c r="Q22" i="64"/>
  <c r="M22" i="64"/>
  <c r="N22" i="64" s="1"/>
  <c r="O22" i="64" s="1"/>
  <c r="C22" i="64"/>
  <c r="R21" i="64"/>
  <c r="Q21" i="64"/>
  <c r="M21" i="64"/>
  <c r="N21" i="64" s="1"/>
  <c r="O21" i="64" s="1"/>
  <c r="C21" i="64"/>
  <c r="R20" i="64"/>
  <c r="Q20" i="64"/>
  <c r="M20" i="64"/>
  <c r="N20" i="64" s="1"/>
  <c r="O20" i="64" s="1"/>
  <c r="C20" i="64"/>
  <c r="R18" i="64"/>
  <c r="Q18" i="64"/>
  <c r="M18" i="64"/>
  <c r="N18" i="64" s="1"/>
  <c r="O18" i="64" s="1"/>
  <c r="C18" i="64"/>
  <c r="R17" i="64"/>
  <c r="Q17" i="64"/>
  <c r="M17" i="64"/>
  <c r="N17" i="64" s="1"/>
  <c r="O17" i="64" s="1"/>
  <c r="C17" i="64"/>
  <c r="R16" i="64"/>
  <c r="Q16" i="64"/>
  <c r="M16" i="64"/>
  <c r="N16" i="64" s="1"/>
  <c r="O16" i="64" s="1"/>
  <c r="C16" i="64"/>
  <c r="R15" i="64"/>
  <c r="Q15" i="64"/>
  <c r="M15" i="64"/>
  <c r="N15" i="64" s="1"/>
  <c r="O15" i="64" s="1"/>
  <c r="C15" i="64"/>
  <c r="R14" i="64"/>
  <c r="Q14" i="64"/>
  <c r="M14" i="64"/>
  <c r="N14" i="64" s="1"/>
  <c r="O14" i="64" s="1"/>
  <c r="C14" i="64"/>
  <c r="R13" i="64"/>
  <c r="Q13" i="64"/>
  <c r="M13" i="64"/>
  <c r="N13" i="64" s="1"/>
  <c r="O13" i="64" s="1"/>
  <c r="C13" i="64"/>
  <c r="R12" i="64"/>
  <c r="Q12" i="64"/>
  <c r="M12" i="64"/>
  <c r="N12" i="64" s="1"/>
  <c r="O12" i="64" s="1"/>
  <c r="C12" i="64"/>
  <c r="R11" i="64"/>
  <c r="Q11" i="64"/>
  <c r="M11" i="64"/>
  <c r="N11" i="64" s="1"/>
  <c r="O11" i="64" s="1"/>
  <c r="C11" i="64"/>
  <c r="R10" i="64"/>
  <c r="Q10" i="64"/>
  <c r="M10" i="64"/>
  <c r="N10" i="64" s="1"/>
  <c r="O10" i="64" s="1"/>
  <c r="C10" i="64"/>
  <c r="R9" i="64"/>
  <c r="Q9" i="64"/>
  <c r="M9" i="64"/>
  <c r="N9" i="64" s="1"/>
  <c r="O9" i="64" s="1"/>
  <c r="C9" i="64"/>
  <c r="R8" i="64"/>
  <c r="Q8" i="64"/>
  <c r="M8" i="64"/>
  <c r="N8" i="64" s="1"/>
  <c r="O8" i="64" s="1"/>
  <c r="C8" i="64"/>
  <c r="R7" i="64"/>
  <c r="Q7" i="64"/>
  <c r="M7" i="64"/>
  <c r="N7" i="64" s="1"/>
  <c r="O7" i="64" s="1"/>
  <c r="C7" i="64"/>
  <c r="R6" i="64"/>
  <c r="Q6" i="64"/>
  <c r="M6" i="64"/>
  <c r="N6" i="64" s="1"/>
  <c r="O6" i="64" s="1"/>
  <c r="C6" i="64"/>
  <c r="L4" i="64"/>
  <c r="J4" i="64"/>
  <c r="O4" i="64" l="1"/>
  <c r="N4" i="64"/>
  <c r="Q288" i="28" l="1"/>
  <c r="Q287" i="28"/>
  <c r="Q286" i="28"/>
  <c r="Q285" i="28"/>
  <c r="Q284" i="28"/>
  <c r="Q283" i="28"/>
  <c r="Q282" i="28"/>
  <c r="Q281" i="28"/>
  <c r="Q280" i="28"/>
  <c r="Q279" i="28"/>
  <c r="Q278" i="28"/>
  <c r="Q277" i="28"/>
  <c r="Q276" i="28"/>
  <c r="Q275" i="28"/>
  <c r="Q274" i="28"/>
  <c r="Q273" i="28"/>
  <c r="Q272" i="28"/>
  <c r="Q271" i="28"/>
  <c r="Q270" i="28"/>
  <c r="Q269" i="28"/>
  <c r="Q268" i="28"/>
  <c r="Q267" i="28"/>
  <c r="Q266" i="28"/>
  <c r="Q265" i="28"/>
  <c r="Q264" i="28"/>
  <c r="Q263" i="28"/>
  <c r="Q262" i="28"/>
  <c r="Q261" i="28"/>
  <c r="Q260" i="28"/>
  <c r="Q259" i="28"/>
  <c r="Q258" i="28"/>
  <c r="Q257" i="28"/>
  <c r="Q256" i="28"/>
  <c r="Q255" i="28"/>
  <c r="Q254" i="28"/>
  <c r="Q253" i="28"/>
  <c r="Q252" i="28"/>
  <c r="Q251" i="28"/>
  <c r="Q250" i="28"/>
  <c r="Q249" i="28"/>
  <c r="Q248" i="28"/>
  <c r="Q247" i="28"/>
  <c r="Q246" i="28"/>
  <c r="Q245" i="28"/>
  <c r="Q244" i="28"/>
  <c r="Q243" i="28"/>
  <c r="Q242" i="28"/>
  <c r="Q241" i="28"/>
  <c r="Q240" i="28"/>
  <c r="Q239" i="28"/>
  <c r="Q238" i="28"/>
  <c r="Q237" i="28"/>
  <c r="Q236" i="28"/>
  <c r="Q235" i="28"/>
  <c r="Q234" i="28"/>
  <c r="Q233" i="28"/>
  <c r="Q232" i="28"/>
  <c r="Q231" i="28"/>
  <c r="Q230" i="28"/>
  <c r="Q229" i="28"/>
  <c r="Q228" i="28"/>
  <c r="Q227" i="28"/>
  <c r="Q226" i="28"/>
  <c r="Q225" i="28"/>
  <c r="Q224" i="28"/>
  <c r="Q223" i="28"/>
  <c r="Q222" i="28"/>
  <c r="Q221" i="28"/>
  <c r="Q220" i="28"/>
  <c r="Q219" i="28"/>
  <c r="Q218" i="28"/>
  <c r="Q217" i="28"/>
  <c r="Q216" i="28"/>
  <c r="Q215" i="28"/>
  <c r="Q214" i="28"/>
  <c r="Q213" i="28"/>
  <c r="Q212" i="28"/>
  <c r="Q211" i="28"/>
  <c r="Q210" i="28"/>
  <c r="Q209" i="28"/>
  <c r="Q208" i="28"/>
  <c r="Q207" i="28"/>
  <c r="Q206" i="28"/>
  <c r="Q205" i="28"/>
  <c r="Q204" i="28"/>
  <c r="Q203" i="28"/>
  <c r="Q202" i="28"/>
  <c r="Q201" i="28"/>
  <c r="Q200" i="28"/>
  <c r="Q199" i="28"/>
  <c r="Q198" i="28"/>
  <c r="Q197" i="28"/>
  <c r="Q196" i="28"/>
  <c r="Q195" i="28"/>
  <c r="Q194" i="28"/>
  <c r="Q193" i="28"/>
  <c r="Q192" i="28"/>
  <c r="Q191" i="28"/>
  <c r="Q190" i="28"/>
  <c r="Q189" i="28"/>
  <c r="Q188" i="28"/>
  <c r="Q187" i="28"/>
  <c r="Q186" i="28"/>
  <c r="Q185" i="28"/>
  <c r="Q184" i="28"/>
  <c r="Q183" i="28"/>
  <c r="Q182" i="28"/>
  <c r="Q181" i="28"/>
  <c r="Q180" i="28"/>
  <c r="Q179" i="28"/>
  <c r="Q178" i="28"/>
  <c r="Q177" i="28"/>
  <c r="Q176" i="28"/>
  <c r="Q175" i="28"/>
  <c r="Q174" i="28"/>
  <c r="Q173" i="28"/>
  <c r="Q172" i="28"/>
  <c r="Q171" i="28"/>
  <c r="Q170" i="28"/>
  <c r="Q169" i="28"/>
  <c r="Q168" i="28"/>
  <c r="Q167" i="28"/>
  <c r="Q166" i="28"/>
  <c r="Q165" i="28"/>
  <c r="Q164" i="28"/>
  <c r="Q163" i="28"/>
  <c r="Q162" i="28"/>
  <c r="Q161" i="28"/>
  <c r="Q160" i="28"/>
  <c r="Q159" i="28"/>
  <c r="Q158" i="28"/>
  <c r="Q157" i="28"/>
  <c r="Q156" i="28"/>
  <c r="Q155" i="28"/>
  <c r="Q154" i="28"/>
  <c r="Q153" i="28"/>
  <c r="Q152" i="28"/>
  <c r="Q151" i="28"/>
  <c r="Q150" i="28"/>
  <c r="Q149" i="28"/>
  <c r="Q148" i="28"/>
  <c r="Q147" i="28"/>
  <c r="Q146" i="28"/>
  <c r="Q145" i="28"/>
  <c r="Q144" i="28"/>
  <c r="Q143" i="28"/>
  <c r="Q142" i="28"/>
  <c r="Q141" i="28"/>
  <c r="Q140" i="28"/>
  <c r="Q139" i="28"/>
  <c r="Q138" i="28"/>
  <c r="Q137" i="28"/>
  <c r="Q136" i="28"/>
  <c r="Q135" i="28"/>
  <c r="Q134" i="28"/>
  <c r="Q133" i="28"/>
  <c r="Q132" i="28"/>
  <c r="Q131" i="28"/>
  <c r="Q130" i="28"/>
  <c r="Q129" i="28"/>
  <c r="Q128" i="28"/>
  <c r="Q127" i="28"/>
  <c r="Q126" i="28"/>
  <c r="Q125" i="28"/>
  <c r="Q124" i="28"/>
  <c r="Q123" i="28"/>
  <c r="Q122" i="28"/>
  <c r="Q121" i="28"/>
  <c r="Q120" i="28"/>
  <c r="Q119" i="28"/>
  <c r="Q118" i="28"/>
  <c r="Q117" i="28"/>
  <c r="Q116" i="28"/>
  <c r="Q115" i="28"/>
  <c r="Q114" i="28"/>
  <c r="Q113" i="28"/>
  <c r="Q112" i="28"/>
  <c r="Q111" i="28"/>
  <c r="Q110" i="28"/>
  <c r="Q109" i="28"/>
  <c r="Q108" i="28"/>
  <c r="Q107" i="28"/>
  <c r="Q106" i="28"/>
  <c r="Q105" i="28"/>
  <c r="Q104" i="28"/>
  <c r="Q103" i="28"/>
  <c r="Q102" i="28"/>
  <c r="Q101" i="28"/>
  <c r="Q100" i="28"/>
  <c r="Q99" i="28"/>
  <c r="Q98" i="28"/>
  <c r="Q97" i="28"/>
  <c r="Q96" i="28"/>
  <c r="Q95" i="28"/>
  <c r="Q94" i="28"/>
  <c r="Q93" i="28"/>
  <c r="Q92" i="28"/>
  <c r="Q91" i="28"/>
  <c r="Q90" i="28"/>
  <c r="Q89" i="28"/>
  <c r="Q88" i="28"/>
  <c r="Q87" i="28"/>
  <c r="Q86" i="28"/>
  <c r="Q85" i="28"/>
  <c r="Q84" i="28"/>
  <c r="Q83" i="28"/>
  <c r="Q82" i="28"/>
  <c r="Q81" i="28"/>
  <c r="Q80" i="28"/>
  <c r="Q79" i="28"/>
  <c r="Q78" i="28"/>
  <c r="Q77" i="28"/>
  <c r="Q76" i="28"/>
  <c r="Q75" i="28"/>
  <c r="Q74" i="28"/>
  <c r="Q73" i="28"/>
  <c r="Q72" i="28"/>
  <c r="Q71" i="28"/>
  <c r="Q70" i="28"/>
  <c r="Q69" i="28"/>
  <c r="Q68" i="28"/>
  <c r="Q67" i="28"/>
  <c r="Q66" i="28"/>
  <c r="Q65" i="28"/>
  <c r="Q64" i="28"/>
  <c r="Q63" i="28"/>
  <c r="Q62" i="28"/>
  <c r="Q61" i="28"/>
  <c r="Q60" i="28"/>
  <c r="Q59" i="28"/>
  <c r="Q58" i="28"/>
  <c r="Q57" i="28"/>
  <c r="Q56" i="28"/>
  <c r="Q55" i="28"/>
  <c r="Q54" i="28"/>
  <c r="Q53" i="28"/>
  <c r="Q52" i="28"/>
  <c r="Q51" i="28"/>
  <c r="Q50" i="28"/>
  <c r="Q49" i="28"/>
  <c r="Q48" i="28"/>
  <c r="Q47" i="28"/>
  <c r="Q46" i="28"/>
  <c r="Q45" i="28"/>
  <c r="Q44" i="28"/>
  <c r="Q43" i="28"/>
  <c r="Q42" i="28"/>
  <c r="Q41" i="28"/>
  <c r="Q40" i="28"/>
  <c r="Q39" i="28"/>
  <c r="Q38" i="28"/>
  <c r="Q37" i="28"/>
  <c r="Q36" i="28"/>
  <c r="Q35" i="28"/>
  <c r="Q34" i="28"/>
  <c r="Q33" i="28"/>
  <c r="Q32" i="28"/>
  <c r="Q31" i="28"/>
  <c r="Q30" i="28"/>
  <c r="Q29" i="28"/>
  <c r="Q28" i="28"/>
  <c r="Q27" i="28"/>
  <c r="Q26" i="28"/>
  <c r="Q25" i="28"/>
  <c r="Q24" i="28"/>
  <c r="Q23" i="28"/>
  <c r="Q22" i="28"/>
  <c r="Q21" i="28"/>
  <c r="Q20" i="28"/>
  <c r="Q19" i="28"/>
  <c r="Q18" i="28"/>
  <c r="Q17" i="28"/>
  <c r="Q16" i="28"/>
  <c r="Q15" i="28"/>
  <c r="Q14" i="28"/>
  <c r="Q13" i="28"/>
  <c r="Q12" i="28"/>
  <c r="Q11" i="28"/>
  <c r="Q10" i="28"/>
  <c r="Q9" i="28"/>
  <c r="Q8" i="28"/>
  <c r="Q7" i="28"/>
  <c r="Q6" i="28"/>
  <c r="N288" i="28"/>
  <c r="O288" i="28" s="1"/>
  <c r="C288" i="28"/>
  <c r="N287" i="28"/>
  <c r="O287" i="28" s="1"/>
  <c r="C287" i="28"/>
  <c r="N286" i="28"/>
  <c r="O286" i="28" s="1"/>
  <c r="C286" i="28"/>
  <c r="N207" i="28" l="1"/>
  <c r="N192" i="28"/>
  <c r="N164" i="28"/>
  <c r="N163" i="28"/>
  <c r="N113" i="28"/>
  <c r="N6" i="28"/>
  <c r="C56" i="28" l="1"/>
  <c r="N242" i="28"/>
  <c r="O242" i="28" s="1"/>
  <c r="C242" i="28"/>
  <c r="N241" i="28"/>
  <c r="O241" i="28" s="1"/>
  <c r="C241" i="28"/>
  <c r="N240" i="28"/>
  <c r="O240" i="28" s="1"/>
  <c r="C240" i="28"/>
  <c r="O218" i="28"/>
  <c r="C218" i="28"/>
  <c r="O217" i="28"/>
  <c r="C217" i="28"/>
  <c r="O216" i="28"/>
  <c r="C216" i="28"/>
  <c r="N245" i="28"/>
  <c r="O245" i="28" s="1"/>
  <c r="C245" i="28"/>
  <c r="N244" i="28"/>
  <c r="O244" i="28" s="1"/>
  <c r="C244" i="28"/>
  <c r="N114" i="28"/>
  <c r="O114" i="28" s="1"/>
  <c r="C114" i="28"/>
  <c r="O30" i="28"/>
  <c r="C30" i="28"/>
  <c r="N58" i="28"/>
  <c r="O58" i="28" s="1"/>
  <c r="C58" i="28"/>
  <c r="N80" i="28"/>
  <c r="O80" i="28" s="1"/>
  <c r="C80" i="28"/>
  <c r="N116" i="28"/>
  <c r="O116" i="28" s="1"/>
  <c r="C116" i="28"/>
  <c r="O113" i="28"/>
  <c r="C113" i="28"/>
  <c r="O164" i="28"/>
  <c r="C164" i="28"/>
  <c r="N261" i="28"/>
  <c r="O261" i="28" s="1"/>
  <c r="C261" i="28"/>
  <c r="N260" i="28"/>
  <c r="O260" i="28" s="1"/>
  <c r="C260" i="28"/>
  <c r="N259" i="28"/>
  <c r="O259" i="28" s="1"/>
  <c r="C259" i="28"/>
  <c r="N186" i="28"/>
  <c r="O186" i="28" s="1"/>
  <c r="C186" i="28"/>
  <c r="N185" i="28"/>
  <c r="O185" i="28" s="1"/>
  <c r="C185" i="28"/>
  <c r="N129" i="28"/>
  <c r="O129" i="28" s="1"/>
  <c r="C129" i="28"/>
  <c r="N250" i="28"/>
  <c r="O250" i="28" s="1"/>
  <c r="C250" i="28"/>
  <c r="N232" i="28"/>
  <c r="O232" i="28" s="1"/>
  <c r="C232" i="28"/>
  <c r="N269" i="28"/>
  <c r="O269" i="28" s="1"/>
  <c r="C269" i="28"/>
  <c r="N142" i="28"/>
  <c r="O142" i="28" s="1"/>
  <c r="C142" i="28"/>
  <c r="N128" i="28"/>
  <c r="O128" i="28" s="1"/>
  <c r="C128" i="28"/>
  <c r="N249" i="28"/>
  <c r="O249" i="28" s="1"/>
  <c r="C249" i="28"/>
  <c r="N231" i="28"/>
  <c r="O231" i="28" s="1"/>
  <c r="C231" i="28"/>
  <c r="N268" i="28"/>
  <c r="O268" i="28" s="1"/>
  <c r="C268" i="28"/>
  <c r="N141" i="28"/>
  <c r="O141" i="28" s="1"/>
  <c r="C141" i="28"/>
  <c r="N127" i="28"/>
  <c r="O127" i="28" s="1"/>
  <c r="C127" i="28"/>
  <c r="N248" i="28"/>
  <c r="O248" i="28" s="1"/>
  <c r="C248" i="28"/>
  <c r="N230" i="28"/>
  <c r="O230" i="28" s="1"/>
  <c r="C230" i="28"/>
  <c r="N267" i="28"/>
  <c r="O267" i="28" s="1"/>
  <c r="C267" i="28"/>
  <c r="N140" i="28"/>
  <c r="O140" i="28" s="1"/>
  <c r="C140" i="28"/>
  <c r="N264" i="28"/>
  <c r="O264" i="28" s="1"/>
  <c r="C264" i="28"/>
  <c r="N263" i="28"/>
  <c r="O263" i="28" s="1"/>
  <c r="C263" i="28"/>
  <c r="N262" i="28"/>
  <c r="O262" i="28" s="1"/>
  <c r="C262" i="28"/>
  <c r="O108" i="28"/>
  <c r="C108" i="28"/>
  <c r="N255" i="28"/>
  <c r="O255" i="28" s="1"/>
  <c r="C255" i="28"/>
  <c r="N118" i="28"/>
  <c r="O118" i="28" s="1"/>
  <c r="C118" i="28"/>
  <c r="N55" i="28"/>
  <c r="O55" i="28" s="1"/>
  <c r="C55" i="28"/>
  <c r="N78" i="28"/>
  <c r="O78" i="28" s="1"/>
  <c r="C78" i="28"/>
  <c r="N234" i="28"/>
  <c r="O234" i="28" s="1"/>
  <c r="C234" i="28"/>
  <c r="O18" i="28"/>
  <c r="C18" i="28"/>
  <c r="O6" i="28"/>
  <c r="C6" i="28"/>
  <c r="O19" i="28"/>
  <c r="C19" i="28"/>
  <c r="O207" i="28"/>
  <c r="C207" i="28"/>
  <c r="O163" i="28"/>
  <c r="C163" i="28"/>
  <c r="N56" i="28"/>
  <c r="O56" i="28" s="1"/>
  <c r="O42" i="28"/>
  <c r="C42" i="28"/>
  <c r="N173" i="28"/>
  <c r="O173" i="28" s="1"/>
  <c r="C173" i="28"/>
  <c r="N103" i="28"/>
  <c r="O103" i="28" s="1"/>
  <c r="C103" i="28"/>
  <c r="N74" i="28"/>
  <c r="O74" i="28" s="1"/>
  <c r="C74" i="28"/>
  <c r="O34" i="28"/>
  <c r="C34" i="28"/>
  <c r="O48" i="28"/>
  <c r="C48" i="28"/>
  <c r="N162" i="28"/>
  <c r="O162" i="28" s="1"/>
  <c r="C162" i="28"/>
  <c r="N200" i="28"/>
  <c r="O200" i="28" s="1"/>
  <c r="C200" i="28"/>
  <c r="N62" i="28"/>
  <c r="O62" i="28" s="1"/>
  <c r="C62" i="28"/>
  <c r="N233" i="28"/>
  <c r="O233" i="28" s="1"/>
  <c r="C233" i="28"/>
  <c r="N252" i="28"/>
  <c r="O252" i="28" s="1"/>
  <c r="C252" i="28"/>
  <c r="N130" i="28"/>
  <c r="O130" i="28" s="1"/>
  <c r="C130" i="28"/>
  <c r="N91" i="28"/>
  <c r="O91" i="28" s="1"/>
  <c r="C91" i="28"/>
  <c r="N271" i="28"/>
  <c r="O271" i="28" s="1"/>
  <c r="C271" i="28"/>
  <c r="N279" i="28"/>
  <c r="O279" i="28" s="1"/>
  <c r="C279" i="28"/>
  <c r="O47" i="28"/>
  <c r="C47" i="28"/>
  <c r="O33" i="28"/>
  <c r="C33" i="28"/>
  <c r="N180" i="28"/>
  <c r="O180" i="28" s="1"/>
  <c r="C180" i="28"/>
  <c r="N172" i="28"/>
  <c r="O172" i="28" s="1"/>
  <c r="C172" i="28"/>
  <c r="N251" i="28"/>
  <c r="O251" i="28" s="1"/>
  <c r="C251" i="28"/>
  <c r="N143" i="28"/>
  <c r="O143" i="28" s="1"/>
  <c r="C143" i="28"/>
  <c r="N270" i="28"/>
  <c r="O270" i="28" s="1"/>
  <c r="C270" i="28"/>
  <c r="N102" i="28"/>
  <c r="O102" i="28" s="1"/>
  <c r="C102" i="28"/>
  <c r="O220" i="28"/>
  <c r="C220" i="28"/>
  <c r="N278" i="28"/>
  <c r="O278" i="28" s="1"/>
  <c r="C278" i="28"/>
  <c r="N28" i="28"/>
  <c r="O28" i="28" s="1"/>
  <c r="C28" i="28"/>
  <c r="N16" i="28"/>
  <c r="O16" i="28" s="1"/>
  <c r="C16" i="28"/>
  <c r="N73" i="28"/>
  <c r="O73" i="28" s="1"/>
  <c r="C73" i="28"/>
  <c r="N161" i="28"/>
  <c r="O161" i="28" s="1"/>
  <c r="C161" i="28"/>
  <c r="N199" i="28"/>
  <c r="O199" i="28" s="1"/>
  <c r="C199" i="28"/>
  <c r="N61" i="28"/>
  <c r="O61" i="28" s="1"/>
  <c r="C61" i="28"/>
  <c r="N152" i="28"/>
  <c r="O152" i="28" s="1"/>
  <c r="C152" i="28"/>
  <c r="O206" i="28"/>
  <c r="C206" i="28"/>
  <c r="N90" i="28"/>
  <c r="O90" i="28" s="1"/>
  <c r="C90" i="28"/>
  <c r="N60" i="28"/>
  <c r="O60" i="28" s="1"/>
  <c r="C60" i="28"/>
  <c r="O190" i="28"/>
  <c r="C190" i="28"/>
  <c r="N151" i="28"/>
  <c r="O151" i="28" s="1"/>
  <c r="C151" i="28"/>
  <c r="N283" i="28"/>
  <c r="O283" i="28" s="1"/>
  <c r="C283" i="28"/>
  <c r="O205" i="28"/>
  <c r="C205" i="28"/>
  <c r="N89" i="28"/>
  <c r="O89" i="28" s="1"/>
  <c r="C89" i="28"/>
  <c r="N277" i="28"/>
  <c r="O277" i="28" s="1"/>
  <c r="C277" i="28"/>
  <c r="N179" i="28"/>
  <c r="O179" i="28" s="1"/>
  <c r="C179" i="28"/>
  <c r="N184" i="28"/>
  <c r="O184" i="28" s="1"/>
  <c r="C184" i="28"/>
  <c r="O106" i="28"/>
  <c r="C106" i="28"/>
  <c r="N139" i="28"/>
  <c r="O139" i="28" s="1"/>
  <c r="C139" i="28"/>
  <c r="N126" i="28"/>
  <c r="O126" i="28" s="1"/>
  <c r="C126" i="28"/>
  <c r="N247" i="28"/>
  <c r="O247" i="28" s="1"/>
  <c r="C247" i="28"/>
  <c r="N229" i="28"/>
  <c r="O229" i="28" s="1"/>
  <c r="C229" i="28"/>
  <c r="O41" i="28"/>
  <c r="C41" i="28"/>
  <c r="N266" i="28"/>
  <c r="O266" i="28" s="1"/>
  <c r="C266" i="28"/>
  <c r="N72" i="28"/>
  <c r="O72" i="28" s="1"/>
  <c r="C72" i="28"/>
  <c r="N160" i="28"/>
  <c r="O160" i="28" s="1"/>
  <c r="C160" i="28"/>
  <c r="N171" i="28"/>
  <c r="O171" i="28" s="1"/>
  <c r="C171" i="28"/>
  <c r="N198" i="28"/>
  <c r="O198" i="28" s="1"/>
  <c r="C198" i="28"/>
  <c r="N101" i="28"/>
  <c r="O101" i="28" s="1"/>
  <c r="C101" i="28"/>
  <c r="O189" i="28"/>
  <c r="C189" i="28"/>
  <c r="N282" i="28"/>
  <c r="O282" i="28" s="1"/>
  <c r="C282" i="28"/>
  <c r="N150" i="28"/>
  <c r="O150" i="28" s="1"/>
  <c r="C150" i="28"/>
  <c r="O204" i="28"/>
  <c r="C204" i="28"/>
  <c r="N88" i="28"/>
  <c r="O88" i="28" s="1"/>
  <c r="C88" i="28"/>
  <c r="N178" i="28"/>
  <c r="O178" i="28" s="1"/>
  <c r="C178" i="28"/>
  <c r="N183" i="28"/>
  <c r="O183" i="28" s="1"/>
  <c r="C183" i="28"/>
  <c r="N159" i="28"/>
  <c r="O159" i="28" s="1"/>
  <c r="C159" i="28"/>
  <c r="N197" i="28"/>
  <c r="O197" i="28" s="1"/>
  <c r="C197" i="28"/>
  <c r="N71" i="28"/>
  <c r="O71" i="28" s="1"/>
  <c r="C71" i="28"/>
  <c r="N246" i="28"/>
  <c r="O246" i="28" s="1"/>
  <c r="C246" i="28"/>
  <c r="N138" i="28"/>
  <c r="O138" i="28" s="1"/>
  <c r="C138" i="28"/>
  <c r="N265" i="28"/>
  <c r="O265" i="28" s="1"/>
  <c r="C265" i="28"/>
  <c r="N100" i="28"/>
  <c r="O100" i="28" s="1"/>
  <c r="C100" i="28"/>
  <c r="N59" i="28"/>
  <c r="O59" i="28" s="1"/>
  <c r="C59" i="28"/>
  <c r="N149" i="28"/>
  <c r="O149" i="28" s="1"/>
  <c r="C149" i="28"/>
  <c r="N87" i="28"/>
  <c r="O87" i="28" s="1"/>
  <c r="C87" i="28"/>
  <c r="N54" i="28"/>
  <c r="O54" i="28" s="1"/>
  <c r="C54" i="28"/>
  <c r="N148" i="28"/>
  <c r="O148" i="28" s="1"/>
  <c r="C148" i="28"/>
  <c r="N86" i="28"/>
  <c r="O86" i="28" s="1"/>
  <c r="C86" i="28"/>
  <c r="N125" i="28"/>
  <c r="O125" i="28" s="1"/>
  <c r="C125" i="28"/>
  <c r="O40" i="28"/>
  <c r="C40" i="28"/>
  <c r="O46" i="28"/>
  <c r="C46" i="28"/>
  <c r="N27" i="28"/>
  <c r="O27" i="28" s="1"/>
  <c r="C27" i="28"/>
  <c r="N53" i="28"/>
  <c r="O53" i="28" s="1"/>
  <c r="C53" i="28"/>
  <c r="O32" i="28"/>
  <c r="C32" i="28"/>
  <c r="N70" i="28"/>
  <c r="O70" i="28" s="1"/>
  <c r="C70" i="28"/>
  <c r="N99" i="28"/>
  <c r="O99" i="28" s="1"/>
  <c r="C99" i="28"/>
  <c r="N196" i="28"/>
  <c r="O196" i="28" s="1"/>
  <c r="C196" i="28"/>
  <c r="N158" i="28"/>
  <c r="O158" i="28" s="1"/>
  <c r="C158" i="28"/>
  <c r="N170" i="28"/>
  <c r="O170" i="28" s="1"/>
  <c r="C170" i="28"/>
  <c r="N124" i="28"/>
  <c r="O124" i="28" s="1"/>
  <c r="C124" i="28"/>
  <c r="N228" i="28"/>
  <c r="O228" i="28" s="1"/>
  <c r="C228" i="28"/>
  <c r="O39" i="28"/>
  <c r="C39" i="28"/>
  <c r="N52" i="28"/>
  <c r="O52" i="28" s="1"/>
  <c r="C52" i="28"/>
  <c r="N69" i="28"/>
  <c r="O69" i="28" s="1"/>
  <c r="C69" i="28"/>
  <c r="N98" i="28"/>
  <c r="O98" i="28" s="1"/>
  <c r="C98" i="28"/>
  <c r="N195" i="28"/>
  <c r="O195" i="28" s="1"/>
  <c r="C195" i="28"/>
  <c r="N157" i="28"/>
  <c r="O157" i="28" s="1"/>
  <c r="C157" i="28"/>
  <c r="N169" i="28"/>
  <c r="O169" i="28" s="1"/>
  <c r="C169" i="28"/>
  <c r="N15" i="28"/>
  <c r="O15" i="28" s="1"/>
  <c r="C15" i="28"/>
  <c r="N276" i="28"/>
  <c r="O276" i="28" s="1"/>
  <c r="C276" i="28"/>
  <c r="O219" i="28"/>
  <c r="C219" i="28"/>
  <c r="N26" i="28"/>
  <c r="O26" i="28" s="1"/>
  <c r="C26" i="28"/>
  <c r="O38" i="28"/>
  <c r="C38" i="28"/>
  <c r="N182" i="28"/>
  <c r="O182" i="28" s="1"/>
  <c r="C182" i="28"/>
  <c r="O105" i="28"/>
  <c r="C105" i="28"/>
  <c r="N137" i="28"/>
  <c r="O137" i="28" s="1"/>
  <c r="C137" i="28"/>
  <c r="N132" i="28"/>
  <c r="O132" i="28" s="1"/>
  <c r="C132" i="28"/>
  <c r="N243" i="28"/>
  <c r="O243" i="28" s="1"/>
  <c r="C243" i="28"/>
  <c r="N123" i="28"/>
  <c r="O123" i="28" s="1"/>
  <c r="C123" i="28"/>
  <c r="N51" i="28"/>
  <c r="O51" i="28" s="1"/>
  <c r="C51" i="28"/>
  <c r="N227" i="28"/>
  <c r="O227" i="28" s="1"/>
  <c r="C227" i="28"/>
  <c r="N68" i="28"/>
  <c r="O68" i="28" s="1"/>
  <c r="C68" i="28"/>
  <c r="O45" i="28"/>
  <c r="C45" i="28"/>
  <c r="O31" i="28"/>
  <c r="C31" i="28"/>
  <c r="N168" i="28"/>
  <c r="O168" i="28" s="1"/>
  <c r="C168" i="28"/>
  <c r="N156" i="28"/>
  <c r="O156" i="28" s="1"/>
  <c r="C156" i="28"/>
  <c r="N194" i="28"/>
  <c r="O194" i="28" s="1"/>
  <c r="C194" i="28"/>
  <c r="N97" i="28"/>
  <c r="O97" i="28" s="1"/>
  <c r="C97" i="28"/>
  <c r="N281" i="28"/>
  <c r="O281" i="28" s="1"/>
  <c r="C281" i="28"/>
  <c r="N147" i="28"/>
  <c r="O147" i="28" s="1"/>
  <c r="C147" i="28"/>
  <c r="O203" i="28"/>
  <c r="C203" i="28"/>
  <c r="O188" i="28"/>
  <c r="C188" i="28"/>
  <c r="N146" i="28"/>
  <c r="O146" i="28" s="1"/>
  <c r="C146" i="28"/>
  <c r="O202" i="28"/>
  <c r="C202" i="28"/>
  <c r="N85" i="28"/>
  <c r="O85" i="28" s="1"/>
  <c r="C85" i="28"/>
  <c r="N155" i="28"/>
  <c r="O155" i="28" s="1"/>
  <c r="C155" i="28"/>
  <c r="N67" i="28"/>
  <c r="O67" i="28" s="1"/>
  <c r="C67" i="28"/>
  <c r="N167" i="28"/>
  <c r="O167" i="28" s="1"/>
  <c r="C167" i="28"/>
  <c r="O37" i="28"/>
  <c r="C37" i="28"/>
  <c r="N96" i="28"/>
  <c r="O96" i="28" s="1"/>
  <c r="C96" i="28"/>
  <c r="N193" i="28"/>
  <c r="O193" i="28" s="1"/>
  <c r="C193" i="28"/>
  <c r="N136" i="28"/>
  <c r="O136" i="28" s="1"/>
  <c r="C136" i="28"/>
  <c r="N226" i="28"/>
  <c r="O226" i="28" s="1"/>
  <c r="C226" i="28"/>
  <c r="N239" i="28"/>
  <c r="O239" i="28" s="1"/>
  <c r="C239" i="28"/>
  <c r="N122" i="28"/>
  <c r="O122" i="28" s="1"/>
  <c r="C122" i="28"/>
  <c r="N84" i="28"/>
  <c r="O84" i="28" s="1"/>
  <c r="C84" i="28"/>
  <c r="N145" i="28"/>
  <c r="O145" i="28" s="1"/>
  <c r="C145" i="28"/>
  <c r="N83" i="28"/>
  <c r="O83" i="28" s="1"/>
  <c r="C83" i="28"/>
  <c r="N177" i="28"/>
  <c r="O177" i="28" s="1"/>
  <c r="C177" i="28"/>
  <c r="N238" i="28"/>
  <c r="O238" i="28" s="1"/>
  <c r="C238" i="28"/>
  <c r="N135" i="28"/>
  <c r="O135" i="28" s="1"/>
  <c r="C135" i="28"/>
  <c r="N258" i="28"/>
  <c r="O258" i="28" s="1"/>
  <c r="C258" i="28"/>
  <c r="N95" i="28"/>
  <c r="O95" i="28" s="1"/>
  <c r="C95" i="28"/>
  <c r="O8" i="28"/>
  <c r="C8" i="28"/>
  <c r="O215" i="28"/>
  <c r="C215" i="28"/>
  <c r="N275" i="28"/>
  <c r="O275" i="28" s="1"/>
  <c r="C275" i="28"/>
  <c r="N25" i="28"/>
  <c r="O25" i="28" s="1"/>
  <c r="C25" i="28"/>
  <c r="N14" i="28"/>
  <c r="O14" i="28" s="1"/>
  <c r="C14" i="28"/>
  <c r="N274" i="28"/>
  <c r="O274" i="28" s="1"/>
  <c r="C274" i="28"/>
  <c r="N13" i="28"/>
  <c r="O13" i="28" s="1"/>
  <c r="C13" i="28"/>
  <c r="N24" i="28"/>
  <c r="O24" i="28" s="1"/>
  <c r="C24" i="28"/>
  <c r="N257" i="28"/>
  <c r="O257" i="28" s="1"/>
  <c r="C257" i="28"/>
  <c r="N110" i="28"/>
  <c r="O110" i="28" s="1"/>
  <c r="C110" i="28"/>
  <c r="O107" i="28"/>
  <c r="C107" i="28"/>
  <c r="N273" i="28"/>
  <c r="O273" i="28" s="1"/>
  <c r="C273" i="28"/>
  <c r="N23" i="28"/>
  <c r="O23" i="28" s="1"/>
  <c r="C23" i="28"/>
  <c r="N12" i="28"/>
  <c r="O12" i="28" s="1"/>
  <c r="C12" i="28"/>
  <c r="O221" i="28"/>
  <c r="C221" i="28"/>
  <c r="N7" i="28"/>
  <c r="O7" i="28" s="1"/>
  <c r="C7" i="28"/>
  <c r="N92" i="28"/>
  <c r="O92" i="28" s="1"/>
  <c r="C92" i="28"/>
  <c r="N119" i="28"/>
  <c r="O119" i="28" s="1"/>
  <c r="C119" i="28"/>
  <c r="N49" i="28"/>
  <c r="O49" i="28" s="1"/>
  <c r="C49" i="28"/>
  <c r="N208" i="28"/>
  <c r="O208" i="28" s="1"/>
  <c r="C208" i="28"/>
  <c r="N112" i="28"/>
  <c r="O112" i="28" s="1"/>
  <c r="C112" i="28"/>
  <c r="N81" i="28"/>
  <c r="O81" i="28" s="1"/>
  <c r="C81" i="28"/>
  <c r="N235" i="28"/>
  <c r="O235" i="28" s="1"/>
  <c r="C235" i="28"/>
  <c r="N63" i="28"/>
  <c r="O63" i="28" s="1"/>
  <c r="C63" i="28"/>
  <c r="N76" i="28"/>
  <c r="O76" i="28" s="1"/>
  <c r="C76" i="28"/>
  <c r="N64" i="28"/>
  <c r="O64" i="28" s="1"/>
  <c r="C64" i="28"/>
  <c r="N284" i="28"/>
  <c r="O284" i="28" s="1"/>
  <c r="C284" i="28"/>
  <c r="N223" i="28"/>
  <c r="O223" i="28" s="1"/>
  <c r="C223" i="28"/>
  <c r="N120" i="28"/>
  <c r="O120" i="28" s="1"/>
  <c r="C120" i="28"/>
  <c r="N115" i="28"/>
  <c r="O115" i="28" s="1"/>
  <c r="C115" i="28"/>
  <c r="N77" i="28"/>
  <c r="O77" i="28" s="1"/>
  <c r="C77" i="28"/>
  <c r="N117" i="28"/>
  <c r="O117" i="28" s="1"/>
  <c r="C117" i="28"/>
  <c r="N254" i="28"/>
  <c r="O254" i="28" s="1"/>
  <c r="C254" i="28"/>
  <c r="N176" i="28"/>
  <c r="O176" i="28" s="1"/>
  <c r="C176" i="28"/>
  <c r="N181" i="28"/>
  <c r="O181" i="28" s="1"/>
  <c r="C181" i="28"/>
  <c r="O104" i="28"/>
  <c r="C104" i="28"/>
  <c r="N134" i="28"/>
  <c r="O134" i="28" s="1"/>
  <c r="C134" i="28"/>
  <c r="N237" i="28"/>
  <c r="O237" i="28" s="1"/>
  <c r="C237" i="28"/>
  <c r="N121" i="28"/>
  <c r="O121" i="28" s="1"/>
  <c r="C121" i="28"/>
  <c r="N225" i="28"/>
  <c r="O225" i="28" s="1"/>
  <c r="C225" i="28"/>
  <c r="N50" i="28"/>
  <c r="O50" i="28" s="1"/>
  <c r="C50" i="28"/>
  <c r="O36" i="28"/>
  <c r="C36" i="28"/>
  <c r="N66" i="28"/>
  <c r="O66" i="28" s="1"/>
  <c r="C66" i="28"/>
  <c r="N166" i="28"/>
  <c r="O166" i="28" s="1"/>
  <c r="C166" i="28"/>
  <c r="N94" i="28"/>
  <c r="O94" i="28" s="1"/>
  <c r="C94" i="28"/>
  <c r="N154" i="28"/>
  <c r="O154" i="28" s="1"/>
  <c r="C154" i="28"/>
  <c r="O192" i="28"/>
  <c r="C192" i="28"/>
  <c r="N222" i="28"/>
  <c r="O222" i="28" s="1"/>
  <c r="C222" i="28"/>
  <c r="N75" i="28"/>
  <c r="O75" i="28" s="1"/>
  <c r="C75" i="28"/>
  <c r="N111" i="28"/>
  <c r="O111" i="28" s="1"/>
  <c r="C111" i="28"/>
  <c r="N253" i="28"/>
  <c r="O253" i="28" s="1"/>
  <c r="C253" i="28"/>
  <c r="N109" i="28"/>
  <c r="O109" i="28" s="1"/>
  <c r="C109" i="28"/>
  <c r="N175" i="28"/>
  <c r="O175" i="28" s="1"/>
  <c r="C175" i="28"/>
  <c r="N133" i="28"/>
  <c r="O133" i="28" s="1"/>
  <c r="C133" i="28"/>
  <c r="N236" i="28"/>
  <c r="O236" i="28" s="1"/>
  <c r="C236" i="28"/>
  <c r="N153" i="28"/>
  <c r="O153" i="28" s="1"/>
  <c r="C153" i="28"/>
  <c r="N224" i="28"/>
  <c r="O224" i="28" s="1"/>
  <c r="C224" i="28"/>
  <c r="N256" i="28"/>
  <c r="O256" i="28" s="1"/>
  <c r="C256" i="28"/>
  <c r="O35" i="28"/>
  <c r="C35" i="28"/>
  <c r="N65" i="28"/>
  <c r="O65" i="28" s="1"/>
  <c r="C65" i="28"/>
  <c r="N165" i="28"/>
  <c r="O165" i="28" s="1"/>
  <c r="C165" i="28"/>
  <c r="N93" i="28"/>
  <c r="O93" i="28" s="1"/>
  <c r="C93" i="28"/>
  <c r="N191" i="28"/>
  <c r="O191" i="28" s="1"/>
  <c r="C191" i="28"/>
  <c r="N272" i="28"/>
  <c r="O272" i="28" s="1"/>
  <c r="C272" i="28"/>
  <c r="N22" i="28"/>
  <c r="O22" i="28" s="1"/>
  <c r="C22" i="28"/>
  <c r="N11" i="28"/>
  <c r="O11" i="28" s="1"/>
  <c r="C11" i="28"/>
  <c r="O214" i="28"/>
  <c r="C214" i="28"/>
  <c r="O213" i="28"/>
  <c r="C213" i="28"/>
  <c r="O44" i="28"/>
  <c r="C44" i="28"/>
  <c r="O29" i="28"/>
  <c r="C29" i="28"/>
  <c r="N9" i="28"/>
  <c r="O9" i="28" s="1"/>
  <c r="C9" i="28"/>
  <c r="N79" i="28"/>
  <c r="O79" i="28" s="1"/>
  <c r="C79" i="28"/>
  <c r="N285" i="28"/>
  <c r="O285" i="28" s="1"/>
  <c r="C285" i="28"/>
  <c r="O212" i="28"/>
  <c r="C212" i="28"/>
  <c r="O211" i="28"/>
  <c r="C211" i="28"/>
  <c r="O43" i="28"/>
  <c r="C43" i="28"/>
  <c r="O210" i="28"/>
  <c r="C210" i="28"/>
  <c r="N21" i="28"/>
  <c r="O21" i="28" s="1"/>
  <c r="C21" i="28"/>
  <c r="O17" i="28"/>
  <c r="C17" i="28"/>
  <c r="N174" i="28"/>
  <c r="O174" i="28" s="1"/>
  <c r="C174" i="28"/>
  <c r="N131" i="28"/>
  <c r="O131" i="28" s="1"/>
  <c r="C131" i="28"/>
  <c r="N57" i="28"/>
  <c r="O57" i="28" s="1"/>
  <c r="C57" i="28"/>
  <c r="O187" i="28"/>
  <c r="C187" i="28"/>
  <c r="N144" i="28"/>
  <c r="O144" i="28" s="1"/>
  <c r="C144" i="28"/>
  <c r="N280" i="28"/>
  <c r="O280" i="28" s="1"/>
  <c r="C280" i="28"/>
  <c r="N82" i="28"/>
  <c r="O82" i="28" s="1"/>
  <c r="C82" i="28"/>
  <c r="O201" i="28"/>
  <c r="C201" i="28"/>
  <c r="O209" i="28"/>
  <c r="C209" i="28"/>
  <c r="N20" i="28"/>
  <c r="O20" i="28" s="1"/>
  <c r="C20" i="28"/>
  <c r="N10" i="28"/>
  <c r="O10" i="28" s="1"/>
  <c r="C10" i="28"/>
  <c r="L4" i="28"/>
  <c r="J4" i="28"/>
  <c r="O4" i="28" l="1"/>
  <c r="N4" i="28"/>
  <c r="N258" i="26" l="1"/>
  <c r="O258" i="26" s="1"/>
  <c r="C258" i="26" l="1"/>
  <c r="N206" i="26"/>
  <c r="N53" i="26"/>
  <c r="N77" i="26" l="1"/>
  <c r="N49" i="26"/>
  <c r="N48" i="26"/>
  <c r="O48" i="26" s="1"/>
  <c r="N214" i="26" l="1"/>
  <c r="O214" i="26" s="1"/>
  <c r="N215" i="26"/>
  <c r="O215" i="26" s="1"/>
  <c r="N196" i="26"/>
  <c r="O196" i="26" s="1"/>
  <c r="N100" i="26"/>
  <c r="O100" i="26" s="1"/>
  <c r="N104" i="26"/>
  <c r="O104" i="26" s="1"/>
  <c r="N78" i="26"/>
  <c r="O78" i="26" s="1"/>
  <c r="N79" i="26"/>
  <c r="O79" i="26" s="1"/>
  <c r="N47" i="26"/>
  <c r="O47" i="26" s="1"/>
  <c r="N222" i="26"/>
  <c r="O222" i="26" s="1"/>
  <c r="N187" i="26"/>
  <c r="O187" i="26" s="1"/>
  <c r="O77" i="26"/>
  <c r="O17" i="26"/>
  <c r="N25" i="26"/>
  <c r="O25" i="26" s="1"/>
  <c r="N80" i="26"/>
  <c r="O80" i="26" s="1"/>
  <c r="C17" i="26"/>
  <c r="Q181" i="26" l="1"/>
  <c r="N181" i="26"/>
  <c r="O181" i="26" s="1"/>
  <c r="Q180" i="26"/>
  <c r="O180" i="26"/>
  <c r="Q179" i="26"/>
  <c r="N179" i="26"/>
  <c r="O179" i="26" s="1"/>
  <c r="Q178" i="26"/>
  <c r="N178" i="26"/>
  <c r="O178" i="26" s="1"/>
  <c r="Q177" i="26"/>
  <c r="N177" i="26"/>
  <c r="O177" i="26" s="1"/>
  <c r="Q176" i="26"/>
  <c r="N176" i="26"/>
  <c r="O176" i="26" s="1"/>
  <c r="Q175" i="26"/>
  <c r="N175" i="26"/>
  <c r="O175" i="26" s="1"/>
  <c r="C181" i="26"/>
  <c r="C180" i="26"/>
  <c r="C179" i="26"/>
  <c r="C178" i="26"/>
  <c r="C177" i="26"/>
  <c r="C176" i="26"/>
  <c r="C175" i="26"/>
  <c r="Q174" i="26" l="1"/>
  <c r="N174" i="26"/>
  <c r="O174" i="26" s="1"/>
  <c r="Q173" i="26"/>
  <c r="O173" i="26"/>
  <c r="Q172" i="26"/>
  <c r="N172" i="26"/>
  <c r="O172" i="26" s="1"/>
  <c r="Q171" i="26"/>
  <c r="N171" i="26"/>
  <c r="O171" i="26" s="1"/>
  <c r="Q170" i="26"/>
  <c r="N170" i="26"/>
  <c r="O170" i="26" s="1"/>
  <c r="Q169" i="26"/>
  <c r="N169" i="26"/>
  <c r="O169" i="26" s="1"/>
  <c r="Q168" i="26"/>
  <c r="N168" i="26"/>
  <c r="O168" i="26" s="1"/>
  <c r="C174" i="26"/>
  <c r="C173" i="26"/>
  <c r="C172" i="26"/>
  <c r="C171" i="26"/>
  <c r="C170" i="26"/>
  <c r="C169" i="26"/>
  <c r="C168" i="26"/>
  <c r="Q167" i="26" l="1"/>
  <c r="N167" i="26"/>
  <c r="O167" i="26" s="1"/>
  <c r="Q166" i="26"/>
  <c r="O166" i="26"/>
  <c r="Q165" i="26"/>
  <c r="N165" i="26"/>
  <c r="O165" i="26" s="1"/>
  <c r="Q164" i="26"/>
  <c r="N164" i="26"/>
  <c r="O164" i="26" s="1"/>
  <c r="Q163" i="26"/>
  <c r="N163" i="26"/>
  <c r="O163" i="26" s="1"/>
  <c r="Q162" i="26"/>
  <c r="N162" i="26"/>
  <c r="O162" i="26" s="1"/>
  <c r="Q161" i="26"/>
  <c r="N161" i="26"/>
  <c r="O161" i="26" s="1"/>
  <c r="C167" i="26"/>
  <c r="C166" i="26"/>
  <c r="C165" i="26"/>
  <c r="C164" i="26"/>
  <c r="C163" i="26"/>
  <c r="C162" i="26"/>
  <c r="C161" i="26"/>
  <c r="C25" i="26" l="1"/>
  <c r="C222" i="26" l="1"/>
  <c r="C187" i="26"/>
  <c r="C104" i="26"/>
  <c r="C196" i="26" l="1"/>
  <c r="C100" i="26"/>
  <c r="C215" i="26" l="1"/>
  <c r="C214" i="26"/>
  <c r="C48" i="26" l="1"/>
  <c r="C47" i="26"/>
  <c r="C80" i="26" l="1"/>
  <c r="C79" i="26"/>
  <c r="C78" i="26"/>
  <c r="C77" i="26"/>
  <c r="Q257" i="26" l="1"/>
  <c r="N257" i="26"/>
  <c r="O257" i="26" s="1"/>
  <c r="C257" i="26"/>
  <c r="Q256" i="26"/>
  <c r="O256" i="26"/>
  <c r="C256" i="26"/>
  <c r="Q255" i="26"/>
  <c r="N255" i="26"/>
  <c r="O255" i="26" s="1"/>
  <c r="C255" i="26"/>
  <c r="Q254" i="26"/>
  <c r="N254" i="26"/>
  <c r="O254" i="26" s="1"/>
  <c r="C254" i="26"/>
  <c r="Q253" i="26"/>
  <c r="N253" i="26"/>
  <c r="O253" i="26" s="1"/>
  <c r="C253" i="26"/>
  <c r="Q252" i="26"/>
  <c r="O252" i="26"/>
  <c r="C252" i="26"/>
  <c r="Q251" i="26"/>
  <c r="O251" i="26"/>
  <c r="C251" i="26"/>
  <c r="Q250" i="26"/>
  <c r="N250" i="26"/>
  <c r="O250" i="26" s="1"/>
  <c r="C250" i="26"/>
  <c r="Q249" i="26"/>
  <c r="N249" i="26"/>
  <c r="O249" i="26" s="1"/>
  <c r="C249" i="26"/>
  <c r="Q248" i="26"/>
  <c r="N248" i="26"/>
  <c r="O248" i="26" s="1"/>
  <c r="C248" i="26"/>
  <c r="Q247" i="26"/>
  <c r="N247" i="26"/>
  <c r="O247" i="26" s="1"/>
  <c r="C247" i="26"/>
  <c r="Q246" i="26"/>
  <c r="N246" i="26"/>
  <c r="O246" i="26" s="1"/>
  <c r="C246" i="26"/>
  <c r="Q245" i="26"/>
  <c r="N245" i="26"/>
  <c r="O245" i="26" s="1"/>
  <c r="C245" i="26"/>
  <c r="Q244" i="26"/>
  <c r="N244" i="26"/>
  <c r="O244" i="26" s="1"/>
  <c r="C244" i="26"/>
  <c r="Q243" i="26"/>
  <c r="N243" i="26"/>
  <c r="O243" i="26" s="1"/>
  <c r="C243" i="26"/>
  <c r="Q242" i="26"/>
  <c r="N242" i="26"/>
  <c r="O242" i="26" s="1"/>
  <c r="C242" i="26"/>
  <c r="Q241" i="26"/>
  <c r="O241" i="26"/>
  <c r="C241" i="26"/>
  <c r="Q240" i="26"/>
  <c r="O240" i="26"/>
  <c r="C240" i="26"/>
  <c r="Q239" i="26"/>
  <c r="N239" i="26"/>
  <c r="O239" i="26" s="1"/>
  <c r="C239" i="26"/>
  <c r="Q238" i="26"/>
  <c r="N238" i="26"/>
  <c r="O238" i="26" s="1"/>
  <c r="C238" i="26"/>
  <c r="Q237" i="26"/>
  <c r="N237" i="26"/>
  <c r="O237" i="26" s="1"/>
  <c r="C237" i="26"/>
  <c r="Q236" i="26"/>
  <c r="N236" i="26"/>
  <c r="O236" i="26" s="1"/>
  <c r="C236" i="26"/>
  <c r="Q235" i="26"/>
  <c r="N235" i="26"/>
  <c r="O235" i="26" s="1"/>
  <c r="C235" i="26"/>
  <c r="Q234" i="26"/>
  <c r="N234" i="26"/>
  <c r="O234" i="26" s="1"/>
  <c r="C234" i="26"/>
  <c r="Q233" i="26"/>
  <c r="O233" i="26"/>
  <c r="C233" i="26"/>
  <c r="Q232" i="26"/>
  <c r="N232" i="26"/>
  <c r="O232" i="26" s="1"/>
  <c r="C232" i="26"/>
  <c r="Q231" i="26"/>
  <c r="N231" i="26"/>
  <c r="O231" i="26" s="1"/>
  <c r="C231" i="26"/>
  <c r="Q230" i="26"/>
  <c r="N230" i="26"/>
  <c r="O230" i="26" s="1"/>
  <c r="C230" i="26"/>
  <c r="Q229" i="26"/>
  <c r="N229" i="26"/>
  <c r="O229" i="26" s="1"/>
  <c r="C229" i="26"/>
  <c r="Q228" i="26"/>
  <c r="N228" i="26"/>
  <c r="O228" i="26" s="1"/>
  <c r="C228" i="26"/>
  <c r="Q227" i="26"/>
  <c r="N227" i="26"/>
  <c r="O227" i="26" s="1"/>
  <c r="C227" i="26"/>
  <c r="Q226" i="26"/>
  <c r="N226" i="26"/>
  <c r="O226" i="26" s="1"/>
  <c r="C226" i="26"/>
  <c r="Q225" i="26"/>
  <c r="N225" i="26"/>
  <c r="O225" i="26" s="1"/>
  <c r="C225" i="26"/>
  <c r="Q224" i="26"/>
  <c r="O224" i="26"/>
  <c r="C224" i="26"/>
  <c r="Q223" i="26"/>
  <c r="N223" i="26"/>
  <c r="O223" i="26" s="1"/>
  <c r="C223" i="26"/>
  <c r="Q221" i="26"/>
  <c r="O221" i="26"/>
  <c r="C221" i="26"/>
  <c r="Q220" i="26"/>
  <c r="N220" i="26"/>
  <c r="O220" i="26" s="1"/>
  <c r="C220" i="26"/>
  <c r="Q219" i="26"/>
  <c r="N219" i="26"/>
  <c r="O219" i="26" s="1"/>
  <c r="C219" i="26"/>
  <c r="Q218" i="26"/>
  <c r="O218" i="26"/>
  <c r="C218" i="26"/>
  <c r="Q217" i="26"/>
  <c r="N217" i="26"/>
  <c r="O217" i="26" s="1"/>
  <c r="C217" i="26"/>
  <c r="Q216" i="26"/>
  <c r="N216" i="26"/>
  <c r="O216" i="26" s="1"/>
  <c r="C216" i="26"/>
  <c r="Q213" i="26"/>
  <c r="O213" i="26"/>
  <c r="C213" i="26"/>
  <c r="Q212" i="26"/>
  <c r="N212" i="26"/>
  <c r="O212" i="26" s="1"/>
  <c r="C212" i="26"/>
  <c r="Q211" i="26"/>
  <c r="N211" i="26"/>
  <c r="O211" i="26" s="1"/>
  <c r="C211" i="26"/>
  <c r="Q210" i="26"/>
  <c r="N210" i="26"/>
  <c r="O210" i="26" s="1"/>
  <c r="C210" i="26"/>
  <c r="Q209" i="26"/>
  <c r="N209" i="26"/>
  <c r="O209" i="26" s="1"/>
  <c r="C209" i="26"/>
  <c r="Q208" i="26"/>
  <c r="O208" i="26"/>
  <c r="C208" i="26"/>
  <c r="Q207" i="26"/>
  <c r="N207" i="26"/>
  <c r="O207" i="26" s="1"/>
  <c r="C207" i="26"/>
  <c r="Q206" i="26"/>
  <c r="O206" i="26"/>
  <c r="C206" i="26"/>
  <c r="Q205" i="26"/>
  <c r="N205" i="26"/>
  <c r="O205" i="26" s="1"/>
  <c r="C205" i="26"/>
  <c r="Q204" i="26"/>
  <c r="N204" i="26"/>
  <c r="O204" i="26" s="1"/>
  <c r="C204" i="26"/>
  <c r="Q203" i="26"/>
  <c r="N203" i="26"/>
  <c r="O203" i="26" s="1"/>
  <c r="C203" i="26"/>
  <c r="Q202" i="26"/>
  <c r="N202" i="26"/>
  <c r="O202" i="26" s="1"/>
  <c r="C202" i="26"/>
  <c r="Q201" i="26"/>
  <c r="O201" i="26"/>
  <c r="C201" i="26"/>
  <c r="Q200" i="26"/>
  <c r="N200" i="26"/>
  <c r="O200" i="26" s="1"/>
  <c r="C200" i="26"/>
  <c r="Q199" i="26"/>
  <c r="N199" i="26"/>
  <c r="O199" i="26" s="1"/>
  <c r="C199" i="26"/>
  <c r="Q198" i="26"/>
  <c r="O198" i="26"/>
  <c r="C198" i="26"/>
  <c r="Q197" i="26"/>
  <c r="N197" i="26"/>
  <c r="O197" i="26" s="1"/>
  <c r="C197" i="26"/>
  <c r="Q195" i="26"/>
  <c r="N195" i="26"/>
  <c r="O195" i="26" s="1"/>
  <c r="C195" i="26"/>
  <c r="Q194" i="26"/>
  <c r="N194" i="26"/>
  <c r="O194" i="26" s="1"/>
  <c r="C194" i="26"/>
  <c r="Q193" i="26"/>
  <c r="N193" i="26"/>
  <c r="O193" i="26" s="1"/>
  <c r="C193" i="26"/>
  <c r="Q192" i="26"/>
  <c r="N192" i="26"/>
  <c r="O192" i="26" s="1"/>
  <c r="C192" i="26"/>
  <c r="Q191" i="26"/>
  <c r="N191" i="26"/>
  <c r="O191" i="26" s="1"/>
  <c r="C191" i="26"/>
  <c r="Q190" i="26"/>
  <c r="N190" i="26"/>
  <c r="O190" i="26" s="1"/>
  <c r="C190" i="26"/>
  <c r="Q189" i="26"/>
  <c r="N189" i="26"/>
  <c r="O189" i="26" s="1"/>
  <c r="C189" i="26"/>
  <c r="Q188" i="26"/>
  <c r="N188" i="26"/>
  <c r="O188" i="26" s="1"/>
  <c r="C188" i="26"/>
  <c r="Q186" i="26"/>
  <c r="N186" i="26"/>
  <c r="O186" i="26" s="1"/>
  <c r="C186" i="26"/>
  <c r="Q185" i="26"/>
  <c r="N185" i="26"/>
  <c r="O185" i="26" s="1"/>
  <c r="C185" i="26"/>
  <c r="Q184" i="26"/>
  <c r="N184" i="26"/>
  <c r="O184" i="26" s="1"/>
  <c r="C184" i="26"/>
  <c r="Q183" i="26"/>
  <c r="N183" i="26"/>
  <c r="O183" i="26" s="1"/>
  <c r="C183" i="26"/>
  <c r="Q182" i="26"/>
  <c r="N182" i="26"/>
  <c r="O182" i="26" s="1"/>
  <c r="C182" i="26"/>
  <c r="Q160" i="26"/>
  <c r="N160" i="26"/>
  <c r="O160" i="26" s="1"/>
  <c r="C160" i="26"/>
  <c r="Q159" i="26"/>
  <c r="O159" i="26"/>
  <c r="C159" i="26"/>
  <c r="Q158" i="26"/>
  <c r="O158" i="26"/>
  <c r="C158" i="26"/>
  <c r="Q157" i="26"/>
  <c r="N157" i="26"/>
  <c r="O157" i="26" s="1"/>
  <c r="C157" i="26"/>
  <c r="Q156" i="26"/>
  <c r="N156" i="26"/>
  <c r="O156" i="26" s="1"/>
  <c r="C156" i="26"/>
  <c r="Q155" i="26"/>
  <c r="O155" i="26"/>
  <c r="C155" i="26"/>
  <c r="Q154" i="26"/>
  <c r="N154" i="26"/>
  <c r="O154" i="26" s="1"/>
  <c r="C154" i="26"/>
  <c r="Q153" i="26"/>
  <c r="N153" i="26"/>
  <c r="O153" i="26" s="1"/>
  <c r="C153" i="26"/>
  <c r="Q152" i="26"/>
  <c r="N152" i="26"/>
  <c r="O152" i="26" s="1"/>
  <c r="C152" i="26"/>
  <c r="Q151" i="26"/>
  <c r="N151" i="26"/>
  <c r="O151" i="26" s="1"/>
  <c r="C151" i="26"/>
  <c r="Q150" i="26"/>
  <c r="N150" i="26"/>
  <c r="O150" i="26" s="1"/>
  <c r="C150" i="26"/>
  <c r="Q149" i="26"/>
  <c r="N149" i="26"/>
  <c r="O149" i="26" s="1"/>
  <c r="C149" i="26"/>
  <c r="Q148" i="26"/>
  <c r="N148" i="26"/>
  <c r="O148" i="26" s="1"/>
  <c r="C148" i="26"/>
  <c r="Q147" i="26"/>
  <c r="O147" i="26"/>
  <c r="C147" i="26"/>
  <c r="Q146" i="26"/>
  <c r="N146" i="26"/>
  <c r="O146" i="26" s="1"/>
  <c r="C146" i="26"/>
  <c r="Q145" i="26"/>
  <c r="N145" i="26"/>
  <c r="O145" i="26" s="1"/>
  <c r="C145" i="26"/>
  <c r="Q144" i="26"/>
  <c r="N144" i="26"/>
  <c r="O144" i="26" s="1"/>
  <c r="C144" i="26"/>
  <c r="Q143" i="26"/>
  <c r="N143" i="26"/>
  <c r="O143" i="26" s="1"/>
  <c r="C143" i="26"/>
  <c r="Q142" i="26"/>
  <c r="N142" i="26"/>
  <c r="O142" i="26" s="1"/>
  <c r="C142" i="26"/>
  <c r="Q141" i="26"/>
  <c r="N141" i="26"/>
  <c r="O141" i="26" s="1"/>
  <c r="C141" i="26"/>
  <c r="Q140" i="26"/>
  <c r="N140" i="26"/>
  <c r="O140" i="26" s="1"/>
  <c r="C140" i="26"/>
  <c r="Q139" i="26"/>
  <c r="N139" i="26"/>
  <c r="O139" i="26" s="1"/>
  <c r="C139" i="26"/>
  <c r="Q138" i="26"/>
  <c r="O138" i="26"/>
  <c r="C138" i="26"/>
  <c r="Q137" i="26"/>
  <c r="N137" i="26"/>
  <c r="O137" i="26" s="1"/>
  <c r="C137" i="26"/>
  <c r="Q136" i="26"/>
  <c r="O136" i="26"/>
  <c r="C136" i="26"/>
  <c r="Q135" i="26"/>
  <c r="N135" i="26"/>
  <c r="O135" i="26" s="1"/>
  <c r="C135" i="26"/>
  <c r="Q134" i="26"/>
  <c r="O134" i="26"/>
  <c r="C134" i="26"/>
  <c r="Q133" i="26"/>
  <c r="N133" i="26"/>
  <c r="O133" i="26" s="1"/>
  <c r="C133" i="26"/>
  <c r="Q132" i="26"/>
  <c r="N132" i="26"/>
  <c r="O132" i="26" s="1"/>
  <c r="C132" i="26"/>
  <c r="Q131" i="26"/>
  <c r="N131" i="26"/>
  <c r="O131" i="26" s="1"/>
  <c r="C131" i="26"/>
  <c r="Q130" i="26"/>
  <c r="N130" i="26"/>
  <c r="O130" i="26" s="1"/>
  <c r="C130" i="26"/>
  <c r="Q129" i="26"/>
  <c r="N129" i="26"/>
  <c r="O129" i="26" s="1"/>
  <c r="C129" i="26"/>
  <c r="Q128" i="26"/>
  <c r="N128" i="26"/>
  <c r="O128" i="26" s="1"/>
  <c r="C128" i="26"/>
  <c r="Q127" i="26"/>
  <c r="N127" i="26"/>
  <c r="O127" i="26" s="1"/>
  <c r="C127" i="26"/>
  <c r="Q126" i="26"/>
  <c r="O126" i="26"/>
  <c r="C126" i="26"/>
  <c r="Q125" i="26"/>
  <c r="O125" i="26"/>
  <c r="C125" i="26"/>
  <c r="Q124" i="26"/>
  <c r="N124" i="26"/>
  <c r="O124" i="26" s="1"/>
  <c r="C124" i="26"/>
  <c r="Q123" i="26"/>
  <c r="N123" i="26"/>
  <c r="O123" i="26" s="1"/>
  <c r="C123" i="26"/>
  <c r="Q122" i="26"/>
  <c r="N122" i="26"/>
  <c r="O122" i="26" s="1"/>
  <c r="C122" i="26"/>
  <c r="Q121" i="26"/>
  <c r="N121" i="26"/>
  <c r="O121" i="26" s="1"/>
  <c r="C121" i="26"/>
  <c r="Q120" i="26"/>
  <c r="N120" i="26"/>
  <c r="O120" i="26" s="1"/>
  <c r="C120" i="26"/>
  <c r="Q119" i="26"/>
  <c r="N119" i="26"/>
  <c r="O119" i="26" s="1"/>
  <c r="C119" i="26"/>
  <c r="Q118" i="26"/>
  <c r="O118" i="26"/>
  <c r="C118" i="26"/>
  <c r="Q117" i="26"/>
  <c r="O117" i="26"/>
  <c r="C117" i="26"/>
  <c r="Q116" i="26"/>
  <c r="N116" i="26"/>
  <c r="O116" i="26" s="1"/>
  <c r="C116" i="26"/>
  <c r="Q115" i="26"/>
  <c r="O115" i="26"/>
  <c r="C115" i="26"/>
  <c r="Q114" i="26"/>
  <c r="N114" i="26"/>
  <c r="O114" i="26" s="1"/>
  <c r="C114" i="26"/>
  <c r="Q113" i="26"/>
  <c r="N113" i="26"/>
  <c r="O113" i="26" s="1"/>
  <c r="C113" i="26"/>
  <c r="Q112" i="26"/>
  <c r="N112" i="26"/>
  <c r="O112" i="26" s="1"/>
  <c r="C112" i="26"/>
  <c r="Q111" i="26"/>
  <c r="N111" i="26"/>
  <c r="O111" i="26" s="1"/>
  <c r="C111" i="26"/>
  <c r="Q110" i="26"/>
  <c r="O110" i="26"/>
  <c r="C110" i="26"/>
  <c r="Q109" i="26"/>
  <c r="N109" i="26"/>
  <c r="O109" i="26" s="1"/>
  <c r="C109" i="26"/>
  <c r="Q108" i="26"/>
  <c r="N108" i="26"/>
  <c r="O108" i="26" s="1"/>
  <c r="C108" i="26"/>
  <c r="Q107" i="26"/>
  <c r="N107" i="26"/>
  <c r="O107" i="26" s="1"/>
  <c r="C107" i="26"/>
  <c r="Q106" i="26"/>
  <c r="N106" i="26"/>
  <c r="O106" i="26" s="1"/>
  <c r="C106" i="26"/>
  <c r="Q105" i="26"/>
  <c r="N105" i="26"/>
  <c r="O105" i="26" s="1"/>
  <c r="C105" i="26"/>
  <c r="Q103" i="26"/>
  <c r="N103" i="26"/>
  <c r="O103" i="26" s="1"/>
  <c r="C103" i="26"/>
  <c r="Q102" i="26"/>
  <c r="N102" i="26"/>
  <c r="O102" i="26" s="1"/>
  <c r="C102" i="26"/>
  <c r="Q101" i="26"/>
  <c r="N101" i="26"/>
  <c r="O101" i="26" s="1"/>
  <c r="C101" i="26"/>
  <c r="Q99" i="26"/>
  <c r="N99" i="26"/>
  <c r="O99" i="26" s="1"/>
  <c r="C99" i="26"/>
  <c r="Q98" i="26"/>
  <c r="N98" i="26"/>
  <c r="O98" i="26" s="1"/>
  <c r="C98" i="26"/>
  <c r="Q97" i="26"/>
  <c r="N97" i="26"/>
  <c r="O97" i="26" s="1"/>
  <c r="C97" i="26"/>
  <c r="Q96" i="26"/>
  <c r="N96" i="26"/>
  <c r="O96" i="26" s="1"/>
  <c r="C96" i="26"/>
  <c r="Q95" i="26"/>
  <c r="O95" i="26"/>
  <c r="C95" i="26"/>
  <c r="Q94" i="26"/>
  <c r="O94" i="26"/>
  <c r="C94" i="26"/>
  <c r="Q93" i="26"/>
  <c r="N93" i="26"/>
  <c r="O93" i="26" s="1"/>
  <c r="C93" i="26"/>
  <c r="Q92" i="26"/>
  <c r="N92" i="26"/>
  <c r="O92" i="26" s="1"/>
  <c r="C92" i="26"/>
  <c r="Q91" i="26"/>
  <c r="N91" i="26"/>
  <c r="O91" i="26" s="1"/>
  <c r="C91" i="26"/>
  <c r="Q90" i="26"/>
  <c r="N90" i="26"/>
  <c r="O90" i="26" s="1"/>
  <c r="C90" i="26"/>
  <c r="Q89" i="26"/>
  <c r="N89" i="26"/>
  <c r="O89" i="26" s="1"/>
  <c r="C89" i="26"/>
  <c r="Q88" i="26"/>
  <c r="N88" i="26"/>
  <c r="O88" i="26" s="1"/>
  <c r="C88" i="26"/>
  <c r="Q87" i="26"/>
  <c r="N87" i="26"/>
  <c r="O87" i="26" s="1"/>
  <c r="C87" i="26"/>
  <c r="Q86" i="26"/>
  <c r="N86" i="26"/>
  <c r="O86" i="26" s="1"/>
  <c r="C86" i="26"/>
  <c r="Q85" i="26"/>
  <c r="O85" i="26"/>
  <c r="M85" i="26"/>
  <c r="C85" i="26"/>
  <c r="Q84" i="26"/>
  <c r="N84" i="26"/>
  <c r="O84" i="26" s="1"/>
  <c r="C84" i="26"/>
  <c r="Q83" i="26"/>
  <c r="N83" i="26"/>
  <c r="O83" i="26" s="1"/>
  <c r="C83" i="26"/>
  <c r="Q82" i="26"/>
  <c r="N82" i="26"/>
  <c r="O82" i="26" s="1"/>
  <c r="C82" i="26"/>
  <c r="Q81" i="26"/>
  <c r="O81" i="26"/>
  <c r="C81" i="26"/>
  <c r="Q76" i="26"/>
  <c r="N76" i="26"/>
  <c r="O76" i="26" s="1"/>
  <c r="C76" i="26"/>
  <c r="Q75" i="26"/>
  <c r="N75" i="26"/>
  <c r="O75" i="26" s="1"/>
  <c r="C75" i="26"/>
  <c r="Q74" i="26"/>
  <c r="N74" i="26"/>
  <c r="O74" i="26" s="1"/>
  <c r="C74" i="26"/>
  <c r="Q73" i="26"/>
  <c r="N73" i="26"/>
  <c r="O73" i="26" s="1"/>
  <c r="C73" i="26"/>
  <c r="Q72" i="26"/>
  <c r="N72" i="26"/>
  <c r="O72" i="26" s="1"/>
  <c r="C72" i="26"/>
  <c r="Q71" i="26"/>
  <c r="N71" i="26"/>
  <c r="O71" i="26" s="1"/>
  <c r="C71" i="26"/>
  <c r="Q70" i="26"/>
  <c r="N70" i="26"/>
  <c r="O70" i="26" s="1"/>
  <c r="C70" i="26"/>
  <c r="Q69" i="26"/>
  <c r="N69" i="26"/>
  <c r="O69" i="26" s="1"/>
  <c r="C69" i="26"/>
  <c r="Q68" i="26"/>
  <c r="N68" i="26"/>
  <c r="O68" i="26" s="1"/>
  <c r="C68" i="26"/>
  <c r="Q67" i="26"/>
  <c r="N67" i="26"/>
  <c r="O67" i="26" s="1"/>
  <c r="C67" i="26"/>
  <c r="Q66" i="26"/>
  <c r="N66" i="26"/>
  <c r="O66" i="26" s="1"/>
  <c r="C66" i="26"/>
  <c r="Q65" i="26"/>
  <c r="N65" i="26"/>
  <c r="O65" i="26" s="1"/>
  <c r="C65" i="26"/>
  <c r="Q64" i="26"/>
  <c r="N64" i="26"/>
  <c r="O64" i="26" s="1"/>
  <c r="C64" i="26"/>
  <c r="Q63" i="26"/>
  <c r="N63" i="26"/>
  <c r="O63" i="26" s="1"/>
  <c r="C63" i="26"/>
  <c r="Q62" i="26"/>
  <c r="N62" i="26"/>
  <c r="O62" i="26" s="1"/>
  <c r="C62" i="26"/>
  <c r="Q61" i="26"/>
  <c r="N61" i="26"/>
  <c r="O61" i="26" s="1"/>
  <c r="C61" i="26"/>
  <c r="Q60" i="26"/>
  <c r="O60" i="26"/>
  <c r="C60" i="26"/>
  <c r="Q59" i="26"/>
  <c r="N59" i="26"/>
  <c r="O59" i="26" s="1"/>
  <c r="C59" i="26"/>
  <c r="Q58" i="26"/>
  <c r="N58" i="26"/>
  <c r="O58" i="26" s="1"/>
  <c r="C58" i="26"/>
  <c r="Q57" i="26"/>
  <c r="N57" i="26"/>
  <c r="O57" i="26" s="1"/>
  <c r="C57" i="26"/>
  <c r="Q56" i="26"/>
  <c r="N56" i="26"/>
  <c r="O56" i="26" s="1"/>
  <c r="C56" i="26"/>
  <c r="Q55" i="26"/>
  <c r="N55" i="26"/>
  <c r="O55" i="26" s="1"/>
  <c r="C55" i="26"/>
  <c r="Q54" i="26"/>
  <c r="O54" i="26"/>
  <c r="C54" i="26"/>
  <c r="Q53" i="26"/>
  <c r="O53" i="26"/>
  <c r="C53" i="26"/>
  <c r="Q52" i="26"/>
  <c r="N52" i="26"/>
  <c r="O52" i="26" s="1"/>
  <c r="C52" i="26"/>
  <c r="Q51" i="26"/>
  <c r="N51" i="26"/>
  <c r="O51" i="26" s="1"/>
  <c r="C51" i="26"/>
  <c r="Q50" i="26"/>
  <c r="N50" i="26"/>
  <c r="O50" i="26" s="1"/>
  <c r="C50" i="26"/>
  <c r="Q49" i="26"/>
  <c r="O49" i="26"/>
  <c r="C49" i="26"/>
  <c r="Q46" i="26"/>
  <c r="N46" i="26"/>
  <c r="O46" i="26" s="1"/>
  <c r="C46" i="26"/>
  <c r="Q45" i="26"/>
  <c r="N45" i="26"/>
  <c r="O45" i="26" s="1"/>
  <c r="C45" i="26"/>
  <c r="Q44" i="26"/>
  <c r="N44" i="26"/>
  <c r="O44" i="26" s="1"/>
  <c r="C44" i="26"/>
  <c r="Q43" i="26"/>
  <c r="N43" i="26"/>
  <c r="O43" i="26" s="1"/>
  <c r="C43" i="26"/>
  <c r="Q42" i="26"/>
  <c r="N42" i="26"/>
  <c r="O42" i="26" s="1"/>
  <c r="C42" i="26"/>
  <c r="Q41" i="26"/>
  <c r="N41" i="26"/>
  <c r="O41" i="26" s="1"/>
  <c r="C41" i="26"/>
  <c r="Q40" i="26"/>
  <c r="N40" i="26"/>
  <c r="O40" i="26" s="1"/>
  <c r="C40" i="26"/>
  <c r="Q39" i="26"/>
  <c r="N39" i="26"/>
  <c r="O39" i="26" s="1"/>
  <c r="C39" i="26"/>
  <c r="Q38" i="26"/>
  <c r="N38" i="26"/>
  <c r="O38" i="26" s="1"/>
  <c r="C38" i="26"/>
  <c r="Q37" i="26"/>
  <c r="O37" i="26"/>
  <c r="C37" i="26"/>
  <c r="Q36" i="26"/>
  <c r="N36" i="26"/>
  <c r="O36" i="26" s="1"/>
  <c r="C36" i="26"/>
  <c r="Q35" i="26"/>
  <c r="N35" i="26"/>
  <c r="O35" i="26" s="1"/>
  <c r="C35" i="26"/>
  <c r="Q34" i="26"/>
  <c r="N34" i="26"/>
  <c r="O34" i="26" s="1"/>
  <c r="C34" i="26"/>
  <c r="Q33" i="26"/>
  <c r="N33" i="26"/>
  <c r="O33" i="26" s="1"/>
  <c r="C33" i="26"/>
  <c r="Q32" i="26"/>
  <c r="N32" i="26"/>
  <c r="O32" i="26" s="1"/>
  <c r="C32" i="26"/>
  <c r="Q31" i="26"/>
  <c r="N31" i="26"/>
  <c r="O31" i="26" s="1"/>
  <c r="C31" i="26"/>
  <c r="Q30" i="26"/>
  <c r="N30" i="26"/>
  <c r="O30" i="26" s="1"/>
  <c r="C30" i="26"/>
  <c r="Q29" i="26"/>
  <c r="O29" i="26"/>
  <c r="C29" i="26"/>
  <c r="Q28" i="26"/>
  <c r="O28" i="26"/>
  <c r="C28" i="26"/>
  <c r="Q27" i="26"/>
  <c r="O27" i="26"/>
  <c r="C27" i="26"/>
  <c r="Q26" i="26"/>
  <c r="O26" i="26"/>
  <c r="C26" i="26"/>
  <c r="Q24" i="26"/>
  <c r="N24" i="26"/>
  <c r="O24" i="26" s="1"/>
  <c r="C24" i="26"/>
  <c r="Q23" i="26"/>
  <c r="N23" i="26"/>
  <c r="O23" i="26" s="1"/>
  <c r="C23" i="26"/>
  <c r="Q22" i="26"/>
  <c r="O22" i="26"/>
  <c r="C22" i="26"/>
  <c r="Q21" i="26"/>
  <c r="O21" i="26"/>
  <c r="C21" i="26"/>
  <c r="Q20" i="26"/>
  <c r="O20" i="26"/>
  <c r="C20" i="26"/>
  <c r="Q19" i="26"/>
  <c r="O19" i="26"/>
  <c r="C19" i="26"/>
  <c r="Q18" i="26"/>
  <c r="N18" i="26"/>
  <c r="O18" i="26" s="1"/>
  <c r="C18" i="26"/>
  <c r="Q16" i="26"/>
  <c r="N16" i="26"/>
  <c r="O16" i="26" s="1"/>
  <c r="C16" i="26"/>
  <c r="Q15" i="26"/>
  <c r="N15" i="26"/>
  <c r="O15" i="26" s="1"/>
  <c r="C15" i="26"/>
  <c r="Q14" i="26"/>
  <c r="N14" i="26"/>
  <c r="O14" i="26" s="1"/>
  <c r="C14" i="26"/>
  <c r="Q13" i="26"/>
  <c r="O13" i="26"/>
  <c r="C13" i="26"/>
  <c r="Q12" i="26"/>
  <c r="N12" i="26"/>
  <c r="O12" i="26" s="1"/>
  <c r="C12" i="26"/>
  <c r="Q11" i="26"/>
  <c r="N11" i="26"/>
  <c r="O11" i="26" s="1"/>
  <c r="C11" i="26"/>
  <c r="Q10" i="26"/>
  <c r="N10" i="26"/>
  <c r="O10" i="26" s="1"/>
  <c r="C10" i="26"/>
  <c r="Q9" i="26"/>
  <c r="O9" i="26"/>
  <c r="C9" i="26"/>
  <c r="Q8" i="26"/>
  <c r="O8" i="26"/>
  <c r="C8" i="26"/>
  <c r="Q7" i="26"/>
  <c r="N7" i="26"/>
  <c r="O7" i="26" s="1"/>
  <c r="C7" i="26"/>
  <c r="Q6" i="26"/>
  <c r="N6" i="26"/>
  <c r="C6" i="26"/>
  <c r="L4" i="26"/>
  <c r="J4" i="26"/>
  <c r="N73" i="25"/>
  <c r="N4" i="26" l="1"/>
  <c r="O6" i="26"/>
  <c r="O4" i="26" s="1"/>
  <c r="Q297" i="25"/>
  <c r="Q296" i="25"/>
  <c r="Q295" i="25"/>
  <c r="Q294" i="25"/>
  <c r="Q293" i="25"/>
  <c r="Q292" i="25"/>
  <c r="Q291" i="25"/>
  <c r="Q290" i="25"/>
  <c r="Q289" i="25"/>
  <c r="Q288" i="25"/>
  <c r="Q287" i="25"/>
  <c r="Q286" i="25"/>
  <c r="Q285" i="25"/>
  <c r="Q284" i="25"/>
  <c r="Q283" i="25"/>
  <c r="Q282" i="25"/>
  <c r="Q281" i="25"/>
  <c r="Q280" i="25"/>
  <c r="Q279" i="25"/>
  <c r="Q278" i="25"/>
  <c r="Q277" i="25"/>
  <c r="Q276" i="25"/>
  <c r="Q275" i="25"/>
  <c r="Q274" i="25"/>
  <c r="Q273" i="25"/>
  <c r="Q272" i="25"/>
  <c r="Q271" i="25"/>
  <c r="Q270" i="25"/>
  <c r="Q269" i="25"/>
  <c r="Q268" i="25"/>
  <c r="Q267" i="25"/>
  <c r="Q266" i="25"/>
  <c r="Q265" i="25"/>
  <c r="Q264" i="25"/>
  <c r="Q263" i="25"/>
  <c r="Q262" i="25"/>
  <c r="Q261" i="25"/>
  <c r="Q260" i="25"/>
  <c r="Q259" i="25"/>
  <c r="Q258" i="25"/>
  <c r="Q257" i="25"/>
  <c r="Q256" i="25"/>
  <c r="Q255" i="25"/>
  <c r="Q254" i="25"/>
  <c r="Q253" i="25"/>
  <c r="Q252" i="25"/>
  <c r="Q251" i="25"/>
  <c r="Q250" i="25"/>
  <c r="Q249" i="25"/>
  <c r="Q248" i="25"/>
  <c r="Q247" i="25"/>
  <c r="Q246" i="25"/>
  <c r="Q245" i="25"/>
  <c r="Q244" i="25"/>
  <c r="Q243" i="25"/>
  <c r="Q242" i="25"/>
  <c r="Q241" i="25"/>
  <c r="Q240" i="25"/>
  <c r="Q239" i="25"/>
  <c r="Q238" i="25"/>
  <c r="Q237" i="25"/>
  <c r="Q236" i="25"/>
  <c r="Q235" i="25"/>
  <c r="Q234" i="25"/>
  <c r="Q233" i="25"/>
  <c r="Q232" i="25"/>
  <c r="Q231" i="25"/>
  <c r="Q230" i="25"/>
  <c r="Q229" i="25"/>
  <c r="Q228" i="25"/>
  <c r="Q227" i="25"/>
  <c r="Q226" i="25"/>
  <c r="Q225" i="25"/>
  <c r="Q224" i="25"/>
  <c r="Q223" i="25"/>
  <c r="Q222" i="25"/>
  <c r="Q221" i="25"/>
  <c r="Q220" i="25"/>
  <c r="Q219" i="25"/>
  <c r="Q218" i="25"/>
  <c r="Q217" i="25"/>
  <c r="Q216" i="25"/>
  <c r="Q215" i="25"/>
  <c r="Q214" i="25"/>
  <c r="Q213" i="25"/>
  <c r="Q212" i="25"/>
  <c r="Q211" i="25"/>
  <c r="Q210" i="25"/>
  <c r="Q209" i="25"/>
  <c r="Q208" i="25"/>
  <c r="Q207" i="25"/>
  <c r="Q206" i="25"/>
  <c r="Q205" i="25"/>
  <c r="Q204" i="25"/>
  <c r="Q203" i="25"/>
  <c r="Q202" i="25"/>
  <c r="Q201" i="25"/>
  <c r="Q200" i="25"/>
  <c r="Q199" i="25"/>
  <c r="Q198" i="25"/>
  <c r="Q197" i="25"/>
  <c r="Q196" i="25"/>
  <c r="Q195" i="25"/>
  <c r="Q194" i="25"/>
  <c r="Q193" i="25"/>
  <c r="Q192" i="25"/>
  <c r="Q191" i="25"/>
  <c r="Q190" i="25"/>
  <c r="Q189" i="25"/>
  <c r="Q188" i="25"/>
  <c r="Q187" i="25"/>
  <c r="Q186" i="25"/>
  <c r="Q185" i="25"/>
  <c r="Q184" i="25"/>
  <c r="Q183" i="25"/>
  <c r="Q182" i="25"/>
  <c r="Q181" i="25"/>
  <c r="Q180" i="25"/>
  <c r="Q179" i="25"/>
  <c r="Q178" i="25"/>
  <c r="Q177" i="25"/>
  <c r="Q176" i="25"/>
  <c r="Q175" i="25"/>
  <c r="Q174" i="25"/>
  <c r="Q173" i="25"/>
  <c r="Q172" i="25"/>
  <c r="Q171" i="25"/>
  <c r="Q170" i="25"/>
  <c r="Q169" i="25"/>
  <c r="Q168" i="25"/>
  <c r="Q167" i="25"/>
  <c r="Q166" i="25"/>
  <c r="Q165" i="25"/>
  <c r="Q164" i="25"/>
  <c r="Q163" i="25"/>
  <c r="Q162" i="25"/>
  <c r="Q161" i="25"/>
  <c r="Q160" i="25"/>
  <c r="Q159" i="25"/>
  <c r="Q158" i="25"/>
  <c r="Q157" i="25"/>
  <c r="Q156" i="25"/>
  <c r="Q155" i="25"/>
  <c r="Q154" i="25"/>
  <c r="Q153" i="25"/>
  <c r="Q152" i="25"/>
  <c r="Q151" i="25"/>
  <c r="Q150" i="25"/>
  <c r="Q149" i="25"/>
  <c r="Q148" i="25"/>
  <c r="Q147" i="25"/>
  <c r="Q146" i="25"/>
  <c r="Q145" i="25"/>
  <c r="Q144" i="25"/>
  <c r="Q143" i="25"/>
  <c r="Q142" i="25"/>
  <c r="Q141" i="25"/>
  <c r="Q140" i="25"/>
  <c r="Q139" i="25"/>
  <c r="Q138" i="25"/>
  <c r="Q137" i="25"/>
  <c r="Q136" i="25"/>
  <c r="Q135" i="25"/>
  <c r="Q134" i="25"/>
  <c r="Q133" i="25"/>
  <c r="Q132" i="25"/>
  <c r="Q131" i="25"/>
  <c r="Q130" i="25"/>
  <c r="Q129" i="25"/>
  <c r="Q128" i="25"/>
  <c r="Q127" i="25"/>
  <c r="Q126" i="25"/>
  <c r="Q125" i="25"/>
  <c r="Q124" i="25"/>
  <c r="Q123" i="25"/>
  <c r="Q122" i="25"/>
  <c r="Q121" i="25"/>
  <c r="Q120" i="25"/>
  <c r="Q119" i="25"/>
  <c r="Q118" i="25"/>
  <c r="Q117" i="25"/>
  <c r="Q116" i="25"/>
  <c r="Q115" i="25"/>
  <c r="Q114" i="25"/>
  <c r="Q113" i="25"/>
  <c r="Q112" i="25"/>
  <c r="Q111" i="25"/>
  <c r="Q110" i="25"/>
  <c r="Q109" i="25"/>
  <c r="Q108" i="25"/>
  <c r="Q107" i="25"/>
  <c r="Q106" i="25"/>
  <c r="Q105" i="25"/>
  <c r="Q104" i="25"/>
  <c r="Q103" i="25"/>
  <c r="Q102" i="25"/>
  <c r="Q101" i="25"/>
  <c r="Q100" i="25"/>
  <c r="Q99" i="25"/>
  <c r="Q98" i="25"/>
  <c r="Q97" i="25"/>
  <c r="Q96" i="25"/>
  <c r="Q95" i="25"/>
  <c r="Q94" i="25"/>
  <c r="Q93" i="25"/>
  <c r="Q92" i="25"/>
  <c r="Q91" i="25"/>
  <c r="Q90" i="25"/>
  <c r="Q89" i="25"/>
  <c r="Q88" i="25"/>
  <c r="Q87" i="25"/>
  <c r="Q86" i="25"/>
  <c r="Q85" i="25"/>
  <c r="Q84" i="25"/>
  <c r="Q83" i="25"/>
  <c r="Q82" i="25"/>
  <c r="Q81" i="25"/>
  <c r="Q80" i="25"/>
  <c r="Q79" i="25"/>
  <c r="Q78" i="25"/>
  <c r="Q77" i="25"/>
  <c r="Q76" i="25"/>
  <c r="Q75" i="25"/>
  <c r="Q74" i="25"/>
  <c r="Q73" i="25"/>
  <c r="Q72" i="25"/>
  <c r="Q71" i="25"/>
  <c r="Q70" i="25"/>
  <c r="Q69" i="25"/>
  <c r="Q68" i="25"/>
  <c r="Q67" i="25"/>
  <c r="Q66" i="25"/>
  <c r="Q65" i="25"/>
  <c r="Q64" i="25"/>
  <c r="Q63" i="25"/>
  <c r="Q62" i="25"/>
  <c r="Q61" i="25"/>
  <c r="Q60" i="25"/>
  <c r="Q59" i="25"/>
  <c r="Q58" i="25"/>
  <c r="Q57" i="25"/>
  <c r="Q56" i="25"/>
  <c r="Q55" i="25"/>
  <c r="Q54" i="25"/>
  <c r="Q53" i="25"/>
  <c r="Q52" i="25"/>
  <c r="Q51" i="25"/>
  <c r="Q50" i="25"/>
  <c r="Q49" i="25"/>
  <c r="Q48" i="25"/>
  <c r="Q47" i="25"/>
  <c r="Q46" i="25"/>
  <c r="Q45" i="25"/>
  <c r="Q44" i="25"/>
  <c r="Q43" i="25"/>
  <c r="Q42" i="25"/>
  <c r="Q41" i="25"/>
  <c r="Q40" i="25"/>
  <c r="Q39" i="25"/>
  <c r="Q38" i="25"/>
  <c r="Q37" i="25"/>
  <c r="Q36" i="25"/>
  <c r="Q35" i="25"/>
  <c r="Q34" i="25"/>
  <c r="Q33" i="25"/>
  <c r="Q32" i="25"/>
  <c r="Q31" i="25"/>
  <c r="Q30" i="25"/>
  <c r="Q29" i="25"/>
  <c r="Q28" i="25"/>
  <c r="Q27" i="25"/>
  <c r="Q26" i="25"/>
  <c r="Q25" i="25"/>
  <c r="Q24" i="25"/>
  <c r="Q23" i="25"/>
  <c r="Q22" i="25"/>
  <c r="Q21" i="25"/>
  <c r="Q20" i="25"/>
  <c r="Q19" i="25"/>
  <c r="Q18" i="25"/>
  <c r="Q17" i="25"/>
  <c r="Q16" i="25"/>
  <c r="Q15" i="25"/>
  <c r="Q14" i="25"/>
  <c r="Q13" i="25"/>
  <c r="Q12" i="25"/>
  <c r="Q11" i="25"/>
  <c r="Q10" i="25"/>
  <c r="Q9" i="25"/>
  <c r="Q8" i="25"/>
  <c r="Q7" i="25"/>
  <c r="N279" i="25"/>
  <c r="O279" i="25" s="1"/>
  <c r="N72" i="25"/>
  <c r="O72" i="25" s="1"/>
  <c r="N75" i="25"/>
  <c r="O75" i="25" s="1"/>
  <c r="N47" i="25"/>
  <c r="O121" i="25"/>
  <c r="N191" i="25"/>
  <c r="O191" i="25" s="1"/>
  <c r="N143" i="25"/>
  <c r="O143" i="25" s="1"/>
  <c r="N275" i="25"/>
  <c r="O275" i="25" s="1"/>
  <c r="N74" i="25"/>
  <c r="O74" i="25" s="1"/>
  <c r="N46" i="25"/>
  <c r="O46" i="25" s="1"/>
  <c r="O250" i="25"/>
  <c r="O249" i="25"/>
  <c r="O212" i="25"/>
  <c r="O200" i="25"/>
  <c r="O142" i="25"/>
  <c r="O122" i="25"/>
  <c r="O73" i="25"/>
  <c r="N205" i="25"/>
  <c r="N51" i="25"/>
  <c r="N71" i="25"/>
  <c r="O71" i="25" s="1"/>
  <c r="N288" i="25"/>
  <c r="O288" i="25" s="1"/>
  <c r="N262" i="25"/>
  <c r="O262" i="25" s="1"/>
  <c r="N261" i="25"/>
  <c r="O261" i="25" s="1"/>
  <c r="N218" i="25"/>
  <c r="O218" i="25" s="1"/>
  <c r="N217" i="25"/>
  <c r="O217" i="25" s="1"/>
  <c r="N221" i="25" l="1"/>
  <c r="O221" i="25" s="1"/>
  <c r="N220" i="25"/>
  <c r="O220" i="25" s="1"/>
  <c r="N219" i="25"/>
  <c r="O219" i="25" s="1"/>
  <c r="N216" i="25"/>
  <c r="O216" i="25" s="1"/>
  <c r="N215" i="25"/>
  <c r="O215" i="25" s="1"/>
  <c r="N214" i="25"/>
  <c r="O214" i="25" s="1"/>
  <c r="N213" i="25"/>
  <c r="O213" i="25" s="1"/>
  <c r="N240" i="25" l="1"/>
  <c r="O240" i="25" s="1"/>
  <c r="O239" i="25"/>
  <c r="N238" i="25"/>
  <c r="O238" i="25" s="1"/>
  <c r="N237" i="25"/>
  <c r="O237" i="25" s="1"/>
  <c r="N236" i="25"/>
  <c r="O236" i="25" s="1"/>
  <c r="N235" i="25"/>
  <c r="O235" i="25" s="1"/>
  <c r="N234" i="25"/>
  <c r="O234" i="25" s="1"/>
  <c r="O233" i="25"/>
  <c r="N232" i="25"/>
  <c r="O232" i="25" s="1"/>
  <c r="N231" i="25"/>
  <c r="O231" i="25" s="1"/>
  <c r="N230" i="25"/>
  <c r="O230" i="25" s="1"/>
  <c r="N229" i="25"/>
  <c r="O229" i="25" s="1"/>
  <c r="N228" i="25"/>
  <c r="O228" i="25" s="1"/>
  <c r="O227" i="25"/>
  <c r="N226" i="25"/>
  <c r="O226" i="25" s="1"/>
  <c r="N225" i="25"/>
  <c r="O225" i="25" s="1"/>
  <c r="N224" i="25"/>
  <c r="O224" i="25" s="1"/>
  <c r="N223" i="25"/>
  <c r="O223" i="25" s="1"/>
  <c r="C240" i="25" l="1"/>
  <c r="C239" i="25"/>
  <c r="C238" i="25"/>
  <c r="C237" i="25"/>
  <c r="C236" i="25"/>
  <c r="C235" i="25"/>
  <c r="C234" i="25"/>
  <c r="C233" i="25"/>
  <c r="C232" i="25"/>
  <c r="C231" i="25"/>
  <c r="C230" i="25"/>
  <c r="C229" i="25"/>
  <c r="C228" i="25"/>
  <c r="C227" i="25"/>
  <c r="C226" i="25"/>
  <c r="C225" i="25"/>
  <c r="C224" i="25"/>
  <c r="C223" i="25"/>
  <c r="C143" i="25" l="1"/>
  <c r="C142" i="25"/>
  <c r="N22" i="25" l="1"/>
  <c r="O22" i="25" s="1"/>
  <c r="C22" i="25"/>
  <c r="N127" i="25" l="1"/>
  <c r="O127" i="25" s="1"/>
  <c r="C127" i="25"/>
  <c r="N126" i="25"/>
  <c r="O126" i="25" s="1"/>
  <c r="C126" i="25"/>
  <c r="O124" i="25"/>
  <c r="C124" i="25"/>
  <c r="N199" i="25"/>
  <c r="O199" i="25" s="1"/>
  <c r="C199" i="25"/>
  <c r="N198" i="25"/>
  <c r="O198" i="25" s="1"/>
  <c r="C198" i="25"/>
  <c r="N197" i="25"/>
  <c r="O197" i="25" s="1"/>
  <c r="C197" i="25"/>
  <c r="O195" i="25"/>
  <c r="C195" i="25"/>
  <c r="N193" i="25"/>
  <c r="O193" i="25" s="1"/>
  <c r="C193" i="25"/>
  <c r="N254" i="25" l="1"/>
  <c r="O254" i="25" s="1"/>
  <c r="N252" i="25"/>
  <c r="O252" i="25" s="1"/>
  <c r="N251" i="25"/>
  <c r="O251" i="25" s="1"/>
  <c r="O253" i="25"/>
  <c r="C254" i="25"/>
  <c r="C253" i="25"/>
  <c r="C252" i="25"/>
  <c r="C251" i="25"/>
  <c r="C288" i="25"/>
  <c r="N287" i="25"/>
  <c r="O287" i="25" s="1"/>
  <c r="C287" i="25"/>
  <c r="N285" i="25"/>
  <c r="O285" i="25" s="1"/>
  <c r="C285" i="25"/>
  <c r="N283" i="25"/>
  <c r="O283" i="25" s="1"/>
  <c r="C283" i="25"/>
  <c r="N281" i="25"/>
  <c r="O281" i="25" s="1"/>
  <c r="C281" i="25"/>
  <c r="C261" i="25"/>
  <c r="N260" i="25"/>
  <c r="O260" i="25" s="1"/>
  <c r="C260" i="25"/>
  <c r="O258" i="25"/>
  <c r="C258" i="25"/>
  <c r="N256" i="25"/>
  <c r="O256" i="25" s="1"/>
  <c r="C256" i="25"/>
  <c r="C249" i="25"/>
  <c r="N248" i="25"/>
  <c r="O248" i="25" s="1"/>
  <c r="C248" i="25"/>
  <c r="N246" i="25"/>
  <c r="O246" i="25" s="1"/>
  <c r="C246" i="25"/>
  <c r="O244" i="25"/>
  <c r="C244" i="25"/>
  <c r="N242" i="25"/>
  <c r="O242" i="25" s="1"/>
  <c r="C242" i="25"/>
  <c r="N177" i="25"/>
  <c r="O177" i="25" s="1"/>
  <c r="C177" i="25"/>
  <c r="N176" i="25"/>
  <c r="O176" i="25" s="1"/>
  <c r="C176" i="25"/>
  <c r="N173" i="25"/>
  <c r="O173" i="25" s="1"/>
  <c r="C173" i="25"/>
  <c r="N172" i="25"/>
  <c r="O172" i="25" s="1"/>
  <c r="C172" i="25"/>
  <c r="N170" i="25"/>
  <c r="O170" i="25" s="1"/>
  <c r="C170" i="25"/>
  <c r="C122" i="25"/>
  <c r="N120" i="25"/>
  <c r="O120" i="25" s="1"/>
  <c r="C120" i="25"/>
  <c r="O118" i="25"/>
  <c r="C118" i="25"/>
  <c r="N116" i="25"/>
  <c r="O116" i="25" s="1"/>
  <c r="C116" i="25"/>
  <c r="N107" i="25"/>
  <c r="O107" i="25" s="1"/>
  <c r="C107" i="25"/>
  <c r="N106" i="25"/>
  <c r="O106" i="25" s="1"/>
  <c r="C106" i="25"/>
  <c r="N104" i="25"/>
  <c r="O104" i="25" s="1"/>
  <c r="C104" i="25"/>
  <c r="N102" i="25"/>
  <c r="O102" i="25" s="1"/>
  <c r="C102" i="25"/>
  <c r="N100" i="25"/>
  <c r="O100" i="25" s="1"/>
  <c r="N98" i="25"/>
  <c r="O98" i="25" s="1"/>
  <c r="C100" i="25"/>
  <c r="C98" i="25"/>
  <c r="C262" i="25" l="1"/>
  <c r="C250" i="25"/>
  <c r="C121" i="25"/>
  <c r="C279" i="25" l="1"/>
  <c r="C275" i="25" l="1"/>
  <c r="C191" i="25"/>
  <c r="C212" i="25" l="1"/>
  <c r="C46" i="25" l="1"/>
  <c r="C75" i="25" l="1"/>
  <c r="C74" i="25"/>
  <c r="C73" i="25"/>
  <c r="C72" i="25"/>
  <c r="C71" i="25"/>
  <c r="N297" i="25" l="1"/>
  <c r="O297" i="25" s="1"/>
  <c r="C297" i="25"/>
  <c r="O296" i="25"/>
  <c r="C296" i="25"/>
  <c r="N295" i="25"/>
  <c r="O295" i="25" s="1"/>
  <c r="C295" i="25"/>
  <c r="N294" i="25"/>
  <c r="O294" i="25" s="1"/>
  <c r="C294" i="25"/>
  <c r="N293" i="25"/>
  <c r="O293" i="25" s="1"/>
  <c r="C293" i="25"/>
  <c r="O292" i="25"/>
  <c r="C292" i="25"/>
  <c r="O291" i="25"/>
  <c r="C291" i="25"/>
  <c r="N290" i="25"/>
  <c r="O290" i="25" s="1"/>
  <c r="C290" i="25"/>
  <c r="N289" i="25"/>
  <c r="O289" i="25" s="1"/>
  <c r="C289" i="25"/>
  <c r="N286" i="25"/>
  <c r="O286" i="25" s="1"/>
  <c r="C286" i="25"/>
  <c r="N284" i="25"/>
  <c r="O284" i="25" s="1"/>
  <c r="C284" i="25"/>
  <c r="N282" i="25"/>
  <c r="O282" i="25" s="1"/>
  <c r="C282" i="25"/>
  <c r="N280" i="25"/>
  <c r="O280" i="25" s="1"/>
  <c r="C280" i="25"/>
  <c r="N278" i="25"/>
  <c r="O278" i="25" s="1"/>
  <c r="C278" i="25"/>
  <c r="O277" i="25"/>
  <c r="C277" i="25"/>
  <c r="O276" i="25"/>
  <c r="C276" i="25"/>
  <c r="N274" i="25"/>
  <c r="O274" i="25" s="1"/>
  <c r="C274" i="25"/>
  <c r="N273" i="25"/>
  <c r="O273" i="25" s="1"/>
  <c r="C273" i="25"/>
  <c r="N272" i="25"/>
  <c r="O272" i="25" s="1"/>
  <c r="C272" i="25"/>
  <c r="N271" i="25"/>
  <c r="O271" i="25" s="1"/>
  <c r="C271" i="25"/>
  <c r="N270" i="25"/>
  <c r="O270" i="25" s="1"/>
  <c r="C270" i="25"/>
  <c r="O269" i="25"/>
  <c r="C269" i="25"/>
  <c r="N268" i="25"/>
  <c r="O268" i="25" s="1"/>
  <c r="C268" i="25"/>
  <c r="N267" i="25"/>
  <c r="O267" i="25" s="1"/>
  <c r="C267" i="25"/>
  <c r="N266" i="25"/>
  <c r="O266" i="25" s="1"/>
  <c r="C266" i="25"/>
  <c r="N265" i="25"/>
  <c r="O265" i="25" s="1"/>
  <c r="C265" i="25"/>
  <c r="N264" i="25"/>
  <c r="O264" i="25" s="1"/>
  <c r="C264" i="25"/>
  <c r="N263" i="25"/>
  <c r="O263" i="25" s="1"/>
  <c r="C263" i="25"/>
  <c r="N259" i="25"/>
  <c r="O259" i="25" s="1"/>
  <c r="C259" i="25"/>
  <c r="O257" i="25"/>
  <c r="C257" i="25"/>
  <c r="N255" i="25"/>
  <c r="O255" i="25" s="1"/>
  <c r="C255" i="25"/>
  <c r="N247" i="25"/>
  <c r="O247" i="25" s="1"/>
  <c r="C247" i="25"/>
  <c r="N245" i="25"/>
  <c r="O245" i="25" s="1"/>
  <c r="C245" i="25"/>
  <c r="O243" i="25"/>
  <c r="C243" i="25"/>
  <c r="N241" i="25"/>
  <c r="O241" i="25" s="1"/>
  <c r="C241" i="25"/>
  <c r="N222" i="25"/>
  <c r="O222" i="25" s="1"/>
  <c r="C222" i="25"/>
  <c r="N211" i="25"/>
  <c r="O211" i="25" s="1"/>
  <c r="C211" i="25"/>
  <c r="N210" i="25"/>
  <c r="O210" i="25" s="1"/>
  <c r="C210" i="25"/>
  <c r="N209" i="25"/>
  <c r="O209" i="25" s="1"/>
  <c r="C209" i="25"/>
  <c r="N208" i="25"/>
  <c r="O208" i="25" s="1"/>
  <c r="C208" i="25"/>
  <c r="O207" i="25"/>
  <c r="C207" i="25"/>
  <c r="N206" i="25"/>
  <c r="O206" i="25" s="1"/>
  <c r="C206" i="25"/>
  <c r="O205" i="25"/>
  <c r="C205" i="25"/>
  <c r="N204" i="25"/>
  <c r="O204" i="25" s="1"/>
  <c r="C204" i="25"/>
  <c r="N203" i="25"/>
  <c r="O203" i="25" s="1"/>
  <c r="C203" i="25"/>
  <c r="N202" i="25"/>
  <c r="O202" i="25" s="1"/>
  <c r="C202" i="25"/>
  <c r="N201" i="25"/>
  <c r="O201" i="25" s="1"/>
  <c r="C201" i="25"/>
  <c r="C200" i="25"/>
  <c r="N196" i="25"/>
  <c r="O196" i="25" s="1"/>
  <c r="C196" i="25"/>
  <c r="O194" i="25"/>
  <c r="C194" i="25"/>
  <c r="N192" i="25"/>
  <c r="O192" i="25" s="1"/>
  <c r="C192" i="25"/>
  <c r="N190" i="25"/>
  <c r="O190" i="25" s="1"/>
  <c r="C190" i="25"/>
  <c r="N189" i="25"/>
  <c r="O189" i="25" s="1"/>
  <c r="C189" i="25"/>
  <c r="N188" i="25"/>
  <c r="O188" i="25" s="1"/>
  <c r="C188" i="25"/>
  <c r="N187" i="25"/>
  <c r="O187" i="25" s="1"/>
  <c r="C187" i="25"/>
  <c r="N186" i="25"/>
  <c r="O186" i="25" s="1"/>
  <c r="C186" i="25"/>
  <c r="N185" i="25"/>
  <c r="O185" i="25" s="1"/>
  <c r="C185" i="25"/>
  <c r="N184" i="25"/>
  <c r="O184" i="25" s="1"/>
  <c r="C184" i="25"/>
  <c r="N183" i="25"/>
  <c r="O183" i="25" s="1"/>
  <c r="C183" i="25"/>
  <c r="N182" i="25"/>
  <c r="O182" i="25" s="1"/>
  <c r="C182" i="25"/>
  <c r="N181" i="25"/>
  <c r="O181" i="25" s="1"/>
  <c r="C181" i="25"/>
  <c r="N180" i="25"/>
  <c r="O180" i="25" s="1"/>
  <c r="C180" i="25"/>
  <c r="N179" i="25"/>
  <c r="O179" i="25" s="1"/>
  <c r="C179" i="25"/>
  <c r="N178" i="25"/>
  <c r="O178" i="25" s="1"/>
  <c r="C178" i="25"/>
  <c r="N175" i="25"/>
  <c r="O175" i="25" s="1"/>
  <c r="C175" i="25"/>
  <c r="N174" i="25"/>
  <c r="O174" i="25" s="1"/>
  <c r="C174" i="25"/>
  <c r="N171" i="25"/>
  <c r="O171" i="25" s="1"/>
  <c r="C171" i="25"/>
  <c r="N169" i="25"/>
  <c r="O169" i="25" s="1"/>
  <c r="C169" i="25"/>
  <c r="N168" i="25"/>
  <c r="O168" i="25" s="1"/>
  <c r="C168" i="25"/>
  <c r="O167" i="25"/>
  <c r="C167" i="25"/>
  <c r="O166" i="25"/>
  <c r="C166" i="25"/>
  <c r="N165" i="25"/>
  <c r="O165" i="25" s="1"/>
  <c r="C165" i="25"/>
  <c r="N164" i="25"/>
  <c r="O164" i="25" s="1"/>
  <c r="C164" i="25"/>
  <c r="O163" i="25"/>
  <c r="C163" i="25"/>
  <c r="N162" i="25"/>
  <c r="O162" i="25" s="1"/>
  <c r="C162" i="25"/>
  <c r="N161" i="25"/>
  <c r="O161" i="25" s="1"/>
  <c r="C161" i="25"/>
  <c r="N160" i="25"/>
  <c r="O160" i="25" s="1"/>
  <c r="C160" i="25"/>
  <c r="N159" i="25"/>
  <c r="O159" i="25" s="1"/>
  <c r="C159" i="25"/>
  <c r="N158" i="25"/>
  <c r="O158" i="25" s="1"/>
  <c r="C158" i="25"/>
  <c r="N157" i="25"/>
  <c r="O157" i="25" s="1"/>
  <c r="C157" i="25"/>
  <c r="N156" i="25"/>
  <c r="O156" i="25" s="1"/>
  <c r="C156" i="25"/>
  <c r="O155" i="25"/>
  <c r="C155" i="25"/>
  <c r="N154" i="25"/>
  <c r="O154" i="25" s="1"/>
  <c r="C154" i="25"/>
  <c r="N153" i="25"/>
  <c r="O153" i="25" s="1"/>
  <c r="C153" i="25"/>
  <c r="N152" i="25"/>
  <c r="O152" i="25" s="1"/>
  <c r="C152" i="25"/>
  <c r="N151" i="25"/>
  <c r="O151" i="25" s="1"/>
  <c r="C151" i="25"/>
  <c r="N150" i="25"/>
  <c r="O150" i="25" s="1"/>
  <c r="C150" i="25"/>
  <c r="N149" i="25"/>
  <c r="O149" i="25" s="1"/>
  <c r="C149" i="25"/>
  <c r="N148" i="25"/>
  <c r="O148" i="25" s="1"/>
  <c r="C148" i="25"/>
  <c r="N147" i="25"/>
  <c r="O147" i="25" s="1"/>
  <c r="C147" i="25"/>
  <c r="O146" i="25"/>
  <c r="C146" i="25"/>
  <c r="N145" i="25"/>
  <c r="O145" i="25" s="1"/>
  <c r="C145" i="25"/>
  <c r="O144" i="25"/>
  <c r="C144" i="25"/>
  <c r="N141" i="25"/>
  <c r="O141" i="25" s="1"/>
  <c r="C141" i="25"/>
  <c r="N140" i="25"/>
  <c r="O140" i="25" s="1"/>
  <c r="C140" i="25"/>
  <c r="N139" i="25"/>
  <c r="O139" i="25" s="1"/>
  <c r="C139" i="25"/>
  <c r="N138" i="25"/>
  <c r="O138" i="25" s="1"/>
  <c r="C138" i="25"/>
  <c r="N137" i="25"/>
  <c r="O137" i="25" s="1"/>
  <c r="C137" i="25"/>
  <c r="N136" i="25"/>
  <c r="O136" i="25" s="1"/>
  <c r="C136" i="25"/>
  <c r="N135" i="25"/>
  <c r="O135" i="25" s="1"/>
  <c r="C135" i="25"/>
  <c r="O134" i="25"/>
  <c r="C134" i="25"/>
  <c r="O133" i="25"/>
  <c r="C133" i="25"/>
  <c r="N132" i="25"/>
  <c r="O132" i="25" s="1"/>
  <c r="C132" i="25"/>
  <c r="N131" i="25"/>
  <c r="O131" i="25" s="1"/>
  <c r="C131" i="25"/>
  <c r="N130" i="25"/>
  <c r="O130" i="25" s="1"/>
  <c r="C130" i="25"/>
  <c r="N129" i="25"/>
  <c r="O129" i="25" s="1"/>
  <c r="C129" i="25"/>
  <c r="N128" i="25"/>
  <c r="O128" i="25" s="1"/>
  <c r="C128" i="25"/>
  <c r="N125" i="25"/>
  <c r="O125" i="25" s="1"/>
  <c r="C125" i="25"/>
  <c r="O123" i="25"/>
  <c r="C123" i="25"/>
  <c r="N119" i="25"/>
  <c r="O119" i="25" s="1"/>
  <c r="C119" i="25"/>
  <c r="O117" i="25"/>
  <c r="C117" i="25"/>
  <c r="N115" i="25"/>
  <c r="O115" i="25" s="1"/>
  <c r="C115" i="25"/>
  <c r="N114" i="25"/>
  <c r="O114" i="25" s="1"/>
  <c r="C114" i="25"/>
  <c r="N113" i="25"/>
  <c r="O113" i="25" s="1"/>
  <c r="C113" i="25"/>
  <c r="N112" i="25"/>
  <c r="O112" i="25" s="1"/>
  <c r="C112" i="25"/>
  <c r="O111" i="25"/>
  <c r="C111" i="25"/>
  <c r="N110" i="25"/>
  <c r="O110" i="25" s="1"/>
  <c r="C110" i="25"/>
  <c r="N109" i="25"/>
  <c r="O109" i="25" s="1"/>
  <c r="C109" i="25"/>
  <c r="N108" i="25"/>
  <c r="O108" i="25" s="1"/>
  <c r="C108" i="25"/>
  <c r="N105" i="25"/>
  <c r="O105" i="25" s="1"/>
  <c r="C105" i="25"/>
  <c r="N103" i="25"/>
  <c r="O103" i="25" s="1"/>
  <c r="C103" i="25"/>
  <c r="N101" i="25"/>
  <c r="O101" i="25" s="1"/>
  <c r="C101" i="25"/>
  <c r="N99" i="25"/>
  <c r="O99" i="25" s="1"/>
  <c r="C99" i="25"/>
  <c r="N97" i="25"/>
  <c r="O97" i="25" s="1"/>
  <c r="C97" i="25"/>
  <c r="N96" i="25"/>
  <c r="O96" i="25" s="1"/>
  <c r="C96" i="25"/>
  <c r="N95" i="25"/>
  <c r="O95" i="25" s="1"/>
  <c r="C95" i="25"/>
  <c r="N94" i="25"/>
  <c r="O94" i="25" s="1"/>
  <c r="C94" i="25"/>
  <c r="N93" i="25"/>
  <c r="O93" i="25" s="1"/>
  <c r="C93" i="25"/>
  <c r="O92" i="25"/>
  <c r="C92" i="25"/>
  <c r="O91" i="25"/>
  <c r="C91" i="25"/>
  <c r="N90" i="25"/>
  <c r="O90" i="25" s="1"/>
  <c r="C90" i="25"/>
  <c r="N89" i="25"/>
  <c r="O89" i="25" s="1"/>
  <c r="C89" i="25"/>
  <c r="N88" i="25"/>
  <c r="O88" i="25" s="1"/>
  <c r="C88" i="25"/>
  <c r="N87" i="25"/>
  <c r="O87" i="25" s="1"/>
  <c r="C87" i="25"/>
  <c r="N86" i="25"/>
  <c r="O86" i="25" s="1"/>
  <c r="C86" i="25"/>
  <c r="N85" i="25"/>
  <c r="O85" i="25" s="1"/>
  <c r="C85" i="25"/>
  <c r="N84" i="25"/>
  <c r="O84" i="25" s="1"/>
  <c r="C84" i="25"/>
  <c r="N83" i="25"/>
  <c r="O83" i="25" s="1"/>
  <c r="C83" i="25"/>
  <c r="O82" i="25"/>
  <c r="M82" i="25"/>
  <c r="C82" i="25"/>
  <c r="N81" i="25"/>
  <c r="O81" i="25" s="1"/>
  <c r="C81" i="25"/>
  <c r="N80" i="25"/>
  <c r="O80" i="25" s="1"/>
  <c r="C80" i="25"/>
  <c r="N79" i="25"/>
  <c r="O79" i="25" s="1"/>
  <c r="C79" i="25"/>
  <c r="N78" i="25"/>
  <c r="O78" i="25" s="1"/>
  <c r="C78" i="25"/>
  <c r="N77" i="25"/>
  <c r="O77" i="25" s="1"/>
  <c r="C77" i="25"/>
  <c r="O76" i="25"/>
  <c r="C76" i="25"/>
  <c r="N70" i="25"/>
  <c r="O70" i="25" s="1"/>
  <c r="C70" i="25"/>
  <c r="N69" i="25"/>
  <c r="O69" i="25" s="1"/>
  <c r="C69" i="25"/>
  <c r="N68" i="25"/>
  <c r="O68" i="25" s="1"/>
  <c r="C68" i="25"/>
  <c r="N67" i="25"/>
  <c r="O67" i="25" s="1"/>
  <c r="C67" i="25"/>
  <c r="N66" i="25"/>
  <c r="O66" i="25" s="1"/>
  <c r="C66" i="25"/>
  <c r="N65" i="25"/>
  <c r="O65" i="25" s="1"/>
  <c r="C65" i="25"/>
  <c r="N64" i="25"/>
  <c r="O64" i="25" s="1"/>
  <c r="C64" i="25"/>
  <c r="N63" i="25"/>
  <c r="O63" i="25" s="1"/>
  <c r="C63" i="25"/>
  <c r="N62" i="25"/>
  <c r="O62" i="25" s="1"/>
  <c r="C62" i="25"/>
  <c r="N61" i="25"/>
  <c r="O61" i="25" s="1"/>
  <c r="C61" i="25"/>
  <c r="N60" i="25"/>
  <c r="O60" i="25" s="1"/>
  <c r="C60" i="25"/>
  <c r="O59" i="25"/>
  <c r="C59" i="25"/>
  <c r="O58" i="25"/>
  <c r="C58" i="25"/>
  <c r="N57" i="25"/>
  <c r="O57" i="25" s="1"/>
  <c r="C57" i="25"/>
  <c r="N56" i="25"/>
  <c r="O56" i="25" s="1"/>
  <c r="C56" i="25"/>
  <c r="N55" i="25"/>
  <c r="O55" i="25" s="1"/>
  <c r="C55" i="25"/>
  <c r="N54" i="25"/>
  <c r="O54" i="25" s="1"/>
  <c r="C54" i="25"/>
  <c r="N53" i="25"/>
  <c r="O53" i="25" s="1"/>
  <c r="C53" i="25"/>
  <c r="O52" i="25"/>
  <c r="C52" i="25"/>
  <c r="O51" i="25"/>
  <c r="C51" i="25"/>
  <c r="N50" i="25"/>
  <c r="O50" i="25" s="1"/>
  <c r="C50" i="25"/>
  <c r="N49" i="25"/>
  <c r="O49" i="25" s="1"/>
  <c r="C49" i="25"/>
  <c r="N48" i="25"/>
  <c r="O48" i="25" s="1"/>
  <c r="C48" i="25"/>
  <c r="O47" i="25"/>
  <c r="C47" i="25"/>
  <c r="N45" i="25"/>
  <c r="O45" i="25" s="1"/>
  <c r="C45" i="25"/>
  <c r="N44" i="25"/>
  <c r="O44" i="25" s="1"/>
  <c r="C44" i="25"/>
  <c r="N43" i="25"/>
  <c r="O43" i="25" s="1"/>
  <c r="C43" i="25"/>
  <c r="O42" i="25"/>
  <c r="C42" i="25"/>
  <c r="N41" i="25"/>
  <c r="O41" i="25" s="1"/>
  <c r="C41" i="25"/>
  <c r="N40" i="25"/>
  <c r="O40" i="25" s="1"/>
  <c r="C40" i="25"/>
  <c r="N39" i="25"/>
  <c r="O39" i="25" s="1"/>
  <c r="C39" i="25"/>
  <c r="N38" i="25"/>
  <c r="O38" i="25" s="1"/>
  <c r="C38" i="25"/>
  <c r="N37" i="25"/>
  <c r="O37" i="25" s="1"/>
  <c r="C37" i="25"/>
  <c r="O36" i="25"/>
  <c r="C36" i="25"/>
  <c r="N35" i="25"/>
  <c r="O35" i="25" s="1"/>
  <c r="C35" i="25"/>
  <c r="N34" i="25"/>
  <c r="O34" i="25" s="1"/>
  <c r="C34" i="25"/>
  <c r="N33" i="25"/>
  <c r="O33" i="25" s="1"/>
  <c r="C33" i="25"/>
  <c r="N32" i="25"/>
  <c r="O32" i="25" s="1"/>
  <c r="C32" i="25"/>
  <c r="N31" i="25"/>
  <c r="O31" i="25" s="1"/>
  <c r="C31" i="25"/>
  <c r="N30" i="25"/>
  <c r="O30" i="25" s="1"/>
  <c r="C30" i="25"/>
  <c r="N29" i="25"/>
  <c r="O29" i="25" s="1"/>
  <c r="C29" i="25"/>
  <c r="N28" i="25"/>
  <c r="O28" i="25" s="1"/>
  <c r="C28" i="25"/>
  <c r="O27" i="25"/>
  <c r="C27" i="25"/>
  <c r="O26" i="25"/>
  <c r="C26" i="25"/>
  <c r="O25" i="25"/>
  <c r="C25" i="25"/>
  <c r="O24" i="25"/>
  <c r="C24" i="25"/>
  <c r="N23" i="25"/>
  <c r="O23" i="25" s="1"/>
  <c r="C23" i="25"/>
  <c r="O21" i="25"/>
  <c r="C21" i="25"/>
  <c r="O20" i="25"/>
  <c r="C20" i="25"/>
  <c r="O19" i="25"/>
  <c r="C19" i="25"/>
  <c r="O18" i="25"/>
  <c r="C18" i="25"/>
  <c r="N17" i="25"/>
  <c r="O17" i="25" s="1"/>
  <c r="C17" i="25"/>
  <c r="N16" i="25"/>
  <c r="O16" i="25" s="1"/>
  <c r="C16" i="25"/>
  <c r="N15" i="25"/>
  <c r="O15" i="25" s="1"/>
  <c r="C15" i="25"/>
  <c r="N14" i="25"/>
  <c r="O14" i="25" s="1"/>
  <c r="C14" i="25"/>
  <c r="O13" i="25"/>
  <c r="C13" i="25"/>
  <c r="N12" i="25"/>
  <c r="O12" i="25" s="1"/>
  <c r="C12" i="25"/>
  <c r="N11" i="25"/>
  <c r="O11" i="25" s="1"/>
  <c r="C11" i="25"/>
  <c r="N10" i="25"/>
  <c r="O10" i="25" s="1"/>
  <c r="C10" i="25"/>
  <c r="O9" i="25"/>
  <c r="C9" i="25"/>
  <c r="O8" i="25"/>
  <c r="C8" i="25"/>
  <c r="N7" i="25"/>
  <c r="O7" i="25" s="1"/>
  <c r="C7" i="25"/>
  <c r="Q6" i="25"/>
  <c r="N6" i="25"/>
  <c r="O6" i="25" s="1"/>
  <c r="C6" i="25"/>
  <c r="L4" i="25"/>
  <c r="J4" i="25"/>
  <c r="N60" i="24"/>
  <c r="O60" i="24" s="1"/>
  <c r="N44" i="24"/>
  <c r="O44" i="24" s="1"/>
  <c r="N129" i="24"/>
  <c r="N214" i="24"/>
  <c r="O214" i="24" s="1"/>
  <c r="N37" i="24"/>
  <c r="O37" i="24" s="1"/>
  <c r="O227" i="24"/>
  <c r="N40" i="24"/>
  <c r="N55" i="24"/>
  <c r="M75" i="24"/>
  <c r="O57" i="24"/>
  <c r="N178" i="24"/>
  <c r="O178" i="24" s="1"/>
  <c r="N177" i="24"/>
  <c r="O177" i="24" s="1"/>
  <c r="N176" i="24"/>
  <c r="O176" i="24" s="1"/>
  <c r="N244" i="24"/>
  <c r="O244" i="24" s="1"/>
  <c r="N226" i="24"/>
  <c r="O226" i="24" s="1"/>
  <c r="N222" i="24"/>
  <c r="O222" i="24" s="1"/>
  <c r="N191" i="24"/>
  <c r="O191" i="24" s="1"/>
  <c r="N169" i="24"/>
  <c r="O169" i="24" s="1"/>
  <c r="N166" i="24"/>
  <c r="O166" i="24" s="1"/>
  <c r="N116" i="24"/>
  <c r="O116" i="24" s="1"/>
  <c r="N93" i="24"/>
  <c r="O93" i="24" s="1"/>
  <c r="N91" i="24"/>
  <c r="O91" i="24" s="1"/>
  <c r="N10" i="24"/>
  <c r="O10" i="24" s="1"/>
  <c r="N62" i="24"/>
  <c r="O62" i="24" s="1"/>
  <c r="N49" i="24"/>
  <c r="O49" i="24" s="1"/>
  <c r="N34" i="24"/>
  <c r="O34" i="24" s="1"/>
  <c r="N103" i="24"/>
  <c r="O103" i="24" s="1"/>
  <c r="N109" i="24"/>
  <c r="O109" i="24" s="1"/>
  <c r="N128" i="24"/>
  <c r="O128" i="24" s="1"/>
  <c r="N144" i="24"/>
  <c r="O144" i="24" s="1"/>
  <c r="N153" i="24"/>
  <c r="O153" i="24" s="1"/>
  <c r="N174" i="24"/>
  <c r="O174" i="24" s="1"/>
  <c r="N188" i="24"/>
  <c r="O188" i="24" s="1"/>
  <c r="N199" i="24"/>
  <c r="O199" i="24" s="1"/>
  <c r="N231" i="24"/>
  <c r="O231" i="24" s="1"/>
  <c r="N252" i="24"/>
  <c r="N14" i="24"/>
  <c r="O14" i="24" s="1"/>
  <c r="N168" i="24"/>
  <c r="O168" i="24" s="1"/>
  <c r="N155" i="24"/>
  <c r="O155" i="24" s="1"/>
  <c r="N145" i="24"/>
  <c r="O145" i="24" s="1"/>
  <c r="N130" i="24"/>
  <c r="O130" i="24" s="1"/>
  <c r="N51" i="24"/>
  <c r="O51" i="24" s="1"/>
  <c r="O250" i="24"/>
  <c r="O242" i="24"/>
  <c r="O157" i="24"/>
  <c r="O127" i="24"/>
  <c r="O24" i="24"/>
  <c r="O19" i="24"/>
  <c r="O135" i="24"/>
  <c r="O201" i="24"/>
  <c r="O235" i="24"/>
  <c r="O223" i="24"/>
  <c r="O192" i="24"/>
  <c r="O160" i="24"/>
  <c r="O161" i="24"/>
  <c r="O162" i="24"/>
  <c r="O119" i="24"/>
  <c r="O117" i="24"/>
  <c r="O86" i="24"/>
  <c r="N45" i="24"/>
  <c r="N240" i="24"/>
  <c r="O240" i="24" s="1"/>
  <c r="N190" i="24"/>
  <c r="O190" i="24" s="1"/>
  <c r="N189" i="24"/>
  <c r="O189" i="24" s="1"/>
  <c r="N245" i="24"/>
  <c r="O245" i="24" s="1"/>
  <c r="N221" i="24"/>
  <c r="O221" i="24" s="1"/>
  <c r="N216" i="24"/>
  <c r="O216" i="24" s="1"/>
  <c r="N211" i="24"/>
  <c r="O211" i="24" s="1"/>
  <c r="N204" i="24"/>
  <c r="O204" i="24" s="1"/>
  <c r="N159" i="24"/>
  <c r="O159" i="24" s="1"/>
  <c r="N224" i="24"/>
  <c r="O224" i="24" s="1"/>
  <c r="N194" i="24"/>
  <c r="O194" i="24" s="1"/>
  <c r="N121" i="24"/>
  <c r="O121" i="24" s="1"/>
  <c r="N238" i="24"/>
  <c r="O238" i="24" s="1"/>
  <c r="N217" i="24"/>
  <c r="O217" i="24" s="1"/>
  <c r="N212" i="24"/>
  <c r="O212" i="24" s="1"/>
  <c r="N207" i="24"/>
  <c r="O207" i="24" s="1"/>
  <c r="N205" i="24"/>
  <c r="O205" i="24" s="1"/>
  <c r="N186" i="24"/>
  <c r="O186" i="24" s="1"/>
  <c r="N181" i="24"/>
  <c r="O181" i="24" s="1"/>
  <c r="N180" i="24"/>
  <c r="O180" i="24" s="1"/>
  <c r="N179" i="24"/>
  <c r="O179" i="24" s="1"/>
  <c r="N134" i="24"/>
  <c r="O134" i="24" s="1"/>
  <c r="N96" i="24"/>
  <c r="O96" i="24" s="1"/>
  <c r="N237" i="24"/>
  <c r="O237" i="24" s="1"/>
  <c r="N218" i="24"/>
  <c r="O218" i="24" s="1"/>
  <c r="N213" i="24"/>
  <c r="O213" i="24" s="1"/>
  <c r="N208" i="24"/>
  <c r="O208" i="24" s="1"/>
  <c r="N200" i="24"/>
  <c r="O200" i="24" s="1"/>
  <c r="N185" i="24"/>
  <c r="O185" i="24" s="1"/>
  <c r="N175" i="24"/>
  <c r="O175" i="24" s="1"/>
  <c r="N115" i="24"/>
  <c r="O115" i="24" s="1"/>
  <c r="N114" i="24"/>
  <c r="O114" i="24" s="1"/>
  <c r="N113" i="24"/>
  <c r="O113" i="24" s="1"/>
  <c r="N112" i="24"/>
  <c r="O112" i="24" s="1"/>
  <c r="N111" i="24"/>
  <c r="O111" i="24" s="1"/>
  <c r="N110" i="24"/>
  <c r="O110" i="24" s="1"/>
  <c r="N247" i="24"/>
  <c r="O247" i="24" s="1"/>
  <c r="N219" i="24"/>
  <c r="O219" i="24" s="1"/>
  <c r="N209" i="24"/>
  <c r="O209" i="24" s="1"/>
  <c r="N95" i="24"/>
  <c r="O95" i="24" s="1"/>
  <c r="N246" i="24"/>
  <c r="O246" i="24" s="1"/>
  <c r="N239" i="24"/>
  <c r="O239" i="24" s="1"/>
  <c r="N220" i="24"/>
  <c r="O220" i="24" s="1"/>
  <c r="N215" i="24"/>
  <c r="O215" i="24" s="1"/>
  <c r="N210" i="24"/>
  <c r="O210" i="24" s="1"/>
  <c r="N203" i="24"/>
  <c r="O203" i="24" s="1"/>
  <c r="N187" i="24"/>
  <c r="O187" i="24" s="1"/>
  <c r="N183" i="24"/>
  <c r="O183" i="24" s="1"/>
  <c r="N182" i="24"/>
  <c r="O182" i="24" s="1"/>
  <c r="N165" i="24"/>
  <c r="O165" i="24" s="1"/>
  <c r="N164" i="24"/>
  <c r="O164" i="24" s="1"/>
  <c r="N163" i="24"/>
  <c r="O163" i="24" s="1"/>
  <c r="N132" i="24"/>
  <c r="O132" i="24" s="1"/>
  <c r="N94" i="24"/>
  <c r="O94" i="24" s="1"/>
  <c r="N90" i="24"/>
  <c r="N228" i="24"/>
  <c r="O228" i="24" s="1"/>
  <c r="N225" i="24"/>
  <c r="O225" i="24" s="1"/>
  <c r="N193" i="24"/>
  <c r="O193" i="24" s="1"/>
  <c r="N170" i="24"/>
  <c r="O170" i="24" s="1"/>
  <c r="N167" i="24"/>
  <c r="O167" i="24" s="1"/>
  <c r="N120" i="24"/>
  <c r="O120" i="24" s="1"/>
  <c r="N118" i="24"/>
  <c r="O118" i="24" s="1"/>
  <c r="N92" i="24"/>
  <c r="O92" i="24" s="1"/>
  <c r="N12" i="24"/>
  <c r="N68" i="24"/>
  <c r="O68" i="24" s="1"/>
  <c r="N67" i="24"/>
  <c r="O67" i="24" s="1"/>
  <c r="N66" i="24"/>
  <c r="O66" i="24" s="1"/>
  <c r="N65" i="24"/>
  <c r="O65" i="24" s="1"/>
  <c r="N43" i="24"/>
  <c r="O43" i="24" s="1"/>
  <c r="N42" i="24"/>
  <c r="O42" i="24" s="1"/>
  <c r="N16" i="24"/>
  <c r="O16" i="24" s="1"/>
  <c r="N15" i="24"/>
  <c r="O15" i="24" s="1"/>
  <c r="C76" i="24"/>
  <c r="C145" i="24"/>
  <c r="N4" i="25" l="1"/>
  <c r="O4" i="25"/>
  <c r="C235" i="24"/>
  <c r="C86" i="24" l="1"/>
  <c r="C121" i="24" l="1"/>
  <c r="C120" i="24"/>
  <c r="C119" i="24"/>
  <c r="C194" i="24"/>
  <c r="C193" i="24"/>
  <c r="C192" i="24"/>
  <c r="C191" i="24"/>
  <c r="C247" i="24" l="1"/>
  <c r="C246" i="24"/>
  <c r="C245" i="24"/>
  <c r="C244" i="24"/>
  <c r="C228" i="24"/>
  <c r="C227" i="24"/>
  <c r="C226" i="24"/>
  <c r="C225" i="24"/>
  <c r="C224" i="24"/>
  <c r="C223" i="24"/>
  <c r="C222" i="24"/>
  <c r="C170" i="24"/>
  <c r="C169" i="24"/>
  <c r="C168" i="24"/>
  <c r="C167" i="24"/>
  <c r="C166" i="24"/>
  <c r="C118" i="24"/>
  <c r="C117" i="24"/>
  <c r="C116" i="24"/>
  <c r="C96" i="24"/>
  <c r="C95" i="24"/>
  <c r="C94" i="24"/>
  <c r="C93" i="24"/>
  <c r="C92" i="24"/>
  <c r="C91" i="24"/>
  <c r="C16" i="24" l="1"/>
  <c r="C15" i="24"/>
  <c r="C115" i="24" l="1"/>
  <c r="C114" i="24"/>
  <c r="C113" i="24"/>
  <c r="C221" i="24" l="1"/>
  <c r="C220" i="24"/>
  <c r="C219" i="24"/>
  <c r="C218" i="24"/>
  <c r="C217" i="24"/>
  <c r="C216" i="24" l="1"/>
  <c r="C215" i="24"/>
  <c r="C214" i="24"/>
  <c r="C213" i="24"/>
  <c r="C212" i="24"/>
  <c r="C211" i="24" l="1"/>
  <c r="C210" i="24"/>
  <c r="C209" i="24"/>
  <c r="C208" i="24"/>
  <c r="C207" i="24" l="1"/>
  <c r="C229" i="24"/>
  <c r="C112" i="24"/>
  <c r="C111" i="24"/>
  <c r="C110" i="24"/>
  <c r="C181" i="24" l="1"/>
  <c r="C180" i="24"/>
  <c r="C179" i="24"/>
  <c r="C178" i="24"/>
  <c r="C177" i="24"/>
  <c r="C183" i="24"/>
  <c r="C182" i="24"/>
  <c r="C176" i="24"/>
  <c r="C240" i="24"/>
  <c r="C190" i="24"/>
  <c r="C189" i="24"/>
  <c r="C188" i="24"/>
  <c r="C185" i="24"/>
  <c r="C44" i="24" l="1"/>
  <c r="C43" i="24"/>
  <c r="C42" i="24"/>
  <c r="C68" i="24" l="1"/>
  <c r="C67" i="24"/>
  <c r="C66" i="24"/>
  <c r="C65" i="24"/>
  <c r="Q258" i="24" l="1"/>
  <c r="N258" i="24"/>
  <c r="O258" i="24" s="1"/>
  <c r="C258" i="24"/>
  <c r="Q257" i="24"/>
  <c r="O257" i="24"/>
  <c r="C257" i="24"/>
  <c r="Q256" i="24"/>
  <c r="O256" i="24"/>
  <c r="C256" i="24"/>
  <c r="Q255" i="24"/>
  <c r="O255" i="24"/>
  <c r="C255" i="24"/>
  <c r="Q254" i="24"/>
  <c r="N254" i="24"/>
  <c r="O254" i="24" s="1"/>
  <c r="C254" i="24"/>
  <c r="Q253" i="24"/>
  <c r="N253" i="24"/>
  <c r="O253" i="24" s="1"/>
  <c r="C253" i="24"/>
  <c r="Q252" i="24"/>
  <c r="O252" i="24"/>
  <c r="C252" i="24"/>
  <c r="Q251" i="24"/>
  <c r="O251" i="24"/>
  <c r="C251" i="24"/>
  <c r="Q250" i="24"/>
  <c r="C250" i="24"/>
  <c r="Q249" i="24"/>
  <c r="N249" i="24"/>
  <c r="O249" i="24" s="1"/>
  <c r="C249" i="24"/>
  <c r="Q248" i="24"/>
  <c r="N248" i="24"/>
  <c r="O248" i="24" s="1"/>
  <c r="C248" i="24"/>
  <c r="Q243" i="24"/>
  <c r="N243" i="24"/>
  <c r="O243" i="24" s="1"/>
  <c r="C243" i="24"/>
  <c r="Q242" i="24"/>
  <c r="C242" i="24"/>
  <c r="Q241" i="24"/>
  <c r="O241" i="24"/>
  <c r="C241" i="24"/>
  <c r="Q237" i="24"/>
  <c r="C237" i="24"/>
  <c r="Q239" i="24"/>
  <c r="C239" i="24"/>
  <c r="Q238" i="24"/>
  <c r="C238" i="24"/>
  <c r="Q236" i="24"/>
  <c r="N236" i="24"/>
  <c r="O236" i="24" s="1"/>
  <c r="C236" i="24"/>
  <c r="Q234" i="24"/>
  <c r="N234" i="24"/>
  <c r="O234" i="24" s="1"/>
  <c r="C234" i="24"/>
  <c r="Q233" i="24"/>
  <c r="N233" i="24"/>
  <c r="O233" i="24" s="1"/>
  <c r="C233" i="24"/>
  <c r="Q232" i="24"/>
  <c r="N232" i="24"/>
  <c r="O232" i="24" s="1"/>
  <c r="C232" i="24"/>
  <c r="Q231" i="24"/>
  <c r="C231" i="24"/>
  <c r="Q230" i="24"/>
  <c r="N230" i="24"/>
  <c r="O230" i="24" s="1"/>
  <c r="C230" i="24"/>
  <c r="Q229" i="24"/>
  <c r="N229" i="24"/>
  <c r="O229" i="24" s="1"/>
  <c r="Q206" i="24"/>
  <c r="N206" i="24"/>
  <c r="O206" i="24" s="1"/>
  <c r="C206" i="24"/>
  <c r="Q205" i="24"/>
  <c r="C205" i="24"/>
  <c r="Q204" i="24"/>
  <c r="C204" i="24"/>
  <c r="Q203" i="24"/>
  <c r="C203" i="24"/>
  <c r="Q202" i="24"/>
  <c r="N202" i="24"/>
  <c r="O202" i="24" s="1"/>
  <c r="C202" i="24"/>
  <c r="Q201" i="24"/>
  <c r="C201" i="24"/>
  <c r="Q200" i="24"/>
  <c r="C200" i="24"/>
  <c r="Q199" i="24"/>
  <c r="C199" i="24"/>
  <c r="Q198" i="24"/>
  <c r="N198" i="24"/>
  <c r="O198" i="24" s="1"/>
  <c r="C198" i="24"/>
  <c r="Q197" i="24"/>
  <c r="N197" i="24"/>
  <c r="O197" i="24" s="1"/>
  <c r="C197" i="24"/>
  <c r="Q196" i="24"/>
  <c r="N196" i="24"/>
  <c r="O196" i="24" s="1"/>
  <c r="C196" i="24"/>
  <c r="Q195" i="24"/>
  <c r="N195" i="24"/>
  <c r="O195" i="24" s="1"/>
  <c r="C195" i="24"/>
  <c r="Q186" i="24"/>
  <c r="C186" i="24"/>
  <c r="Q187" i="24"/>
  <c r="C187" i="24"/>
  <c r="Q184" i="24"/>
  <c r="N184" i="24"/>
  <c r="O184" i="24" s="1"/>
  <c r="C184" i="24"/>
  <c r="Q175" i="24"/>
  <c r="C175" i="24"/>
  <c r="Q174" i="24"/>
  <c r="C174" i="24"/>
  <c r="Q173" i="24"/>
  <c r="N173" i="24"/>
  <c r="O173" i="24" s="1"/>
  <c r="C173" i="24"/>
  <c r="Q172" i="24"/>
  <c r="N172" i="24"/>
  <c r="O172" i="24" s="1"/>
  <c r="C172" i="24"/>
  <c r="Q171" i="24"/>
  <c r="N171" i="24"/>
  <c r="O171" i="24" s="1"/>
  <c r="C171" i="24"/>
  <c r="C165" i="24"/>
  <c r="C164" i="24"/>
  <c r="C163" i="24"/>
  <c r="C162" i="24"/>
  <c r="C161" i="24"/>
  <c r="C160" i="24"/>
  <c r="C159" i="24"/>
  <c r="Q158" i="24"/>
  <c r="O158" i="24"/>
  <c r="C158" i="24"/>
  <c r="Q157" i="24"/>
  <c r="C157" i="24"/>
  <c r="Q156" i="24"/>
  <c r="N156" i="24"/>
  <c r="O156" i="24" s="1"/>
  <c r="C156" i="24"/>
  <c r="Q155" i="24"/>
  <c r="C155" i="24"/>
  <c r="Q154" i="24"/>
  <c r="O154" i="24"/>
  <c r="C154" i="24"/>
  <c r="Q153" i="24"/>
  <c r="C153" i="24"/>
  <c r="Q152" i="24"/>
  <c r="N152" i="24"/>
  <c r="O152" i="24" s="1"/>
  <c r="C152" i="24"/>
  <c r="Q151" i="24"/>
  <c r="N151" i="24"/>
  <c r="O151" i="24" s="1"/>
  <c r="C151" i="24"/>
  <c r="Q150" i="24"/>
  <c r="N150" i="24"/>
  <c r="O150" i="24" s="1"/>
  <c r="C150" i="24"/>
  <c r="Q149" i="24"/>
  <c r="N149" i="24"/>
  <c r="O149" i="24" s="1"/>
  <c r="C149" i="24"/>
  <c r="Q148" i="24"/>
  <c r="N148" i="24"/>
  <c r="O148" i="24" s="1"/>
  <c r="C148" i="24"/>
  <c r="Q147" i="24"/>
  <c r="N147" i="24"/>
  <c r="O147" i="24" s="1"/>
  <c r="C147" i="24"/>
  <c r="Q146" i="24"/>
  <c r="O146" i="24"/>
  <c r="C146" i="24"/>
  <c r="Q144" i="24"/>
  <c r="C144" i="24"/>
  <c r="Q143" i="24"/>
  <c r="N143" i="24"/>
  <c r="O143" i="24" s="1"/>
  <c r="C143" i="24"/>
  <c r="Q142" i="24"/>
  <c r="N142" i="24"/>
  <c r="O142" i="24" s="1"/>
  <c r="C142" i="24"/>
  <c r="Q141" i="24"/>
  <c r="N141" i="24"/>
  <c r="O141" i="24" s="1"/>
  <c r="C141" i="24"/>
  <c r="Q140" i="24"/>
  <c r="N140" i="24"/>
  <c r="O140" i="24" s="1"/>
  <c r="C140" i="24"/>
  <c r="Q139" i="24"/>
  <c r="N139" i="24"/>
  <c r="O139" i="24" s="1"/>
  <c r="C139" i="24"/>
  <c r="Q134" i="24"/>
  <c r="C134" i="24"/>
  <c r="Q138" i="24"/>
  <c r="N138" i="24"/>
  <c r="O138" i="24" s="1"/>
  <c r="C138" i="24"/>
  <c r="Q137" i="24"/>
  <c r="O137" i="24"/>
  <c r="C137" i="24"/>
  <c r="Q133" i="24"/>
  <c r="N133" i="24"/>
  <c r="O133" i="24" s="1"/>
  <c r="C133" i="24"/>
  <c r="Q132" i="24"/>
  <c r="C132" i="24"/>
  <c r="Q131" i="24"/>
  <c r="N131" i="24"/>
  <c r="O131" i="24" s="1"/>
  <c r="C131" i="24"/>
  <c r="Q130" i="24"/>
  <c r="C130" i="24"/>
  <c r="Q136" i="24"/>
  <c r="N136" i="24"/>
  <c r="O136" i="24" s="1"/>
  <c r="C136" i="24"/>
  <c r="Q129" i="24"/>
  <c r="O129" i="24"/>
  <c r="C129" i="24"/>
  <c r="Q128" i="24"/>
  <c r="C128" i="24"/>
  <c r="Q135" i="24"/>
  <c r="C135" i="24"/>
  <c r="Q127" i="24"/>
  <c r="C127" i="24"/>
  <c r="Q126" i="24"/>
  <c r="O126" i="24"/>
  <c r="C126" i="24"/>
  <c r="Q125" i="24"/>
  <c r="N125" i="24"/>
  <c r="O125" i="24" s="1"/>
  <c r="C125" i="24"/>
  <c r="Q124" i="24"/>
  <c r="N124" i="24"/>
  <c r="O124" i="24" s="1"/>
  <c r="C124" i="24"/>
  <c r="Q123" i="24"/>
  <c r="N123" i="24"/>
  <c r="O123" i="24" s="1"/>
  <c r="C123" i="24"/>
  <c r="Q122" i="24"/>
  <c r="N122" i="24"/>
  <c r="O122" i="24" s="1"/>
  <c r="C122" i="24"/>
  <c r="Q109" i="24"/>
  <c r="C109" i="24"/>
  <c r="Q108" i="24"/>
  <c r="N108" i="24"/>
  <c r="O108" i="24" s="1"/>
  <c r="C108" i="24"/>
  <c r="Q107" i="24"/>
  <c r="N107" i="24"/>
  <c r="O107" i="24" s="1"/>
  <c r="C107" i="24"/>
  <c r="Q106" i="24"/>
  <c r="N106" i="24"/>
  <c r="O106" i="24" s="1"/>
  <c r="C106" i="24"/>
  <c r="Q105" i="24"/>
  <c r="N105" i="24"/>
  <c r="O105" i="24" s="1"/>
  <c r="C105" i="24"/>
  <c r="Q104" i="24"/>
  <c r="N104" i="24"/>
  <c r="O104" i="24" s="1"/>
  <c r="C104" i="24"/>
  <c r="Q103" i="24"/>
  <c r="C103" i="24"/>
  <c r="Q102" i="24"/>
  <c r="O102" i="24"/>
  <c r="C102" i="24"/>
  <c r="Q101" i="24"/>
  <c r="N101" i="24"/>
  <c r="O101" i="24" s="1"/>
  <c r="C101" i="24"/>
  <c r="Q100" i="24"/>
  <c r="O100" i="24"/>
  <c r="C100" i="24"/>
  <c r="Q99" i="24"/>
  <c r="O99" i="24"/>
  <c r="C99" i="24"/>
  <c r="Q98" i="24"/>
  <c r="N98" i="24"/>
  <c r="O98" i="24" s="1"/>
  <c r="C98" i="24"/>
  <c r="Q97" i="24"/>
  <c r="N97" i="24"/>
  <c r="O97" i="24" s="1"/>
  <c r="C97" i="24"/>
  <c r="Q90" i="24"/>
  <c r="O90" i="24"/>
  <c r="C90" i="24"/>
  <c r="Q89" i="24"/>
  <c r="N89" i="24"/>
  <c r="O89" i="24" s="1"/>
  <c r="C89" i="24"/>
  <c r="Q88" i="24"/>
  <c r="N88" i="24"/>
  <c r="O88" i="24" s="1"/>
  <c r="C88" i="24"/>
  <c r="Q87" i="24"/>
  <c r="N87" i="24"/>
  <c r="O87" i="24" s="1"/>
  <c r="C87" i="24"/>
  <c r="Q85" i="24"/>
  <c r="O85" i="24"/>
  <c r="C85" i="24"/>
  <c r="Q84" i="24"/>
  <c r="O84" i="24"/>
  <c r="C84" i="24"/>
  <c r="Q83" i="24"/>
  <c r="N83" i="24"/>
  <c r="O83" i="24" s="1"/>
  <c r="C83" i="24"/>
  <c r="Q82" i="24"/>
  <c r="N82" i="24"/>
  <c r="O82" i="24" s="1"/>
  <c r="C82" i="24"/>
  <c r="Q81" i="24"/>
  <c r="N81" i="24"/>
  <c r="O81" i="24" s="1"/>
  <c r="C81" i="24"/>
  <c r="Q80" i="24"/>
  <c r="N80" i="24"/>
  <c r="O80" i="24" s="1"/>
  <c r="C80" i="24"/>
  <c r="Q79" i="24"/>
  <c r="N79" i="24"/>
  <c r="O79" i="24" s="1"/>
  <c r="C79" i="24"/>
  <c r="Q78" i="24"/>
  <c r="N78" i="24"/>
  <c r="O78" i="24" s="1"/>
  <c r="C78" i="24"/>
  <c r="Q77" i="24"/>
  <c r="N77" i="24"/>
  <c r="O77" i="24" s="1"/>
  <c r="C77" i="24"/>
  <c r="Q76" i="24"/>
  <c r="N76" i="24"/>
  <c r="O76" i="24" s="1"/>
  <c r="Q75" i="24"/>
  <c r="O75" i="24"/>
  <c r="C75" i="24"/>
  <c r="Q73" i="24"/>
  <c r="N73" i="24"/>
  <c r="O73" i="24" s="1"/>
  <c r="C73" i="24"/>
  <c r="Q74" i="24"/>
  <c r="N74" i="24"/>
  <c r="O74" i="24" s="1"/>
  <c r="C74" i="24"/>
  <c r="Q72" i="24"/>
  <c r="N72" i="24"/>
  <c r="O72" i="24" s="1"/>
  <c r="C72" i="24"/>
  <c r="Q71" i="24"/>
  <c r="N71" i="24"/>
  <c r="O71" i="24" s="1"/>
  <c r="C71" i="24"/>
  <c r="Q70" i="24"/>
  <c r="N70" i="24"/>
  <c r="O70" i="24" s="1"/>
  <c r="C70" i="24"/>
  <c r="Q69" i="24"/>
  <c r="O69" i="24"/>
  <c r="C69" i="24"/>
  <c r="Q64" i="24"/>
  <c r="N64" i="24"/>
  <c r="O64" i="24" s="1"/>
  <c r="C64" i="24"/>
  <c r="Q63" i="24"/>
  <c r="N63" i="24"/>
  <c r="O63" i="24" s="1"/>
  <c r="C63" i="24"/>
  <c r="Q62" i="24"/>
  <c r="C62" i="24"/>
  <c r="Q61" i="24"/>
  <c r="N61" i="24"/>
  <c r="O61" i="24" s="1"/>
  <c r="C61" i="24"/>
  <c r="Q60" i="24"/>
  <c r="C60" i="24"/>
  <c r="Q59" i="24"/>
  <c r="N59" i="24"/>
  <c r="O59" i="24" s="1"/>
  <c r="C59" i="24"/>
  <c r="Q58" i="24"/>
  <c r="N58" i="24"/>
  <c r="O58" i="24" s="1"/>
  <c r="C58" i="24"/>
  <c r="Q57" i="24"/>
  <c r="C57" i="24"/>
  <c r="Q56" i="24"/>
  <c r="O56" i="24"/>
  <c r="C56" i="24"/>
  <c r="Q55" i="24"/>
  <c r="O55" i="24"/>
  <c r="C55" i="24"/>
  <c r="Q54" i="24"/>
  <c r="N54" i="24"/>
  <c r="O54" i="24" s="1"/>
  <c r="C54" i="24"/>
  <c r="Q52" i="24"/>
  <c r="N52" i="24"/>
  <c r="O52" i="24" s="1"/>
  <c r="C52" i="24"/>
  <c r="Q53" i="24"/>
  <c r="N53" i="24"/>
  <c r="O53" i="24" s="1"/>
  <c r="C53" i="24"/>
  <c r="Q47" i="24"/>
  <c r="N47" i="24"/>
  <c r="O47" i="24" s="1"/>
  <c r="C47" i="24"/>
  <c r="Q51" i="24"/>
  <c r="C51" i="24"/>
  <c r="Q48" i="24"/>
  <c r="N48" i="24"/>
  <c r="O48" i="24" s="1"/>
  <c r="C48" i="24"/>
  <c r="Q45" i="24"/>
  <c r="O45" i="24"/>
  <c r="C45" i="24"/>
  <c r="Q46" i="24"/>
  <c r="N46" i="24"/>
  <c r="O46" i="24" s="1"/>
  <c r="C46" i="24"/>
  <c r="Q49" i="24"/>
  <c r="C49" i="24"/>
  <c r="Q50" i="24"/>
  <c r="O50" i="24"/>
  <c r="C50" i="24"/>
  <c r="Q41" i="24"/>
  <c r="O41" i="24"/>
  <c r="C41" i="24"/>
  <c r="Q40" i="24"/>
  <c r="O40" i="24"/>
  <c r="C40" i="24"/>
  <c r="Q39" i="24"/>
  <c r="N39" i="24"/>
  <c r="O39" i="24" s="1"/>
  <c r="C39" i="24"/>
  <c r="Q38" i="24"/>
  <c r="N38" i="24"/>
  <c r="O38" i="24" s="1"/>
  <c r="C38" i="24"/>
  <c r="Q37" i="24"/>
  <c r="C37" i="24"/>
  <c r="Q36" i="24"/>
  <c r="N36" i="24"/>
  <c r="O36" i="24" s="1"/>
  <c r="C36" i="24"/>
  <c r="Q35" i="24"/>
  <c r="O35" i="24"/>
  <c r="C35" i="24"/>
  <c r="Q34" i="24"/>
  <c r="C34" i="24"/>
  <c r="Q33" i="24"/>
  <c r="N33" i="24"/>
  <c r="O33" i="24" s="1"/>
  <c r="C33" i="24"/>
  <c r="Q32" i="24"/>
  <c r="N32" i="24"/>
  <c r="O32" i="24" s="1"/>
  <c r="C32" i="24"/>
  <c r="Q31" i="24"/>
  <c r="N31" i="24"/>
  <c r="O31" i="24" s="1"/>
  <c r="C31" i="24"/>
  <c r="Q30" i="24"/>
  <c r="N30" i="24"/>
  <c r="O30" i="24" s="1"/>
  <c r="C30" i="24"/>
  <c r="Q29" i="24"/>
  <c r="N29" i="24"/>
  <c r="O29" i="24" s="1"/>
  <c r="C29" i="24"/>
  <c r="Q28" i="24"/>
  <c r="N28" i="24"/>
  <c r="O28" i="24" s="1"/>
  <c r="C28" i="24"/>
  <c r="Q27" i="24"/>
  <c r="N27" i="24"/>
  <c r="O27" i="24" s="1"/>
  <c r="C27" i="24"/>
  <c r="Q26" i="24"/>
  <c r="O26" i="24"/>
  <c r="C26" i="24"/>
  <c r="Q25" i="24"/>
  <c r="O25" i="24"/>
  <c r="C25" i="24"/>
  <c r="Q24" i="24"/>
  <c r="C24" i="24"/>
  <c r="Q23" i="24"/>
  <c r="O23" i="24"/>
  <c r="C23" i="24"/>
  <c r="Q22" i="24"/>
  <c r="N22" i="24"/>
  <c r="O22" i="24" s="1"/>
  <c r="C22" i="24"/>
  <c r="Q21" i="24"/>
  <c r="O21" i="24"/>
  <c r="C21" i="24"/>
  <c r="Q20" i="24"/>
  <c r="O20" i="24"/>
  <c r="C20" i="24"/>
  <c r="Q19" i="24"/>
  <c r="C19" i="24"/>
  <c r="Q18" i="24"/>
  <c r="O18" i="24"/>
  <c r="C18" i="24"/>
  <c r="Q17" i="24"/>
  <c r="N17" i="24"/>
  <c r="O17" i="24" s="1"/>
  <c r="C17" i="24"/>
  <c r="Q14" i="24"/>
  <c r="C14" i="24"/>
  <c r="Q13" i="24"/>
  <c r="O13" i="24"/>
  <c r="C13" i="24"/>
  <c r="Q12" i="24"/>
  <c r="O12" i="24"/>
  <c r="C12" i="24"/>
  <c r="Q11" i="24"/>
  <c r="N11" i="24"/>
  <c r="O11" i="24" s="1"/>
  <c r="C11" i="24"/>
  <c r="Q10" i="24"/>
  <c r="C10" i="24"/>
  <c r="Q9" i="24"/>
  <c r="O9" i="24"/>
  <c r="C9" i="24"/>
  <c r="Q8" i="24"/>
  <c r="O8" i="24"/>
  <c r="C8" i="24"/>
  <c r="Q7" i="24"/>
  <c r="N7" i="24"/>
  <c r="O7" i="24" s="1"/>
  <c r="C7" i="24"/>
  <c r="Q6" i="24"/>
  <c r="N6" i="24"/>
  <c r="O6" i="24" s="1"/>
  <c r="C6" i="24"/>
  <c r="L4" i="24"/>
  <c r="J4" i="24"/>
  <c r="J4" i="23"/>
  <c r="L4" i="23"/>
  <c r="O4" i="24" l="1"/>
  <c r="N4" i="24"/>
  <c r="Q188" i="23"/>
  <c r="Q187" i="23"/>
  <c r="Q186" i="23"/>
  <c r="Q185" i="23"/>
  <c r="Q184" i="23"/>
  <c r="Q183" i="23"/>
  <c r="Q182" i="23"/>
  <c r="Q181" i="23"/>
  <c r="Q180" i="23"/>
  <c r="Q179" i="23"/>
  <c r="Q178" i="23"/>
  <c r="Q177" i="23"/>
  <c r="Q176" i="23"/>
  <c r="Q175" i="23"/>
  <c r="Q174" i="23"/>
  <c r="Q173" i="23"/>
  <c r="Q172" i="23"/>
  <c r="Q171" i="23"/>
  <c r="Q170" i="23"/>
  <c r="Q169" i="23"/>
  <c r="Q168" i="23"/>
  <c r="Q167" i="23"/>
  <c r="Q166" i="23"/>
  <c r="Q165" i="23"/>
  <c r="Q164" i="23"/>
  <c r="Q163" i="23"/>
  <c r="Q162" i="23"/>
  <c r="Q161" i="23"/>
  <c r="Q160" i="23"/>
  <c r="Q159" i="23"/>
  <c r="Q158" i="23"/>
  <c r="Q157" i="23"/>
  <c r="Q156" i="23"/>
  <c r="Q155" i="23"/>
  <c r="Q154" i="23"/>
  <c r="Q153" i="23"/>
  <c r="Q152" i="23"/>
  <c r="Q151" i="23"/>
  <c r="Q150" i="23"/>
  <c r="Q149" i="23"/>
  <c r="Q148" i="23"/>
  <c r="Q147" i="23"/>
  <c r="Q146" i="23"/>
  <c r="Q145" i="23"/>
  <c r="Q144" i="23"/>
  <c r="Q143" i="23"/>
  <c r="Q142" i="23"/>
  <c r="Q141" i="23"/>
  <c r="Q140" i="23"/>
  <c r="Q139" i="23"/>
  <c r="Q138" i="23"/>
  <c r="Q137" i="23"/>
  <c r="Q136" i="23"/>
  <c r="Q135" i="23"/>
  <c r="Q134" i="23"/>
  <c r="Q133" i="23"/>
  <c r="Q132" i="23"/>
  <c r="Q131" i="23"/>
  <c r="Q130" i="23"/>
  <c r="Q129" i="23"/>
  <c r="Q128" i="23"/>
  <c r="Q127" i="23"/>
  <c r="Q126" i="23"/>
  <c r="Q125" i="23"/>
  <c r="Q124" i="23"/>
  <c r="Q123" i="23"/>
  <c r="Q122" i="23"/>
  <c r="Q121" i="23"/>
  <c r="Q120" i="23"/>
  <c r="Q119" i="23"/>
  <c r="Q118" i="23"/>
  <c r="Q117" i="23"/>
  <c r="Q116" i="23"/>
  <c r="Q115" i="23"/>
  <c r="Q114" i="23"/>
  <c r="Q113" i="23"/>
  <c r="Q112" i="23"/>
  <c r="Q111" i="23"/>
  <c r="Q110" i="23"/>
  <c r="Q109" i="23"/>
  <c r="Q108" i="23"/>
  <c r="Q107" i="23"/>
  <c r="Q106" i="23"/>
  <c r="Q105" i="23"/>
  <c r="Q104" i="23"/>
  <c r="Q103" i="23"/>
  <c r="Q102" i="23"/>
  <c r="Q101" i="23"/>
  <c r="Q100" i="23"/>
  <c r="Q99" i="23"/>
  <c r="Q98" i="23"/>
  <c r="Q97" i="23"/>
  <c r="Q96" i="23"/>
  <c r="Q95" i="23"/>
  <c r="Q94" i="23"/>
  <c r="Q93" i="23"/>
  <c r="Q92" i="23"/>
  <c r="Q91" i="23"/>
  <c r="Q90" i="23"/>
  <c r="Q89" i="23"/>
  <c r="Q88" i="23"/>
  <c r="Q87" i="23"/>
  <c r="Q86" i="23"/>
  <c r="Q85" i="23"/>
  <c r="Q84" i="23"/>
  <c r="Q83" i="23"/>
  <c r="Q82" i="23"/>
  <c r="Q81" i="23"/>
  <c r="Q80" i="23"/>
  <c r="Q79" i="23"/>
  <c r="Q78" i="23"/>
  <c r="Q77" i="23"/>
  <c r="Q76" i="23"/>
  <c r="Q75" i="23"/>
  <c r="Q74" i="23"/>
  <c r="Q73" i="23"/>
  <c r="Q72" i="23"/>
  <c r="Q71" i="23"/>
  <c r="Q70" i="23"/>
  <c r="Q69" i="23"/>
  <c r="Q68" i="23"/>
  <c r="Q67" i="23"/>
  <c r="Q66" i="23"/>
  <c r="Q65" i="23"/>
  <c r="Q64" i="23"/>
  <c r="Q63" i="23"/>
  <c r="Q62" i="23"/>
  <c r="Q61" i="23"/>
  <c r="Q60" i="23"/>
  <c r="Q59" i="23"/>
  <c r="Q58" i="23"/>
  <c r="Q57" i="23"/>
  <c r="Q56" i="23"/>
  <c r="Q55" i="23"/>
  <c r="Q54" i="23"/>
  <c r="Q53" i="23"/>
  <c r="Q52" i="23"/>
  <c r="Q51" i="23"/>
  <c r="Q50" i="23"/>
  <c r="Q49" i="23"/>
  <c r="Q48" i="23"/>
  <c r="Q47" i="23"/>
  <c r="Q46" i="23"/>
  <c r="Q45" i="23"/>
  <c r="Q44" i="23"/>
  <c r="Q43" i="23"/>
  <c r="Q42" i="23"/>
  <c r="Q41" i="23"/>
  <c r="Q40" i="23"/>
  <c r="Q39" i="23"/>
  <c r="Q38" i="23"/>
  <c r="Q37" i="23"/>
  <c r="Q36" i="23"/>
  <c r="Q35" i="23"/>
  <c r="Q34" i="23"/>
  <c r="Q33" i="23"/>
  <c r="Q32" i="23"/>
  <c r="Q31" i="23"/>
  <c r="Q30" i="23"/>
  <c r="Q29" i="23"/>
  <c r="Q28" i="23"/>
  <c r="Q27" i="23"/>
  <c r="Q26" i="23"/>
  <c r="Q25" i="23"/>
  <c r="Q24" i="23"/>
  <c r="Q23" i="23"/>
  <c r="Q22" i="23"/>
  <c r="Q21" i="23"/>
  <c r="Q20" i="23"/>
  <c r="Q19" i="23"/>
  <c r="Q18" i="23"/>
  <c r="Q17" i="23"/>
  <c r="Q16" i="23"/>
  <c r="Q15" i="23"/>
  <c r="Q14" i="23"/>
  <c r="Q13" i="23"/>
  <c r="Q12" i="23"/>
  <c r="Q11" i="23"/>
  <c r="Q10" i="23"/>
  <c r="Q9" i="23"/>
  <c r="Q8" i="23"/>
  <c r="N157" i="23"/>
  <c r="N43" i="23" l="1"/>
  <c r="N188" i="23" l="1"/>
  <c r="C188" i="23"/>
  <c r="O187" i="23"/>
  <c r="C187" i="23"/>
  <c r="N141" i="23"/>
  <c r="O141" i="23" s="1"/>
  <c r="N134" i="23"/>
  <c r="O134" i="23" s="1"/>
  <c r="N122" i="23"/>
  <c r="O122" i="23" s="1"/>
  <c r="N144" i="23"/>
  <c r="O144" i="23" s="1"/>
  <c r="N137" i="23"/>
  <c r="O137" i="23" s="1"/>
  <c r="N142" i="23"/>
  <c r="O142" i="23" s="1"/>
  <c r="N135" i="23"/>
  <c r="O135" i="23" s="1"/>
  <c r="N163" i="23"/>
  <c r="O163" i="23" s="1"/>
  <c r="N59" i="23"/>
  <c r="O59" i="23" s="1"/>
  <c r="N58" i="23"/>
  <c r="O58" i="23" s="1"/>
  <c r="C59" i="23"/>
  <c r="C58" i="23"/>
  <c r="N67" i="23"/>
  <c r="O67" i="23" s="1"/>
  <c r="N140" i="23"/>
  <c r="O140" i="23" s="1"/>
  <c r="N133" i="23"/>
  <c r="O133" i="23" s="1"/>
  <c r="N138" i="23"/>
  <c r="O138" i="23" s="1"/>
  <c r="N131" i="23"/>
  <c r="O131" i="23" s="1"/>
  <c r="N139" i="23"/>
  <c r="O139" i="23" s="1"/>
  <c r="N132" i="23"/>
  <c r="O132" i="23" s="1"/>
  <c r="N126" i="23"/>
  <c r="O126" i="23" s="1"/>
  <c r="O128" i="23"/>
  <c r="O125" i="23"/>
  <c r="O143" i="23"/>
  <c r="O136" i="23"/>
  <c r="N111" i="23"/>
  <c r="O111" i="23" s="1"/>
  <c r="N72" i="23"/>
  <c r="C144" i="23" l="1"/>
  <c r="C143" i="23"/>
  <c r="C142" i="23"/>
  <c r="C141" i="23"/>
  <c r="C140" i="23"/>
  <c r="C139" i="23"/>
  <c r="C138" i="23"/>
  <c r="C137" i="23" l="1"/>
  <c r="C136" i="23"/>
  <c r="C135" i="23"/>
  <c r="C134" i="23"/>
  <c r="C133" i="23"/>
  <c r="C132" i="23"/>
  <c r="C131" i="23"/>
  <c r="C128" i="23" l="1"/>
  <c r="C126" i="23"/>
  <c r="C125" i="23"/>
  <c r="C122" i="23"/>
  <c r="C111" i="23" l="1"/>
  <c r="N162" i="23" l="1"/>
  <c r="O162" i="23" s="1"/>
  <c r="C162" i="23"/>
  <c r="O188" i="23" l="1"/>
  <c r="O186" i="23"/>
  <c r="C186" i="23"/>
  <c r="O185" i="23"/>
  <c r="C185" i="23"/>
  <c r="N184" i="23"/>
  <c r="O184" i="23" s="1"/>
  <c r="C184" i="23"/>
  <c r="N183" i="23"/>
  <c r="O183" i="23" s="1"/>
  <c r="C183" i="23"/>
  <c r="N182" i="23"/>
  <c r="O182" i="23" s="1"/>
  <c r="C182" i="23"/>
  <c r="O181" i="23"/>
  <c r="C181" i="23"/>
  <c r="O180" i="23"/>
  <c r="C180" i="23"/>
  <c r="N179" i="23"/>
  <c r="O179" i="23" s="1"/>
  <c r="C179" i="23"/>
  <c r="N178" i="23"/>
  <c r="O178" i="23" s="1"/>
  <c r="C178" i="23"/>
  <c r="N177" i="23"/>
  <c r="O177" i="23" s="1"/>
  <c r="C177" i="23"/>
  <c r="O176" i="23"/>
  <c r="C176" i="23"/>
  <c r="O175" i="23"/>
  <c r="C175" i="23"/>
  <c r="N174" i="23"/>
  <c r="O174" i="23" s="1"/>
  <c r="C174" i="23"/>
  <c r="N173" i="23"/>
  <c r="O173" i="23" s="1"/>
  <c r="C173" i="23"/>
  <c r="N172" i="23"/>
  <c r="O172" i="23" s="1"/>
  <c r="C172" i="23"/>
  <c r="N171" i="23"/>
  <c r="O171" i="23" s="1"/>
  <c r="C171" i="23"/>
  <c r="N170" i="23"/>
  <c r="O170" i="23" s="1"/>
  <c r="C170" i="23"/>
  <c r="N169" i="23"/>
  <c r="O169" i="23" s="1"/>
  <c r="C169" i="23"/>
  <c r="N168" i="23"/>
  <c r="O168" i="23" s="1"/>
  <c r="C168" i="23"/>
  <c r="N167" i="23"/>
  <c r="O167" i="23" s="1"/>
  <c r="C167" i="23"/>
  <c r="N166" i="23"/>
  <c r="O166" i="23" s="1"/>
  <c r="C166" i="23"/>
  <c r="N165" i="23"/>
  <c r="O165" i="23" s="1"/>
  <c r="C165" i="23"/>
  <c r="N164" i="23"/>
  <c r="O164" i="23" s="1"/>
  <c r="C164" i="23"/>
  <c r="C163" i="23"/>
  <c r="N161" i="23"/>
  <c r="O161" i="23" s="1"/>
  <c r="C161" i="23"/>
  <c r="N160" i="23"/>
  <c r="O160" i="23" s="1"/>
  <c r="C160" i="23"/>
  <c r="O159" i="23"/>
  <c r="C159" i="23"/>
  <c r="N158" i="23"/>
  <c r="O158" i="23" s="1"/>
  <c r="C158" i="23"/>
  <c r="O157" i="23"/>
  <c r="C157" i="23"/>
  <c r="N156" i="23"/>
  <c r="O156" i="23" s="1"/>
  <c r="C156" i="23"/>
  <c r="N155" i="23"/>
  <c r="O155" i="23" s="1"/>
  <c r="C155" i="23"/>
  <c r="N154" i="23"/>
  <c r="O154" i="23" s="1"/>
  <c r="C154" i="23"/>
  <c r="N153" i="23"/>
  <c r="O153" i="23" s="1"/>
  <c r="C153" i="23"/>
  <c r="N152" i="23"/>
  <c r="O152" i="23" s="1"/>
  <c r="C152" i="23"/>
  <c r="N151" i="23"/>
  <c r="O151" i="23" s="1"/>
  <c r="C151" i="23"/>
  <c r="N150" i="23"/>
  <c r="O150" i="23" s="1"/>
  <c r="C150" i="23"/>
  <c r="N149" i="23"/>
  <c r="O149" i="23" s="1"/>
  <c r="C149" i="23"/>
  <c r="N148" i="23"/>
  <c r="O148" i="23" s="1"/>
  <c r="C148" i="23"/>
  <c r="N147" i="23"/>
  <c r="O147" i="23" s="1"/>
  <c r="C147" i="23"/>
  <c r="N146" i="23"/>
  <c r="O146" i="23" s="1"/>
  <c r="C146" i="23"/>
  <c r="N145" i="23"/>
  <c r="O145" i="23" s="1"/>
  <c r="C145" i="23"/>
  <c r="N130" i="23"/>
  <c r="O130" i="23" s="1"/>
  <c r="C130" i="23"/>
  <c r="O129" i="23"/>
  <c r="C129" i="23"/>
  <c r="N127" i="23"/>
  <c r="O127" i="23" s="1"/>
  <c r="C127" i="23"/>
  <c r="N124" i="23"/>
  <c r="O124" i="23" s="1"/>
  <c r="C124" i="23"/>
  <c r="N123" i="23"/>
  <c r="O123" i="23" s="1"/>
  <c r="C123" i="23"/>
  <c r="N121" i="23"/>
  <c r="O121" i="23" s="1"/>
  <c r="C121" i="23"/>
  <c r="N120" i="23"/>
  <c r="O120" i="23" s="1"/>
  <c r="C120" i="23"/>
  <c r="N119" i="23"/>
  <c r="O119" i="23" s="1"/>
  <c r="C119" i="23"/>
  <c r="N118" i="23"/>
  <c r="O118" i="23" s="1"/>
  <c r="C118" i="23"/>
  <c r="O117" i="23"/>
  <c r="C117" i="23"/>
  <c r="N116" i="23"/>
  <c r="O116" i="23" s="1"/>
  <c r="C116" i="23"/>
  <c r="N115" i="23"/>
  <c r="O115" i="23" s="1"/>
  <c r="C115" i="23"/>
  <c r="N114" i="23"/>
  <c r="O114" i="23" s="1"/>
  <c r="C114" i="23"/>
  <c r="N113" i="23"/>
  <c r="O113" i="23" s="1"/>
  <c r="C113" i="23"/>
  <c r="N112" i="23"/>
  <c r="O112" i="23" s="1"/>
  <c r="C112" i="23"/>
  <c r="N110" i="23"/>
  <c r="O110" i="23" s="1"/>
  <c r="C110" i="23"/>
  <c r="N109" i="23"/>
  <c r="O109" i="23" s="1"/>
  <c r="C109" i="23"/>
  <c r="O108" i="23"/>
  <c r="C108" i="23"/>
  <c r="N107" i="23"/>
  <c r="O107" i="23" s="1"/>
  <c r="C107" i="23"/>
  <c r="N106" i="23"/>
  <c r="O106" i="23" s="1"/>
  <c r="C106" i="23"/>
  <c r="N105" i="23"/>
  <c r="O105" i="23" s="1"/>
  <c r="C105" i="23"/>
  <c r="N104" i="23"/>
  <c r="O104" i="23" s="1"/>
  <c r="C104" i="23"/>
  <c r="N103" i="23"/>
  <c r="O103" i="23" s="1"/>
  <c r="C103" i="23"/>
  <c r="N102" i="23"/>
  <c r="O102" i="23" s="1"/>
  <c r="C102" i="23"/>
  <c r="N101" i="23"/>
  <c r="O101" i="23" s="1"/>
  <c r="C101" i="23"/>
  <c r="O100" i="23"/>
  <c r="C100" i="23"/>
  <c r="O99" i="23"/>
  <c r="C99" i="23"/>
  <c r="O98" i="23"/>
  <c r="C98" i="23"/>
  <c r="N97" i="23"/>
  <c r="O97" i="23" s="1"/>
  <c r="C97" i="23"/>
  <c r="N96" i="23"/>
  <c r="O96" i="23" s="1"/>
  <c r="C96" i="23"/>
  <c r="N95" i="23"/>
  <c r="O95" i="23" s="1"/>
  <c r="C95" i="23"/>
  <c r="N94" i="23"/>
  <c r="O94" i="23" s="1"/>
  <c r="C94" i="23"/>
  <c r="N93" i="23"/>
  <c r="O93" i="23" s="1"/>
  <c r="C93" i="23"/>
  <c r="N92" i="23"/>
  <c r="O92" i="23" s="1"/>
  <c r="C92" i="23"/>
  <c r="N91" i="23"/>
  <c r="O91" i="23" s="1"/>
  <c r="C91" i="23"/>
  <c r="N90" i="23"/>
  <c r="O90" i="23" s="1"/>
  <c r="C90" i="23"/>
  <c r="N89" i="23"/>
  <c r="O89" i="23" s="1"/>
  <c r="C89" i="23"/>
  <c r="N88" i="23"/>
  <c r="O88" i="23" s="1"/>
  <c r="C88" i="23"/>
  <c r="N87" i="23"/>
  <c r="O87" i="23" s="1"/>
  <c r="C87" i="23"/>
  <c r="O86" i="23"/>
  <c r="C86" i="23"/>
  <c r="N85" i="23"/>
  <c r="O85" i="23" s="1"/>
  <c r="C85" i="23"/>
  <c r="O84" i="23"/>
  <c r="C84" i="23"/>
  <c r="O83" i="23"/>
  <c r="C83" i="23"/>
  <c r="N82" i="23"/>
  <c r="O82" i="23" s="1"/>
  <c r="C82" i="23"/>
  <c r="N81" i="23"/>
  <c r="O81" i="23" s="1"/>
  <c r="C81" i="23"/>
  <c r="N80" i="23"/>
  <c r="O80" i="23" s="1"/>
  <c r="C80" i="23"/>
  <c r="N79" i="23"/>
  <c r="O79" i="23" s="1"/>
  <c r="C79" i="23"/>
  <c r="N78" i="23"/>
  <c r="O78" i="23" s="1"/>
  <c r="C78" i="23"/>
  <c r="N77" i="23"/>
  <c r="O77" i="23" s="1"/>
  <c r="C77" i="23"/>
  <c r="O76" i="23"/>
  <c r="C76" i="23"/>
  <c r="O75" i="23"/>
  <c r="C75" i="23"/>
  <c r="N74" i="23"/>
  <c r="O74" i="23" s="1"/>
  <c r="C74" i="23"/>
  <c r="N73" i="23"/>
  <c r="O73" i="23" s="1"/>
  <c r="C73" i="23"/>
  <c r="O72" i="23"/>
  <c r="C72" i="23"/>
  <c r="N71" i="23"/>
  <c r="O71" i="23" s="1"/>
  <c r="C71" i="23"/>
  <c r="N70" i="23"/>
  <c r="O70" i="23" s="1"/>
  <c r="C70" i="23"/>
  <c r="N69" i="23"/>
  <c r="O69" i="23" s="1"/>
  <c r="C69" i="23"/>
  <c r="N68" i="23"/>
  <c r="O68" i="23" s="1"/>
  <c r="C68" i="23"/>
  <c r="O66" i="23"/>
  <c r="C66" i="23"/>
  <c r="N65" i="23"/>
  <c r="O65" i="23" s="1"/>
  <c r="C65" i="23"/>
  <c r="N64" i="23"/>
  <c r="O64" i="23" s="1"/>
  <c r="C64" i="23"/>
  <c r="N63" i="23"/>
  <c r="O63" i="23" s="1"/>
  <c r="C63" i="23"/>
  <c r="N62" i="23"/>
  <c r="O62" i="23" s="1"/>
  <c r="C62" i="23"/>
  <c r="N61" i="23"/>
  <c r="O61" i="23" s="1"/>
  <c r="C61" i="23"/>
  <c r="O60" i="23"/>
  <c r="C60" i="23"/>
  <c r="N57" i="23"/>
  <c r="O57" i="23" s="1"/>
  <c r="C57" i="23"/>
  <c r="N56" i="23"/>
  <c r="O56" i="23" s="1"/>
  <c r="C56" i="23"/>
  <c r="N55" i="23"/>
  <c r="O55" i="23" s="1"/>
  <c r="C55" i="23"/>
  <c r="N54" i="23"/>
  <c r="O54" i="23" s="1"/>
  <c r="C54" i="23"/>
  <c r="N53" i="23"/>
  <c r="O53" i="23" s="1"/>
  <c r="C53" i="23"/>
  <c r="O52" i="23"/>
  <c r="C52" i="23"/>
  <c r="O51" i="23"/>
  <c r="C51" i="23"/>
  <c r="N50" i="23"/>
  <c r="O50" i="23" s="1"/>
  <c r="C50" i="23"/>
  <c r="N49" i="23"/>
  <c r="O49" i="23" s="1"/>
  <c r="C49" i="23"/>
  <c r="N48" i="23"/>
  <c r="O48" i="23" s="1"/>
  <c r="C48" i="23"/>
  <c r="N47" i="23"/>
  <c r="O47" i="23" s="1"/>
  <c r="C47" i="23"/>
  <c r="N46" i="23"/>
  <c r="O46" i="23" s="1"/>
  <c r="C46" i="23"/>
  <c r="N45" i="23"/>
  <c r="O45" i="23" s="1"/>
  <c r="C45" i="23"/>
  <c r="N44" i="23"/>
  <c r="O44" i="23" s="1"/>
  <c r="C44" i="23"/>
  <c r="O43" i="23"/>
  <c r="C43" i="23"/>
  <c r="N42" i="23"/>
  <c r="O42" i="23" s="1"/>
  <c r="C42" i="23"/>
  <c r="N41" i="23"/>
  <c r="O41" i="23" s="1"/>
  <c r="C41" i="23"/>
  <c r="O40" i="23"/>
  <c r="C40" i="23"/>
  <c r="O39" i="23"/>
  <c r="C39" i="23"/>
  <c r="N38" i="23"/>
  <c r="O38" i="23" s="1"/>
  <c r="C38" i="23"/>
  <c r="N37" i="23"/>
  <c r="O37" i="23" s="1"/>
  <c r="C37" i="23"/>
  <c r="N36" i="23"/>
  <c r="O36" i="23" s="1"/>
  <c r="C36" i="23"/>
  <c r="N35" i="23"/>
  <c r="O35" i="23" s="1"/>
  <c r="C35" i="23"/>
  <c r="N34" i="23"/>
  <c r="O34" i="23" s="1"/>
  <c r="C34" i="23"/>
  <c r="O33" i="23"/>
  <c r="C33" i="23"/>
  <c r="N32" i="23"/>
  <c r="O32" i="23" s="1"/>
  <c r="C32" i="23"/>
  <c r="N31" i="23"/>
  <c r="O31" i="23" s="1"/>
  <c r="C31" i="23"/>
  <c r="N30" i="23"/>
  <c r="O30" i="23" s="1"/>
  <c r="C30" i="23"/>
  <c r="N29" i="23"/>
  <c r="O29" i="23" s="1"/>
  <c r="C29" i="23"/>
  <c r="N28" i="23"/>
  <c r="O28" i="23" s="1"/>
  <c r="C28" i="23"/>
  <c r="N27" i="23"/>
  <c r="O27" i="23" s="1"/>
  <c r="C27" i="23"/>
  <c r="N26" i="23"/>
  <c r="O26" i="23" s="1"/>
  <c r="C26" i="23"/>
  <c r="N25" i="23"/>
  <c r="O25" i="23" s="1"/>
  <c r="C25" i="23"/>
  <c r="O24" i="23"/>
  <c r="C24" i="23"/>
  <c r="O23" i="23"/>
  <c r="C23" i="23"/>
  <c r="O22" i="23"/>
  <c r="C22" i="23"/>
  <c r="O21" i="23"/>
  <c r="C21" i="23"/>
  <c r="N20" i="23"/>
  <c r="O20" i="23" s="1"/>
  <c r="C20" i="23"/>
  <c r="O19" i="23"/>
  <c r="C19" i="23"/>
  <c r="O18" i="23"/>
  <c r="C18" i="23"/>
  <c r="O17" i="23"/>
  <c r="C17" i="23"/>
  <c r="O16" i="23"/>
  <c r="C16" i="23"/>
  <c r="N15" i="23"/>
  <c r="O15" i="23" s="1"/>
  <c r="C15" i="23"/>
  <c r="N14" i="23"/>
  <c r="O14" i="23" s="1"/>
  <c r="C14" i="23"/>
  <c r="O13" i="23"/>
  <c r="C13" i="23"/>
  <c r="N12" i="23"/>
  <c r="O12" i="23" s="1"/>
  <c r="C12" i="23"/>
  <c r="N11" i="23"/>
  <c r="O11" i="23" s="1"/>
  <c r="C11" i="23"/>
  <c r="N10" i="23"/>
  <c r="O10" i="23" s="1"/>
  <c r="C10" i="23"/>
  <c r="O9" i="23"/>
  <c r="C9" i="23"/>
  <c r="O8" i="23"/>
  <c r="C8" i="23"/>
  <c r="Q7" i="23"/>
  <c r="N7" i="23"/>
  <c r="O7" i="23" s="1"/>
  <c r="C7" i="23"/>
  <c r="Q6" i="23"/>
  <c r="N6" i="23"/>
  <c r="C6" i="23"/>
  <c r="Q212" i="22"/>
  <c r="Q211" i="22"/>
  <c r="Q210" i="22"/>
  <c r="Q209" i="22"/>
  <c r="Q208" i="22"/>
  <c r="Q207" i="22"/>
  <c r="Q206" i="22"/>
  <c r="Q205" i="22"/>
  <c r="Q204" i="22"/>
  <c r="Q203" i="22"/>
  <c r="Q202" i="22"/>
  <c r="Q201" i="22"/>
  <c r="Q200" i="22"/>
  <c r="Q199" i="22"/>
  <c r="Q198" i="22"/>
  <c r="Q197" i="22"/>
  <c r="Q196" i="22"/>
  <c r="Q195" i="22"/>
  <c r="Q194" i="22"/>
  <c r="Q193" i="22"/>
  <c r="Q192" i="22"/>
  <c r="Q191" i="22"/>
  <c r="Q190" i="22"/>
  <c r="Q189" i="22"/>
  <c r="Q188" i="22"/>
  <c r="Q187" i="22"/>
  <c r="Q186" i="22"/>
  <c r="Q185" i="22"/>
  <c r="Q184" i="22"/>
  <c r="Q183" i="22"/>
  <c r="Q182" i="22"/>
  <c r="Q181" i="22"/>
  <c r="Q180" i="22"/>
  <c r="Q179" i="22"/>
  <c r="Q178" i="22"/>
  <c r="Q177" i="22"/>
  <c r="Q176" i="22"/>
  <c r="Q175" i="22"/>
  <c r="Q174" i="22"/>
  <c r="Q173" i="22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Q160" i="22"/>
  <c r="Q159" i="22"/>
  <c r="Q158" i="22"/>
  <c r="Q157" i="22"/>
  <c r="Q156" i="22"/>
  <c r="Q155" i="22"/>
  <c r="Q154" i="22"/>
  <c r="Q153" i="22"/>
  <c r="Q152" i="22"/>
  <c r="Q151" i="22"/>
  <c r="Q150" i="22"/>
  <c r="Q149" i="22"/>
  <c r="Q148" i="22"/>
  <c r="Q147" i="22"/>
  <c r="Q146" i="22"/>
  <c r="Q145" i="22"/>
  <c r="Q144" i="22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Q117" i="22"/>
  <c r="Q116" i="22"/>
  <c r="Q115" i="22"/>
  <c r="Q114" i="22"/>
  <c r="Q113" i="22"/>
  <c r="Q112" i="22"/>
  <c r="Q111" i="22"/>
  <c r="Q110" i="22"/>
  <c r="Q109" i="22"/>
  <c r="Q108" i="22"/>
  <c r="Q107" i="22"/>
  <c r="Q106" i="22"/>
  <c r="Q105" i="22"/>
  <c r="Q104" i="22"/>
  <c r="Q103" i="22"/>
  <c r="Q102" i="22"/>
  <c r="Q101" i="22"/>
  <c r="Q100" i="22"/>
  <c r="Q99" i="22"/>
  <c r="Q98" i="22"/>
  <c r="Q97" i="22"/>
  <c r="Q96" i="22"/>
  <c r="Q95" i="22"/>
  <c r="Q94" i="22"/>
  <c r="Q93" i="22"/>
  <c r="Q92" i="22"/>
  <c r="Q91" i="22"/>
  <c r="Q90" i="22"/>
  <c r="Q89" i="22"/>
  <c r="Q88" i="22"/>
  <c r="Q87" i="22"/>
  <c r="Q86" i="22"/>
  <c r="Q85" i="22"/>
  <c r="Q84" i="22"/>
  <c r="Q83" i="22"/>
  <c r="Q82" i="22"/>
  <c r="Q81" i="22"/>
  <c r="Q80" i="22"/>
  <c r="Q79" i="22"/>
  <c r="Q78" i="22"/>
  <c r="Q77" i="22"/>
  <c r="Q76" i="22"/>
  <c r="Q75" i="22"/>
  <c r="Q74" i="22"/>
  <c r="Q73" i="22"/>
  <c r="Q72" i="22"/>
  <c r="Q71" i="22"/>
  <c r="Q70" i="22"/>
  <c r="Q69" i="22"/>
  <c r="Q68" i="22"/>
  <c r="Q67" i="22"/>
  <c r="Q66" i="22"/>
  <c r="Q65" i="22"/>
  <c r="Q64" i="22"/>
  <c r="Q63" i="22"/>
  <c r="Q62" i="22"/>
  <c r="Q61" i="22"/>
  <c r="Q60" i="22"/>
  <c r="Q59" i="22"/>
  <c r="Q58" i="22"/>
  <c r="Q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N42" i="22"/>
  <c r="N28" i="22"/>
  <c r="O181" i="22"/>
  <c r="O175" i="22"/>
  <c r="O169" i="22"/>
  <c r="O131" i="22"/>
  <c r="N182" i="22"/>
  <c r="O182" i="22" s="1"/>
  <c r="N176" i="22"/>
  <c r="O176" i="22" s="1"/>
  <c r="N170" i="22"/>
  <c r="O170" i="22" s="1"/>
  <c r="N128" i="22"/>
  <c r="O128" i="22" s="1"/>
  <c r="N81" i="22"/>
  <c r="O81" i="22" s="1"/>
  <c r="C81" i="22"/>
  <c r="N4" i="23" l="1"/>
  <c r="O6" i="23"/>
  <c r="O4" i="23" s="1"/>
  <c r="N194" i="22"/>
  <c r="O194" i="22" s="1"/>
  <c r="N144" i="22"/>
  <c r="O144" i="22" s="1"/>
  <c r="N178" i="22"/>
  <c r="O178" i="22" s="1"/>
  <c r="N172" i="22"/>
  <c r="O172" i="22" s="1"/>
  <c r="N166" i="22"/>
  <c r="O166" i="22" s="1"/>
  <c r="N179" i="22"/>
  <c r="O179" i="22" s="1"/>
  <c r="N173" i="22"/>
  <c r="O173" i="22" s="1"/>
  <c r="N167" i="22"/>
  <c r="O167" i="22" s="1"/>
  <c r="N152" i="22"/>
  <c r="O152" i="22" s="1"/>
  <c r="N126" i="22"/>
  <c r="O126" i="22" s="1"/>
  <c r="N177" i="22"/>
  <c r="O177" i="22" s="1"/>
  <c r="N171" i="22"/>
  <c r="O171" i="22" s="1"/>
  <c r="N165" i="22"/>
  <c r="O165" i="22" s="1"/>
  <c r="N127" i="22"/>
  <c r="O127" i="22" s="1"/>
  <c r="N89" i="22"/>
  <c r="O89" i="22" s="1"/>
  <c r="N90" i="22"/>
  <c r="O90" i="22" s="1"/>
  <c r="N193" i="22"/>
  <c r="O193" i="22" s="1"/>
  <c r="N132" i="22"/>
  <c r="O132" i="22" s="1"/>
  <c r="N55" i="22"/>
  <c r="O55" i="22" s="1"/>
  <c r="N180" i="22"/>
  <c r="O180" i="22" s="1"/>
  <c r="N174" i="22"/>
  <c r="O174" i="22" s="1"/>
  <c r="N168" i="22"/>
  <c r="O168" i="22" s="1"/>
  <c r="N154" i="22"/>
  <c r="N40" i="22"/>
  <c r="N13" i="22"/>
  <c r="O13" i="22" s="1"/>
  <c r="N130" i="22"/>
  <c r="O130" i="22" s="1"/>
  <c r="N56" i="22"/>
  <c r="O56" i="22" s="1"/>
  <c r="C54" i="22" l="1"/>
  <c r="C55" i="22"/>
  <c r="C56" i="22"/>
  <c r="C57" i="22"/>
  <c r="C13" i="22"/>
  <c r="C194" i="22"/>
  <c r="C144" i="22"/>
  <c r="C178" i="22"/>
  <c r="C172" i="22"/>
  <c r="C166" i="22"/>
  <c r="C179" i="22"/>
  <c r="C173" i="22"/>
  <c r="C167" i="22"/>
  <c r="C126" i="22"/>
  <c r="C177" i="22"/>
  <c r="C171" i="22"/>
  <c r="C165" i="22"/>
  <c r="C127" i="22"/>
  <c r="C89" i="22"/>
  <c r="C193" i="22"/>
  <c r="C117" i="22"/>
  <c r="C132" i="22"/>
  <c r="C182" i="22"/>
  <c r="C192" i="22"/>
  <c r="C176" i="22"/>
  <c r="C170" i="22"/>
  <c r="C128" i="22"/>
  <c r="C180" i="22"/>
  <c r="C174" i="22"/>
  <c r="C168" i="22"/>
  <c r="C131" i="22"/>
  <c r="C181" i="22"/>
  <c r="C175" i="22"/>
  <c r="C169" i="22"/>
  <c r="C130" i="22"/>
  <c r="N117" i="22"/>
  <c r="O117" i="22" s="1"/>
  <c r="O212" i="22" l="1"/>
  <c r="C212" i="22"/>
  <c r="O211" i="22"/>
  <c r="C211" i="22"/>
  <c r="O210" i="22"/>
  <c r="C210" i="22"/>
  <c r="N209" i="22"/>
  <c r="O209" i="22" s="1"/>
  <c r="C209" i="22"/>
  <c r="N208" i="22"/>
  <c r="O208" i="22" s="1"/>
  <c r="C208" i="22"/>
  <c r="N207" i="22"/>
  <c r="O207" i="22" s="1"/>
  <c r="C207" i="22"/>
  <c r="O206" i="22"/>
  <c r="C206" i="22"/>
  <c r="O205" i="22"/>
  <c r="C205" i="22"/>
  <c r="N204" i="22"/>
  <c r="O204" i="22" s="1"/>
  <c r="C204" i="22"/>
  <c r="N203" i="22"/>
  <c r="O203" i="22" s="1"/>
  <c r="C203" i="22"/>
  <c r="N202" i="22"/>
  <c r="O202" i="22" s="1"/>
  <c r="C202" i="22"/>
  <c r="N201" i="22"/>
  <c r="O201" i="22" s="1"/>
  <c r="C201" i="22"/>
  <c r="N200" i="22"/>
  <c r="O200" i="22" s="1"/>
  <c r="C200" i="22"/>
  <c r="N199" i="22"/>
  <c r="O199" i="22" s="1"/>
  <c r="C199" i="22"/>
  <c r="N198" i="22"/>
  <c r="O198" i="22" s="1"/>
  <c r="C198" i="22"/>
  <c r="O197" i="22"/>
  <c r="C197" i="22"/>
  <c r="O196" i="22"/>
  <c r="C196" i="22"/>
  <c r="N195" i="22"/>
  <c r="O195" i="22" s="1"/>
  <c r="C195" i="22"/>
  <c r="N192" i="22"/>
  <c r="O192" i="22" s="1"/>
  <c r="N191" i="22"/>
  <c r="O191" i="22" s="1"/>
  <c r="C191" i="22"/>
  <c r="N190" i="22"/>
  <c r="O190" i="22" s="1"/>
  <c r="C190" i="22"/>
  <c r="N189" i="22"/>
  <c r="O189" i="22" s="1"/>
  <c r="C189" i="22"/>
  <c r="N188" i="22"/>
  <c r="O188" i="22" s="1"/>
  <c r="C188" i="22"/>
  <c r="N187" i="22"/>
  <c r="O187" i="22" s="1"/>
  <c r="C187" i="22"/>
  <c r="N186" i="22"/>
  <c r="O186" i="22" s="1"/>
  <c r="C186" i="22"/>
  <c r="O185" i="22"/>
  <c r="C185" i="22"/>
  <c r="N184" i="22"/>
  <c r="O184" i="22" s="1"/>
  <c r="C184" i="22"/>
  <c r="N183" i="22"/>
  <c r="O183" i="22" s="1"/>
  <c r="C183" i="22"/>
  <c r="N164" i="22"/>
  <c r="O164" i="22" s="1"/>
  <c r="C164" i="22"/>
  <c r="O163" i="22"/>
  <c r="C163" i="22"/>
  <c r="N162" i="22"/>
  <c r="O162" i="22" s="1"/>
  <c r="C162" i="22"/>
  <c r="N161" i="22"/>
  <c r="O161" i="22" s="1"/>
  <c r="C161" i="22"/>
  <c r="N160" i="22"/>
  <c r="O160" i="22" s="1"/>
  <c r="C160" i="22"/>
  <c r="N159" i="22"/>
  <c r="O159" i="22" s="1"/>
  <c r="C159" i="22"/>
  <c r="N158" i="22"/>
  <c r="O158" i="22" s="1"/>
  <c r="C158" i="22"/>
  <c r="N157" i="22"/>
  <c r="O157" i="22" s="1"/>
  <c r="C157" i="22"/>
  <c r="O156" i="22"/>
  <c r="C156" i="22"/>
  <c r="N155" i="22"/>
  <c r="O155" i="22" s="1"/>
  <c r="C155" i="22"/>
  <c r="O154" i="22"/>
  <c r="C154" i="22"/>
  <c r="N153" i="22"/>
  <c r="O153" i="22" s="1"/>
  <c r="C153" i="22"/>
  <c r="C152" i="22"/>
  <c r="N151" i="22"/>
  <c r="O151" i="22" s="1"/>
  <c r="C151" i="22"/>
  <c r="N150" i="22"/>
  <c r="O150" i="22" s="1"/>
  <c r="C150" i="22"/>
  <c r="N149" i="22"/>
  <c r="O149" i="22" s="1"/>
  <c r="C149" i="22"/>
  <c r="N148" i="22"/>
  <c r="O148" i="22" s="1"/>
  <c r="C148" i="22"/>
  <c r="O147" i="22"/>
  <c r="C147" i="22"/>
  <c r="N146" i="22"/>
  <c r="O146" i="22" s="1"/>
  <c r="C146" i="22"/>
  <c r="N145" i="22"/>
  <c r="O145" i="22" s="1"/>
  <c r="C145" i="22"/>
  <c r="N143" i="22"/>
  <c r="O143" i="22" s="1"/>
  <c r="C143" i="22"/>
  <c r="N142" i="22"/>
  <c r="O142" i="22" s="1"/>
  <c r="C142" i="22"/>
  <c r="N141" i="22"/>
  <c r="O141" i="22" s="1"/>
  <c r="C141" i="22"/>
  <c r="N140" i="22"/>
  <c r="O140" i="22" s="1"/>
  <c r="C140" i="22"/>
  <c r="N139" i="22"/>
  <c r="O139" i="22" s="1"/>
  <c r="C139" i="22"/>
  <c r="N138" i="22"/>
  <c r="O138" i="22" s="1"/>
  <c r="C138" i="22"/>
  <c r="N137" i="22"/>
  <c r="O137" i="22" s="1"/>
  <c r="C137" i="22"/>
  <c r="N136" i="22"/>
  <c r="O136" i="22" s="1"/>
  <c r="C136" i="22"/>
  <c r="N135" i="22"/>
  <c r="O135" i="22" s="1"/>
  <c r="C135" i="22"/>
  <c r="N134" i="22"/>
  <c r="O134" i="22" s="1"/>
  <c r="C134" i="22"/>
  <c r="N133" i="22"/>
  <c r="O133" i="22" s="1"/>
  <c r="C133" i="22"/>
  <c r="N129" i="22"/>
  <c r="O129" i="22" s="1"/>
  <c r="C129" i="22"/>
  <c r="N125" i="22"/>
  <c r="O125" i="22" s="1"/>
  <c r="C125" i="22"/>
  <c r="N124" i="22"/>
  <c r="O124" i="22" s="1"/>
  <c r="C124" i="22"/>
  <c r="O123" i="22"/>
  <c r="C123" i="22"/>
  <c r="N122" i="22"/>
  <c r="O122" i="22" s="1"/>
  <c r="C122" i="22"/>
  <c r="N121" i="22"/>
  <c r="O121" i="22" s="1"/>
  <c r="C121" i="22"/>
  <c r="N120" i="22"/>
  <c r="O120" i="22" s="1"/>
  <c r="C120" i="22"/>
  <c r="N119" i="22"/>
  <c r="O119" i="22" s="1"/>
  <c r="C119" i="22"/>
  <c r="N118" i="22"/>
  <c r="O118" i="22" s="1"/>
  <c r="C118" i="22"/>
  <c r="N104" i="22"/>
  <c r="O104" i="22" s="1"/>
  <c r="C104" i="22"/>
  <c r="N111" i="22"/>
  <c r="O111" i="22" s="1"/>
  <c r="C111" i="22"/>
  <c r="N116" i="22"/>
  <c r="O116" i="22" s="1"/>
  <c r="C116" i="22"/>
  <c r="O115" i="22"/>
  <c r="C115" i="22"/>
  <c r="N114" i="22"/>
  <c r="O114" i="22" s="1"/>
  <c r="C114" i="22"/>
  <c r="N113" i="22"/>
  <c r="O113" i="22" s="1"/>
  <c r="C113" i="22"/>
  <c r="N112" i="22"/>
  <c r="O112" i="22" s="1"/>
  <c r="C112" i="22"/>
  <c r="N110" i="22"/>
  <c r="O110" i="22" s="1"/>
  <c r="C110" i="22"/>
  <c r="N109" i="22"/>
  <c r="O109" i="22" s="1"/>
  <c r="C109" i="22"/>
  <c r="N108" i="22"/>
  <c r="O108" i="22" s="1"/>
  <c r="C108" i="22"/>
  <c r="O107" i="22"/>
  <c r="C107" i="22"/>
  <c r="O106" i="22"/>
  <c r="C106" i="22"/>
  <c r="O105" i="22"/>
  <c r="C105" i="22"/>
  <c r="N103" i="22"/>
  <c r="O103" i="22" s="1"/>
  <c r="C103" i="22"/>
  <c r="N102" i="22"/>
  <c r="O102" i="22" s="1"/>
  <c r="C102" i="22"/>
  <c r="N101" i="22"/>
  <c r="O101" i="22" s="1"/>
  <c r="C101" i="22"/>
  <c r="N100" i="22"/>
  <c r="O100" i="22" s="1"/>
  <c r="C100" i="22"/>
  <c r="N99" i="22"/>
  <c r="O99" i="22" s="1"/>
  <c r="C99" i="22"/>
  <c r="N98" i="22"/>
  <c r="O98" i="22" s="1"/>
  <c r="C98" i="22"/>
  <c r="N97" i="22"/>
  <c r="O97" i="22" s="1"/>
  <c r="C97" i="22"/>
  <c r="N96" i="22"/>
  <c r="O96" i="22" s="1"/>
  <c r="C96" i="22"/>
  <c r="O95" i="22"/>
  <c r="C95" i="22"/>
  <c r="O94" i="22"/>
  <c r="C94" i="22"/>
  <c r="N93" i="22"/>
  <c r="O93" i="22" s="1"/>
  <c r="C93" i="22"/>
  <c r="N92" i="22"/>
  <c r="O92" i="22" s="1"/>
  <c r="C92" i="22"/>
  <c r="N91" i="22"/>
  <c r="O91" i="22" s="1"/>
  <c r="C91" i="22"/>
  <c r="C90" i="22"/>
  <c r="N88" i="22"/>
  <c r="O88" i="22" s="1"/>
  <c r="C88" i="22"/>
  <c r="O87" i="22"/>
  <c r="C87" i="22"/>
  <c r="N86" i="22"/>
  <c r="O86" i="22" s="1"/>
  <c r="C86" i="22"/>
  <c r="O85" i="22"/>
  <c r="C85" i="22"/>
  <c r="O84" i="22"/>
  <c r="C84" i="22"/>
  <c r="N83" i="22"/>
  <c r="O83" i="22" s="1"/>
  <c r="C83" i="22"/>
  <c r="N82" i="22"/>
  <c r="O82" i="22" s="1"/>
  <c r="C82" i="22"/>
  <c r="N80" i="22"/>
  <c r="O80" i="22" s="1"/>
  <c r="C80" i="22"/>
  <c r="N79" i="22"/>
  <c r="O79" i="22" s="1"/>
  <c r="C79" i="22"/>
  <c r="N78" i="22"/>
  <c r="O78" i="22" s="1"/>
  <c r="C78" i="22"/>
  <c r="N77" i="22"/>
  <c r="O77" i="22" s="1"/>
  <c r="C77" i="22"/>
  <c r="N76" i="22"/>
  <c r="O76" i="22" s="1"/>
  <c r="C76" i="22"/>
  <c r="N75" i="22"/>
  <c r="O75" i="22" s="1"/>
  <c r="C75" i="22"/>
  <c r="N74" i="22"/>
  <c r="O74" i="22" s="1"/>
  <c r="C74" i="22"/>
  <c r="N73" i="22"/>
  <c r="O73" i="22" s="1"/>
  <c r="C73" i="22"/>
  <c r="O72" i="22"/>
  <c r="C72" i="22"/>
  <c r="O71" i="22"/>
  <c r="C71" i="22"/>
  <c r="N70" i="22"/>
  <c r="O70" i="22" s="1"/>
  <c r="C70" i="22"/>
  <c r="N69" i="22"/>
  <c r="O69" i="22" s="1"/>
  <c r="C69" i="22"/>
  <c r="N68" i="22"/>
  <c r="O68" i="22" s="1"/>
  <c r="C68" i="22"/>
  <c r="N67" i="22"/>
  <c r="O67" i="22" s="1"/>
  <c r="C67" i="22"/>
  <c r="N66" i="22"/>
  <c r="O66" i="22" s="1"/>
  <c r="C66" i="22"/>
  <c r="N65" i="22"/>
  <c r="O65" i="22" s="1"/>
  <c r="C65" i="22"/>
  <c r="N64" i="22"/>
  <c r="O64" i="22" s="1"/>
  <c r="C64" i="22"/>
  <c r="O63" i="22"/>
  <c r="C63" i="22"/>
  <c r="N62" i="22"/>
  <c r="O62" i="22" s="1"/>
  <c r="C62" i="22"/>
  <c r="N61" i="22"/>
  <c r="O61" i="22" s="1"/>
  <c r="C61" i="22"/>
  <c r="N60" i="22"/>
  <c r="O60" i="22" s="1"/>
  <c r="C60" i="22"/>
  <c r="N59" i="22"/>
  <c r="O59" i="22" s="1"/>
  <c r="C59" i="22"/>
  <c r="N58" i="22"/>
  <c r="O58" i="22" s="1"/>
  <c r="C58" i="22"/>
  <c r="O57" i="22"/>
  <c r="N54" i="22"/>
  <c r="O54" i="22" s="1"/>
  <c r="N53" i="22"/>
  <c r="O53" i="22" s="1"/>
  <c r="C53" i="22"/>
  <c r="N52" i="22"/>
  <c r="O52" i="22" s="1"/>
  <c r="C52" i="22"/>
  <c r="O51" i="22"/>
  <c r="C51" i="22"/>
  <c r="O50" i="22"/>
  <c r="C50" i="22"/>
  <c r="N49" i="22"/>
  <c r="O49" i="22" s="1"/>
  <c r="C49" i="22"/>
  <c r="N48" i="22"/>
  <c r="O48" i="22" s="1"/>
  <c r="C48" i="22"/>
  <c r="N47" i="22"/>
  <c r="O47" i="22" s="1"/>
  <c r="C47" i="22"/>
  <c r="N46" i="22"/>
  <c r="O46" i="22" s="1"/>
  <c r="C46" i="22"/>
  <c r="N45" i="22"/>
  <c r="O45" i="22" s="1"/>
  <c r="C45" i="22"/>
  <c r="N44" i="22"/>
  <c r="O44" i="22" s="1"/>
  <c r="C44" i="22"/>
  <c r="N43" i="22"/>
  <c r="O43" i="22" s="1"/>
  <c r="C43" i="22"/>
  <c r="O42" i="22"/>
  <c r="C42" i="22"/>
  <c r="N41" i="22"/>
  <c r="O41" i="22" s="1"/>
  <c r="C41" i="22"/>
  <c r="O40" i="22"/>
  <c r="C40" i="22"/>
  <c r="O39" i="22"/>
  <c r="C39" i="22"/>
  <c r="O38" i="22"/>
  <c r="C38" i="22"/>
  <c r="N37" i="22"/>
  <c r="O37" i="22" s="1"/>
  <c r="C37" i="22"/>
  <c r="N36" i="22"/>
  <c r="O36" i="22" s="1"/>
  <c r="C36" i="22"/>
  <c r="N35" i="22"/>
  <c r="O35" i="22" s="1"/>
  <c r="C35" i="22"/>
  <c r="N34" i="22"/>
  <c r="O34" i="22" s="1"/>
  <c r="C34" i="22"/>
  <c r="N33" i="22"/>
  <c r="O33" i="22" s="1"/>
  <c r="C33" i="22"/>
  <c r="O32" i="22"/>
  <c r="C32" i="22"/>
  <c r="N31" i="22"/>
  <c r="O31" i="22" s="1"/>
  <c r="C31" i="22"/>
  <c r="N30" i="22"/>
  <c r="O30" i="22" s="1"/>
  <c r="C30" i="22"/>
  <c r="N29" i="22"/>
  <c r="O29" i="22" s="1"/>
  <c r="C29" i="22"/>
  <c r="O28" i="22"/>
  <c r="C28" i="22"/>
  <c r="N27" i="22"/>
  <c r="O27" i="22" s="1"/>
  <c r="C27" i="22"/>
  <c r="N26" i="22"/>
  <c r="O26" i="22" s="1"/>
  <c r="C26" i="22"/>
  <c r="N25" i="22"/>
  <c r="O25" i="22" s="1"/>
  <c r="C25" i="22"/>
  <c r="N24" i="22"/>
  <c r="O24" i="22" s="1"/>
  <c r="C24" i="22"/>
  <c r="O23" i="22"/>
  <c r="C23" i="22"/>
  <c r="O22" i="22"/>
  <c r="C22" i="22"/>
  <c r="O21" i="22"/>
  <c r="C21" i="22"/>
  <c r="O20" i="22"/>
  <c r="C20" i="22"/>
  <c r="N19" i="22"/>
  <c r="O19" i="22" s="1"/>
  <c r="C19" i="22"/>
  <c r="O18" i="22"/>
  <c r="C18" i="22"/>
  <c r="O17" i="22"/>
  <c r="C17" i="22"/>
  <c r="O16" i="22"/>
  <c r="C16" i="22"/>
  <c r="O15" i="22"/>
  <c r="C15" i="22"/>
  <c r="N14" i="22"/>
  <c r="O14" i="22" s="1"/>
  <c r="C14" i="22"/>
  <c r="O12" i="22"/>
  <c r="C12" i="22"/>
  <c r="N11" i="22"/>
  <c r="O11" i="22" s="1"/>
  <c r="C11" i="22"/>
  <c r="N10" i="22"/>
  <c r="O10" i="22" s="1"/>
  <c r="C10" i="22"/>
  <c r="N9" i="22"/>
  <c r="O9" i="22" s="1"/>
  <c r="C9" i="22"/>
  <c r="O8" i="22"/>
  <c r="C8" i="22"/>
  <c r="O7" i="22"/>
  <c r="C7" i="22"/>
  <c r="Q6" i="22"/>
  <c r="N6" i="22"/>
  <c r="C6" i="22"/>
  <c r="Q5" i="22"/>
  <c r="N5" i="22"/>
  <c r="O5" i="22" s="1"/>
  <c r="C5" i="22"/>
  <c r="L3" i="22"/>
  <c r="N122" i="20"/>
  <c r="N18" i="20"/>
  <c r="O18" i="20" s="1"/>
  <c r="N3" i="22" l="1"/>
  <c r="O6" i="22"/>
  <c r="O3" i="22" s="1"/>
  <c r="N55" i="20"/>
  <c r="O55" i="20" s="1"/>
  <c r="N54" i="20" l="1"/>
  <c r="O54" i="20" s="1"/>
  <c r="C6" i="20" l="1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5" i="20"/>
  <c r="O124" i="20"/>
  <c r="O191" i="20"/>
  <c r="O201" i="20"/>
  <c r="O208" i="20"/>
  <c r="O167" i="20"/>
  <c r="O129" i="20"/>
  <c r="O128" i="20"/>
  <c r="O127" i="20"/>
  <c r="O115" i="20"/>
  <c r="N144" i="20"/>
  <c r="O144" i="20" s="1"/>
  <c r="N137" i="20"/>
  <c r="O137" i="20" s="1"/>
  <c r="O122" i="20"/>
  <c r="O92" i="20"/>
  <c r="O39" i="20"/>
  <c r="O23" i="20"/>
  <c r="N203" i="20"/>
  <c r="N189" i="20"/>
  <c r="N150" i="20"/>
  <c r="N103" i="20"/>
  <c r="N98" i="20"/>
  <c r="N81" i="20"/>
  <c r="N74" i="20"/>
  <c r="N46" i="20"/>
  <c r="N29" i="20"/>
  <c r="N193" i="20"/>
  <c r="O193" i="20" s="1"/>
  <c r="N188" i="20"/>
  <c r="O188" i="20" s="1"/>
  <c r="N172" i="20"/>
  <c r="O172" i="20" s="1"/>
  <c r="N166" i="20"/>
  <c r="O166" i="20" s="1"/>
  <c r="N165" i="20"/>
  <c r="O165" i="20" s="1"/>
  <c r="N164" i="20"/>
  <c r="O164" i="20" s="1"/>
  <c r="N116" i="20"/>
  <c r="O116" i="20" s="1"/>
  <c r="N69" i="20"/>
  <c r="O69" i="20" s="1"/>
  <c r="N66" i="20"/>
  <c r="O66" i="20" s="1"/>
  <c r="N59" i="20"/>
  <c r="O59" i="20" s="1"/>
  <c r="N27" i="20"/>
  <c r="N53" i="20" l="1"/>
  <c r="N114" i="20" l="1"/>
  <c r="N213" i="20" l="1"/>
  <c r="O213" i="20" s="1"/>
  <c r="N195" i="20"/>
  <c r="O195" i="20" s="1"/>
  <c r="N159" i="20"/>
  <c r="O159" i="20" s="1"/>
  <c r="N126" i="20"/>
  <c r="O126" i="20" s="1"/>
  <c r="N112" i="20"/>
  <c r="N47" i="20"/>
  <c r="N154" i="20" l="1"/>
  <c r="O154" i="20" s="1"/>
  <c r="N41" i="20"/>
  <c r="N202" i="20"/>
  <c r="N185" i="20"/>
  <c r="O185" i="20" s="1"/>
  <c r="N140" i="20"/>
  <c r="O140" i="20" s="1"/>
  <c r="N133" i="20"/>
  <c r="O133" i="20" s="1"/>
  <c r="N123" i="20"/>
  <c r="O123" i="20" s="1"/>
  <c r="N109" i="20"/>
  <c r="N102" i="20"/>
  <c r="N86" i="20"/>
  <c r="N32" i="20"/>
  <c r="N19" i="20"/>
  <c r="N187" i="20" l="1"/>
  <c r="O187" i="20" s="1"/>
  <c r="N162" i="20"/>
  <c r="O162" i="20" s="1"/>
  <c r="N161" i="20"/>
  <c r="O161" i="20" s="1"/>
  <c r="N160" i="20"/>
  <c r="O160" i="20" s="1"/>
  <c r="N111" i="20"/>
  <c r="O111" i="20" s="1"/>
  <c r="N68" i="20"/>
  <c r="O68" i="20" s="1"/>
  <c r="N64" i="20"/>
  <c r="O64" i="20" s="1"/>
  <c r="N58" i="20"/>
  <c r="O58" i="20" s="1"/>
  <c r="N26" i="20"/>
  <c r="O26" i="20" s="1"/>
  <c r="N13" i="20"/>
  <c r="O13" i="20" s="1"/>
  <c r="N6" i="20"/>
  <c r="N186" i="20" l="1"/>
  <c r="O186" i="20" s="1"/>
  <c r="N163" i="20"/>
  <c r="O163" i="20" s="1"/>
  <c r="N67" i="20"/>
  <c r="O67" i="20" s="1"/>
  <c r="N65" i="20"/>
  <c r="O65" i="20" s="1"/>
  <c r="N57" i="20"/>
  <c r="O57" i="20" s="1"/>
  <c r="N25" i="20"/>
  <c r="O25" i="20" s="1"/>
  <c r="N5" i="20"/>
  <c r="N136" i="20" l="1"/>
  <c r="O136" i="20" s="1"/>
  <c r="N117" i="20"/>
  <c r="O117" i="20" s="1"/>
  <c r="N45" i="20"/>
  <c r="N209" i="20" l="1"/>
  <c r="O209" i="20" s="1"/>
  <c r="N176" i="20"/>
  <c r="O176" i="20" s="1"/>
  <c r="N173" i="20"/>
  <c r="O173" i="20" s="1"/>
  <c r="N145" i="20"/>
  <c r="O145" i="20" s="1"/>
  <c r="N76" i="20"/>
  <c r="N50" i="20"/>
  <c r="N38" i="20"/>
  <c r="N43" i="20" l="1"/>
  <c r="N198" i="20"/>
  <c r="N183" i="20"/>
  <c r="N151" i="20"/>
  <c r="N139" i="20"/>
  <c r="N121" i="20"/>
  <c r="O121" i="20" s="1"/>
  <c r="N104" i="20"/>
  <c r="N100" i="20"/>
  <c r="N80" i="20"/>
  <c r="N28" i="20"/>
  <c r="N199" i="20" l="1"/>
  <c r="N184" i="20"/>
  <c r="O184" i="20" s="1"/>
  <c r="N153" i="20"/>
  <c r="O153" i="20" s="1"/>
  <c r="N138" i="20"/>
  <c r="O138" i="20" s="1"/>
  <c r="N120" i="20"/>
  <c r="O120" i="20" s="1"/>
  <c r="N105" i="20"/>
  <c r="O105" i="20" s="1"/>
  <c r="N101" i="20"/>
  <c r="O101" i="20" s="1"/>
  <c r="N42" i="20"/>
  <c r="O42" i="20" s="1"/>
  <c r="N36" i="20"/>
  <c r="N210" i="20" l="1"/>
  <c r="O210" i="20" s="1"/>
  <c r="N190" i="20"/>
  <c r="O190" i="20" s="1"/>
  <c r="N177" i="20"/>
  <c r="O177" i="20" s="1"/>
  <c r="N174" i="20"/>
  <c r="O174" i="20" s="1"/>
  <c r="N155" i="20"/>
  <c r="O155" i="20" s="1"/>
  <c r="N143" i="20"/>
  <c r="O143" i="20" s="1"/>
  <c r="N97" i="20"/>
  <c r="O97" i="20" s="1"/>
  <c r="N96" i="20"/>
  <c r="O96" i="20" s="1"/>
  <c r="N95" i="20"/>
  <c r="O95" i="20" s="1"/>
  <c r="N94" i="20"/>
  <c r="O94" i="20" s="1"/>
  <c r="N93" i="20"/>
  <c r="O93" i="20" s="1"/>
  <c r="N75" i="20"/>
  <c r="N63" i="20"/>
  <c r="N34" i="20"/>
  <c r="N212" i="20" l="1"/>
  <c r="O212" i="20" s="1"/>
  <c r="N196" i="20"/>
  <c r="O196" i="20" s="1"/>
  <c r="N179" i="20"/>
  <c r="O179" i="20" s="1"/>
  <c r="N158" i="20"/>
  <c r="O158" i="20" s="1"/>
  <c r="N132" i="20"/>
  <c r="O132" i="20" s="1"/>
  <c r="N131" i="20"/>
  <c r="O131" i="20" s="1"/>
  <c r="N130" i="20"/>
  <c r="O130" i="20" s="1"/>
  <c r="N113" i="20"/>
  <c r="O113" i="20" s="1"/>
  <c r="N79" i="20"/>
  <c r="O79" i="20" s="1"/>
  <c r="N77" i="20"/>
  <c r="O77" i="20" s="1"/>
  <c r="N49" i="20"/>
  <c r="N37" i="20"/>
  <c r="N204" i="20" l="1"/>
  <c r="O204" i="20" s="1"/>
  <c r="N152" i="20"/>
  <c r="O152" i="20" s="1"/>
  <c r="N119" i="20"/>
  <c r="O119" i="20" s="1"/>
  <c r="N118" i="20"/>
  <c r="O118" i="20" s="1"/>
  <c r="N99" i="20"/>
  <c r="O99" i="20" s="1"/>
  <c r="N84" i="20"/>
  <c r="O84" i="20" s="1"/>
  <c r="N44" i="20"/>
  <c r="O44" i="20" s="1"/>
  <c r="N30" i="20"/>
  <c r="O30" i="20" s="1"/>
  <c r="N211" i="20" l="1"/>
  <c r="O211" i="20" s="1"/>
  <c r="N197" i="20" l="1"/>
  <c r="N178" i="20"/>
  <c r="O178" i="20" s="1"/>
  <c r="N175" i="20"/>
  <c r="O175" i="20" s="1"/>
  <c r="N157" i="20"/>
  <c r="O157" i="20" s="1"/>
  <c r="N125" i="20"/>
  <c r="O125" i="20" s="1"/>
  <c r="N110" i="20"/>
  <c r="O110" i="20" s="1"/>
  <c r="N48" i="20"/>
  <c r="N35" i="20"/>
  <c r="N170" i="20" l="1"/>
  <c r="N149" i="20"/>
  <c r="N90" i="20"/>
  <c r="N10" i="20"/>
  <c r="N61" i="20" l="1"/>
  <c r="N60" i="20"/>
  <c r="N31" i="20"/>
  <c r="N181" i="20" l="1"/>
  <c r="O181" i="20" s="1"/>
  <c r="N169" i="20"/>
  <c r="O169" i="20" s="1"/>
  <c r="N148" i="20"/>
  <c r="O148" i="20" s="1"/>
  <c r="N142" i="20"/>
  <c r="O142" i="20" s="1"/>
  <c r="N134" i="20"/>
  <c r="O134" i="20" s="1"/>
  <c r="N89" i="20"/>
  <c r="O89" i="20" s="1"/>
  <c r="N88" i="20"/>
  <c r="O88" i="20" s="1"/>
  <c r="N73" i="20"/>
  <c r="O73" i="20" s="1"/>
  <c r="N11" i="20"/>
  <c r="N194" i="20"/>
  <c r="O194" i="20" s="1"/>
  <c r="N180" i="20"/>
  <c r="O180" i="20" s="1"/>
  <c r="N168" i="20"/>
  <c r="O168" i="20" s="1"/>
  <c r="N146" i="20"/>
  <c r="O146" i="20" s="1"/>
  <c r="N141" i="20"/>
  <c r="O141" i="20" s="1"/>
  <c r="N135" i="20"/>
  <c r="O135" i="20" s="1"/>
  <c r="N87" i="20"/>
  <c r="O87" i="20" s="1"/>
  <c r="N78" i="20"/>
  <c r="O78" i="20" s="1"/>
  <c r="N72" i="20"/>
  <c r="O72" i="20" s="1"/>
  <c r="N9" i="20"/>
  <c r="O207" i="20" l="1"/>
  <c r="O206" i="20"/>
  <c r="O205" i="20"/>
  <c r="O203" i="20"/>
  <c r="O202" i="20"/>
  <c r="O200" i="20"/>
  <c r="O199" i="20"/>
  <c r="O198" i="20"/>
  <c r="O197" i="20"/>
  <c r="O192" i="20"/>
  <c r="O189" i="20"/>
  <c r="O183" i="20"/>
  <c r="O182" i="20"/>
  <c r="O171" i="20"/>
  <c r="O170" i="20"/>
  <c r="O156" i="20"/>
  <c r="O151" i="20"/>
  <c r="O150" i="20"/>
  <c r="O149" i="20"/>
  <c r="O147" i="20"/>
  <c r="O139" i="20"/>
  <c r="O114" i="20"/>
  <c r="O112" i="20"/>
  <c r="O109" i="20"/>
  <c r="O108" i="20"/>
  <c r="O107" i="20"/>
  <c r="O106" i="20"/>
  <c r="O104" i="20"/>
  <c r="O103" i="20"/>
  <c r="O102" i="20"/>
  <c r="O100" i="20"/>
  <c r="O98" i="20"/>
  <c r="O91" i="20"/>
  <c r="O90" i="20"/>
  <c r="O86" i="20"/>
  <c r="O85" i="20"/>
  <c r="O83" i="20"/>
  <c r="O82" i="20"/>
  <c r="O81" i="20"/>
  <c r="O80" i="20"/>
  <c r="O76" i="20"/>
  <c r="O75" i="20"/>
  <c r="O74" i="20"/>
  <c r="O71" i="20"/>
  <c r="O70" i="20"/>
  <c r="O63" i="20"/>
  <c r="O62" i="20"/>
  <c r="O61" i="20"/>
  <c r="O60" i="20"/>
  <c r="O56" i="20"/>
  <c r="O53" i="20"/>
  <c r="O52" i="20"/>
  <c r="O51" i="20"/>
  <c r="O50" i="20"/>
  <c r="O49" i="20"/>
  <c r="O48" i="20"/>
  <c r="O47" i="20"/>
  <c r="O46" i="20"/>
  <c r="O45" i="20"/>
  <c r="O43" i="20"/>
  <c r="O41" i="20"/>
  <c r="O40" i="20"/>
  <c r="O38" i="20"/>
  <c r="O37" i="20"/>
  <c r="O36" i="20"/>
  <c r="O35" i="20"/>
  <c r="O34" i="20"/>
  <c r="O33" i="20"/>
  <c r="O32" i="20"/>
  <c r="O31" i="20"/>
  <c r="O29" i="20"/>
  <c r="O28" i="20"/>
  <c r="O27" i="20"/>
  <c r="O24" i="20"/>
  <c r="O22" i="20"/>
  <c r="O21" i="20"/>
  <c r="O20" i="20"/>
  <c r="O19" i="20"/>
  <c r="O17" i="20"/>
  <c r="O15" i="20"/>
  <c r="O16" i="20"/>
  <c r="O14" i="20"/>
  <c r="O12" i="20"/>
  <c r="O11" i="20"/>
  <c r="O10" i="20"/>
  <c r="O9" i="20"/>
  <c r="O8" i="20"/>
  <c r="O7" i="20"/>
  <c r="O6" i="20"/>
  <c r="L3" i="20"/>
  <c r="M150" i="19"/>
  <c r="N150" i="19" s="1"/>
  <c r="M51" i="19"/>
  <c r="M41" i="19"/>
  <c r="N3" i="20" l="1"/>
  <c r="O5" i="20"/>
  <c r="O3" i="20" s="1"/>
  <c r="M123" i="19"/>
  <c r="M39" i="19"/>
  <c r="P160" i="19" l="1"/>
  <c r="P159" i="19"/>
  <c r="P158" i="19"/>
  <c r="P157" i="19"/>
  <c r="P156" i="19"/>
  <c r="P155" i="19"/>
  <c r="P154" i="19"/>
  <c r="P153" i="19"/>
  <c r="P152" i="19"/>
  <c r="P151" i="19"/>
  <c r="P150" i="19"/>
  <c r="P149" i="19"/>
  <c r="P148" i="19"/>
  <c r="P147" i="19"/>
  <c r="P146" i="19"/>
  <c r="P145" i="19"/>
  <c r="P144" i="19"/>
  <c r="P143" i="19"/>
  <c r="P142" i="19"/>
  <c r="P141" i="19"/>
  <c r="P140" i="19"/>
  <c r="P139" i="19"/>
  <c r="P138" i="19"/>
  <c r="P137" i="19"/>
  <c r="P136" i="19"/>
  <c r="P135" i="19"/>
  <c r="P134" i="19"/>
  <c r="P133" i="19"/>
  <c r="P132" i="19"/>
  <c r="P131" i="19"/>
  <c r="P130" i="19"/>
  <c r="P129" i="19"/>
  <c r="P128" i="19"/>
  <c r="P127" i="19"/>
  <c r="P126" i="19"/>
  <c r="P125" i="19"/>
  <c r="P124" i="19"/>
  <c r="P123" i="19"/>
  <c r="P122" i="19"/>
  <c r="P121" i="19"/>
  <c r="P120" i="19"/>
  <c r="P119" i="19"/>
  <c r="P118" i="19"/>
  <c r="P117" i="19"/>
  <c r="P116" i="19"/>
  <c r="P115" i="19"/>
  <c r="P114" i="19"/>
  <c r="P113" i="19"/>
  <c r="P112" i="19"/>
  <c r="P111" i="19"/>
  <c r="P110" i="19"/>
  <c r="P109" i="19"/>
  <c r="P108" i="19"/>
  <c r="P107" i="19"/>
  <c r="P106" i="19"/>
  <c r="P105" i="19"/>
  <c r="P104" i="19"/>
  <c r="P103" i="19"/>
  <c r="P102" i="19"/>
  <c r="P101" i="19"/>
  <c r="P100" i="19"/>
  <c r="P99" i="19"/>
  <c r="P98" i="19"/>
  <c r="P97" i="19"/>
  <c r="P96" i="19"/>
  <c r="P95" i="19"/>
  <c r="P94" i="19"/>
  <c r="P93" i="19"/>
  <c r="P92" i="19"/>
  <c r="P91" i="19"/>
  <c r="P90" i="19"/>
  <c r="P89" i="19"/>
  <c r="P88" i="19"/>
  <c r="P87" i="19"/>
  <c r="P86" i="19"/>
  <c r="P85" i="19"/>
  <c r="P84" i="19"/>
  <c r="P83" i="19"/>
  <c r="P82" i="19"/>
  <c r="P81" i="19"/>
  <c r="P80" i="19"/>
  <c r="P79" i="19"/>
  <c r="P78" i="19"/>
  <c r="P77" i="19"/>
  <c r="P76" i="19"/>
  <c r="P75" i="19"/>
  <c r="P74" i="19"/>
  <c r="P73" i="19"/>
  <c r="P72" i="19"/>
  <c r="P71" i="19"/>
  <c r="P70" i="19"/>
  <c r="P69" i="19"/>
  <c r="P68" i="19"/>
  <c r="P67" i="19"/>
  <c r="P66" i="19"/>
  <c r="P65" i="19"/>
  <c r="P64" i="19"/>
  <c r="P63" i="19"/>
  <c r="P62" i="19"/>
  <c r="P61" i="19"/>
  <c r="P60" i="19"/>
  <c r="P59" i="19"/>
  <c r="P58" i="19"/>
  <c r="P57" i="19"/>
  <c r="P56" i="19"/>
  <c r="P55" i="19"/>
  <c r="P54" i="19"/>
  <c r="P53" i="19"/>
  <c r="P52" i="19"/>
  <c r="P50" i="19"/>
  <c r="P49" i="19"/>
  <c r="P48" i="19"/>
  <c r="P47" i="19"/>
  <c r="P46" i="19"/>
  <c r="P45" i="19"/>
  <c r="P44" i="19"/>
  <c r="P43" i="19"/>
  <c r="P42" i="19"/>
  <c r="P41" i="19"/>
  <c r="P40" i="19"/>
  <c r="P39" i="19"/>
  <c r="P38" i="19"/>
  <c r="P37" i="19"/>
  <c r="P36" i="19"/>
  <c r="P35" i="19"/>
  <c r="P34" i="19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9" i="19"/>
  <c r="P8" i="19"/>
  <c r="P7" i="19"/>
  <c r="P6" i="19"/>
  <c r="M126" i="19"/>
  <c r="N126" i="19" s="1"/>
  <c r="M65" i="19" l="1"/>
  <c r="N65" i="19" s="1"/>
  <c r="M105" i="19" l="1"/>
  <c r="N105" i="19" s="1"/>
  <c r="N50" i="19" l="1"/>
  <c r="M57" i="19" l="1"/>
  <c r="N57" i="19" s="1"/>
  <c r="M36" i="19" l="1"/>
  <c r="N36" i="19" s="1"/>
  <c r="M72" i="19" l="1"/>
  <c r="N72" i="19" s="1"/>
  <c r="M25" i="19" l="1"/>
  <c r="N25" i="19" s="1"/>
  <c r="M107" i="19" l="1"/>
  <c r="N107" i="19" s="1"/>
  <c r="M127" i="19" l="1"/>
  <c r="N127" i="19" s="1"/>
  <c r="N125" i="19"/>
  <c r="M124" i="19"/>
  <c r="N124" i="19" s="1"/>
  <c r="N123" i="19"/>
  <c r="M122" i="19"/>
  <c r="N122" i="19" s="1"/>
  <c r="M121" i="19"/>
  <c r="N121" i="19" s="1"/>
  <c r="M120" i="19"/>
  <c r="N120" i="19" s="1"/>
  <c r="M119" i="19"/>
  <c r="N119" i="19" s="1"/>
  <c r="N67" i="19"/>
  <c r="N66" i="19"/>
  <c r="M64" i="19"/>
  <c r="N64" i="19" s="1"/>
  <c r="M63" i="19"/>
  <c r="N63" i="19" s="1"/>
  <c r="M106" i="19"/>
  <c r="N106" i="19" s="1"/>
  <c r="M104" i="19"/>
  <c r="N104" i="19" s="1"/>
  <c r="N103" i="19"/>
  <c r="M102" i="19"/>
  <c r="N102" i="19" s="1"/>
  <c r="M101" i="19"/>
  <c r="N101" i="19" s="1"/>
  <c r="M100" i="19"/>
  <c r="N100" i="19" s="1"/>
  <c r="M99" i="19"/>
  <c r="N99" i="19" s="1"/>
  <c r="M98" i="19"/>
  <c r="N98" i="19" s="1"/>
  <c r="M97" i="19"/>
  <c r="N97" i="19" s="1"/>
  <c r="N96" i="19"/>
  <c r="N95" i="19"/>
  <c r="N94" i="19"/>
  <c r="M93" i="19"/>
  <c r="N93" i="19" s="1"/>
  <c r="M92" i="19"/>
  <c r="N92" i="19" s="1"/>
  <c r="M91" i="19"/>
  <c r="N91" i="19" s="1"/>
  <c r="M90" i="19"/>
  <c r="N90" i="19" s="1"/>
  <c r="M89" i="19"/>
  <c r="N89" i="19" s="1"/>
  <c r="M88" i="19"/>
  <c r="N88" i="19" s="1"/>
  <c r="M87" i="19"/>
  <c r="N87" i="19" s="1"/>
  <c r="M86" i="19"/>
  <c r="N86" i="19" s="1"/>
  <c r="M62" i="19"/>
  <c r="N62" i="19" s="1"/>
  <c r="M61" i="19"/>
  <c r="N61" i="19" s="1"/>
  <c r="M60" i="19"/>
  <c r="N60" i="19" s="1"/>
  <c r="M146" i="19"/>
  <c r="N146" i="19" s="1"/>
  <c r="N145" i="19"/>
  <c r="N144" i="19"/>
  <c r="M59" i="19"/>
  <c r="N59" i="19" s="1"/>
  <c r="N58" i="19"/>
  <c r="M56" i="19"/>
  <c r="N56" i="19" s="1"/>
  <c r="M55" i="19"/>
  <c r="N55" i="19" s="1"/>
  <c r="M54" i="19"/>
  <c r="N54" i="19" s="1"/>
  <c r="M53" i="19"/>
  <c r="N53" i="19" s="1"/>
  <c r="N52" i="19"/>
  <c r="N51" i="19"/>
  <c r="N49" i="19"/>
  <c r="M48" i="19"/>
  <c r="N48" i="19" s="1"/>
  <c r="M47" i="19"/>
  <c r="N47" i="19" s="1"/>
  <c r="M46" i="19"/>
  <c r="N46" i="19" s="1"/>
  <c r="M45" i="19"/>
  <c r="N45" i="19" s="1"/>
  <c r="M44" i="19"/>
  <c r="N44" i="19" s="1"/>
  <c r="M43" i="19"/>
  <c r="N43" i="19" s="1"/>
  <c r="M42" i="19"/>
  <c r="N42" i="19" s="1"/>
  <c r="N41" i="19"/>
  <c r="M40" i="19"/>
  <c r="N40" i="19" s="1"/>
  <c r="N39" i="19"/>
  <c r="N38" i="19"/>
  <c r="M143" i="19"/>
  <c r="N143" i="19" s="1"/>
  <c r="M142" i="19"/>
  <c r="N142" i="19" s="1"/>
  <c r="M71" i="19"/>
  <c r="N71" i="19" s="1"/>
  <c r="M70" i="19"/>
  <c r="N70" i="19" s="1"/>
  <c r="M37" i="19"/>
  <c r="N37" i="19" s="1"/>
  <c r="M35" i="19"/>
  <c r="N35" i="19" s="1"/>
  <c r="M34" i="19"/>
  <c r="N34" i="19" s="1"/>
  <c r="M33" i="19"/>
  <c r="N33" i="19" s="1"/>
  <c r="N32" i="19"/>
  <c r="M31" i="19"/>
  <c r="N31" i="19" s="1"/>
  <c r="M30" i="19"/>
  <c r="N30" i="19" s="1"/>
  <c r="M29" i="19"/>
  <c r="N29" i="19" s="1"/>
  <c r="M28" i="19"/>
  <c r="N28" i="19" s="1"/>
  <c r="M27" i="19"/>
  <c r="N27" i="19" s="1"/>
  <c r="M141" i="19"/>
  <c r="N141" i="19" s="1"/>
  <c r="M140" i="19"/>
  <c r="N140" i="19" s="1"/>
  <c r="M139" i="19"/>
  <c r="N139" i="19" s="1"/>
  <c r="M138" i="19"/>
  <c r="N138" i="19" s="1"/>
  <c r="M137" i="19"/>
  <c r="N137" i="19" s="1"/>
  <c r="M136" i="19"/>
  <c r="N136" i="19" s="1"/>
  <c r="M132" i="19"/>
  <c r="N132" i="19" s="1"/>
  <c r="M26" i="19"/>
  <c r="N26" i="19" s="1"/>
  <c r="M24" i="19"/>
  <c r="N24" i="19" s="1"/>
  <c r="N23" i="19"/>
  <c r="N22" i="19"/>
  <c r="N21" i="19"/>
  <c r="N20" i="19"/>
  <c r="M19" i="19"/>
  <c r="N19" i="19" s="1"/>
  <c r="N18" i="19"/>
  <c r="N17" i="19"/>
  <c r="N16" i="19"/>
  <c r="N160" i="19"/>
  <c r="N159" i="19"/>
  <c r="N158" i="19"/>
  <c r="M157" i="19"/>
  <c r="N157" i="19" s="1"/>
  <c r="M156" i="19"/>
  <c r="N156" i="19" s="1"/>
  <c r="M155" i="19"/>
  <c r="N155" i="19" s="1"/>
  <c r="N154" i="19"/>
  <c r="N153" i="19"/>
  <c r="M152" i="19"/>
  <c r="N152" i="19" s="1"/>
  <c r="M151" i="19"/>
  <c r="N151" i="19" s="1"/>
  <c r="M80" i="19"/>
  <c r="N80" i="19" s="1"/>
  <c r="N79" i="19"/>
  <c r="M78" i="19"/>
  <c r="N78" i="19" s="1"/>
  <c r="N77" i="19"/>
  <c r="N76" i="19"/>
  <c r="M75" i="19"/>
  <c r="N75" i="19" s="1"/>
  <c r="M74" i="19"/>
  <c r="N74" i="19" s="1"/>
  <c r="N15" i="19"/>
  <c r="M14" i="19"/>
  <c r="N14" i="19" s="1"/>
  <c r="N13" i="19"/>
  <c r="M12" i="19"/>
  <c r="N12" i="19" s="1"/>
  <c r="M11" i="19"/>
  <c r="N11" i="19" s="1"/>
  <c r="M10" i="19"/>
  <c r="N10" i="19" s="1"/>
  <c r="N9" i="19"/>
  <c r="M149" i="19"/>
  <c r="N149" i="19" s="1"/>
  <c r="M148" i="19"/>
  <c r="N148" i="19" s="1"/>
  <c r="M147" i="19"/>
  <c r="N147" i="19" s="1"/>
  <c r="N135" i="19"/>
  <c r="M134" i="19"/>
  <c r="N134" i="19" s="1"/>
  <c r="M133" i="19"/>
  <c r="N133" i="19" s="1"/>
  <c r="N131" i="19"/>
  <c r="M130" i="19"/>
  <c r="N130" i="19" s="1"/>
  <c r="M129" i="19"/>
  <c r="N129" i="19" s="1"/>
  <c r="M128" i="19"/>
  <c r="N128" i="19" s="1"/>
  <c r="M118" i="19"/>
  <c r="N118" i="19" s="1"/>
  <c r="M117" i="19"/>
  <c r="N117" i="19" s="1"/>
  <c r="N116" i="19"/>
  <c r="M115" i="19"/>
  <c r="N115" i="19" s="1"/>
  <c r="M113" i="19"/>
  <c r="N113" i="19" s="1"/>
  <c r="M112" i="19"/>
  <c r="N112" i="19" s="1"/>
  <c r="N85" i="19"/>
  <c r="M84" i="19"/>
  <c r="N84" i="19" s="1"/>
  <c r="M83" i="19"/>
  <c r="N83" i="19" s="1"/>
  <c r="M82" i="19"/>
  <c r="N82" i="19" s="1"/>
  <c r="M81" i="19"/>
  <c r="N81" i="19" s="1"/>
  <c r="M73" i="19"/>
  <c r="N73" i="19" s="1"/>
  <c r="M69" i="19"/>
  <c r="N69" i="19" s="1"/>
  <c r="M68" i="19"/>
  <c r="N68" i="19" s="1"/>
  <c r="M114" i="19"/>
  <c r="N114" i="19" s="1"/>
  <c r="M111" i="19"/>
  <c r="N111" i="19" s="1"/>
  <c r="M110" i="19"/>
  <c r="N110" i="19" s="1"/>
  <c r="M109" i="19"/>
  <c r="N109" i="19" s="1"/>
  <c r="M108" i="19"/>
  <c r="N108" i="19" s="1"/>
  <c r="N8" i="19"/>
  <c r="M7" i="19"/>
  <c r="N7" i="19" s="1"/>
  <c r="M6" i="19"/>
  <c r="N6" i="19" s="1"/>
  <c r="P5" i="19"/>
  <c r="M5" i="19"/>
  <c r="N5" i="19" s="1"/>
  <c r="L3" i="19"/>
  <c r="P167" i="18"/>
  <c r="P166" i="18"/>
  <c r="P165" i="18"/>
  <c r="P164" i="18"/>
  <c r="P163" i="18"/>
  <c r="P162" i="18"/>
  <c r="P161" i="18"/>
  <c r="P160" i="18"/>
  <c r="P159" i="18"/>
  <c r="P158" i="18"/>
  <c r="P157" i="18"/>
  <c r="P156" i="18"/>
  <c r="P155" i="18"/>
  <c r="P154" i="18"/>
  <c r="P153" i="18"/>
  <c r="P152" i="18"/>
  <c r="P151" i="18"/>
  <c r="P150" i="18"/>
  <c r="P149" i="18"/>
  <c r="P148" i="18"/>
  <c r="P147" i="18"/>
  <c r="P146" i="18"/>
  <c r="P145" i="18"/>
  <c r="P144" i="18"/>
  <c r="P143" i="18"/>
  <c r="P142" i="18"/>
  <c r="P141" i="18"/>
  <c r="P140" i="18"/>
  <c r="P139" i="18"/>
  <c r="P138" i="18"/>
  <c r="P137" i="18"/>
  <c r="P136" i="18"/>
  <c r="P135" i="18"/>
  <c r="P134" i="18"/>
  <c r="P133" i="18"/>
  <c r="P132" i="18"/>
  <c r="P131" i="18"/>
  <c r="P130" i="18"/>
  <c r="P129" i="18"/>
  <c r="P128" i="18"/>
  <c r="P127" i="18"/>
  <c r="P126" i="18"/>
  <c r="P125" i="18"/>
  <c r="P124" i="18"/>
  <c r="P123" i="18"/>
  <c r="P122" i="18"/>
  <c r="P121" i="18"/>
  <c r="P120" i="18"/>
  <c r="P119" i="18"/>
  <c r="P118" i="18"/>
  <c r="P117" i="18"/>
  <c r="P116" i="18"/>
  <c r="P115" i="18"/>
  <c r="P114" i="18"/>
  <c r="P113" i="18"/>
  <c r="P112" i="18"/>
  <c r="P111" i="18"/>
  <c r="P110" i="18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1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8" i="18"/>
  <c r="P77" i="18"/>
  <c r="P76" i="18"/>
  <c r="P75" i="18"/>
  <c r="P74" i="18"/>
  <c r="P73" i="18"/>
  <c r="P72" i="18"/>
  <c r="P71" i="18"/>
  <c r="P70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2" i="18"/>
  <c r="P41" i="18"/>
  <c r="P40" i="18"/>
  <c r="P39" i="18"/>
  <c r="P38" i="18"/>
  <c r="P37" i="18"/>
  <c r="P36" i="18"/>
  <c r="P35" i="18"/>
  <c r="P34" i="18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P6" i="18"/>
  <c r="P5" i="18"/>
  <c r="P168" i="18"/>
  <c r="N105" i="18"/>
  <c r="N42" i="18"/>
  <c r="M52" i="18"/>
  <c r="N8" i="18"/>
  <c r="N3" i="19" l="1"/>
  <c r="M3" i="19"/>
  <c r="M168" i="18"/>
  <c r="N168" i="18" s="1"/>
  <c r="N167" i="18"/>
  <c r="M166" i="18"/>
  <c r="N166" i="18" s="1"/>
  <c r="M165" i="18"/>
  <c r="N165" i="18" s="1"/>
  <c r="M164" i="18"/>
  <c r="N164" i="18" s="1"/>
  <c r="M163" i="18"/>
  <c r="N163" i="18" s="1"/>
  <c r="M162" i="18"/>
  <c r="N162" i="18" s="1"/>
  <c r="N161" i="18"/>
  <c r="M160" i="18"/>
  <c r="N160" i="18" s="1"/>
  <c r="M159" i="18"/>
  <c r="N159" i="18" s="1"/>
  <c r="M158" i="18"/>
  <c r="N158" i="18" s="1"/>
  <c r="M157" i="18"/>
  <c r="N157" i="18" s="1"/>
  <c r="M156" i="18"/>
  <c r="N156" i="18" s="1"/>
  <c r="N155" i="18"/>
  <c r="M154" i="18"/>
  <c r="N154" i="18" s="1"/>
  <c r="M153" i="18"/>
  <c r="N153" i="18" s="1"/>
  <c r="M152" i="18"/>
  <c r="N152" i="18" s="1"/>
  <c r="M151" i="18"/>
  <c r="N151" i="18" s="1"/>
  <c r="M141" i="18"/>
  <c r="N141" i="18" s="1"/>
  <c r="M94" i="18" l="1"/>
  <c r="M71" i="18" l="1"/>
  <c r="N71" i="18" s="1"/>
  <c r="M139" i="18" l="1"/>
  <c r="N139" i="18" s="1"/>
  <c r="M70" i="18"/>
  <c r="N70" i="18" s="1"/>
  <c r="M96" i="18" l="1"/>
  <c r="M79" i="18"/>
  <c r="M11" i="18"/>
  <c r="M88" i="18" l="1"/>
  <c r="N88" i="18" s="1"/>
  <c r="M29" i="18" l="1"/>
  <c r="M23" i="18"/>
  <c r="M19" i="18"/>
  <c r="M15" i="18"/>
  <c r="N15" i="18" s="1"/>
  <c r="M140" i="18" l="1"/>
  <c r="N140" i="18" s="1"/>
  <c r="M138" i="18" l="1"/>
  <c r="N138" i="18" s="1"/>
  <c r="M137" i="18"/>
  <c r="N137" i="18" s="1"/>
  <c r="M87" i="18" l="1"/>
  <c r="N87" i="18" s="1"/>
  <c r="M41" i="18" l="1"/>
  <c r="N41" i="18" s="1"/>
  <c r="M7" i="18" l="1"/>
  <c r="N7" i="18" s="1"/>
  <c r="N61" i="18" l="1"/>
  <c r="N60" i="18"/>
  <c r="N59" i="18"/>
  <c r="M58" i="18"/>
  <c r="N58" i="18" s="1"/>
  <c r="M57" i="18"/>
  <c r="N57" i="18" s="1"/>
  <c r="M56" i="18"/>
  <c r="N56" i="18" s="1"/>
  <c r="N55" i="18"/>
  <c r="N54" i="18"/>
  <c r="M53" i="18"/>
  <c r="N53" i="18" s="1"/>
  <c r="N52" i="18"/>
  <c r="M37" i="18"/>
  <c r="N37" i="18" s="1"/>
  <c r="M36" i="18"/>
  <c r="N36" i="18" s="1"/>
  <c r="M35" i="18"/>
  <c r="N35" i="18" s="1"/>
  <c r="M115" i="18"/>
  <c r="N115" i="18" s="1"/>
  <c r="N114" i="18"/>
  <c r="N113" i="18"/>
  <c r="M92" i="18"/>
  <c r="N92" i="18" s="1"/>
  <c r="M91" i="18"/>
  <c r="N91" i="18" s="1"/>
  <c r="M78" i="18"/>
  <c r="N78" i="18" s="1"/>
  <c r="M77" i="18"/>
  <c r="N77" i="18" s="1"/>
  <c r="M76" i="18"/>
  <c r="N76" i="18" s="1"/>
  <c r="M75" i="18"/>
  <c r="N75" i="18" s="1"/>
  <c r="M74" i="18"/>
  <c r="N74" i="18" s="1"/>
  <c r="M73" i="18"/>
  <c r="N73" i="18" s="1"/>
  <c r="M33" i="18"/>
  <c r="N33" i="18" s="1"/>
  <c r="N34" i="18"/>
  <c r="M32" i="18"/>
  <c r="N32" i="18" s="1"/>
  <c r="M72" i="18"/>
  <c r="N72" i="18" s="1"/>
  <c r="N29" i="18"/>
  <c r="M30" i="18"/>
  <c r="N30" i="18" s="1"/>
  <c r="N31" i="18"/>
  <c r="M28" i="18"/>
  <c r="N28" i="18" s="1"/>
  <c r="M150" i="18"/>
  <c r="N150" i="18" s="1"/>
  <c r="N149" i="18"/>
  <c r="M148" i="18"/>
  <c r="N148" i="18" s="1"/>
  <c r="M147" i="18"/>
  <c r="N147" i="18" s="1"/>
  <c r="M146" i="18"/>
  <c r="N146" i="18" s="1"/>
  <c r="M145" i="18"/>
  <c r="N145" i="18" s="1"/>
  <c r="M144" i="18"/>
  <c r="N144" i="18" s="1"/>
  <c r="M143" i="18"/>
  <c r="N143" i="18" s="1"/>
  <c r="M27" i="18"/>
  <c r="N27" i="18" s="1"/>
  <c r="M26" i="18"/>
  <c r="N26" i="18" s="1"/>
  <c r="N25" i="18"/>
  <c r="M24" i="18"/>
  <c r="N24" i="18" s="1"/>
  <c r="M13" i="18"/>
  <c r="N13" i="18" s="1"/>
  <c r="N23" i="18"/>
  <c r="M22" i="18"/>
  <c r="N22" i="18" s="1"/>
  <c r="M12" i="18"/>
  <c r="N12" i="18" s="1"/>
  <c r="N11" i="18"/>
  <c r="M10" i="18"/>
  <c r="N10" i="18" s="1"/>
  <c r="M9" i="18"/>
  <c r="N9" i="18" s="1"/>
  <c r="N136" i="18"/>
  <c r="M135" i="18"/>
  <c r="N135" i="18" s="1"/>
  <c r="M134" i="18"/>
  <c r="N134" i="18" s="1"/>
  <c r="M133" i="18"/>
  <c r="N133" i="18" s="1"/>
  <c r="M132" i="18"/>
  <c r="N132" i="18" s="1"/>
  <c r="M131" i="18"/>
  <c r="N131" i="18" s="1"/>
  <c r="M130" i="18"/>
  <c r="N130" i="18" s="1"/>
  <c r="N129" i="18"/>
  <c r="N128" i="18"/>
  <c r="N127" i="18"/>
  <c r="M126" i="18"/>
  <c r="N126" i="18" s="1"/>
  <c r="M125" i="18"/>
  <c r="N125" i="18" s="1"/>
  <c r="M124" i="18"/>
  <c r="N124" i="18" s="1"/>
  <c r="M123" i="18"/>
  <c r="N123" i="18" s="1"/>
  <c r="M122" i="18"/>
  <c r="N122" i="18" s="1"/>
  <c r="M121" i="18"/>
  <c r="N121" i="18" s="1"/>
  <c r="M120" i="18"/>
  <c r="N120" i="18" s="1"/>
  <c r="M119" i="18"/>
  <c r="M18" i="18"/>
  <c r="N18" i="18" s="1"/>
  <c r="N21" i="18"/>
  <c r="M20" i="18"/>
  <c r="N20" i="18" s="1"/>
  <c r="M17" i="18"/>
  <c r="N17" i="18" s="1"/>
  <c r="N19" i="18"/>
  <c r="M51" i="18"/>
  <c r="N51" i="18" s="1"/>
  <c r="N50" i="18"/>
  <c r="M49" i="18"/>
  <c r="N49" i="18" s="1"/>
  <c r="N48" i="18"/>
  <c r="N47" i="18"/>
  <c r="M46" i="18"/>
  <c r="N46" i="18" s="1"/>
  <c r="M45" i="18"/>
  <c r="N45" i="18" s="1"/>
  <c r="M16" i="18"/>
  <c r="N16" i="18" s="1"/>
  <c r="M90" i="18"/>
  <c r="N90" i="18" s="1"/>
  <c r="M89" i="18"/>
  <c r="N89" i="18" s="1"/>
  <c r="M14" i="18"/>
  <c r="N14" i="18" s="1"/>
  <c r="N142" i="18"/>
  <c r="M118" i="18"/>
  <c r="N118" i="18" s="1"/>
  <c r="M117" i="18"/>
  <c r="N117" i="18" s="1"/>
  <c r="M116" i="18"/>
  <c r="N116" i="18" s="1"/>
  <c r="M112" i="18"/>
  <c r="N112" i="18" s="1"/>
  <c r="M111" i="18"/>
  <c r="N111" i="18" s="1"/>
  <c r="M110" i="18"/>
  <c r="N110" i="18" s="1"/>
  <c r="M109" i="18"/>
  <c r="N109" i="18" s="1"/>
  <c r="M108" i="18"/>
  <c r="N108" i="18" s="1"/>
  <c r="M107" i="18"/>
  <c r="N107" i="18" s="1"/>
  <c r="N106" i="18"/>
  <c r="N104" i="18"/>
  <c r="M103" i="18"/>
  <c r="N103" i="18" s="1"/>
  <c r="M102" i="18"/>
  <c r="N102" i="18" s="1"/>
  <c r="M101" i="18"/>
  <c r="N101" i="18" s="1"/>
  <c r="M100" i="18"/>
  <c r="N100" i="18" s="1"/>
  <c r="M99" i="18"/>
  <c r="N99" i="18" s="1"/>
  <c r="M98" i="18"/>
  <c r="N98" i="18" s="1"/>
  <c r="M97" i="18"/>
  <c r="N97" i="18" s="1"/>
  <c r="N96" i="18"/>
  <c r="M95" i="18"/>
  <c r="N95" i="18" s="1"/>
  <c r="N94" i="18"/>
  <c r="N93" i="18"/>
  <c r="M86" i="18"/>
  <c r="N86" i="18" s="1"/>
  <c r="M85" i="18"/>
  <c r="N85" i="18" s="1"/>
  <c r="N84" i="18"/>
  <c r="M83" i="18"/>
  <c r="N83" i="18" s="1"/>
  <c r="M82" i="18"/>
  <c r="N82" i="18" s="1"/>
  <c r="M81" i="18"/>
  <c r="N81" i="18" s="1"/>
  <c r="M80" i="18"/>
  <c r="N80" i="18" s="1"/>
  <c r="N79" i="18"/>
  <c r="N69" i="18"/>
  <c r="N68" i="18"/>
  <c r="N67" i="18"/>
  <c r="N66" i="18"/>
  <c r="M65" i="18"/>
  <c r="N65" i="18" s="1"/>
  <c r="N64" i="18"/>
  <c r="N63" i="18"/>
  <c r="N62" i="18"/>
  <c r="N44" i="18"/>
  <c r="M43" i="18"/>
  <c r="N43" i="18" s="1"/>
  <c r="M40" i="18"/>
  <c r="N40" i="18" s="1"/>
  <c r="M39" i="18"/>
  <c r="N39" i="18" s="1"/>
  <c r="N38" i="18"/>
  <c r="M6" i="18"/>
  <c r="N6" i="18" s="1"/>
  <c r="M5" i="18"/>
  <c r="N5" i="18" s="1"/>
  <c r="L3" i="18"/>
  <c r="N89" i="16"/>
  <c r="N88" i="16"/>
  <c r="N87" i="16"/>
  <c r="N86" i="16"/>
  <c r="N85" i="16"/>
  <c r="N56" i="16"/>
  <c r="M34" i="16"/>
  <c r="N34" i="16" s="1"/>
  <c r="P6" i="16"/>
  <c r="P7" i="16"/>
  <c r="P8" i="16"/>
  <c r="P9" i="16"/>
  <c r="P10" i="16"/>
  <c r="P11" i="16"/>
  <c r="P12" i="16"/>
  <c r="P13" i="16"/>
  <c r="P14" i="16"/>
  <c r="P15" i="16"/>
  <c r="P16" i="16"/>
  <c r="P17" i="16"/>
  <c r="P18" i="16"/>
  <c r="P19" i="16"/>
  <c r="P20" i="16"/>
  <c r="P21" i="16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55" i="16"/>
  <c r="P56" i="16"/>
  <c r="P57" i="16"/>
  <c r="P58" i="16"/>
  <c r="P59" i="16"/>
  <c r="P60" i="16"/>
  <c r="P61" i="16"/>
  <c r="P62" i="16"/>
  <c r="P63" i="16"/>
  <c r="P64" i="16"/>
  <c r="P65" i="16"/>
  <c r="P66" i="16"/>
  <c r="P67" i="16"/>
  <c r="P68" i="16"/>
  <c r="P69" i="16"/>
  <c r="P70" i="16"/>
  <c r="P71" i="16"/>
  <c r="P72" i="16"/>
  <c r="P73" i="16"/>
  <c r="P74" i="16"/>
  <c r="P75" i="16"/>
  <c r="P76" i="16"/>
  <c r="P77" i="16"/>
  <c r="P78" i="16"/>
  <c r="P79" i="16"/>
  <c r="P80" i="16"/>
  <c r="P81" i="16"/>
  <c r="P82" i="16"/>
  <c r="P83" i="16"/>
  <c r="P84" i="16"/>
  <c r="P85" i="16"/>
  <c r="P86" i="16"/>
  <c r="P87" i="16"/>
  <c r="P88" i="16"/>
  <c r="P89" i="16"/>
  <c r="P90" i="16"/>
  <c r="P91" i="16"/>
  <c r="P92" i="16"/>
  <c r="P93" i="16"/>
  <c r="P94" i="16"/>
  <c r="P95" i="16"/>
  <c r="P96" i="16"/>
  <c r="P97" i="16"/>
  <c r="P98" i="16"/>
  <c r="P99" i="16"/>
  <c r="P100" i="16"/>
  <c r="P101" i="16"/>
  <c r="P102" i="16"/>
  <c r="P103" i="16"/>
  <c r="P104" i="16"/>
  <c r="P105" i="16"/>
  <c r="P106" i="16"/>
  <c r="P107" i="16"/>
  <c r="P108" i="16"/>
  <c r="P109" i="16"/>
  <c r="P110" i="16"/>
  <c r="P111" i="16"/>
  <c r="P112" i="16"/>
  <c r="P113" i="16"/>
  <c r="P114" i="16"/>
  <c r="P115" i="16"/>
  <c r="P116" i="16"/>
  <c r="P117" i="16"/>
  <c r="P118" i="16"/>
  <c r="P119" i="16"/>
  <c r="P120" i="16"/>
  <c r="P121" i="16"/>
  <c r="P122" i="16"/>
  <c r="P123" i="16"/>
  <c r="P124" i="16"/>
  <c r="P125" i="16"/>
  <c r="P126" i="16"/>
  <c r="P127" i="16"/>
  <c r="P128" i="16"/>
  <c r="P129" i="16"/>
  <c r="P130" i="16"/>
  <c r="P131" i="16"/>
  <c r="P132" i="16"/>
  <c r="P133" i="16"/>
  <c r="P134" i="16"/>
  <c r="P135" i="16"/>
  <c r="P136" i="16"/>
  <c r="P137" i="16"/>
  <c r="P138" i="16"/>
  <c r="P139" i="16"/>
  <c r="P140" i="16"/>
  <c r="P141" i="16"/>
  <c r="P142" i="16"/>
  <c r="P143" i="16"/>
  <c r="P144" i="16"/>
  <c r="P145" i="16"/>
  <c r="P146" i="16"/>
  <c r="P147" i="16"/>
  <c r="P148" i="16"/>
  <c r="P149" i="16"/>
  <c r="P150" i="16"/>
  <c r="P151" i="16"/>
  <c r="P152" i="16"/>
  <c r="P153" i="16"/>
  <c r="P154" i="16"/>
  <c r="P155" i="16"/>
  <c r="P156" i="16"/>
  <c r="P157" i="16"/>
  <c r="P158" i="16"/>
  <c r="P159" i="16"/>
  <c r="P160" i="16"/>
  <c r="P161" i="16"/>
  <c r="P162" i="16"/>
  <c r="P163" i="16"/>
  <c r="P164" i="16"/>
  <c r="P165" i="16"/>
  <c r="P166" i="16"/>
  <c r="P167" i="16"/>
  <c r="P168" i="16"/>
  <c r="P169" i="16"/>
  <c r="P170" i="16"/>
  <c r="P171" i="16"/>
  <c r="P172" i="16"/>
  <c r="P173" i="16"/>
  <c r="P5" i="16"/>
  <c r="L3" i="16"/>
  <c r="M5" i="16"/>
  <c r="M6" i="16"/>
  <c r="N6" i="16" s="1"/>
  <c r="M7" i="16"/>
  <c r="N7" i="16" s="1"/>
  <c r="N8" i="16"/>
  <c r="M9" i="16"/>
  <c r="N9" i="16" s="1"/>
  <c r="M10" i="16"/>
  <c r="N10" i="16" s="1"/>
  <c r="M11" i="16"/>
  <c r="N11" i="16" s="1"/>
  <c r="M12" i="16"/>
  <c r="N12" i="16" s="1"/>
  <c r="N13" i="16"/>
  <c r="N14" i="16"/>
  <c r="N15" i="16"/>
  <c r="N16" i="16"/>
  <c r="M17" i="16"/>
  <c r="N17" i="16" s="1"/>
  <c r="N18" i="16"/>
  <c r="N19" i="16"/>
  <c r="N20" i="16"/>
  <c r="N21" i="16"/>
  <c r="M22" i="16"/>
  <c r="N22" i="16" s="1"/>
  <c r="M23" i="16"/>
  <c r="N23" i="16" s="1"/>
  <c r="M24" i="16"/>
  <c r="N24" i="16" s="1"/>
  <c r="M25" i="16"/>
  <c r="N25" i="16" s="1"/>
  <c r="M26" i="16"/>
  <c r="N26" i="16" s="1"/>
  <c r="N27" i="16"/>
  <c r="M28" i="16"/>
  <c r="N28" i="16" s="1"/>
  <c r="M29" i="16"/>
  <c r="N29" i="16" s="1"/>
  <c r="M30" i="16"/>
  <c r="N30" i="16" s="1"/>
  <c r="N31" i="16"/>
  <c r="M32" i="16"/>
  <c r="N32" i="16" s="1"/>
  <c r="M33" i="16"/>
  <c r="N33" i="16" s="1"/>
  <c r="M35" i="16"/>
  <c r="N35" i="16" s="1"/>
  <c r="M36" i="16"/>
  <c r="N36" i="16" s="1"/>
  <c r="M37" i="16"/>
  <c r="N37" i="16" s="1"/>
  <c r="M38" i="16"/>
  <c r="N38" i="16" s="1"/>
  <c r="M39" i="16"/>
  <c r="N39" i="16" s="1"/>
  <c r="M40" i="16"/>
  <c r="N40" i="16" s="1"/>
  <c r="M41" i="16"/>
  <c r="N41" i="16" s="1"/>
  <c r="N42" i="16"/>
  <c r="N43" i="16"/>
  <c r="M44" i="16"/>
  <c r="N44" i="16" s="1"/>
  <c r="M45" i="16"/>
  <c r="N45" i="16" s="1"/>
  <c r="M46" i="16"/>
  <c r="N46" i="16" s="1"/>
  <c r="M47" i="16"/>
  <c r="N47" i="16" s="1"/>
  <c r="M48" i="16"/>
  <c r="N48" i="16" s="1"/>
  <c r="M49" i="16"/>
  <c r="N49" i="16" s="1"/>
  <c r="M50" i="16"/>
  <c r="N50" i="16" s="1"/>
  <c r="M51" i="16"/>
  <c r="N51" i="16" s="1"/>
  <c r="M52" i="16"/>
  <c r="N52" i="16" s="1"/>
  <c r="M53" i="16"/>
  <c r="N53" i="16" s="1"/>
  <c r="N54" i="16"/>
  <c r="M55" i="16"/>
  <c r="N55" i="16" s="1"/>
  <c r="M57" i="16"/>
  <c r="N57" i="16" s="1"/>
  <c r="M58" i="16"/>
  <c r="N58" i="16" s="1"/>
  <c r="M59" i="16"/>
  <c r="N59" i="16" s="1"/>
  <c r="M60" i="16"/>
  <c r="N60" i="16" s="1"/>
  <c r="M61" i="16"/>
  <c r="N61" i="16" s="1"/>
  <c r="N62" i="16"/>
  <c r="N63" i="16"/>
  <c r="M64" i="16"/>
  <c r="N64" i="16" s="1"/>
  <c r="N65" i="16"/>
  <c r="M66" i="16"/>
  <c r="N66" i="16" s="1"/>
  <c r="M67" i="16"/>
  <c r="N67" i="16" s="1"/>
  <c r="M68" i="16"/>
  <c r="N68" i="16" s="1"/>
  <c r="M69" i="16"/>
  <c r="N69" i="16" s="1"/>
  <c r="N70" i="16"/>
  <c r="M71" i="16"/>
  <c r="N71" i="16" s="1"/>
  <c r="M72" i="16"/>
  <c r="N72" i="16" s="1"/>
  <c r="M73" i="16"/>
  <c r="N73" i="16" s="1"/>
  <c r="M74" i="16"/>
  <c r="N74" i="16" s="1"/>
  <c r="M75" i="16"/>
  <c r="N75" i="16" s="1"/>
  <c r="M76" i="16"/>
  <c r="N76" i="16" s="1"/>
  <c r="M77" i="16"/>
  <c r="N77" i="16" s="1"/>
  <c r="M78" i="16"/>
  <c r="N78" i="16" s="1"/>
  <c r="M79" i="16"/>
  <c r="N79" i="16" s="1"/>
  <c r="M80" i="16"/>
  <c r="N80" i="16" s="1"/>
  <c r="M81" i="16"/>
  <c r="N81" i="16" s="1"/>
  <c r="M82" i="16"/>
  <c r="N82" i="16" s="1"/>
  <c r="M83" i="16"/>
  <c r="N83" i="16" s="1"/>
  <c r="M84" i="16"/>
  <c r="N84" i="16" s="1"/>
  <c r="M90" i="16"/>
  <c r="N90" i="16" s="1"/>
  <c r="M91" i="16"/>
  <c r="N91" i="16" s="1"/>
  <c r="M92" i="16"/>
  <c r="N92" i="16" s="1"/>
  <c r="M93" i="16"/>
  <c r="N93" i="16" s="1"/>
  <c r="M94" i="16"/>
  <c r="N94" i="16" s="1"/>
  <c r="M95" i="16"/>
  <c r="N95" i="16" s="1"/>
  <c r="M96" i="16"/>
  <c r="N96" i="16" s="1"/>
  <c r="N97" i="16"/>
  <c r="N98" i="16"/>
  <c r="N99" i="16"/>
  <c r="M100" i="16"/>
  <c r="N100" i="16" s="1"/>
  <c r="M101" i="16"/>
  <c r="N101" i="16" s="1"/>
  <c r="M102" i="16"/>
  <c r="N102" i="16" s="1"/>
  <c r="M103" i="16"/>
  <c r="N103" i="16" s="1"/>
  <c r="M104" i="16"/>
  <c r="N104" i="16" s="1"/>
  <c r="M105" i="16"/>
  <c r="N105" i="16" s="1"/>
  <c r="M106" i="16"/>
  <c r="N106" i="16" s="1"/>
  <c r="N107" i="16"/>
  <c r="M108" i="16"/>
  <c r="N108" i="16" s="1"/>
  <c r="M109" i="16"/>
  <c r="N109" i="16" s="1"/>
  <c r="M110" i="16"/>
  <c r="N110" i="16" s="1"/>
  <c r="M111" i="16"/>
  <c r="N111" i="16" s="1"/>
  <c r="M112" i="16"/>
  <c r="N112" i="16" s="1"/>
  <c r="M113" i="16"/>
  <c r="N113" i="16" s="1"/>
  <c r="N114" i="16"/>
  <c r="M115" i="16"/>
  <c r="N115" i="16" s="1"/>
  <c r="M116" i="16"/>
  <c r="N116" i="16" s="1"/>
  <c r="M117" i="16"/>
  <c r="N117" i="16" s="1"/>
  <c r="M118" i="16"/>
  <c r="N118" i="16" s="1"/>
  <c r="M119" i="16"/>
  <c r="N119" i="16" s="1"/>
  <c r="M120" i="16"/>
  <c r="N120" i="16" s="1"/>
  <c r="M121" i="16"/>
  <c r="N121" i="16" s="1"/>
  <c r="M122" i="16"/>
  <c r="N122" i="16" s="1"/>
  <c r="M123" i="16"/>
  <c r="N123" i="16" s="1"/>
  <c r="M124" i="16"/>
  <c r="N124" i="16" s="1"/>
  <c r="N125" i="16"/>
  <c r="M126" i="16"/>
  <c r="N126" i="16" s="1"/>
  <c r="M127" i="16"/>
  <c r="N127" i="16" s="1"/>
  <c r="M128" i="16"/>
  <c r="N128" i="16" s="1"/>
  <c r="M129" i="16"/>
  <c r="N129" i="16" s="1"/>
  <c r="M130" i="16"/>
  <c r="N130" i="16" s="1"/>
  <c r="M131" i="16"/>
  <c r="N131" i="16" s="1"/>
  <c r="M132" i="16"/>
  <c r="N132" i="16" s="1"/>
  <c r="M133" i="16"/>
  <c r="N133" i="16" s="1"/>
  <c r="N134" i="16"/>
  <c r="M135" i="16"/>
  <c r="N135" i="16" s="1"/>
  <c r="M136" i="16"/>
  <c r="N136" i="16" s="1"/>
  <c r="M137" i="16"/>
  <c r="N137" i="16" s="1"/>
  <c r="M138" i="16"/>
  <c r="N138" i="16" s="1"/>
  <c r="M139" i="16"/>
  <c r="N139" i="16" s="1"/>
  <c r="N140" i="16"/>
  <c r="M141" i="16"/>
  <c r="N141" i="16" s="1"/>
  <c r="M142" i="16"/>
  <c r="N142" i="16" s="1"/>
  <c r="M143" i="16"/>
  <c r="N143" i="16" s="1"/>
  <c r="M144" i="16"/>
  <c r="N144" i="16" s="1"/>
  <c r="M145" i="16"/>
  <c r="N145" i="16" s="1"/>
  <c r="M146" i="16"/>
  <c r="N146" i="16" s="1"/>
  <c r="M147" i="16"/>
  <c r="N147" i="16" s="1"/>
  <c r="N148" i="16"/>
  <c r="M149" i="16"/>
  <c r="N149" i="16" s="1"/>
  <c r="M150" i="16"/>
  <c r="N150" i="16" s="1"/>
  <c r="M151" i="16"/>
  <c r="N151" i="16" s="1"/>
  <c r="M152" i="16"/>
  <c r="N152" i="16" s="1"/>
  <c r="M153" i="16"/>
  <c r="N153" i="16" s="1"/>
  <c r="M154" i="16"/>
  <c r="N154" i="16" s="1"/>
  <c r="M155" i="16"/>
  <c r="N155" i="16" s="1"/>
  <c r="M156" i="16"/>
  <c r="N156" i="16" s="1"/>
  <c r="M157" i="16"/>
  <c r="N157" i="16" s="1"/>
  <c r="N158" i="16"/>
  <c r="N159" i="16"/>
  <c r="M160" i="16"/>
  <c r="N160" i="16" s="1"/>
  <c r="M161" i="16"/>
  <c r="N161" i="16" s="1"/>
  <c r="M162" i="16"/>
  <c r="N162" i="16" s="1"/>
  <c r="M163" i="16"/>
  <c r="N163" i="16" s="1"/>
  <c r="M164" i="16"/>
  <c r="N164" i="16" s="1"/>
  <c r="M165" i="16"/>
  <c r="N165" i="16" s="1"/>
  <c r="N166" i="16"/>
  <c r="N167" i="16"/>
  <c r="M168" i="16"/>
  <c r="N168" i="16" s="1"/>
  <c r="M169" i="16"/>
  <c r="N169" i="16" s="1"/>
  <c r="M170" i="16"/>
  <c r="N170" i="16" s="1"/>
  <c r="N171" i="16"/>
  <c r="N172" i="16"/>
  <c r="N173" i="16"/>
  <c r="M3" i="18" l="1"/>
  <c r="N119" i="18"/>
  <c r="N3" i="18" s="1"/>
  <c r="M3" i="16"/>
  <c r="N5" i="16"/>
  <c r="N3" i="16"/>
  <c r="P145" i="11" l="1"/>
  <c r="P144" i="11"/>
  <c r="P143" i="11"/>
  <c r="P142" i="11"/>
  <c r="P141" i="11"/>
  <c r="P140" i="11"/>
  <c r="P139" i="11"/>
  <c r="P138" i="11"/>
  <c r="P137" i="11"/>
  <c r="P136" i="11"/>
  <c r="P135" i="11"/>
  <c r="P134" i="11"/>
  <c r="P133" i="11"/>
  <c r="P132" i="11"/>
  <c r="P131" i="11"/>
  <c r="P130" i="11"/>
  <c r="P129" i="11"/>
  <c r="P128" i="11"/>
  <c r="P127" i="11"/>
  <c r="P126" i="11"/>
  <c r="P125" i="11"/>
  <c r="P124" i="11"/>
  <c r="P123" i="11"/>
  <c r="P122" i="11"/>
  <c r="P121" i="11"/>
  <c r="P120" i="11"/>
  <c r="P119" i="11"/>
  <c r="P118" i="11"/>
  <c r="P117" i="11"/>
  <c r="P116" i="11"/>
  <c r="P115" i="11"/>
  <c r="P114" i="11"/>
  <c r="P113" i="11"/>
  <c r="P112" i="11"/>
  <c r="P111" i="11"/>
  <c r="P110" i="11"/>
  <c r="P109" i="11"/>
  <c r="P108" i="11"/>
  <c r="P107" i="11"/>
  <c r="P106" i="11"/>
  <c r="P105" i="11"/>
  <c r="P104" i="11"/>
  <c r="P103" i="11"/>
  <c r="P102" i="11"/>
  <c r="P101" i="11"/>
  <c r="P100" i="11"/>
  <c r="P99" i="11"/>
  <c r="P98" i="11"/>
  <c r="P97" i="11"/>
  <c r="P96" i="11"/>
  <c r="P95" i="11"/>
  <c r="P94" i="11"/>
  <c r="P93" i="11"/>
  <c r="P92" i="11"/>
  <c r="P91" i="11"/>
  <c r="P90" i="11"/>
  <c r="P89" i="11"/>
  <c r="P88" i="11"/>
  <c r="P87" i="11"/>
  <c r="P86" i="11"/>
  <c r="P85" i="11"/>
  <c r="P84" i="11"/>
  <c r="P83" i="11"/>
  <c r="P82" i="11"/>
  <c r="P81" i="11"/>
  <c r="P80" i="11"/>
  <c r="P79" i="11"/>
  <c r="P78" i="11"/>
  <c r="P77" i="11"/>
  <c r="P76" i="11"/>
  <c r="P75" i="11"/>
  <c r="P74" i="11"/>
  <c r="P73" i="11"/>
  <c r="P72" i="11"/>
  <c r="P71" i="11"/>
  <c r="P70" i="11"/>
  <c r="P69" i="11"/>
  <c r="P68" i="11"/>
  <c r="P67" i="11"/>
  <c r="P66" i="11"/>
  <c r="P65" i="11"/>
  <c r="P64" i="11"/>
  <c r="P63" i="11"/>
  <c r="P62" i="11"/>
  <c r="P61" i="11"/>
  <c r="P60" i="11"/>
  <c r="P59" i="11"/>
  <c r="P58" i="11"/>
  <c r="P57" i="11"/>
  <c r="P56" i="11"/>
  <c r="P55" i="11"/>
  <c r="P54" i="11"/>
  <c r="P53" i="11"/>
  <c r="P52" i="11"/>
  <c r="P51" i="11"/>
  <c r="P50" i="11"/>
  <c r="P49" i="11"/>
  <c r="P48" i="11"/>
  <c r="P47" i="11"/>
  <c r="P46" i="11"/>
  <c r="P45" i="11"/>
  <c r="P44" i="11"/>
  <c r="P43" i="11"/>
  <c r="P42" i="11"/>
  <c r="P41" i="11"/>
  <c r="P40" i="11"/>
  <c r="P39" i="11"/>
  <c r="P38" i="11"/>
  <c r="P37" i="11"/>
  <c r="P36" i="11"/>
  <c r="P35" i="11"/>
  <c r="P34" i="11"/>
  <c r="P33" i="11"/>
  <c r="P32" i="11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8" i="11"/>
  <c r="P7" i="11"/>
  <c r="P6" i="11"/>
  <c r="P5" i="11"/>
  <c r="P9" i="11"/>
  <c r="M97" i="11" l="1"/>
  <c r="M96" i="11"/>
  <c r="M35" i="11" l="1"/>
  <c r="M109" i="11"/>
  <c r="M145" i="11" l="1"/>
  <c r="M144" i="11"/>
  <c r="M143" i="11" l="1"/>
  <c r="M37" i="11" l="1"/>
  <c r="M7" i="11" l="1"/>
  <c r="M8" i="11"/>
  <c r="M70" i="11"/>
  <c r="N11" i="11" l="1"/>
  <c r="N96" i="11" l="1"/>
  <c r="M95" i="11"/>
  <c r="N95" i="11" s="1"/>
  <c r="M108" i="11" l="1"/>
  <c r="N108" i="11" s="1"/>
  <c r="N145" i="11" l="1"/>
  <c r="N144" i="11" l="1"/>
  <c r="N143" i="11" l="1"/>
  <c r="L3" i="11"/>
  <c r="M142" i="11"/>
  <c r="N142" i="11" s="1"/>
  <c r="M141" i="11"/>
  <c r="N141" i="11" s="1"/>
  <c r="N140" i="11"/>
  <c r="M139" i="11"/>
  <c r="N139" i="11" s="1"/>
  <c r="M138" i="11"/>
  <c r="N138" i="11" s="1"/>
  <c r="M137" i="11"/>
  <c r="N137" i="11" s="1"/>
  <c r="M136" i="11"/>
  <c r="N136" i="11" s="1"/>
  <c r="M135" i="11"/>
  <c r="N135" i="11" s="1"/>
  <c r="M134" i="11"/>
  <c r="N134" i="11" s="1"/>
  <c r="M133" i="11"/>
  <c r="N133" i="11" s="1"/>
  <c r="M132" i="11"/>
  <c r="N132" i="11" s="1"/>
  <c r="N131" i="11"/>
  <c r="M130" i="11"/>
  <c r="N130" i="11" s="1"/>
  <c r="M129" i="11"/>
  <c r="N129" i="11" s="1"/>
  <c r="M128" i="11"/>
  <c r="N128" i="11" s="1"/>
  <c r="M127" i="11"/>
  <c r="N127" i="11" s="1"/>
  <c r="M126" i="11"/>
  <c r="N126" i="11" s="1"/>
  <c r="M125" i="11"/>
  <c r="N125" i="11" s="1"/>
  <c r="N124" i="11"/>
  <c r="M123" i="11"/>
  <c r="N123" i="11" s="1"/>
  <c r="M122" i="11"/>
  <c r="N122" i="11" s="1"/>
  <c r="M121" i="11"/>
  <c r="N121" i="11" s="1"/>
  <c r="M120" i="11"/>
  <c r="N120" i="11" s="1"/>
  <c r="M119" i="11"/>
  <c r="N119" i="11" s="1"/>
  <c r="M118" i="11"/>
  <c r="N118" i="11" s="1"/>
  <c r="M117" i="11"/>
  <c r="N117" i="11" s="1"/>
  <c r="N116" i="11"/>
  <c r="N115" i="11"/>
  <c r="N114" i="11"/>
  <c r="M113" i="11"/>
  <c r="N113" i="11" s="1"/>
  <c r="M112" i="11"/>
  <c r="N112" i="11" s="1"/>
  <c r="M111" i="11"/>
  <c r="N111" i="11" s="1"/>
  <c r="M110" i="11"/>
  <c r="N110" i="11" s="1"/>
  <c r="N109" i="11"/>
  <c r="M107" i="11"/>
  <c r="N107" i="11" s="1"/>
  <c r="M106" i="11"/>
  <c r="N106" i="11" s="1"/>
  <c r="M105" i="11"/>
  <c r="N105" i="11" s="1"/>
  <c r="M104" i="11"/>
  <c r="N104" i="11" s="1"/>
  <c r="N103" i="11"/>
  <c r="N102" i="11"/>
  <c r="M101" i="11"/>
  <c r="N101" i="11" s="1"/>
  <c r="M100" i="11"/>
  <c r="N100" i="11" s="1"/>
  <c r="M99" i="11"/>
  <c r="N99" i="11" s="1"/>
  <c r="M98" i="11"/>
  <c r="N98" i="11" s="1"/>
  <c r="N97" i="11"/>
  <c r="M94" i="11"/>
  <c r="N94" i="11" s="1"/>
  <c r="M93" i="11"/>
  <c r="N93" i="11" s="1"/>
  <c r="M92" i="11"/>
  <c r="N92" i="11" s="1"/>
  <c r="M91" i="11"/>
  <c r="N91" i="11" s="1"/>
  <c r="N90" i="11"/>
  <c r="N89" i="11"/>
  <c r="N88" i="11"/>
  <c r="M87" i="11"/>
  <c r="N87" i="11" s="1"/>
  <c r="M86" i="11"/>
  <c r="N86" i="11" s="1"/>
  <c r="M85" i="11"/>
  <c r="N85" i="11" s="1"/>
  <c r="N84" i="11"/>
  <c r="N83" i="11"/>
  <c r="M82" i="11"/>
  <c r="N82" i="11" s="1"/>
  <c r="M81" i="11"/>
  <c r="N81" i="11" s="1"/>
  <c r="N80" i="11"/>
  <c r="M79" i="11"/>
  <c r="N79" i="11" s="1"/>
  <c r="N78" i="11"/>
  <c r="N77" i="11"/>
  <c r="M76" i="11"/>
  <c r="N76" i="11" s="1"/>
  <c r="M75" i="11"/>
  <c r="N75" i="11" s="1"/>
  <c r="M74" i="11"/>
  <c r="N74" i="11" s="1"/>
  <c r="M73" i="11"/>
  <c r="N73" i="11" s="1"/>
  <c r="M72" i="11"/>
  <c r="N72" i="11" s="1"/>
  <c r="M71" i="11"/>
  <c r="N71" i="11" s="1"/>
  <c r="N70" i="11"/>
  <c r="N69" i="11"/>
  <c r="N68" i="11"/>
  <c r="N67" i="11"/>
  <c r="M66" i="11"/>
  <c r="N66" i="11" s="1"/>
  <c r="M65" i="11"/>
  <c r="N65" i="11" s="1"/>
  <c r="M64" i="11"/>
  <c r="N64" i="11" s="1"/>
  <c r="M63" i="11"/>
  <c r="N63" i="11" s="1"/>
  <c r="M62" i="11"/>
  <c r="N62" i="11" s="1"/>
  <c r="M61" i="11"/>
  <c r="N61" i="11" s="1"/>
  <c r="M60" i="11"/>
  <c r="N60" i="11" s="1"/>
  <c r="M59" i="11"/>
  <c r="N59" i="11" s="1"/>
  <c r="M58" i="11"/>
  <c r="N58" i="11" s="1"/>
  <c r="N57" i="11"/>
  <c r="M56" i="11"/>
  <c r="N56" i="11" s="1"/>
  <c r="M55" i="11"/>
  <c r="N55" i="11" s="1"/>
  <c r="M54" i="11"/>
  <c r="N54" i="11" s="1"/>
  <c r="M53" i="11"/>
  <c r="N53" i="11" s="1"/>
  <c r="M52" i="11"/>
  <c r="N52" i="11" s="1"/>
  <c r="M51" i="11"/>
  <c r="N51" i="11" s="1"/>
  <c r="N50" i="11"/>
  <c r="M49" i="11"/>
  <c r="N49" i="11" s="1"/>
  <c r="M48" i="11"/>
  <c r="N48" i="11" s="1"/>
  <c r="M47" i="11"/>
  <c r="N47" i="11" s="1"/>
  <c r="N46" i="11"/>
  <c r="N45" i="11"/>
  <c r="M44" i="11"/>
  <c r="N44" i="11" s="1"/>
  <c r="M43" i="11"/>
  <c r="N43" i="11" s="1"/>
  <c r="M42" i="11"/>
  <c r="N42" i="11" s="1"/>
  <c r="M41" i="11"/>
  <c r="N41" i="11" s="1"/>
  <c r="M40" i="11"/>
  <c r="N40" i="11" s="1"/>
  <c r="M39" i="11"/>
  <c r="N39" i="11" s="1"/>
  <c r="M38" i="11"/>
  <c r="N38" i="11" s="1"/>
  <c r="N37" i="11"/>
  <c r="M36" i="11"/>
  <c r="N36" i="11" s="1"/>
  <c r="N35" i="11"/>
  <c r="N34" i="11"/>
  <c r="M33" i="11"/>
  <c r="N33" i="11" s="1"/>
  <c r="M32" i="11"/>
  <c r="N32" i="11" s="1"/>
  <c r="M31" i="11"/>
  <c r="N31" i="11" s="1"/>
  <c r="M30" i="11"/>
  <c r="N30" i="11" s="1"/>
  <c r="M29" i="11"/>
  <c r="N29" i="11" s="1"/>
  <c r="M28" i="11"/>
  <c r="N28" i="11" s="1"/>
  <c r="M27" i="11"/>
  <c r="N27" i="11" s="1"/>
  <c r="M26" i="11"/>
  <c r="N26" i="11" s="1"/>
  <c r="M25" i="11"/>
  <c r="N25" i="11" s="1"/>
  <c r="N24" i="11"/>
  <c r="M23" i="11"/>
  <c r="N23" i="11" s="1"/>
  <c r="M22" i="11"/>
  <c r="N22" i="11" s="1"/>
  <c r="M21" i="11"/>
  <c r="N21" i="11" s="1"/>
  <c r="M20" i="11"/>
  <c r="N20" i="11" s="1"/>
  <c r="M19" i="11"/>
  <c r="N19" i="11" s="1"/>
  <c r="N18" i="11"/>
  <c r="N17" i="11"/>
  <c r="N16" i="11"/>
  <c r="N15" i="11"/>
  <c r="M14" i="11"/>
  <c r="N14" i="11" s="1"/>
  <c r="N13" i="11"/>
  <c r="N12" i="11"/>
  <c r="N10" i="11"/>
  <c r="M9" i="11"/>
  <c r="N9" i="11" s="1"/>
  <c r="N8" i="11"/>
  <c r="N7" i="11"/>
  <c r="M6" i="11"/>
  <c r="N5" i="11"/>
  <c r="M131" i="10"/>
  <c r="N87" i="10"/>
  <c r="N5" i="10"/>
  <c r="M124" i="10"/>
  <c r="M107" i="10"/>
  <c r="M104" i="10"/>
  <c r="M90" i="10"/>
  <c r="M80" i="10"/>
  <c r="M74" i="10"/>
  <c r="M52" i="10"/>
  <c r="M36" i="10"/>
  <c r="M18" i="10"/>
  <c r="M3" i="11" l="1"/>
  <c r="N6" i="11"/>
  <c r="N3" i="11" s="1"/>
  <c r="L3" i="10"/>
  <c r="M140" i="10"/>
  <c r="N140" i="10" s="1"/>
  <c r="M139" i="10"/>
  <c r="N139" i="10" s="1"/>
  <c r="J140" i="10" l="1"/>
  <c r="J139" i="10"/>
  <c r="M50" i="10" l="1"/>
  <c r="M119" i="10"/>
  <c r="M137" i="10" l="1"/>
  <c r="N137" i="10" s="1"/>
  <c r="M6" i="10" l="1"/>
  <c r="M8" i="10"/>
  <c r="M138" i="10" l="1"/>
  <c r="M26" i="10" l="1"/>
  <c r="M93" i="10"/>
  <c r="M121" i="10"/>
  <c r="M135" i="10"/>
  <c r="M134" i="10"/>
  <c r="M133" i="10"/>
  <c r="M132" i="10"/>
  <c r="M130" i="10"/>
  <c r="M129" i="10"/>
  <c r="M128" i="10"/>
  <c r="M126" i="10"/>
  <c r="M125" i="10"/>
  <c r="M123" i="10"/>
  <c r="M122" i="10"/>
  <c r="M118" i="10"/>
  <c r="M117" i="10"/>
  <c r="M116" i="10"/>
  <c r="M115" i="10"/>
  <c r="M114" i="10"/>
  <c r="M113" i="10"/>
  <c r="M109" i="10"/>
  <c r="M108" i="10"/>
  <c r="M106" i="10"/>
  <c r="M105" i="10"/>
  <c r="M103" i="10"/>
  <c r="M102" i="10"/>
  <c r="M101" i="10"/>
  <c r="M98" i="10"/>
  <c r="M97" i="10"/>
  <c r="M96" i="10"/>
  <c r="M95" i="10"/>
  <c r="M94" i="10"/>
  <c r="M91" i="10"/>
  <c r="M92" i="10"/>
  <c r="M86" i="10"/>
  <c r="M85" i="10"/>
  <c r="M84" i="10"/>
  <c r="M81" i="10"/>
  <c r="M78" i="10"/>
  <c r="M75" i="10"/>
  <c r="M73" i="10"/>
  <c r="M72" i="10"/>
  <c r="M71" i="10"/>
  <c r="M70" i="10"/>
  <c r="M69" i="10"/>
  <c r="M65" i="10"/>
  <c r="N65" i="10" s="1"/>
  <c r="M64" i="10"/>
  <c r="M63" i="10"/>
  <c r="M62" i="10"/>
  <c r="M61" i="10"/>
  <c r="M60" i="10"/>
  <c r="M59" i="10"/>
  <c r="M58" i="10"/>
  <c r="M57" i="10"/>
  <c r="M55" i="10"/>
  <c r="M54" i="10"/>
  <c r="M53" i="10"/>
  <c r="M51" i="10"/>
  <c r="M48" i="10"/>
  <c r="M47" i="10"/>
  <c r="M46" i="10"/>
  <c r="M43" i="10"/>
  <c r="M42" i="10"/>
  <c r="M41" i="10"/>
  <c r="N41" i="10" s="1"/>
  <c r="M40" i="10"/>
  <c r="M39" i="10"/>
  <c r="M38" i="10"/>
  <c r="M37" i="10"/>
  <c r="M35" i="10"/>
  <c r="M34" i="10"/>
  <c r="M32" i="10"/>
  <c r="M31" i="10"/>
  <c r="M30" i="10"/>
  <c r="M29" i="10"/>
  <c r="M28" i="10"/>
  <c r="M27" i="10"/>
  <c r="M25" i="10"/>
  <c r="M24" i="10"/>
  <c r="M22" i="10"/>
  <c r="M21" i="10"/>
  <c r="M20" i="10"/>
  <c r="M19" i="10"/>
  <c r="M13" i="10"/>
  <c r="M9" i="10"/>
  <c r="M7" i="10"/>
  <c r="M3" i="10" l="1"/>
  <c r="N138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9" i="10" l="1"/>
  <c r="N3" i="10" s="1"/>
  <c r="L167" i="9"/>
  <c r="L3" i="9"/>
  <c r="M150" i="9" l="1"/>
  <c r="M166" i="9"/>
  <c r="M164" i="9"/>
  <c r="M163" i="9"/>
  <c r="M162" i="9"/>
  <c r="M161" i="9"/>
  <c r="M160" i="9" l="1"/>
  <c r="M158" i="9"/>
  <c r="M157" i="9"/>
  <c r="M156" i="9"/>
  <c r="M155" i="9"/>
  <c r="N161" i="9"/>
  <c r="N162" i="9"/>
  <c r="N163" i="9"/>
  <c r="N164" i="9"/>
  <c r="N165" i="9"/>
  <c r="N166" i="9"/>
  <c r="M154" i="9" l="1"/>
  <c r="N154" i="9" s="1"/>
  <c r="M152" i="9"/>
  <c r="N152" i="9" s="1"/>
  <c r="M151" i="9"/>
  <c r="N151" i="9" s="1"/>
  <c r="N150" i="9"/>
  <c r="M149" i="9"/>
  <c r="N149" i="9" s="1"/>
  <c r="N153" i="9"/>
  <c r="N155" i="9"/>
  <c r="N156" i="9"/>
  <c r="N157" i="9"/>
  <c r="N158" i="9"/>
  <c r="N159" i="9"/>
  <c r="N160" i="9"/>
  <c r="M18" i="9" l="1"/>
  <c r="M20" i="9"/>
  <c r="M116" i="9"/>
  <c r="M64" i="9"/>
  <c r="M13" i="9"/>
  <c r="M9" i="9"/>
  <c r="M112" i="9"/>
  <c r="M97" i="9"/>
  <c r="M126" i="9"/>
  <c r="M137" i="9"/>
  <c r="M138" i="9"/>
  <c r="N138" i="9" s="1"/>
  <c r="M148" i="9"/>
  <c r="N148" i="9" s="1"/>
  <c r="M142" i="9"/>
  <c r="N142" i="9" s="1"/>
  <c r="M136" i="9"/>
  <c r="M144" i="9"/>
  <c r="N144" i="9" s="1"/>
  <c r="M132" i="9"/>
  <c r="M145" i="9"/>
  <c r="N145" i="9" s="1"/>
  <c r="M139" i="9"/>
  <c r="N139" i="9" s="1"/>
  <c r="M133" i="9"/>
  <c r="M143" i="9"/>
  <c r="N143" i="9" s="1"/>
  <c r="M131" i="9"/>
  <c r="M146" i="9"/>
  <c r="N146" i="9" s="1"/>
  <c r="M140" i="9"/>
  <c r="N140" i="9" s="1"/>
  <c r="M134" i="9"/>
  <c r="N141" i="9"/>
  <c r="N147" i="9"/>
  <c r="N134" i="9" l="1"/>
  <c r="N135" i="9"/>
  <c r="N136" i="9"/>
  <c r="N137" i="9"/>
  <c r="N131" i="9" l="1"/>
  <c r="N132" i="9"/>
  <c r="N133" i="9"/>
  <c r="M65" i="9" l="1"/>
  <c r="M66" i="9"/>
  <c r="M67" i="9"/>
  <c r="M53" i="9" l="1"/>
  <c r="M125" i="9"/>
  <c r="M100" i="9"/>
  <c r="M91" i="9"/>
  <c r="M75" i="9"/>
  <c r="M69" i="9"/>
  <c r="M50" i="9"/>
  <c r="M30" i="9"/>
  <c r="N112" i="9" l="1"/>
  <c r="M94" i="9"/>
  <c r="N94" i="9" s="1"/>
  <c r="M87" i="9"/>
  <c r="N87" i="9" s="1"/>
  <c r="M123" i="9"/>
  <c r="N123" i="9" s="1"/>
  <c r="M122" i="9"/>
  <c r="N122" i="9" s="1"/>
  <c r="N67" i="9"/>
  <c r="N66" i="9"/>
  <c r="N65" i="9"/>
  <c r="M37" i="9"/>
  <c r="N37" i="9" s="1"/>
  <c r="N6" i="9"/>
  <c r="N7" i="9"/>
  <c r="N8" i="9"/>
  <c r="N10" i="9"/>
  <c r="N11" i="9"/>
  <c r="N12" i="9"/>
  <c r="N17" i="9"/>
  <c r="N18" i="9"/>
  <c r="N20" i="9"/>
  <c r="N29" i="9"/>
  <c r="N35" i="9"/>
  <c r="N47" i="9"/>
  <c r="N53" i="9"/>
  <c r="N54" i="9"/>
  <c r="N61" i="9"/>
  <c r="N62" i="9"/>
  <c r="N63" i="9"/>
  <c r="N71" i="9"/>
  <c r="N72" i="9"/>
  <c r="N74" i="9"/>
  <c r="N77" i="9"/>
  <c r="N78" i="9"/>
  <c r="N82" i="9"/>
  <c r="N83" i="9"/>
  <c r="N84" i="9"/>
  <c r="N88" i="9"/>
  <c r="N89" i="9"/>
  <c r="N103" i="9"/>
  <c r="N104" i="9"/>
  <c r="N105" i="9"/>
  <c r="N113" i="9"/>
  <c r="N119" i="9"/>
  <c r="N130" i="9"/>
  <c r="M129" i="9"/>
  <c r="N129" i="9" s="1"/>
  <c r="M128" i="9"/>
  <c r="N128" i="9" s="1"/>
  <c r="M127" i="9"/>
  <c r="N127" i="9" s="1"/>
  <c r="N126" i="9"/>
  <c r="N125" i="9"/>
  <c r="M124" i="9"/>
  <c r="N124" i="9" s="1"/>
  <c r="M121" i="9"/>
  <c r="N121" i="9" s="1"/>
  <c r="M120" i="9"/>
  <c r="N120" i="9" s="1"/>
  <c r="M118" i="9"/>
  <c r="N118" i="9" s="1"/>
  <c r="M117" i="9"/>
  <c r="N117" i="9" s="1"/>
  <c r="N116" i="9"/>
  <c r="M115" i="9"/>
  <c r="N115" i="9" s="1"/>
  <c r="M114" i="9"/>
  <c r="N114" i="9" s="1"/>
  <c r="M111" i="9"/>
  <c r="N111" i="9" s="1"/>
  <c r="M110" i="9"/>
  <c r="N110" i="9" s="1"/>
  <c r="M109" i="9"/>
  <c r="N109" i="9" s="1"/>
  <c r="M108" i="9"/>
  <c r="N108" i="9" s="1"/>
  <c r="M107" i="9"/>
  <c r="N107" i="9" s="1"/>
  <c r="M106" i="9"/>
  <c r="N106" i="9" s="1"/>
  <c r="M102" i="9"/>
  <c r="N102" i="9" s="1"/>
  <c r="M101" i="9"/>
  <c r="N101" i="9" s="1"/>
  <c r="N100" i="9"/>
  <c r="M99" i="9"/>
  <c r="N99" i="9" s="1"/>
  <c r="M93" i="9"/>
  <c r="N93" i="9" s="1"/>
  <c r="M92" i="9"/>
  <c r="N92" i="9" s="1"/>
  <c r="N91" i="9"/>
  <c r="M90" i="9"/>
  <c r="N90" i="9" s="1"/>
  <c r="M98" i="9"/>
  <c r="N98" i="9" s="1"/>
  <c r="N97" i="9"/>
  <c r="M96" i="9"/>
  <c r="N96" i="9" s="1"/>
  <c r="M95" i="9"/>
  <c r="N95" i="9" s="1"/>
  <c r="M86" i="9"/>
  <c r="N86" i="9" s="1"/>
  <c r="M85" i="9"/>
  <c r="N85" i="9" s="1"/>
  <c r="M81" i="9"/>
  <c r="N81" i="9" s="1"/>
  <c r="M80" i="9"/>
  <c r="N80" i="9" s="1"/>
  <c r="M79" i="9"/>
  <c r="N79" i="9" s="1"/>
  <c r="M76" i="9"/>
  <c r="N76" i="9" s="1"/>
  <c r="N75" i="9"/>
  <c r="M73" i="9"/>
  <c r="N73" i="9" s="1"/>
  <c r="M70" i="9"/>
  <c r="N70" i="9" s="1"/>
  <c r="N69" i="9"/>
  <c r="M68" i="9"/>
  <c r="N68" i="9" s="1"/>
  <c r="N64" i="9"/>
  <c r="M60" i="9"/>
  <c r="N60" i="9" s="1"/>
  <c r="M59" i="9"/>
  <c r="N59" i="9" s="1"/>
  <c r="M58" i="9"/>
  <c r="N58" i="9" s="1"/>
  <c r="M57" i="9"/>
  <c r="N57" i="9" s="1"/>
  <c r="M56" i="9"/>
  <c r="N56" i="9" s="1"/>
  <c r="M55" i="9"/>
  <c r="N55" i="9" s="1"/>
  <c r="M52" i="9"/>
  <c r="N52" i="9" s="1"/>
  <c r="M51" i="9"/>
  <c r="N51" i="9" s="1"/>
  <c r="N50" i="9"/>
  <c r="M49" i="9"/>
  <c r="N49" i="9" s="1"/>
  <c r="M48" i="9"/>
  <c r="N48" i="9" s="1"/>
  <c r="M46" i="9"/>
  <c r="N46" i="9" s="1"/>
  <c r="M45" i="9"/>
  <c r="N45" i="9" s="1"/>
  <c r="M44" i="9"/>
  <c r="N44" i="9" s="1"/>
  <c r="M43" i="9"/>
  <c r="N43" i="9" s="1"/>
  <c r="M42" i="9"/>
  <c r="N42" i="9" s="1"/>
  <c r="M41" i="9"/>
  <c r="N41" i="9" s="1"/>
  <c r="M40" i="9"/>
  <c r="N40" i="9" s="1"/>
  <c r="M39" i="9"/>
  <c r="N39" i="9" s="1"/>
  <c r="M38" i="9"/>
  <c r="N38" i="9" s="1"/>
  <c r="M36" i="9"/>
  <c r="N36" i="9" s="1"/>
  <c r="M34" i="9"/>
  <c r="N34" i="9" s="1"/>
  <c r="M33" i="9"/>
  <c r="N33" i="9" s="1"/>
  <c r="M32" i="9"/>
  <c r="N32" i="9" s="1"/>
  <c r="M31" i="9"/>
  <c r="N31" i="9" s="1"/>
  <c r="N30" i="9"/>
  <c r="N28" i="9"/>
  <c r="M27" i="9"/>
  <c r="N27" i="9" s="1"/>
  <c r="M26" i="9"/>
  <c r="N26" i="9" s="1"/>
  <c r="M25" i="9"/>
  <c r="N25" i="9" s="1"/>
  <c r="M24" i="9"/>
  <c r="N24" i="9" s="1"/>
  <c r="M23" i="9"/>
  <c r="N23" i="9" s="1"/>
  <c r="M22" i="9"/>
  <c r="N22" i="9" s="1"/>
  <c r="M21" i="9"/>
  <c r="N21" i="9" s="1"/>
  <c r="M19" i="9"/>
  <c r="N19" i="9" s="1"/>
  <c r="M16" i="9"/>
  <c r="N16" i="9" s="1"/>
  <c r="M15" i="9"/>
  <c r="N15" i="9" s="1"/>
  <c r="M14" i="9"/>
  <c r="N13" i="9"/>
  <c r="N5" i="9"/>
  <c r="M167" i="9" l="1"/>
  <c r="M3" i="9"/>
  <c r="N14" i="9"/>
  <c r="N9" i="9"/>
  <c r="M125" i="8"/>
  <c r="M115" i="8"/>
  <c r="N167" i="9" l="1"/>
  <c r="N3" i="9"/>
  <c r="M27" i="2"/>
  <c r="M26" i="2"/>
  <c r="M40" i="7"/>
  <c r="M39" i="7"/>
  <c r="L50" i="8"/>
  <c r="M50" i="8" s="1"/>
  <c r="L33" i="8"/>
  <c r="L32" i="8"/>
  <c r="L25" i="8"/>
  <c r="L19" i="8"/>
  <c r="L49" i="8" l="1"/>
  <c r="M49" i="8" s="1"/>
  <c r="M124" i="8" l="1"/>
  <c r="M113" i="8"/>
  <c r="M118" i="8"/>
  <c r="M119" i="8"/>
  <c r="M123" i="8"/>
  <c r="M105" i="8"/>
  <c r="M106" i="8"/>
  <c r="M107" i="8"/>
  <c r="M112" i="8"/>
  <c r="M93" i="8"/>
  <c r="M84" i="8"/>
  <c r="M70" i="8"/>
  <c r="M71" i="8"/>
  <c r="M72" i="8"/>
  <c r="M59" i="8"/>
  <c r="M60" i="8"/>
  <c r="M51" i="8"/>
  <c r="M34" i="8"/>
  <c r="M39" i="8"/>
  <c r="M32" i="8"/>
  <c r="M33" i="8"/>
  <c r="M19" i="8"/>
  <c r="M21" i="8"/>
  <c r="M25" i="8"/>
  <c r="M27" i="8"/>
  <c r="L121" i="8"/>
  <c r="M121" i="8" s="1"/>
  <c r="L111" i="8"/>
  <c r="M111" i="8" s="1"/>
  <c r="L94" i="8"/>
  <c r="M94" i="8" s="1"/>
  <c r="L87" i="8"/>
  <c r="M87" i="8" s="1"/>
  <c r="L82" i="8"/>
  <c r="M82" i="8" s="1"/>
  <c r="L66" i="8"/>
  <c r="M66" i="8" s="1"/>
  <c r="L62" i="8"/>
  <c r="M62" i="8" s="1"/>
  <c r="L58" i="8"/>
  <c r="M58" i="8" s="1"/>
  <c r="L57" i="8"/>
  <c r="M57" i="8" s="1"/>
  <c r="L56" i="8"/>
  <c r="M56" i="8" s="1"/>
  <c r="L55" i="8"/>
  <c r="M55" i="8" s="1"/>
  <c r="L45" i="8"/>
  <c r="M45" i="8" s="1"/>
  <c r="L23" i="8"/>
  <c r="M23" i="8" s="1"/>
  <c r="L17" i="8"/>
  <c r="M17" i="8" s="1"/>
  <c r="L12" i="8"/>
  <c r="M12" i="8" s="1"/>
  <c r="M11" i="8"/>
  <c r="M6" i="8"/>
  <c r="M7" i="8"/>
  <c r="M8" i="8"/>
  <c r="M9" i="8"/>
  <c r="M10" i="8"/>
  <c r="M5" i="8"/>
  <c r="L100" i="8"/>
  <c r="M100" i="8" s="1"/>
  <c r="L101" i="8"/>
  <c r="M101" i="8" s="1"/>
  <c r="L102" i="8"/>
  <c r="M102" i="8" s="1"/>
  <c r="L103" i="8"/>
  <c r="M103" i="8" s="1"/>
  <c r="L104" i="8"/>
  <c r="M104" i="8" s="1"/>
  <c r="L99" i="8"/>
  <c r="M99" i="8" s="1"/>
  <c r="L109" i="8"/>
  <c r="M109" i="8" s="1"/>
  <c r="L14" i="8"/>
  <c r="M14" i="8" s="1"/>
  <c r="L61" i="8" l="1"/>
  <c r="M61" i="8" s="1"/>
  <c r="L37" i="8"/>
  <c r="M37" i="8" s="1"/>
  <c r="L31" i="8"/>
  <c r="M31" i="8" s="1"/>
  <c r="L86" i="8" l="1"/>
  <c r="M86" i="8" s="1"/>
  <c r="L77" i="8"/>
  <c r="M77" i="8" s="1"/>
  <c r="L46" i="8"/>
  <c r="M46" i="8" s="1"/>
  <c r="L120" i="8" l="1"/>
  <c r="M120" i="8" s="1"/>
  <c r="L97" i="8"/>
  <c r="M97" i="8" s="1"/>
  <c r="L91" i="8"/>
  <c r="M91" i="8" s="1"/>
  <c r="L83" i="8"/>
  <c r="M83" i="8" s="1"/>
  <c r="L73" i="8"/>
  <c r="M73" i="8" s="1"/>
  <c r="L53" i="8"/>
  <c r="M53" i="8" s="1"/>
  <c r="M40" i="8"/>
  <c r="L26" i="8"/>
  <c r="M26" i="8" s="1"/>
  <c r="L20" i="8"/>
  <c r="M20" i="8" s="1"/>
  <c r="L75" i="8" l="1"/>
  <c r="M75" i="8" s="1"/>
  <c r="L35" i="8"/>
  <c r="M35" i="8" s="1"/>
  <c r="L30" i="8"/>
  <c r="M30" i="8" s="1"/>
  <c r="L15" i="8"/>
  <c r="M15" i="8" s="1"/>
  <c r="L36" i="8" l="1"/>
  <c r="M36" i="8" s="1"/>
  <c r="L29" i="8"/>
  <c r="M29" i="8" s="1"/>
  <c r="L76" i="8" l="1"/>
  <c r="M76" i="8" s="1"/>
  <c r="L44" i="8"/>
  <c r="M44" i="8" s="1"/>
  <c r="L116" i="8" l="1"/>
  <c r="M116" i="8" s="1"/>
  <c r="L110" i="8"/>
  <c r="M110" i="8" s="1"/>
  <c r="L96" i="8"/>
  <c r="M96" i="8" s="1"/>
  <c r="L88" i="8"/>
  <c r="M88" i="8" s="1"/>
  <c r="L81" i="8"/>
  <c r="M81" i="8" s="1"/>
  <c r="L67" i="8"/>
  <c r="M67" i="8" s="1"/>
  <c r="L64" i="8"/>
  <c r="M64" i="8" s="1"/>
  <c r="L52" i="8"/>
  <c r="M52" i="8" s="1"/>
  <c r="M42" i="8"/>
  <c r="L22" i="8"/>
  <c r="M22" i="8" s="1"/>
  <c r="L16" i="8"/>
  <c r="M16" i="8" s="1"/>
  <c r="L117" i="8" l="1"/>
  <c r="M117" i="8" s="1"/>
  <c r="L95" i="8"/>
  <c r="M95" i="8" s="1"/>
  <c r="L90" i="8"/>
  <c r="M90" i="8" s="1"/>
  <c r="L80" i="8"/>
  <c r="M80" i="8" s="1"/>
  <c r="L68" i="8"/>
  <c r="M68" i="8" s="1"/>
  <c r="L65" i="8"/>
  <c r="M65" i="8" s="1"/>
  <c r="L54" i="8"/>
  <c r="M54" i="8" s="1"/>
  <c r="L41" i="8"/>
  <c r="M41" i="8" s="1"/>
  <c r="L98" i="8" l="1"/>
  <c r="M98" i="8" s="1"/>
  <c r="L92" i="8"/>
  <c r="M92" i="8" s="1"/>
  <c r="L38" i="8"/>
  <c r="M38" i="8" s="1"/>
  <c r="L28" i="8"/>
  <c r="M28" i="8" s="1"/>
  <c r="L78" i="8" l="1"/>
  <c r="M78" i="8" s="1"/>
  <c r="L48" i="8"/>
  <c r="M48" i="8" s="1"/>
  <c r="L122" i="8" l="1"/>
  <c r="M122" i="8" s="1"/>
  <c r="L114" i="8"/>
  <c r="M114" i="8" s="1"/>
  <c r="L108" i="8"/>
  <c r="M108" i="8" s="1"/>
  <c r="L89" i="8"/>
  <c r="M89" i="8" s="1"/>
  <c r="L85" i="8"/>
  <c r="M85" i="8" s="1"/>
  <c r="L79" i="8"/>
  <c r="M79" i="8" s="1"/>
  <c r="L74" i="8"/>
  <c r="M74" i="8" s="1"/>
  <c r="L69" i="8"/>
  <c r="M69" i="8" s="1"/>
  <c r="L63" i="8"/>
  <c r="M63" i="8" s="1"/>
  <c r="L47" i="8"/>
  <c r="M47" i="8" s="1"/>
  <c r="L43" i="8"/>
  <c r="M43" i="8" s="1"/>
  <c r="L24" i="8"/>
  <c r="M24" i="8" s="1"/>
  <c r="L18" i="8"/>
  <c r="M18" i="8" s="1"/>
  <c r="L13" i="8"/>
  <c r="M13" i="8" s="1"/>
  <c r="M3" i="8" l="1"/>
  <c r="L3" i="8"/>
  <c r="K3" i="8"/>
  <c r="I125" i="8"/>
  <c r="I124" i="8"/>
  <c r="I123" i="8"/>
  <c r="I122" i="8"/>
  <c r="I121" i="8"/>
  <c r="I120" i="8"/>
  <c r="I119" i="8"/>
  <c r="I118" i="8"/>
  <c r="I117" i="8"/>
  <c r="I116" i="8"/>
  <c r="I115" i="8" l="1"/>
  <c r="I114" i="8"/>
  <c r="I113" i="8"/>
  <c r="I112" i="8"/>
  <c r="I111" i="8"/>
  <c r="I110" i="8"/>
  <c r="M76" i="7" l="1"/>
  <c r="N16" i="7" l="1"/>
  <c r="M73" i="7" l="1"/>
  <c r="N73" i="7" s="1"/>
  <c r="N62" i="7" l="1"/>
  <c r="N40" i="7"/>
  <c r="N39" i="7" l="1"/>
  <c r="N99" i="7" l="1"/>
  <c r="N68" i="7"/>
  <c r="N67" i="7"/>
  <c r="N29" i="7"/>
  <c r="N28" i="7"/>
  <c r="N17" i="7"/>
  <c r="M101" i="7" l="1"/>
  <c r="N101" i="7" s="1"/>
  <c r="M98" i="7" l="1"/>
  <c r="N98" i="7" s="1"/>
  <c r="M97" i="7" l="1"/>
  <c r="N97" i="7" s="1"/>
  <c r="M96" i="7" l="1"/>
  <c r="N96" i="7" s="1"/>
  <c r="N94" i="7" l="1"/>
  <c r="N93" i="7"/>
  <c r="N92" i="7"/>
  <c r="N10" i="7"/>
  <c r="N25" i="7"/>
  <c r="N34" i="7" l="1"/>
  <c r="N23" i="7"/>
  <c r="N81" i="7" l="1"/>
  <c r="N69" i="7"/>
  <c r="N42" i="7"/>
  <c r="N33" i="7"/>
  <c r="N22" i="7"/>
  <c r="M61" i="7" l="1"/>
  <c r="N61" i="7" s="1"/>
  <c r="M41" i="7"/>
  <c r="N41" i="7" s="1"/>
  <c r="M9" i="7"/>
  <c r="N9" i="7" s="1"/>
  <c r="M13" i="7" l="1"/>
  <c r="N13" i="7" s="1"/>
  <c r="M91" i="7" l="1"/>
  <c r="N91" i="7" s="1"/>
  <c r="M90" i="7"/>
  <c r="N90" i="7" s="1"/>
  <c r="M89" i="7"/>
  <c r="N89" i="7" s="1"/>
  <c r="M88" i="7"/>
  <c r="N88" i="7" s="1"/>
  <c r="M87" i="7"/>
  <c r="N87" i="7" s="1"/>
  <c r="M11" i="7"/>
  <c r="N11" i="7" s="1"/>
  <c r="M74" i="7"/>
  <c r="N74" i="7" s="1"/>
  <c r="M49" i="7"/>
  <c r="N49" i="7" s="1"/>
  <c r="N52" i="7" l="1"/>
  <c r="N19" i="7"/>
  <c r="N18" i="7"/>
  <c r="N15" i="7"/>
  <c r="M56" i="7" l="1"/>
  <c r="N56" i="7" s="1"/>
  <c r="M79" i="7"/>
  <c r="N79" i="7" s="1"/>
  <c r="M63" i="7"/>
  <c r="N63" i="7" s="1"/>
  <c r="M53" i="7"/>
  <c r="N53" i="7" s="1"/>
  <c r="M48" i="7"/>
  <c r="N48" i="7" s="1"/>
  <c r="M35" i="7"/>
  <c r="N35" i="7" s="1"/>
  <c r="M31" i="7"/>
  <c r="N31" i="7" s="1"/>
  <c r="M21" i="7"/>
  <c r="N21" i="7" s="1"/>
  <c r="M5" i="7"/>
  <c r="N5" i="7" s="1"/>
  <c r="M42" i="2"/>
  <c r="M7" i="7" l="1"/>
  <c r="M86" i="7"/>
  <c r="N86" i="7" s="1"/>
  <c r="M38" i="7"/>
  <c r="N38" i="7" s="1"/>
  <c r="N83" i="7" l="1"/>
  <c r="M80" i="7" l="1"/>
  <c r="N80" i="7" s="1"/>
  <c r="M70" i="7"/>
  <c r="N70" i="7" s="1"/>
  <c r="M60" i="7"/>
  <c r="N60" i="7" s="1"/>
  <c r="N43" i="7"/>
  <c r="M30" i="7"/>
  <c r="N30" i="7" s="1"/>
  <c r="M8" i="7"/>
  <c r="N8" i="7" s="1"/>
  <c r="M84" i="7" l="1"/>
  <c r="N84" i="7" s="1"/>
  <c r="M72" i="7"/>
  <c r="N72" i="7" s="1"/>
  <c r="M37" i="7"/>
  <c r="N37" i="7" s="1"/>
  <c r="M14" i="7"/>
  <c r="N14" i="7" s="1"/>
  <c r="M85" i="7" l="1"/>
  <c r="N85" i="7" s="1"/>
  <c r="M36" i="7"/>
  <c r="N36" i="7" s="1"/>
  <c r="N45" i="7" l="1"/>
  <c r="M78" i="7"/>
  <c r="N78" i="7" s="1"/>
  <c r="M64" i="7"/>
  <c r="N64" i="7" s="1"/>
  <c r="M57" i="7"/>
  <c r="N57" i="7" s="1"/>
  <c r="M55" i="7"/>
  <c r="N55" i="7" s="1"/>
  <c r="M26" i="7"/>
  <c r="N26" i="7" s="1"/>
  <c r="M20" i="7"/>
  <c r="N20" i="7" s="1"/>
  <c r="N7" i="7"/>
  <c r="M75" i="7" l="1"/>
  <c r="N75" i="7" s="1"/>
  <c r="M51" i="7"/>
  <c r="N51" i="7" s="1"/>
  <c r="N76" i="7" l="1"/>
  <c r="M66" i="7"/>
  <c r="N66" i="7" s="1"/>
  <c r="M58" i="7"/>
  <c r="N58" i="7" s="1"/>
  <c r="M54" i="7"/>
  <c r="N54" i="7" s="1"/>
  <c r="M46" i="7"/>
  <c r="N46" i="7" s="1"/>
  <c r="M32" i="7"/>
  <c r="N32" i="7" s="1"/>
  <c r="M24" i="7"/>
  <c r="N24" i="7" s="1"/>
  <c r="M95" i="7" l="1"/>
  <c r="N95" i="7" s="1"/>
  <c r="M12" i="7"/>
  <c r="N12" i="7" s="1"/>
  <c r="M82" i="7" l="1"/>
  <c r="N82" i="7" s="1"/>
  <c r="M71" i="7"/>
  <c r="N71" i="7" s="1"/>
  <c r="M50" i="7"/>
  <c r="N50" i="7" s="1"/>
  <c r="M47" i="7" l="1"/>
  <c r="N47" i="7" s="1"/>
  <c r="M77" i="7" l="1"/>
  <c r="N77" i="7" s="1"/>
  <c r="M65" i="7"/>
  <c r="N65" i="7" s="1"/>
  <c r="M59" i="7"/>
  <c r="N59" i="7" s="1"/>
  <c r="M44" i="7"/>
  <c r="N44" i="7" s="1"/>
  <c r="M27" i="7"/>
  <c r="N27" i="7" s="1"/>
  <c r="M6" i="7"/>
  <c r="N6" i="7" s="1"/>
  <c r="M3" i="7" l="1"/>
  <c r="L3" i="7"/>
  <c r="L3" i="2"/>
  <c r="N3" i="7" l="1"/>
  <c r="N95" i="2"/>
  <c r="M55" i="2" l="1"/>
  <c r="M151" i="2" l="1"/>
  <c r="M152" i="2"/>
  <c r="M137" i="2"/>
  <c r="M148" i="2" l="1"/>
  <c r="M153" i="2"/>
  <c r="M144" i="2"/>
  <c r="N49" i="2" l="1"/>
  <c r="M149" i="2" l="1"/>
  <c r="N149" i="2" s="1"/>
  <c r="M140" i="2"/>
  <c r="N140" i="2" s="1"/>
  <c r="N11" i="2" l="1"/>
  <c r="N59" i="2"/>
  <c r="N58" i="2"/>
  <c r="N57" i="2"/>
  <c r="N55" i="2"/>
  <c r="N141" i="2"/>
  <c r="N142" i="2"/>
  <c r="M138" i="2"/>
  <c r="N138" i="2" s="1"/>
  <c r="N148" i="2" l="1"/>
  <c r="M145" i="2"/>
  <c r="N145" i="2" s="1"/>
  <c r="N151" i="2" l="1"/>
  <c r="M147" i="2" l="1"/>
  <c r="N147" i="2" s="1"/>
  <c r="N92" i="2" l="1"/>
  <c r="N116" i="2"/>
  <c r="N107" i="2"/>
  <c r="N97" i="2"/>
  <c r="M146" i="2" l="1"/>
  <c r="N146" i="2" s="1"/>
  <c r="N153" i="2" l="1"/>
  <c r="N144" i="2"/>
  <c r="N154" i="2" l="1"/>
  <c r="N143" i="2"/>
  <c r="M150" i="2" l="1"/>
  <c r="N150" i="2" s="1"/>
  <c r="M139" i="2"/>
  <c r="N139" i="2" s="1"/>
  <c r="N152" i="2" l="1"/>
  <c r="N137" i="2"/>
  <c r="M53" i="2" l="1"/>
  <c r="N53" i="2" s="1"/>
  <c r="M43" i="2"/>
  <c r="N43" i="2" s="1"/>
  <c r="M35" i="2" l="1"/>
  <c r="N35" i="2" s="1"/>
  <c r="M34" i="2"/>
  <c r="N34" i="2" s="1"/>
  <c r="N71" i="2"/>
  <c r="N70" i="2"/>
  <c r="N63" i="2"/>
  <c r="N6" i="2"/>
  <c r="N8" i="2"/>
  <c r="N135" i="2"/>
  <c r="N133" i="2"/>
  <c r="N111" i="2"/>
  <c r="N110" i="2"/>
  <c r="N102" i="2"/>
  <c r="N101" i="2"/>
  <c r="N32" i="2"/>
  <c r="N31" i="2"/>
  <c r="N29" i="2"/>
  <c r="N28" i="2"/>
  <c r="N56" i="2" l="1"/>
  <c r="N45" i="2"/>
  <c r="N33" i="2"/>
  <c r="N30" i="2"/>
  <c r="N15" i="2"/>
  <c r="N14" i="2"/>
  <c r="N13" i="2"/>
  <c r="N12" i="2"/>
  <c r="N96" i="2" l="1"/>
  <c r="N91" i="2"/>
  <c r="N46" i="2"/>
  <c r="N36" i="2"/>
  <c r="N27" i="2" l="1"/>
  <c r="N26" i="2" l="1"/>
  <c r="M120" i="2" l="1"/>
  <c r="N120" i="2" s="1"/>
  <c r="N88" i="2"/>
  <c r="N87" i="2"/>
  <c r="N39" i="2"/>
  <c r="N37" i="2"/>
  <c r="N47" i="2"/>
  <c r="M128" i="2"/>
  <c r="N128" i="2" s="1"/>
  <c r="M124" i="2"/>
  <c r="N124" i="2" s="1"/>
  <c r="M123" i="2"/>
  <c r="N123" i="2" s="1"/>
  <c r="M121" i="2"/>
  <c r="N121" i="2" s="1"/>
  <c r="M118" i="2"/>
  <c r="N118" i="2" s="1"/>
  <c r="M113" i="2"/>
  <c r="N113" i="2" s="1"/>
  <c r="M104" i="2"/>
  <c r="M83" i="2"/>
  <c r="M79" i="2"/>
  <c r="M52" i="2"/>
  <c r="N42" i="2"/>
  <c r="N104" i="2" l="1"/>
  <c r="N83" i="2"/>
  <c r="N79" i="2"/>
  <c r="N52" i="2"/>
  <c r="M51" i="2" l="1"/>
  <c r="N51" i="2" s="1"/>
  <c r="M41" i="2"/>
  <c r="N41" i="2" s="1"/>
  <c r="M25" i="2" l="1"/>
  <c r="N25" i="2" s="1"/>
  <c r="M22" i="2"/>
  <c r="N22" i="2" s="1"/>
  <c r="M19" i="2"/>
  <c r="N19" i="2" s="1"/>
  <c r="M16" i="2"/>
  <c r="N16" i="2" s="1"/>
  <c r="M132" i="2" l="1"/>
  <c r="N132" i="2" s="1"/>
  <c r="M112" i="2"/>
  <c r="N112" i="2" s="1"/>
  <c r="M103" i="2"/>
  <c r="N103" i="2" s="1"/>
  <c r="M86" i="2"/>
  <c r="N86" i="2" s="1"/>
  <c r="M82" i="2"/>
  <c r="N82" i="2" s="1"/>
  <c r="M77" i="2"/>
  <c r="N77" i="2" s="1"/>
  <c r="M74" i="2"/>
  <c r="N74" i="2" s="1"/>
  <c r="M24" i="2" l="1"/>
  <c r="N24" i="2" s="1"/>
  <c r="M21" i="2"/>
  <c r="N21" i="2" s="1"/>
  <c r="M18" i="2"/>
  <c r="N18" i="2" s="1"/>
  <c r="M23" i="2" l="1"/>
  <c r="N23" i="2" s="1"/>
  <c r="M20" i="2"/>
  <c r="N20" i="2" s="1"/>
  <c r="M17" i="2"/>
  <c r="N17" i="2" s="1"/>
  <c r="M40" i="2" l="1"/>
  <c r="N40" i="2" l="1"/>
  <c r="M129" i="2"/>
  <c r="N129" i="2" s="1"/>
  <c r="M125" i="2"/>
  <c r="N125" i="2" s="1"/>
  <c r="M117" i="2"/>
  <c r="N117" i="2" s="1"/>
  <c r="M108" i="2"/>
  <c r="N108" i="2" s="1"/>
  <c r="M99" i="2"/>
  <c r="N99" i="2" s="1"/>
  <c r="M76" i="2"/>
  <c r="N76" i="2" s="1"/>
  <c r="M73" i="2"/>
  <c r="N73" i="2" l="1"/>
  <c r="M131" i="2"/>
  <c r="N131" i="2" s="1"/>
  <c r="M127" i="2"/>
  <c r="N127" i="2" s="1"/>
  <c r="M109" i="2"/>
  <c r="N109" i="2" s="1"/>
  <c r="M100" i="2"/>
  <c r="N100" i="2" s="1"/>
  <c r="M84" i="2"/>
  <c r="N84" i="2" s="1"/>
  <c r="M80" i="2"/>
  <c r="N80" i="2" s="1"/>
  <c r="M78" i="2"/>
  <c r="N78" i="2" s="1"/>
  <c r="M75" i="2"/>
  <c r="N75" i="2" s="1"/>
  <c r="M48" i="2"/>
  <c r="N48" i="2" s="1"/>
  <c r="M38" i="2"/>
  <c r="N38" i="2" s="1"/>
  <c r="M130" i="2" l="1"/>
  <c r="N130" i="2" s="1"/>
  <c r="M126" i="2"/>
  <c r="N126" i="2" s="1"/>
  <c r="M122" i="2"/>
  <c r="M119" i="2"/>
  <c r="N119" i="2" s="1"/>
  <c r="M114" i="2"/>
  <c r="N114" i="2" s="1"/>
  <c r="M105" i="2"/>
  <c r="N105" i="2" s="1"/>
  <c r="M50" i="2"/>
  <c r="N50" i="2" s="1"/>
  <c r="N122" i="2" l="1"/>
  <c r="M54" i="2"/>
  <c r="N54" i="2" s="1"/>
  <c r="M44" i="2"/>
  <c r="N44" i="2" l="1"/>
  <c r="M72" i="2"/>
  <c r="N72" i="2" s="1"/>
  <c r="M64" i="2"/>
  <c r="N64" i="2" s="1"/>
  <c r="M10" i="2"/>
  <c r="N10" i="2" s="1"/>
  <c r="M7" i="2"/>
  <c r="N7" i="2" s="1"/>
  <c r="M69" i="2" l="1"/>
  <c r="N69" i="2" s="1"/>
  <c r="M68" i="2"/>
  <c r="N68" i="2" s="1"/>
  <c r="M67" i="2"/>
  <c r="N67" i="2" s="1"/>
  <c r="M66" i="2"/>
  <c r="N66" i="2" s="1"/>
  <c r="M65" i="2"/>
  <c r="N65" i="2" s="1"/>
  <c r="M62" i="2"/>
  <c r="N62" i="2" s="1"/>
  <c r="M61" i="2"/>
  <c r="N61" i="2" s="1"/>
  <c r="M60" i="2"/>
  <c r="M9" i="2"/>
  <c r="N9" i="2" s="1"/>
  <c r="M5" i="2"/>
  <c r="M3" i="2" l="1"/>
  <c r="N60" i="2"/>
  <c r="N5" i="2"/>
  <c r="N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tc={2F2D1FB2-1B71-4F6A-82E1-218372742CFB}</author>
  </authors>
  <commentList>
    <comment ref="D3" authorId="0" shapeId="0" xr:uid="{2F2D1FB2-1B71-4F6A-82E1-218372742C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*N : 계약서 상 작가 RS가 없는 계약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백다영</author>
  </authors>
  <commentList>
    <comment ref="N66" authorId="0" shapeId="0" xr:uid="{C23362F1-DB36-456C-87EB-2CA5EDDE639E}">
      <text>
        <r>
          <rPr>
            <sz val="9"/>
            <color indexed="81"/>
            <rFont val="Tahoma"/>
            <family val="2"/>
          </rPr>
          <t>536,691-0=536,691(10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100)*10%=53,669</t>
        </r>
      </text>
    </comment>
    <comment ref="N192" authorId="1" shapeId="0" xr:uid="{AC3E7108-5853-4F52-99BC-19CD52A64CED}">
      <text>
        <r>
          <rPr>
            <sz val="9"/>
            <color indexed="81"/>
            <rFont val="돋움"/>
            <family val="3"/>
            <charset val="129"/>
          </rPr>
          <t xml:space="preserve">4,744,166-3,000,000=1,744,166
(10월 총 3회분 中 3회분 회당
100)*12%=209,300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  <author>user</author>
  </authors>
  <commentList>
    <comment ref="N49" authorId="0" shapeId="0" xr:uid="{1979566B-4B8C-4A3D-B8BC-9067E0537199}">
      <text>
        <r>
          <rPr>
            <sz val="9"/>
            <color indexed="81"/>
            <rFont val="돋움"/>
            <family val="3"/>
            <charset val="129"/>
          </rPr>
          <t xml:space="preserve">5,916,853-4,000,000=1,916,853
(9월 총 4회분 中 4회분 회당
100)*12%=230,022
</t>
        </r>
      </text>
    </comment>
    <comment ref="N53" authorId="1" shapeId="0" xr:uid="{EA8A5518-03C0-448E-9164-2FA702DB0B7F}">
      <text>
        <r>
          <rPr>
            <sz val="9"/>
            <color indexed="81"/>
            <rFont val="Tahoma"/>
            <family val="2"/>
          </rPr>
          <t>425,646-0=425,646(9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100)*10%=42,565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  <author>user</author>
  </authors>
  <commentList>
    <comment ref="N47" authorId="0" shapeId="0" xr:uid="{D9A7A2CE-F0CE-460A-929E-4C40E5DBAAEF}">
      <text>
        <r>
          <rPr>
            <sz val="9"/>
            <color indexed="81"/>
            <rFont val="돋움"/>
            <family val="3"/>
            <charset val="129"/>
          </rPr>
          <t xml:space="preserve">6,134,531-4,000,000=2,134,531
(8월 총 4회분 中 4회분 회당
100)*12%=256,144
</t>
        </r>
      </text>
    </comment>
    <comment ref="N51" authorId="1" shapeId="0" xr:uid="{CA6EA83D-3BEB-40E6-88CA-44B914889940}">
      <text>
        <r>
          <rPr>
            <sz val="9"/>
            <color indexed="81"/>
            <rFont val="Tahoma"/>
            <family val="2"/>
          </rPr>
          <t>642,372-0=642,372(8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100)*10%=64,237</t>
        </r>
      </text>
    </comment>
    <comment ref="N205" authorId="1" shapeId="0" xr:uid="{D93BDE59-E473-4C85-9938-0A51DEB18FC2}">
      <text>
        <r>
          <rPr>
            <sz val="9"/>
            <color indexed="81"/>
            <rFont val="Tahoma"/>
            <family val="2"/>
          </rPr>
          <t>3,937,205-0=3,937,205(8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100)*10%=393,721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  <author>user</author>
  </authors>
  <commentList>
    <comment ref="N45" authorId="0" shapeId="0" xr:uid="{E7107CFF-4774-4638-8575-4211BFC045BC}">
      <text>
        <r>
          <rPr>
            <sz val="9"/>
            <color indexed="81"/>
            <rFont val="돋움"/>
            <family val="3"/>
            <charset val="129"/>
          </rPr>
          <t>6,755,576-3,000,000=3,755,576(7월 총 3회분 中 3회분 회당 100)*12%=450,669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N49" authorId="1" shapeId="0" xr:uid="{95ED38FF-664A-4339-9C97-83740516B995}">
      <text>
        <r>
          <rPr>
            <sz val="9"/>
            <color indexed="81"/>
            <rFont val="Tahoma"/>
            <family val="2"/>
          </rPr>
          <t>1,874,382-1,000,000=874,382(7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100)*10%=87,438</t>
        </r>
      </text>
    </comment>
    <comment ref="N199" authorId="1" shapeId="0" xr:uid="{AA3F9607-C8A5-4EA1-8D65-339F2DD38910}">
      <text>
        <r>
          <rPr>
            <sz val="9"/>
            <color indexed="81"/>
            <rFont val="Tahoma"/>
            <family val="2"/>
          </rPr>
          <t>1,609,403-1,000,000=609,403(7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100)*10%=60,940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백다영</author>
  </authors>
  <commentList>
    <comment ref="N41" authorId="0" shapeId="0" xr:uid="{DBF86A16-D0A6-44E2-B56C-D7FF24231BB4}">
      <text>
        <r>
          <rPr>
            <sz val="9"/>
            <color indexed="81"/>
            <rFont val="Tahoma"/>
            <family val="2"/>
          </rPr>
          <t>1,693,620-1,000,000=693,620(6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100)*10%=69,362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N43" authorId="1" shapeId="0" xr:uid="{289EFA76-B171-484D-A268-AC9D5BF6FA24}">
      <text>
        <r>
          <rPr>
            <sz val="9"/>
            <color indexed="81"/>
            <rFont val="돋움"/>
            <family val="3"/>
            <charset val="129"/>
          </rPr>
          <t>9,710,841-3,000,000=6,710,841(6월 총 3회분 中 3회분 회당 100)*12%=805,301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N157" authorId="0" shapeId="0" xr:uid="{18EAA599-B7E4-4009-8A5F-0662EA0356B9}">
      <text>
        <r>
          <rPr>
            <sz val="9"/>
            <color indexed="81"/>
            <rFont val="Tahoma"/>
            <family val="2"/>
          </rPr>
          <t>2,614,930-2,000,000=614,930(6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中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회분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회당</t>
        </r>
        <r>
          <rPr>
            <sz val="9"/>
            <color indexed="81"/>
            <rFont val="Tahoma"/>
            <family val="2"/>
          </rPr>
          <t xml:space="preserve"> 100)*10%=61,493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N40" authorId="0" shapeId="0" xr:uid="{D0E3CD4D-34DE-4ECE-97D1-C854D77177D9}">
      <text>
        <r>
          <rPr>
            <b/>
            <sz val="9"/>
            <color indexed="81"/>
            <rFont val="Tahoma"/>
            <family val="2"/>
          </rPr>
          <t>1,983,521-1,000,000=983,521(5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中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100)*10%=98,352
</t>
        </r>
      </text>
    </comment>
    <comment ref="N42" authorId="0" shapeId="0" xr:uid="{C99040D3-1AAB-4DF2-9648-7E08D093D883}">
      <text>
        <r>
          <rPr>
            <b/>
            <sz val="9"/>
            <color indexed="81"/>
            <rFont val="돋움"/>
            <family val="3"/>
            <charset val="129"/>
          </rPr>
          <t xml:space="preserve">8,637,006-4,000,000=4,637,006(5월 총 4회분 中 4회분 회당 100)*12%=556,441
</t>
        </r>
      </text>
    </comment>
    <comment ref="N154" authorId="0" shapeId="0" xr:uid="{A8D45C42-4B74-415C-85B5-3C2D8728AF71}">
      <text>
        <r>
          <rPr>
            <b/>
            <sz val="9"/>
            <color indexed="81"/>
            <rFont val="Tahoma"/>
            <family val="2"/>
          </rPr>
          <t>3,816,489-3,000,000=816,489(5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中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100)*10%=81,649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N41" authorId="0" shapeId="0" xr:uid="{616D938A-555B-46B7-A8A2-1199969B2C89}">
      <text>
        <r>
          <rPr>
            <b/>
            <sz val="9"/>
            <color indexed="81"/>
            <rFont val="Tahoma"/>
            <family val="2"/>
          </rPr>
          <t>2,605,819-2,000,000=605,819(4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中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100)*10%=60,582
</t>
        </r>
      </text>
    </comment>
    <comment ref="N43" authorId="0" shapeId="0" xr:uid="{1BE12B73-FA53-4D68-A5CA-F6745FF3EBA8}">
      <text>
        <r>
          <rPr>
            <b/>
            <sz val="9"/>
            <color indexed="81"/>
            <rFont val="돋움"/>
            <family val="3"/>
            <charset val="129"/>
          </rPr>
          <t>휴재로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N154" authorId="0" shapeId="0" xr:uid="{CFAB6AFF-E077-4BF5-A25D-5E4A089C4C38}">
      <text>
        <r>
          <rPr>
            <b/>
            <sz val="9"/>
            <color indexed="81"/>
            <rFont val="Tahoma"/>
            <family val="2"/>
          </rPr>
          <t>5,952,181-1,000,000=4,952,181(4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中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100)*10%=495,218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M39" authorId="0" shapeId="0" xr:uid="{264C59E7-AC2F-432B-B687-301D982C93F7}">
      <text>
        <r>
          <rPr>
            <b/>
            <sz val="9"/>
            <color indexed="81"/>
            <rFont val="Tahoma"/>
            <family val="2"/>
          </rPr>
          <t>2,950,680-2,000,000=950,680(3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中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100)*10%=95,068
</t>
        </r>
      </text>
    </comment>
    <comment ref="M41" authorId="0" shapeId="0" xr:uid="{6750431D-F3DD-45E1-8CD4-F278C8DA64F3}">
      <text>
        <r>
          <rPr>
            <b/>
            <sz val="9"/>
            <color indexed="81"/>
            <rFont val="Tahoma"/>
            <family val="2"/>
          </rPr>
          <t>9,738,379-4,000,000=5,738,379(3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)*12%=688,605
</t>
        </r>
      </text>
    </comment>
    <comment ref="M123" authorId="0" shapeId="0" xr:uid="{6A50DDFE-0C19-4F67-8C57-E0E6B7857996}">
      <text>
        <r>
          <rPr>
            <b/>
            <sz val="9"/>
            <color indexed="81"/>
            <rFont val="Tahoma"/>
            <family val="2"/>
          </rPr>
          <t>3,374,489-2,000,000=1,374,489(3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中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100)*10%=137,449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M94" authorId="0" shapeId="0" xr:uid="{54555A4F-C176-4876-B2A0-048031AF6E24}">
      <text>
        <r>
          <rPr>
            <b/>
            <sz val="9"/>
            <color indexed="81"/>
            <rFont val="Tahoma"/>
            <family val="2"/>
          </rPr>
          <t>4,385,321-3,000,000=1,385,321(2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100)*10%=138,532
</t>
        </r>
      </text>
    </comment>
    <comment ref="M96" authorId="0" shapeId="0" xr:uid="{45FB1EC5-3A0F-4F67-9AD0-C3AF741F267E}">
      <text>
        <r>
          <rPr>
            <b/>
            <sz val="9"/>
            <color indexed="81"/>
            <rFont val="Tahoma"/>
            <family val="2"/>
          </rPr>
          <t>10,285,333-3,000,000=7,285,333(2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)*12%=874,240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M32" authorId="0" shapeId="0" xr:uid="{65726036-3A69-4516-B91A-959D989A6863}">
      <text>
        <r>
          <rPr>
            <b/>
            <sz val="9"/>
            <color indexed="81"/>
            <rFont val="Tahoma"/>
            <family val="2"/>
          </rPr>
          <t>14,871,095-4,000,000=10,871,095(1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100)*10%=1,087,110
</t>
        </r>
      </text>
    </comment>
    <comment ref="M34" authorId="0" shapeId="0" xr:uid="{424B8C39-0AD8-41DD-BD5D-D7BC97139B09}">
      <text>
        <r>
          <rPr>
            <b/>
            <sz val="9"/>
            <color indexed="81"/>
            <rFont val="Tahoma"/>
            <family val="2"/>
          </rPr>
          <t>6,526,051-3,000,000=3,526,051(1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)*12%=423,126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M35" authorId="0" shapeId="0" xr:uid="{E8077465-8006-4D32-85E9-8B52DC6A8AD5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휴재로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</text>
    </comment>
    <comment ref="M37" authorId="0" shapeId="0" xr:uid="{085B22C0-892C-4116-8889-2646FA633107}">
      <text>
        <r>
          <rPr>
            <b/>
            <sz val="9"/>
            <color indexed="81"/>
            <rFont val="Tahoma"/>
            <family val="2"/>
          </rPr>
          <t>9,856,902-4,000,000=5,856,902(12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100)*12%=702,828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M34" authorId="0" shapeId="0" xr:uid="{811217C2-6C27-4079-8AC5-D602BDE40219}">
      <text>
        <r>
          <rPr>
            <b/>
            <sz val="9"/>
            <color indexed="81"/>
            <rFont val="Tahoma"/>
            <family val="2"/>
          </rPr>
          <t>4,134,264-3,000,000=1,134,264(11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100)*10%=113,426
</t>
        </r>
      </text>
    </comment>
    <comment ref="M36" authorId="0" shapeId="0" xr:uid="{6ABB2408-B889-4102-84EE-C1CC8E84882A}">
      <text>
        <r>
          <rPr>
            <b/>
            <sz val="9"/>
            <color indexed="81"/>
            <rFont val="Tahoma"/>
            <family val="2"/>
          </rPr>
          <t>8,570,661-4,000,000=4,570,661(11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100)*12%=548,479
</t>
        </r>
      </text>
    </comment>
    <comment ref="F139" authorId="0" shapeId="0" xr:uid="{A75A87FF-8779-4C64-B1B7-1809D44ED688}">
      <text>
        <r>
          <rPr>
            <b/>
            <sz val="9"/>
            <color indexed="81"/>
            <rFont val="돋움"/>
            <family val="3"/>
            <charset val="129"/>
          </rPr>
          <t xml:space="preserve">[만타 플랫폼]
-선급금 형태의 MG가 아닌 단발성 콘텐츠 사용 대가
-정액제 및 회원제 서비스로 판매 → 월별 RS 매출 미발생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0" authorId="0" shapeId="0" xr:uid="{A8B03E58-6B38-470C-A543-692B4062E5C2}">
      <text>
        <r>
          <rPr>
            <b/>
            <sz val="9"/>
            <color indexed="81"/>
            <rFont val="돋움"/>
            <family val="3"/>
            <charset val="129"/>
          </rPr>
          <t xml:space="preserve">[만타 플랫폼]
-선급금 형태의 MG가 아닌 단발성 콘텐츠 사용 대가
-정액제 및 회원제 서비스로 판매 → 월별 RS 매출 미발생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M18" authorId="0" shapeId="0" xr:uid="{CC23D33B-B4A3-4133-9744-92DE5D4BC633}">
      <text>
        <r>
          <rPr>
            <b/>
            <sz val="9"/>
            <color indexed="81"/>
            <rFont val="Tahoma"/>
            <family val="2"/>
          </rPr>
          <t>3,619,526-3,000,000=619,526(10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>100)*10%=61,953</t>
        </r>
      </text>
    </comment>
    <comment ref="M20" authorId="0" shapeId="0" xr:uid="{2590F322-8E85-41A8-B3BD-349EFEDFCFF7}">
      <text>
        <r>
          <rPr>
            <b/>
            <sz val="9"/>
            <color indexed="81"/>
            <rFont val="Tahoma"/>
            <family val="2"/>
          </rPr>
          <t>9,117,921-4,000,000=5,117,921(10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100)*12%=614,151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L40" authorId="0" shapeId="0" xr:uid="{99B3C0F4-F9D7-4C95-B4DC-2F29B4121354}">
      <text>
        <r>
          <rPr>
            <b/>
            <sz val="9"/>
            <color indexed="81"/>
            <rFont val="Tahoma"/>
            <family val="2"/>
          </rPr>
          <t>4,226,477-4,000,000=226,477(9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100)*10%=22,648
</t>
        </r>
      </text>
    </comment>
    <comment ref="L42" authorId="0" shapeId="0" xr:uid="{EAC54093-DC07-47DF-8D08-7EAA12A55E8B}">
      <text>
        <r>
          <rPr>
            <b/>
            <sz val="9"/>
            <color indexed="81"/>
            <rFont val="Tahoma"/>
            <family val="2"/>
          </rPr>
          <t>10,556,438-4,000,000=6,556,438(9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 100)*12%=786,773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M43" authorId="0" shapeId="0" xr:uid="{F070BE7E-F85E-4E47-86D5-C95F70A0CF49}">
      <text>
        <r>
          <rPr>
            <b/>
            <sz val="9"/>
            <color indexed="81"/>
            <rFont val="Tahoma"/>
            <family val="2"/>
          </rPr>
          <t>5,034,582-4,000,000=1,034,582(8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회당</t>
        </r>
        <r>
          <rPr>
            <b/>
            <sz val="9"/>
            <color indexed="81"/>
            <rFont val="Tahoma"/>
            <family val="2"/>
          </rPr>
          <t xml:space="preserve">100)*10%=103,458
</t>
        </r>
      </text>
    </comment>
    <comment ref="M45" authorId="0" shapeId="0" xr:uid="{0D48FBFD-B258-4BB2-A79C-ADF70275D456}">
      <text>
        <r>
          <rPr>
            <b/>
            <sz val="9"/>
            <color indexed="81"/>
            <rFont val="돋움"/>
            <family val="3"/>
            <charset val="129"/>
          </rPr>
          <t xml:space="preserve">10,759,968-5,000,000=5,759,968(8월 총 5회분 회당 100)*12%=691,196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M37" authorId="0" shapeId="0" xr:uid="{FB79427C-C13F-4CC4-A146-07C5959CEE03}">
      <text>
        <r>
          <rPr>
            <b/>
            <sz val="9"/>
            <color indexed="81"/>
            <rFont val="Tahoma"/>
            <family val="2"/>
          </rPr>
          <t>5,240,041-4,000,000(6</t>
        </r>
        <r>
          <rPr>
            <b/>
            <sz val="9"/>
            <color indexed="81"/>
            <rFont val="돋움"/>
            <family val="3"/>
            <charset val="129"/>
          </rPr>
          <t>월총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>)=1,240,041*10%=124,004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M39" authorId="0" shapeId="0" xr:uid="{2371F42C-95FD-4F58-8C79-EC6995DDE8D1}">
      <text>
        <r>
          <rPr>
            <b/>
            <sz val="9"/>
            <color indexed="81"/>
            <rFont val="Tahoma"/>
            <family val="2"/>
          </rPr>
          <t>12,572,452-5,000,000(6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제작비</t>
        </r>
        <r>
          <rPr>
            <b/>
            <sz val="9"/>
            <color indexed="81"/>
            <rFont val="Tahoma"/>
            <family val="2"/>
          </rPr>
          <t>)=7,572,452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*12%=908,694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M47" authorId="0" shapeId="0" xr:uid="{DDE39E40-A607-4DD3-A2C1-DD3328322146}">
      <text>
        <r>
          <rPr>
            <b/>
            <sz val="9"/>
            <color indexed="81"/>
            <rFont val="Tahoma"/>
            <family val="2"/>
          </rPr>
          <t>5,573,301-3,000,000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(7</t>
        </r>
        <r>
          <rPr>
            <b/>
            <sz val="9"/>
            <color indexed="81"/>
            <rFont val="돋움"/>
            <family val="3"/>
            <charset val="129"/>
          </rPr>
          <t>월총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>)=2,573,301*10%=257,330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  <comment ref="M49" authorId="0" shapeId="0" xr:uid="{1D0A66CD-5815-4ED8-85E5-1C26A6933854}">
      <text>
        <r>
          <rPr>
            <b/>
            <sz val="9"/>
            <color indexed="81"/>
            <rFont val="Tahoma"/>
            <family val="2"/>
          </rPr>
          <t>10,919,297-4,000,000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(7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회분</t>
        </r>
        <r>
          <rPr>
            <b/>
            <sz val="9"/>
            <color indexed="81"/>
            <rFont val="Tahoma"/>
            <family val="2"/>
          </rPr>
          <t>)=6,919,279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*12%=830,316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<sst xmlns="http://schemas.openxmlformats.org/spreadsheetml/2006/main" count="29899" uniqueCount="636">
  <si>
    <t>플랫폼명</t>
    <phoneticPr fontId="1" type="noConversion"/>
  </si>
  <si>
    <t>RS요율</t>
    <phoneticPr fontId="1" type="noConversion"/>
  </si>
  <si>
    <t>총 매출금액</t>
    <phoneticPr fontId="1" type="noConversion"/>
  </si>
  <si>
    <t>구분</t>
    <phoneticPr fontId="1" type="noConversion"/>
  </si>
  <si>
    <t>작품명</t>
    <phoneticPr fontId="1" type="noConversion"/>
  </si>
  <si>
    <t>런칭일</t>
    <phoneticPr fontId="1" type="noConversion"/>
  </si>
  <si>
    <t>서비스 월</t>
    <phoneticPr fontId="1" type="noConversion"/>
  </si>
  <si>
    <t>NO</t>
    <phoneticPr fontId="1" type="noConversion"/>
  </si>
  <si>
    <t>네이버웹툰</t>
  </si>
  <si>
    <t>독점</t>
    <phoneticPr fontId="1" type="noConversion"/>
  </si>
  <si>
    <t>반드시 해피엔딩</t>
  </si>
  <si>
    <t>주님, 악마가 되게 해주세요!</t>
  </si>
  <si>
    <t>후작님을 녹이는 방법</t>
  </si>
  <si>
    <t>2021년 5월</t>
    <phoneticPr fontId="10" type="noConversion"/>
  </si>
  <si>
    <t>2021년 6월</t>
  </si>
  <si>
    <t>2021년 6월</t>
    <phoneticPr fontId="10" type="noConversion"/>
  </si>
  <si>
    <t>2021년 7월</t>
  </si>
  <si>
    <t>완벽한 결혼의 정석</t>
  </si>
  <si>
    <t>리디북스</t>
    <phoneticPr fontId="10" type="noConversion"/>
  </si>
  <si>
    <t>천계지부 로망컴퍼니</t>
  </si>
  <si>
    <t>비독점</t>
    <phoneticPr fontId="10" type="noConversion"/>
  </si>
  <si>
    <t>북큐브</t>
  </si>
  <si>
    <t>중국</t>
  </si>
  <si>
    <t>대만</t>
  </si>
  <si>
    <t>인도네시아</t>
  </si>
  <si>
    <t>태국</t>
  </si>
  <si>
    <t>2021년 6월</t>
    <phoneticPr fontId="1" type="noConversion"/>
  </si>
  <si>
    <t>미국</t>
  </si>
  <si>
    <t>정령왕의 딸</t>
  </si>
  <si>
    <t>왕세자비 오디션</t>
  </si>
  <si>
    <t>마족의 계약</t>
  </si>
  <si>
    <t>위코믹스</t>
    <phoneticPr fontId="1" type="noConversion"/>
  </si>
  <si>
    <t>태국</t>
    <phoneticPr fontId="1" type="noConversion"/>
  </si>
  <si>
    <t>비독점</t>
  </si>
  <si>
    <t>2021년 5월</t>
    <phoneticPr fontId="1" type="noConversion"/>
  </si>
  <si>
    <t>코미코</t>
  </si>
  <si>
    <t>달빛 하울링</t>
  </si>
  <si>
    <t>두 개의 순간</t>
  </si>
  <si>
    <t>황제의 가면</t>
  </si>
  <si>
    <t>기묘한 그녀의 밤손님</t>
  </si>
  <si>
    <t>네가 감히</t>
  </si>
  <si>
    <t>네오바자르</t>
    <phoneticPr fontId="1" type="noConversion"/>
  </si>
  <si>
    <t>백작가의 망나니가 되었다</t>
  </si>
  <si>
    <t>황녀, 반역자를 각인시키다</t>
  </si>
  <si>
    <t>카카오페이지_앙상블</t>
  </si>
  <si>
    <t>안드로/IOS(70/60)</t>
    <phoneticPr fontId="10" type="noConversion"/>
  </si>
  <si>
    <t>오합지존</t>
  </si>
  <si>
    <t>천하제일살수</t>
  </si>
  <si>
    <t>봄툰</t>
    <phoneticPr fontId="10" type="noConversion"/>
  </si>
  <si>
    <t>웹/앱(45/35)</t>
    <phoneticPr fontId="10" type="noConversion"/>
  </si>
  <si>
    <t>웹/앱(54/42)</t>
    <phoneticPr fontId="10" type="noConversion"/>
  </si>
  <si>
    <t>카카오페이지_연담</t>
  </si>
  <si>
    <t>카카오페이지_코핀</t>
    <phoneticPr fontId="10" type="noConversion"/>
  </si>
  <si>
    <t>던전 마제스티</t>
  </si>
  <si>
    <t>은빛마계왕</t>
  </si>
  <si>
    <t>로맨스는 별책부록</t>
  </si>
  <si>
    <t>악역에게 청혼받았습니다</t>
  </si>
  <si>
    <t>패스파인더</t>
  </si>
  <si>
    <t>천계지부 로망컴퍼니 [개정판]</t>
  </si>
  <si>
    <t>폭군의 유일한 조향사가 되었습니다</t>
  </si>
  <si>
    <t>그놈 목소리</t>
  </si>
  <si>
    <t>투믹스</t>
  </si>
  <si>
    <t>독점</t>
  </si>
  <si>
    <t>언니가 남자 주인공을 주워 왔다</t>
  </si>
  <si>
    <t>독점(12개월)</t>
    <phoneticPr fontId="1" type="noConversion"/>
  </si>
  <si>
    <t>델리툰</t>
    <phoneticPr fontId="1" type="noConversion"/>
  </si>
  <si>
    <t>독일</t>
    <phoneticPr fontId="1" type="noConversion"/>
  </si>
  <si>
    <t>프랑스</t>
    <phoneticPr fontId="1" type="noConversion"/>
  </si>
  <si>
    <t>독점(6개월)</t>
    <phoneticPr fontId="1" type="noConversion"/>
  </si>
  <si>
    <t>베트남</t>
    <phoneticPr fontId="1" type="noConversion"/>
  </si>
  <si>
    <t>코믹툰</t>
    <phoneticPr fontId="1" type="noConversion"/>
  </si>
  <si>
    <t>카카오웹툰(글로벌)</t>
    <phoneticPr fontId="1" type="noConversion"/>
  </si>
  <si>
    <t>일본</t>
    <phoneticPr fontId="1" type="noConversion"/>
  </si>
  <si>
    <t>픽코마</t>
    <phoneticPr fontId="1" type="noConversion"/>
  </si>
  <si>
    <t>은빛마계왕</t>
    <phoneticPr fontId="1" type="noConversion"/>
  </si>
  <si>
    <t>(-)원작료</t>
    <phoneticPr fontId="10" type="noConversion"/>
  </si>
  <si>
    <t>국가</t>
    <phoneticPr fontId="10" type="noConversion"/>
  </si>
  <si>
    <t>국내</t>
    <phoneticPr fontId="10" type="noConversion"/>
  </si>
  <si>
    <t>국내</t>
    <phoneticPr fontId="1" type="noConversion"/>
  </si>
  <si>
    <t>중국</t>
    <phoneticPr fontId="1" type="noConversion"/>
  </si>
  <si>
    <t>MG차감중</t>
    <phoneticPr fontId="10" type="noConversion"/>
  </si>
  <si>
    <t>MG차감중</t>
    <phoneticPr fontId="1" type="noConversion"/>
  </si>
  <si>
    <t>비고1</t>
    <phoneticPr fontId="1" type="noConversion"/>
  </si>
  <si>
    <t>정산 순매출</t>
    <phoneticPr fontId="10" type="noConversion"/>
  </si>
  <si>
    <t>공동제작작품이나, 요율 50.5%(국내)에 원작료 10% 녹여져있음(40.5+10)</t>
    <phoneticPr fontId="10" type="noConversion"/>
  </si>
  <si>
    <t>공동제작작품이나, 요율 50%(해외)에 원작료 10% 녹여져있음(40+10)</t>
    <phoneticPr fontId="10" type="noConversion"/>
  </si>
  <si>
    <t>공동제작</t>
    <phoneticPr fontId="10" type="noConversion"/>
  </si>
  <si>
    <t>소싱</t>
    <phoneticPr fontId="10" type="noConversion"/>
  </si>
  <si>
    <t>정산기준매출</t>
    <phoneticPr fontId="1" type="noConversion"/>
  </si>
  <si>
    <t>두 개의 순간</t>
    <phoneticPr fontId="10" type="noConversion"/>
  </si>
  <si>
    <t>원작사</t>
    <phoneticPr fontId="10" type="noConversion"/>
  </si>
  <si>
    <t>제작</t>
    <phoneticPr fontId="10" type="noConversion"/>
  </si>
  <si>
    <t>분류</t>
    <phoneticPr fontId="10" type="noConversion"/>
  </si>
  <si>
    <t>2021년도 9월 유통 정산 금액 &amp; 정산 순매출</t>
    <phoneticPr fontId="1" type="noConversion"/>
  </si>
  <si>
    <t>북미</t>
    <phoneticPr fontId="10" type="noConversion"/>
  </si>
  <si>
    <t>코핀코믹스</t>
  </si>
  <si>
    <t>태피툰</t>
  </si>
  <si>
    <t>독점(6개월)</t>
  </si>
  <si>
    <t>독점</t>
    <phoneticPr fontId="10" type="noConversion"/>
  </si>
  <si>
    <t>원작사/공동제작</t>
    <phoneticPr fontId="10" type="noConversion"/>
  </si>
  <si>
    <t>플랫폼팀 이관문제 확인</t>
    <phoneticPr fontId="10" type="noConversion"/>
  </si>
  <si>
    <t>비고2</t>
    <phoneticPr fontId="1" type="noConversion"/>
  </si>
  <si>
    <t>정령왕의 딸</t>
    <phoneticPr fontId="10" type="noConversion"/>
  </si>
  <si>
    <t>작가정산없음</t>
    <phoneticPr fontId="10" type="noConversion"/>
  </si>
  <si>
    <t>네이버웹툰_글로벌(동만)</t>
    <phoneticPr fontId="10" type="noConversion"/>
  </si>
  <si>
    <t>네이버웹툰_글로벌(라인웹툰)</t>
    <phoneticPr fontId="10" type="noConversion"/>
  </si>
  <si>
    <t xml:space="preserve">★회당 제작비 </t>
    <phoneticPr fontId="10" type="noConversion"/>
  </si>
  <si>
    <t>작가MG차감중</t>
    <phoneticPr fontId="10" type="noConversion"/>
  </si>
  <si>
    <t>이번달에 MG차감완료후 정산</t>
    <phoneticPr fontId="10" type="noConversion"/>
  </si>
  <si>
    <t>작가MG차감중(신누리만)</t>
    <phoneticPr fontId="10" type="noConversion"/>
  </si>
  <si>
    <t>작가MG차감중이라 순매출0으로 기재</t>
    <phoneticPr fontId="10" type="noConversion"/>
  </si>
  <si>
    <t xml:space="preserve">작가MG차감중 </t>
    <phoneticPr fontId="10" type="noConversion"/>
  </si>
  <si>
    <t>2021년도 10월 유통 정산 금액 &amp; 정산 순매출</t>
    <phoneticPr fontId="1" type="noConversion"/>
  </si>
  <si>
    <t>2021년 7월</t>
    <phoneticPr fontId="1" type="noConversion"/>
  </si>
  <si>
    <t>네오바자르</t>
  </si>
  <si>
    <t>비독점</t>
    <phoneticPr fontId="1" type="noConversion"/>
  </si>
  <si>
    <t>2021년 8월</t>
  </si>
  <si>
    <t>리디북스</t>
  </si>
  <si>
    <t>봄툰</t>
  </si>
  <si>
    <t>웹/앱(45/35)</t>
    <phoneticPr fontId="1" type="noConversion"/>
  </si>
  <si>
    <t>웹/앱(54/42)</t>
    <phoneticPr fontId="1" type="noConversion"/>
  </si>
  <si>
    <t>계모인데, 딸이 너무 귀여워</t>
  </si>
  <si>
    <t>델리툰</t>
  </si>
  <si>
    <t>프랑스</t>
  </si>
  <si>
    <t>안드로/IOS(70/60)</t>
    <phoneticPr fontId="1" type="noConversion"/>
  </si>
  <si>
    <t>카카오페이지_연담제휴</t>
  </si>
  <si>
    <t>카카오페이지</t>
    <phoneticPr fontId="1" type="noConversion"/>
  </si>
  <si>
    <t>코믹툰</t>
  </si>
  <si>
    <t>베트남</t>
  </si>
  <si>
    <t>픽코마</t>
  </si>
  <si>
    <t>일본</t>
  </si>
  <si>
    <t>투믹스</t>
    <phoneticPr fontId="1" type="noConversion"/>
  </si>
  <si>
    <t>북미</t>
  </si>
  <si>
    <t>원작사</t>
  </si>
  <si>
    <t>원작사</t>
    <phoneticPr fontId="1" type="noConversion"/>
  </si>
  <si>
    <t>주님, 악마가 되게 해주세요!</t>
    <phoneticPr fontId="1" type="noConversion"/>
  </si>
  <si>
    <t>후작님을 녹이는 방법</t>
    <phoneticPr fontId="1" type="noConversion"/>
  </si>
  <si>
    <t>네이버웹툰글로벌_라인웹툰</t>
    <phoneticPr fontId="1" type="noConversion"/>
  </si>
  <si>
    <t>네이버웹툰글로벌_동만</t>
    <phoneticPr fontId="1" type="noConversion"/>
  </si>
  <si>
    <t>두 개의 순간</t>
    <phoneticPr fontId="1" type="noConversion"/>
  </si>
  <si>
    <t>원작사/공동제작</t>
  </si>
  <si>
    <t xml:space="preserve"> </t>
    <phoneticPr fontId="1" type="noConversion"/>
  </si>
  <si>
    <t>원작사/공동제작</t>
    <phoneticPr fontId="1" type="noConversion"/>
  </si>
  <si>
    <t>공동제작</t>
    <phoneticPr fontId="1" type="noConversion"/>
  </si>
  <si>
    <r>
      <t>공동제작작품이나, 요율 50.5%(</t>
    </r>
    <r>
      <rPr>
        <b/>
        <sz val="8"/>
        <color theme="1"/>
        <rFont val="맑은 고딕"/>
        <family val="3"/>
        <charset val="129"/>
        <scheme val="minor"/>
      </rPr>
      <t>국내</t>
    </r>
    <r>
      <rPr>
        <sz val="8"/>
        <color theme="1"/>
        <rFont val="맑은 고딕"/>
        <family val="3"/>
        <charset val="129"/>
        <scheme val="minor"/>
      </rPr>
      <t>)에 원작료 10% 녹여져있음(40.5+10)</t>
    </r>
    <phoneticPr fontId="10" type="noConversion"/>
  </si>
  <si>
    <t>소싱</t>
  </si>
  <si>
    <t>악역에게 청혼받았습니다</t>
    <phoneticPr fontId="1" type="noConversion"/>
  </si>
  <si>
    <t>던전 마제스티</t>
    <phoneticPr fontId="1" type="noConversion"/>
  </si>
  <si>
    <t>던전 마제스티</t>
    <phoneticPr fontId="10" type="noConversion"/>
  </si>
  <si>
    <t>소싱</t>
    <phoneticPr fontId="1" type="noConversion"/>
  </si>
  <si>
    <t>제작</t>
  </si>
  <si>
    <t>마족의 계약</t>
    <phoneticPr fontId="1" type="noConversion"/>
  </si>
  <si>
    <t>정령왕의 딸</t>
    <phoneticPr fontId="1" type="noConversion"/>
  </si>
  <si>
    <t>왕세자비 오디션</t>
    <phoneticPr fontId="1" type="noConversion"/>
  </si>
  <si>
    <t>코미코</t>
    <phoneticPr fontId="1" type="noConversion"/>
  </si>
  <si>
    <t>제작</t>
    <phoneticPr fontId="1" type="noConversion"/>
  </si>
  <si>
    <t>원작료 존재하나,원작료 0으로 계산 됨-&gt;10월 정산시 반영</t>
    <phoneticPr fontId="10" type="noConversion"/>
  </si>
  <si>
    <t>8월 작가정산 원작료 기재 안됨 -&gt; 8월 분 포함하여 작가 정산시 수정필요.</t>
    <phoneticPr fontId="1" type="noConversion"/>
  </si>
  <si>
    <t>작가정산없음</t>
    <phoneticPr fontId="1" type="noConversion"/>
  </si>
  <si>
    <t>작가MG차감중(신누리만)</t>
    <phoneticPr fontId="1" type="noConversion"/>
  </si>
  <si>
    <t>작가MG차감완료</t>
    <phoneticPr fontId="1" type="noConversion"/>
  </si>
  <si>
    <t>지난달 원작료 2,961,967 차감</t>
    <phoneticPr fontId="1" type="noConversion"/>
  </si>
  <si>
    <t>2021년도 11월 유통 정산 금액 &amp; 정산 순매출</t>
    <phoneticPr fontId="1" type="noConversion"/>
  </si>
  <si>
    <t>2021년 8월</t>
    <phoneticPr fontId="1" type="noConversion"/>
  </si>
  <si>
    <t>2021년 9월</t>
  </si>
  <si>
    <t>웹/앱(45/35)</t>
  </si>
  <si>
    <t>웹/앱(54/42)</t>
  </si>
  <si>
    <t>레진코믹스</t>
  </si>
  <si>
    <t>-</t>
  </si>
  <si>
    <t>네이버웹툰+시리즈</t>
  </si>
  <si>
    <t>카카오웹툰</t>
  </si>
  <si>
    <t>안드로/IOS(70/60)</t>
  </si>
  <si>
    <t>코미코_앙상블</t>
    <phoneticPr fontId="1" type="noConversion"/>
  </si>
  <si>
    <t>오늘부터 플레이어</t>
  </si>
  <si>
    <t>종횡구주</t>
  </si>
  <si>
    <t>카카오페이지_연담제휴</t>
    <phoneticPr fontId="1" type="noConversion"/>
  </si>
  <si>
    <t>카카오페이지</t>
  </si>
  <si>
    <t>대만</t>
    <phoneticPr fontId="1" type="noConversion"/>
  </si>
  <si>
    <t>카카오웹툰(글로벌)</t>
  </si>
  <si>
    <t>백작가의 망나니가 되었다</t>
    <phoneticPr fontId="1" type="noConversion"/>
  </si>
  <si>
    <t>달빛 하울링</t>
    <phoneticPr fontId="1" type="noConversion"/>
  </si>
  <si>
    <t>악역에게 청혼 받았습니다</t>
  </si>
  <si>
    <t>북미</t>
    <phoneticPr fontId="1" type="noConversion"/>
  </si>
  <si>
    <t>독일</t>
  </si>
  <si>
    <t>네이버웹툰_글로벌</t>
    <phoneticPr fontId="1" type="noConversion"/>
  </si>
  <si>
    <t>동만</t>
  </si>
  <si>
    <t>라인웹툰</t>
  </si>
  <si>
    <t>언니가 남자 주인공을 주워 왔다</t>
    <phoneticPr fontId="1" type="noConversion"/>
  </si>
  <si>
    <t>계모인데, 딸이 너무 귀여워</t>
    <phoneticPr fontId="1" type="noConversion"/>
  </si>
  <si>
    <t>인도네시아</t>
    <phoneticPr fontId="1" type="noConversion"/>
  </si>
  <si>
    <t>완벽한 결혼의 정석</t>
    <phoneticPr fontId="1" type="noConversion"/>
  </si>
  <si>
    <t>악역에게 청혼 받았습니다</t>
    <phoneticPr fontId="1" type="noConversion"/>
  </si>
  <si>
    <t>신규</t>
    <phoneticPr fontId="1" type="noConversion"/>
  </si>
  <si>
    <t>작가MG차감중</t>
    <phoneticPr fontId="1" type="noConversion"/>
  </si>
  <si>
    <t>2021년 10월</t>
  </si>
  <si>
    <t>2021년 10월</t>
    <phoneticPr fontId="1" type="noConversion"/>
  </si>
  <si>
    <t>매출액</t>
    <phoneticPr fontId="1" type="noConversion"/>
  </si>
  <si>
    <t>북큐브</t>
    <phoneticPr fontId="1" type="noConversion"/>
  </si>
  <si>
    <t>단행본</t>
    <phoneticPr fontId="1" type="noConversion"/>
  </si>
  <si>
    <t>마족의 계약</t>
    <phoneticPr fontId="34" type="noConversion"/>
  </si>
  <si>
    <t>바이프로스트</t>
    <phoneticPr fontId="1" type="noConversion"/>
  </si>
  <si>
    <t>리디북스</t>
    <phoneticPr fontId="1" type="noConversion"/>
  </si>
  <si>
    <t>천계지부 로망컴퍼니</t>
    <phoneticPr fontId="1" type="noConversion"/>
  </si>
  <si>
    <t>-</t>
    <phoneticPr fontId="1" type="noConversion"/>
  </si>
  <si>
    <t>네가 감히</t>
    <phoneticPr fontId="1" type="noConversion"/>
  </si>
  <si>
    <t>안드로/IOS(55/55)</t>
  </si>
  <si>
    <t>안드로/IOS(55/55)</t>
    <phoneticPr fontId="1" type="noConversion"/>
  </si>
  <si>
    <t>안드로/IOS(60/60)</t>
    <phoneticPr fontId="1" type="noConversion"/>
  </si>
  <si>
    <t>안드로/IOS(70/70)</t>
    <phoneticPr fontId="1" type="noConversion"/>
  </si>
  <si>
    <t>카카오웹툰</t>
    <phoneticPr fontId="1" type="noConversion"/>
  </si>
  <si>
    <t>그놈 목소리</t>
    <phoneticPr fontId="1" type="noConversion"/>
  </si>
  <si>
    <t>2021년 9월</t>
    <phoneticPr fontId="1" type="noConversion"/>
  </si>
  <si>
    <t>황녀, 반역자를 각인시키다</t>
    <phoneticPr fontId="1" type="noConversion"/>
  </si>
  <si>
    <t>네이버웹툰_글로벌</t>
  </si>
  <si>
    <t>중국</t>
    <phoneticPr fontId="36" type="noConversion"/>
  </si>
  <si>
    <t>미국</t>
    <phoneticPr fontId="36" type="noConversion"/>
  </si>
  <si>
    <t>태국</t>
    <phoneticPr fontId="36" type="noConversion"/>
  </si>
  <si>
    <t>인도네시아</t>
    <phoneticPr fontId="36" type="noConversion"/>
  </si>
  <si>
    <t>반드시 해피엔딩</t>
    <phoneticPr fontId="1" type="noConversion"/>
  </si>
  <si>
    <t>완벽한 결혼의 정석</t>
    <phoneticPr fontId="36" type="noConversion"/>
  </si>
  <si>
    <t>동만</t>
    <phoneticPr fontId="36" type="noConversion"/>
  </si>
  <si>
    <t>라인웹툰</t>
    <phoneticPr fontId="36" type="noConversion"/>
  </si>
  <si>
    <t>라인망가</t>
    <phoneticPr fontId="36" type="noConversion"/>
  </si>
  <si>
    <t>독점(12개월</t>
    <phoneticPr fontId="1" type="noConversion"/>
  </si>
  <si>
    <t>은빛마계왕</t>
    <phoneticPr fontId="36" type="noConversion"/>
  </si>
  <si>
    <t>패스파인더</t>
    <phoneticPr fontId="1" type="noConversion"/>
  </si>
  <si>
    <t>로맨스는 별책부록</t>
    <phoneticPr fontId="1" type="noConversion"/>
  </si>
  <si>
    <t>오 나의 여신님</t>
  </si>
  <si>
    <t>코핀코믹스</t>
    <phoneticPr fontId="34" type="noConversion"/>
  </si>
  <si>
    <t>미국</t>
    <phoneticPr fontId="1" type="noConversion"/>
  </si>
  <si>
    <t>타파스</t>
    <phoneticPr fontId="1" type="noConversion"/>
  </si>
  <si>
    <t>던전 마제스티</t>
    <phoneticPr fontId="34" type="noConversion"/>
  </si>
  <si>
    <t>(-)원작료</t>
    <phoneticPr fontId="1" type="noConversion"/>
  </si>
  <si>
    <t>정산 순매출</t>
    <phoneticPr fontId="1" type="noConversion"/>
  </si>
  <si>
    <t>2021년 4월</t>
    <phoneticPr fontId="1" type="noConversion"/>
  </si>
  <si>
    <t>콰이칸</t>
    <phoneticPr fontId="1" type="noConversion"/>
  </si>
  <si>
    <t>2021년 5월</t>
  </si>
  <si>
    <t>원작료</t>
    <phoneticPr fontId="1" type="noConversion"/>
  </si>
  <si>
    <t>O</t>
    <phoneticPr fontId="1" type="noConversion"/>
  </si>
  <si>
    <t>레진코믹스 매출 오픈 X</t>
    <phoneticPr fontId="1" type="noConversion"/>
  </si>
  <si>
    <t>라인망가(광고) 매출은 별도관리/// 이 파일에 들어가면 안됨!!
코핀코믹스 정산 작품 런칭일 재확인</t>
    <phoneticPr fontId="1" type="noConversion"/>
  </si>
  <si>
    <t>2021년도 12월 유통 정산 금액 &amp; 정산 순매출</t>
    <phoneticPr fontId="1" type="noConversion"/>
  </si>
  <si>
    <t>네이버웹툰+시리즈</t>
    <phoneticPr fontId="1" type="noConversion"/>
  </si>
  <si>
    <t>2021년 11월</t>
  </si>
  <si>
    <t>2021년 11월</t>
    <phoneticPr fontId="1" type="noConversion"/>
  </si>
  <si>
    <t>레진코믹스</t>
    <phoneticPr fontId="1" type="noConversion"/>
  </si>
  <si>
    <t>봄툰</t>
    <phoneticPr fontId="1" type="noConversion"/>
  </si>
  <si>
    <t>두개의 순간</t>
  </si>
  <si>
    <t>카카오페이지_앙상블</t>
    <phoneticPr fontId="1" type="noConversion"/>
  </si>
  <si>
    <t>비독점</t>
    <phoneticPr fontId="41" type="noConversion"/>
  </si>
  <si>
    <t>독점</t>
    <phoneticPr fontId="41" type="noConversion"/>
  </si>
  <si>
    <t>인도네시아,MCP</t>
    <phoneticPr fontId="1" type="noConversion"/>
  </si>
  <si>
    <t>일본</t>
    <phoneticPr fontId="36" type="noConversion"/>
  </si>
  <si>
    <t>대만</t>
    <phoneticPr fontId="36" type="noConversion"/>
  </si>
  <si>
    <t>프랑스</t>
    <phoneticPr fontId="36" type="noConversion"/>
  </si>
  <si>
    <t>독일</t>
    <phoneticPr fontId="36" type="noConversion"/>
  </si>
  <si>
    <t>기묘한 그녀의 밤손님</t>
    <phoneticPr fontId="1" type="noConversion"/>
  </si>
  <si>
    <t>카카오웹툰_글로벌</t>
    <phoneticPr fontId="1" type="noConversion"/>
  </si>
  <si>
    <t>황제의 가면</t>
    <phoneticPr fontId="1" type="noConversion"/>
  </si>
  <si>
    <t>태피툰</t>
    <phoneticPr fontId="34" type="noConversion"/>
  </si>
  <si>
    <t>빌리빌리</t>
    <phoneticPr fontId="1" type="noConversion"/>
  </si>
  <si>
    <t>플랫폼 MG차감중인 작품이라 12월 입금 발생X</t>
    <phoneticPr fontId="1" type="noConversion"/>
  </si>
  <si>
    <t>라인망가(광고) 매출은 별도관리/// 이 파일에 들어가면 안됨!!</t>
    <phoneticPr fontId="1" type="noConversion"/>
  </si>
  <si>
    <t xml:space="preserve">★회당 제작비 </t>
  </si>
  <si>
    <t>만타</t>
    <phoneticPr fontId="1" type="noConversion"/>
  </si>
  <si>
    <t>2022년도 01월 지급대상 유통 정산 금액 &amp; 정산 순매출</t>
    <phoneticPr fontId="1" type="noConversion"/>
  </si>
  <si>
    <t>2022년도 02월 지급대상 유통 정산 금액 &amp; 정산 순매출</t>
    <phoneticPr fontId="1" type="noConversion"/>
  </si>
  <si>
    <t>2021년 12월</t>
  </si>
  <si>
    <t>교보eBook</t>
    <phoneticPr fontId="1" type="noConversion"/>
  </si>
  <si>
    <t>톡소다</t>
    <phoneticPr fontId="1" type="noConversion"/>
  </si>
  <si>
    <t>*최초 정산</t>
    <phoneticPr fontId="1" type="noConversion"/>
  </si>
  <si>
    <t>B2C/B2BC(70/50)</t>
    <phoneticPr fontId="1" type="noConversion"/>
  </si>
  <si>
    <t>레진코믹스=(봄툰B2BC)</t>
    <phoneticPr fontId="1" type="noConversion"/>
  </si>
  <si>
    <t xml:space="preserve">두 개의 순간 </t>
    <phoneticPr fontId="1" type="noConversion"/>
  </si>
  <si>
    <t>비고2 (RS 정산 담당자)</t>
    <phoneticPr fontId="1" type="noConversion"/>
  </si>
  <si>
    <t>별이 빈 소원</t>
    <phoneticPr fontId="1" type="noConversion"/>
  </si>
  <si>
    <t>적월의 나라</t>
    <phoneticPr fontId="1" type="noConversion"/>
  </si>
  <si>
    <t>블러디 체어</t>
    <phoneticPr fontId="1" type="noConversion"/>
  </si>
  <si>
    <t>입술 좀 빌려주세요</t>
    <phoneticPr fontId="1" type="noConversion"/>
  </si>
  <si>
    <t>희생자의 사육법</t>
    <phoneticPr fontId="1" type="noConversion"/>
  </si>
  <si>
    <t>2022년도 03월 지급대상 유통 정산 금액 &amp; 정산 순매출</t>
    <phoneticPr fontId="1" type="noConversion"/>
  </si>
  <si>
    <t>2022년 01월</t>
  </si>
  <si>
    <t>라인망가</t>
    <phoneticPr fontId="1" type="noConversion"/>
  </si>
  <si>
    <t>태피툰</t>
    <phoneticPr fontId="1" type="noConversion"/>
  </si>
  <si>
    <t>라인망가 / *최초정산</t>
    <phoneticPr fontId="1" type="noConversion"/>
  </si>
  <si>
    <t>태피툰 / *최초정산</t>
    <phoneticPr fontId="1" type="noConversion"/>
  </si>
  <si>
    <t>라인웹툰 / *최초정산</t>
    <phoneticPr fontId="36" type="noConversion"/>
  </si>
  <si>
    <t>*최초정산</t>
    <phoneticPr fontId="1" type="noConversion"/>
  </si>
  <si>
    <t>2021년 4분기</t>
    <phoneticPr fontId="1" type="noConversion"/>
  </si>
  <si>
    <t>2021년 01월</t>
    <phoneticPr fontId="1" type="noConversion"/>
  </si>
  <si>
    <t>레진US</t>
    <phoneticPr fontId="34" type="noConversion"/>
  </si>
  <si>
    <t>2021년 05월</t>
    <phoneticPr fontId="1" type="noConversion"/>
  </si>
  <si>
    <t>2021년 06월</t>
    <phoneticPr fontId="1" type="noConversion"/>
  </si>
  <si>
    <t>2021년 07월</t>
    <phoneticPr fontId="1" type="noConversion"/>
  </si>
  <si>
    <t>2021년 08월</t>
    <phoneticPr fontId="1" type="noConversion"/>
  </si>
  <si>
    <t>2021년 09월</t>
    <phoneticPr fontId="1" type="noConversion"/>
  </si>
  <si>
    <t>2021년 12월</t>
    <phoneticPr fontId="1" type="noConversion"/>
  </si>
  <si>
    <t>포도만화</t>
    <phoneticPr fontId="1" type="noConversion"/>
  </si>
  <si>
    <t>픽코마(넥스츄어)</t>
    <phoneticPr fontId="1" type="noConversion"/>
  </si>
  <si>
    <t>* 플랫폼 내 작품 최초 정산 건 : 비고1 란에 표기</t>
    <phoneticPr fontId="1" type="noConversion"/>
  </si>
  <si>
    <t>* 코믹툰(베트남) 2021.11월 서비스분 : 플랫폼 측 정산 오류로 미지급된 금액 소급 적용 받아 2022.03월 지급대상에 포함</t>
    <phoneticPr fontId="1" type="noConversion"/>
  </si>
  <si>
    <t>* 코핀코믹스 2021.01월 서비스분 : 플랫폼 측 정산 오류로 미지급된 금액 소급 적용 받아 2022.03월 지급대상에 포함</t>
    <phoneticPr fontId="1" type="noConversion"/>
  </si>
  <si>
    <t>* 플랫폼 MG 차감 중 : 포도만화(중국)/봄툰(대만)/카카오웹툰/카카오페이지_연담제휴/빌리빌리(중국)</t>
    <phoneticPr fontId="1" type="noConversion"/>
  </si>
  <si>
    <t>ㄴ 실 입금 발생 X</t>
    <phoneticPr fontId="1" type="noConversion"/>
  </si>
  <si>
    <t>2022년도 04월 지급대상 유통 정산 금액 &amp; 정산 순매출</t>
    <phoneticPr fontId="1" type="noConversion"/>
  </si>
  <si>
    <t>2022년 02월</t>
  </si>
  <si>
    <t>적월의 나라</t>
  </si>
  <si>
    <t>라인웹툰</t>
    <phoneticPr fontId="1" type="noConversion"/>
  </si>
  <si>
    <t>별이 빈 소원</t>
  </si>
  <si>
    <t>북팔_앙상블</t>
    <phoneticPr fontId="1" type="noConversion"/>
  </si>
  <si>
    <t>작가기획</t>
    <phoneticPr fontId="1" type="noConversion"/>
  </si>
  <si>
    <t>2022년도 05월 지급대상 유통 정산 금액 &amp; 정산 순매출</t>
    <phoneticPr fontId="1" type="noConversion"/>
  </si>
  <si>
    <t>2022년 03월</t>
  </si>
  <si>
    <t>스페인</t>
    <phoneticPr fontId="1" type="noConversion"/>
  </si>
  <si>
    <t>패스파인더</t>
    <phoneticPr fontId="36" type="noConversion"/>
  </si>
  <si>
    <t>블러디 체어</t>
  </si>
  <si>
    <t>입술 좀 빌려주세요</t>
  </si>
  <si>
    <t>라인웹툰 / *최초정산 / MG차감중</t>
    <phoneticPr fontId="36" type="noConversion"/>
  </si>
  <si>
    <t>외부제작</t>
    <phoneticPr fontId="1" type="noConversion"/>
  </si>
  <si>
    <t>라인웹툰 / MG차감중</t>
    <phoneticPr fontId="36" type="noConversion"/>
  </si>
  <si>
    <t>2022년도 06월 지급대상 유통 정산 금액 &amp; 정산 순매출</t>
    <phoneticPr fontId="1" type="noConversion"/>
  </si>
  <si>
    <t>이번 생은 내가 주인입니다</t>
    <phoneticPr fontId="1" type="noConversion"/>
  </si>
  <si>
    <t>풍뢰도</t>
    <phoneticPr fontId="1" type="noConversion"/>
  </si>
  <si>
    <t>2022년 04월</t>
    <phoneticPr fontId="1" type="noConversion"/>
  </si>
  <si>
    <t>종횡구주</t>
    <phoneticPr fontId="1" type="noConversion"/>
  </si>
  <si>
    <t>2022년 03월</t>
    <phoneticPr fontId="1" type="noConversion"/>
  </si>
  <si>
    <t>타파스</t>
  </si>
  <si>
    <t>2022년 01월</t>
    <phoneticPr fontId="1" type="noConversion"/>
  </si>
  <si>
    <t>2022년 02월</t>
    <phoneticPr fontId="1" type="noConversion"/>
  </si>
  <si>
    <t>2022년 1분기</t>
    <phoneticPr fontId="1" type="noConversion"/>
  </si>
  <si>
    <t>레진US</t>
  </si>
  <si>
    <t>포켓코믹스</t>
  </si>
  <si>
    <t>레진JP</t>
    <phoneticPr fontId="1" type="noConversion"/>
  </si>
  <si>
    <t xml:space="preserve">*최초정산 </t>
    <phoneticPr fontId="1" type="noConversion"/>
  </si>
  <si>
    <t>래디쉬</t>
    <phoneticPr fontId="1" type="noConversion"/>
  </si>
  <si>
    <t>오늘부터 플레이어</t>
    <phoneticPr fontId="1" type="noConversion"/>
  </si>
  <si>
    <t>폭군의 유일한 조향사가 되었습니다</t>
    <phoneticPr fontId="1" type="noConversion"/>
  </si>
  <si>
    <t>라인웹툰 / *최초정산</t>
    <phoneticPr fontId="1" type="noConversion"/>
  </si>
  <si>
    <t>[MG 셰어] 키다리스튜디오가 해외 플랫폼으로부터 받은 계약금(MG) '코핀'에 수익 분배</t>
    <phoneticPr fontId="1" type="noConversion"/>
  </si>
  <si>
    <t>픽코마(넥스츄어)</t>
  </si>
  <si>
    <t>* 콰이칸 입금주기 임의 지정 : 인보이스 발행월 기준+2M</t>
    <phoneticPr fontId="1" type="noConversion"/>
  </si>
  <si>
    <t>원작 RS요율</t>
    <phoneticPr fontId="1" type="noConversion"/>
  </si>
  <si>
    <t xml:space="preserve"> MG차감중</t>
    <phoneticPr fontId="1" type="noConversion"/>
  </si>
  <si>
    <t>★회당 제작비</t>
    <phoneticPr fontId="10" type="noConversion"/>
  </si>
  <si>
    <t>원작&amp;외부</t>
    <phoneticPr fontId="1" type="noConversion"/>
  </si>
  <si>
    <t>항목</t>
    <phoneticPr fontId="1" type="noConversion"/>
  </si>
  <si>
    <t>해당 월 첫 매출 발생작</t>
    <phoneticPr fontId="1" type="noConversion"/>
  </si>
  <si>
    <r>
      <t>작품명</t>
    </r>
    <r>
      <rPr>
        <b/>
        <sz val="10"/>
        <color theme="4"/>
        <rFont val="맑은 고딕"/>
        <family val="3"/>
        <charset val="129"/>
        <scheme val="minor"/>
      </rPr>
      <t>(오름차순 정렬)</t>
    </r>
    <phoneticPr fontId="1" type="noConversion"/>
  </si>
  <si>
    <t>*최초정산, 공동제작작품이나, 요율 50%(해외)에 원작료 10% 녹여져있음(40+10)</t>
    <phoneticPr fontId="1" type="noConversion"/>
  </si>
  <si>
    <t>2022년도 07월 지급대상 유통 정산 금액 &amp; 정산 순매출</t>
    <phoneticPr fontId="1" type="noConversion"/>
  </si>
  <si>
    <t>2022년 05월</t>
  </si>
  <si>
    <t>2022년 05월</t>
    <phoneticPr fontId="1" type="noConversion"/>
  </si>
  <si>
    <t>악녀인데 남주를 주워버렸다</t>
  </si>
  <si>
    <t>만렙으로 사는 법</t>
  </si>
  <si>
    <t>*최초정산</t>
  </si>
  <si>
    <t>2022년 04월</t>
  </si>
  <si>
    <t>공동제작작품이나, 요율 50%(해외)에 원작료 10% 녹여져있음(40+10)</t>
    <phoneticPr fontId="1" type="noConversion"/>
  </si>
  <si>
    <t>루크 비셸 따라잡기</t>
  </si>
  <si>
    <t>콰이칸</t>
  </si>
  <si>
    <t xml:space="preserve">라인웹툰 </t>
    <phoneticPr fontId="36" type="noConversion"/>
  </si>
  <si>
    <t xml:space="preserve">태피툰 </t>
    <phoneticPr fontId="1" type="noConversion"/>
  </si>
  <si>
    <t xml:space="preserve">라인웹툰 </t>
    <phoneticPr fontId="1" type="noConversion"/>
  </si>
  <si>
    <t>루크 비셸 따라잡기</t>
    <phoneticPr fontId="1" type="noConversion"/>
  </si>
  <si>
    <t>만렙으로 사는 법</t>
    <phoneticPr fontId="1" type="noConversion"/>
  </si>
  <si>
    <t>악녀인데 남주를 주워버렸다</t>
    <phoneticPr fontId="1" type="noConversion"/>
  </si>
  <si>
    <t>라인웹툰 / MG차감중 /최초정산</t>
    <phoneticPr fontId="36" type="noConversion"/>
  </si>
  <si>
    <t>*매출없음</t>
    <phoneticPr fontId="1" type="noConversion"/>
  </si>
  <si>
    <t>*공동제작작품이나, 요율 50%(해외)에 원작료 10% 녹여져있음(40+10)</t>
    <phoneticPr fontId="1" type="noConversion"/>
  </si>
  <si>
    <t>2022년 06월</t>
    <phoneticPr fontId="1" type="noConversion"/>
  </si>
  <si>
    <t>안드로/IOS(60/60)</t>
  </si>
  <si>
    <t>안드로/IOS(70/70)</t>
  </si>
  <si>
    <t>카카오페이지_KW북스제휴</t>
    <phoneticPr fontId="1" type="noConversion"/>
  </si>
  <si>
    <t>빌리빌리코믹스</t>
    <phoneticPr fontId="1" type="noConversion"/>
  </si>
  <si>
    <t>빌어먹을 환생</t>
    <phoneticPr fontId="1" type="noConversion"/>
  </si>
  <si>
    <t>악녀가 길들인 짐승</t>
    <phoneticPr fontId="1" type="noConversion"/>
  </si>
  <si>
    <t>악당의 소중한 따님</t>
    <phoneticPr fontId="1" type="noConversion"/>
  </si>
  <si>
    <t>*최초정산 공동제작작품이나, 요율 50%(해외)에 원작료 10% 녹여져있음(40+10)</t>
    <phoneticPr fontId="1" type="noConversion"/>
  </si>
  <si>
    <t>2022년 07월</t>
    <phoneticPr fontId="1" type="noConversion"/>
  </si>
  <si>
    <t>- 코핀 입금 기간 : 2022.07.01~2022.07.31</t>
    <phoneticPr fontId="1" type="noConversion"/>
  </si>
  <si>
    <t>2022.08월 (매입) 지급 대상 유통 정산 금액 &amp; 정산 순매출</t>
    <phoneticPr fontId="1" type="noConversion"/>
  </si>
  <si>
    <t>항목 (업체 담당자)</t>
    <phoneticPr fontId="1" type="noConversion"/>
  </si>
  <si>
    <t>오합지존</t>
    <phoneticPr fontId="1" type="noConversion"/>
  </si>
  <si>
    <t>천계지부 로망컴퍼니 [개정판]</t>
    <phoneticPr fontId="1" type="noConversion"/>
  </si>
  <si>
    <t>천하제일살수</t>
    <phoneticPr fontId="1" type="noConversion"/>
  </si>
  <si>
    <t>코핀코믹스</t>
    <phoneticPr fontId="1" type="noConversion"/>
  </si>
  <si>
    <t>오 나의 여신님</t>
    <phoneticPr fontId="1" type="noConversion"/>
  </si>
  <si>
    <t>포켓코믹스</t>
    <phoneticPr fontId="1" type="noConversion"/>
  </si>
  <si>
    <t>[ 특이사항 ]</t>
    <phoneticPr fontId="1" type="noConversion"/>
  </si>
  <si>
    <t>판매
국가</t>
    <phoneticPr fontId="10" type="noConversion"/>
  </si>
  <si>
    <r>
      <t xml:space="preserve">구분
</t>
    </r>
    <r>
      <rPr>
        <sz val="9"/>
        <rFont val="맑은 고딕"/>
        <family val="3"/>
        <charset val="129"/>
        <scheme val="minor"/>
      </rPr>
      <t>(독/비독)</t>
    </r>
    <phoneticPr fontId="1" type="noConversion"/>
  </si>
  <si>
    <r>
      <t xml:space="preserve">서비스월
</t>
    </r>
    <r>
      <rPr>
        <sz val="9"/>
        <rFont val="맑은 고딕"/>
        <family val="3"/>
        <charset val="129"/>
        <scheme val="minor"/>
      </rPr>
      <t>(=판매월)</t>
    </r>
    <phoneticPr fontId="1" type="noConversion"/>
  </si>
  <si>
    <t>합계</t>
    <phoneticPr fontId="1" type="noConversion"/>
  </si>
  <si>
    <r>
      <t xml:space="preserve">원작료(C)
</t>
    </r>
    <r>
      <rPr>
        <sz val="8"/>
        <rFont val="맑은 고딕"/>
        <family val="3"/>
        <charset val="129"/>
        <scheme val="minor"/>
      </rPr>
      <t>(B×원작사 RS율)</t>
    </r>
    <phoneticPr fontId="1" type="noConversion"/>
  </si>
  <si>
    <r>
      <t xml:space="preserve">정산순매출
</t>
    </r>
    <r>
      <rPr>
        <sz val="8"/>
        <color theme="1"/>
        <rFont val="맑은 고딕"/>
        <family val="3"/>
        <charset val="129"/>
        <scheme val="minor"/>
      </rPr>
      <t>(B－C)</t>
    </r>
    <phoneticPr fontId="1" type="noConversion"/>
  </si>
  <si>
    <r>
      <t xml:space="preserve">RS율
</t>
    </r>
    <r>
      <rPr>
        <sz val="8"/>
        <rFont val="맑은 고딕"/>
        <family val="3"/>
        <charset val="129"/>
        <scheme val="minor"/>
      </rPr>
      <t>(원작사)</t>
    </r>
    <phoneticPr fontId="1" type="noConversion"/>
  </si>
  <si>
    <r>
      <t xml:space="preserve">RS율
</t>
    </r>
    <r>
      <rPr>
        <sz val="8"/>
        <rFont val="맑은 고딕"/>
        <family val="3"/>
        <charset val="129"/>
        <scheme val="minor"/>
      </rPr>
      <t>(코핀)</t>
    </r>
    <phoneticPr fontId="1" type="noConversion"/>
  </si>
  <si>
    <r>
      <t xml:space="preserve">정산기준매출(B)
</t>
    </r>
    <r>
      <rPr>
        <sz val="8"/>
        <color rgb="FFFF0000"/>
        <rFont val="맑은 고딕"/>
        <family val="3"/>
        <charset val="129"/>
        <scheme val="minor"/>
      </rPr>
      <t>(코핀)</t>
    </r>
    <phoneticPr fontId="1" type="noConversion"/>
  </si>
  <si>
    <r>
      <t xml:space="preserve">총매출(A)
</t>
    </r>
    <r>
      <rPr>
        <sz val="8"/>
        <rFont val="맑은 고딕"/>
        <family val="3"/>
        <charset val="129"/>
        <scheme val="minor"/>
      </rPr>
      <t>(요약본 정산기준매출)</t>
    </r>
    <phoneticPr fontId="1" type="noConversion"/>
  </si>
  <si>
    <t>N</t>
    <phoneticPr fontId="1" type="noConversion"/>
  </si>
  <si>
    <t>Y</t>
  </si>
  <si>
    <t>Y</t>
    <phoneticPr fontId="1" type="noConversion"/>
  </si>
  <si>
    <t>비고</t>
    <phoneticPr fontId="1" type="noConversion"/>
  </si>
  <si>
    <t>RS 대상여부</t>
    <phoneticPr fontId="1" type="noConversion"/>
  </si>
  <si>
    <t>RS 정산 담당자 기재</t>
    <phoneticPr fontId="1" type="noConversion"/>
  </si>
  <si>
    <t>* KW북스 &lt;빌어먹을 환생&gt; 정산 보류</t>
    <phoneticPr fontId="1" type="noConversion"/>
  </si>
  <si>
    <t>2022.09월 (매입) 지급 대상 유통 정산 금액 &amp; 정산 순매출</t>
    <phoneticPr fontId="1" type="noConversion"/>
  </si>
  <si>
    <t>- 코핀 입금 기간 : 2022.08.01~2022.08.31</t>
    <phoneticPr fontId="1" type="noConversion"/>
  </si>
  <si>
    <t>탑스타의 재능 서고</t>
  </si>
  <si>
    <t>후회 광공의 여동생이 되었다</t>
  </si>
  <si>
    <t>마운드 위의 절대자</t>
  </si>
  <si>
    <t>만 년 만에 귀환한 플레이어</t>
  </si>
  <si>
    <t>2022년 07월</t>
  </si>
  <si>
    <t>이번 생은 내가 주인입니다</t>
  </si>
  <si>
    <t>빌어먹을 환생</t>
  </si>
  <si>
    <t>풍뢰도</t>
  </si>
  <si>
    <t>2022년 06월(소급)</t>
  </si>
  <si>
    <t>2022년 06월(소급)</t>
    <phoneticPr fontId="1" type="noConversion"/>
  </si>
  <si>
    <t>2022년 04월(소급)</t>
  </si>
  <si>
    <t>2022년 04월(소급)</t>
    <phoneticPr fontId="1" type="noConversion"/>
  </si>
  <si>
    <t>2022년 05월(소급)</t>
  </si>
  <si>
    <t>2022년 05월(소급)</t>
    <phoneticPr fontId="1" type="noConversion"/>
  </si>
  <si>
    <t>포도만화</t>
  </si>
  <si>
    <t>래디쉬</t>
  </si>
  <si>
    <t>영웅&amp;마왕&amp;악당</t>
  </si>
  <si>
    <t>이 결혼, 새로고침</t>
  </si>
  <si>
    <t>동만</t>
    <phoneticPr fontId="1" type="noConversion"/>
  </si>
  <si>
    <t>동만 / 매출없음</t>
    <phoneticPr fontId="1" type="noConversion"/>
  </si>
  <si>
    <t>2022년 2분기</t>
    <phoneticPr fontId="1" type="noConversion"/>
  </si>
  <si>
    <t>2022년 08월</t>
    <phoneticPr fontId="1" type="noConversion"/>
  </si>
  <si>
    <t>오픈화수 4화</t>
    <phoneticPr fontId="1" type="noConversion"/>
  </si>
  <si>
    <t>*최초정산 / 오픈화수 15화</t>
    <phoneticPr fontId="1" type="noConversion"/>
  </si>
  <si>
    <t>* 카카오웹툰_글로벌 : 2022.04월 ~ 2022.06월 인도네시아 정산 부가세 제외된 금액으로 진행. 7월 매출에 소급분 반영</t>
    <phoneticPr fontId="1" type="noConversion"/>
  </si>
  <si>
    <t>라인웹툰 / MG 차감 중</t>
    <phoneticPr fontId="1" type="noConversion"/>
  </si>
  <si>
    <t>MG 차감 중</t>
    <phoneticPr fontId="1" type="noConversion"/>
  </si>
  <si>
    <r>
      <t xml:space="preserve">총매출(A)
</t>
    </r>
    <r>
      <rPr>
        <sz val="9"/>
        <rFont val="맑은 고딕"/>
        <family val="3"/>
        <charset val="129"/>
        <scheme val="minor"/>
      </rPr>
      <t>(요약본 정산기준매출)</t>
    </r>
    <phoneticPr fontId="1" type="noConversion"/>
  </si>
  <si>
    <r>
      <t xml:space="preserve">RS율
</t>
    </r>
    <r>
      <rPr>
        <sz val="9"/>
        <rFont val="맑은 고딕"/>
        <family val="3"/>
        <charset val="129"/>
        <scheme val="minor"/>
      </rPr>
      <t>(코핀)</t>
    </r>
    <phoneticPr fontId="1" type="noConversion"/>
  </si>
  <si>
    <r>
      <t xml:space="preserve">정산기준매출(B)
</t>
    </r>
    <r>
      <rPr>
        <sz val="9"/>
        <color rgb="FFFF0000"/>
        <rFont val="맑은 고딕"/>
        <family val="3"/>
        <charset val="129"/>
        <scheme val="minor"/>
      </rPr>
      <t>(코핀)</t>
    </r>
    <phoneticPr fontId="1" type="noConversion"/>
  </si>
  <si>
    <r>
      <t xml:space="preserve">RS율
</t>
    </r>
    <r>
      <rPr>
        <sz val="9"/>
        <rFont val="맑은 고딕"/>
        <family val="3"/>
        <charset val="129"/>
        <scheme val="minor"/>
      </rPr>
      <t>(원작사)</t>
    </r>
    <phoneticPr fontId="1" type="noConversion"/>
  </si>
  <si>
    <r>
      <t xml:space="preserve">원작료(C)
</t>
    </r>
    <r>
      <rPr>
        <sz val="9"/>
        <rFont val="맑은 고딕"/>
        <family val="3"/>
        <charset val="129"/>
        <scheme val="minor"/>
      </rPr>
      <t>(B×원작사 RS율)</t>
    </r>
    <phoneticPr fontId="1" type="noConversion"/>
  </si>
  <si>
    <r>
      <t xml:space="preserve">정산순매출
</t>
    </r>
    <r>
      <rPr>
        <sz val="9"/>
        <color theme="1"/>
        <rFont val="맑은 고딕"/>
        <family val="3"/>
        <charset val="129"/>
        <scheme val="minor"/>
      </rPr>
      <t>(B－C)</t>
    </r>
    <phoneticPr fontId="1" type="noConversion"/>
  </si>
  <si>
    <r>
      <t>공동제작작품이나, 요율 50.5%(</t>
    </r>
    <r>
      <rPr>
        <b/>
        <sz val="9"/>
        <color theme="1"/>
        <rFont val="맑은 고딕"/>
        <family val="3"/>
        <charset val="129"/>
        <scheme val="minor"/>
      </rPr>
      <t>국내</t>
    </r>
    <r>
      <rPr>
        <sz val="9"/>
        <color theme="1"/>
        <rFont val="맑은 고딕"/>
        <family val="3"/>
        <charset val="129"/>
        <scheme val="minor"/>
      </rPr>
      <t>)에 원작료 10% 녹여져있음(40.5+10)</t>
    </r>
    <phoneticPr fontId="10" type="noConversion"/>
  </si>
  <si>
    <t>2022.10월 (매입) 지급 대상 유통 정산 금액 &amp; 정산 순매출</t>
    <phoneticPr fontId="1" type="noConversion"/>
  </si>
  <si>
    <t>2022년 08월</t>
  </si>
  <si>
    <t>리셋팅 레이디</t>
  </si>
  <si>
    <t>폐급인 척했던 학교생활</t>
  </si>
  <si>
    <t>망나니의 누님이시다</t>
  </si>
  <si>
    <t>살인마의 인터뷰</t>
  </si>
  <si>
    <t>책만 보고 탑배우!</t>
  </si>
  <si>
    <t>국내</t>
  </si>
  <si>
    <t>라인웹툰/*최초정산</t>
    <phoneticPr fontId="1" type="noConversion"/>
  </si>
  <si>
    <t>동만/*최초정산</t>
    <phoneticPr fontId="1" type="noConversion"/>
  </si>
  <si>
    <t>* 네이버글로벌 5월 정산 오류 금액 8월 매출정산서에 실지급 상계 처리. 순매출 10월 지급에 반영</t>
    <phoneticPr fontId="1" type="noConversion"/>
  </si>
  <si>
    <t>2022년 05월(오류)</t>
    <phoneticPr fontId="1" type="noConversion"/>
  </si>
  <si>
    <t>라인망가/*최초정산</t>
    <phoneticPr fontId="1" type="noConversion"/>
  </si>
  <si>
    <t>맛본 김에 꿀꺽!</t>
  </si>
  <si>
    <t>2022년 09월</t>
    <phoneticPr fontId="1" type="noConversion"/>
  </si>
  <si>
    <t>원작&amp;외부</t>
  </si>
  <si>
    <t>2022년 06월</t>
  </si>
  <si>
    <t>공동제작작품이나, 요율 50%(해외)에 원작료 10% 녹여져있음(40+10) / *매출없음</t>
    <phoneticPr fontId="10" type="noConversion"/>
  </si>
  <si>
    <t>책만 보고 탑배우!</t>
    <phoneticPr fontId="1" type="noConversion"/>
  </si>
  <si>
    <t>맛본 김에 꿀꺽!</t>
    <phoneticPr fontId="1" type="noConversion"/>
  </si>
  <si>
    <t>* 네이버글로벌(라인망가+태피툰) 5월 서비스분 정산 미반영 → 9월 지급 정산으로 이월</t>
    <phoneticPr fontId="1" type="noConversion"/>
  </si>
  <si>
    <t>* 네이버글로벌(라인웹툰+동만) 6월 서비스분 정산 미반영 → 9월 지급 정산으로 이월</t>
    <phoneticPr fontId="1" type="noConversion"/>
  </si>
  <si>
    <t>* 네이버글로벌(라인웹툰+동만) 이월된 6월 서비스분 정산 반영</t>
    <phoneticPr fontId="1" type="noConversion"/>
  </si>
  <si>
    <t>* 네이버글로벌(라인망가+태피툰) 이월된 5월 서비스분 정산 반영</t>
    <phoneticPr fontId="1" type="noConversion"/>
  </si>
  <si>
    <t>* 네이버글로벌(라인웹툰+동만) 7월 서비스분 정산 미반영 → 10월 지급 정산으로 이월</t>
    <phoneticPr fontId="1" type="noConversion"/>
  </si>
  <si>
    <t>* 네이버글로벌(라인망가+태피툰) 6월 서비스분 정산 미반영 → 10월 지급 정산으로 이월</t>
    <phoneticPr fontId="1" type="noConversion"/>
  </si>
  <si>
    <t>* 네이버글로벌(라인웹툰+동만) 이월된 7월 서비스분 정산 반영</t>
    <phoneticPr fontId="1" type="noConversion"/>
  </si>
  <si>
    <t>* 네이버글로벌(라인망가+태피툰) 이월된 6월 서비스분 정산 반영</t>
    <phoneticPr fontId="1" type="noConversion"/>
  </si>
  <si>
    <t>* 네이버글로벌(라인웹툰+동만) 8월 서비스분 정산 반영 (정상 루틴)</t>
    <phoneticPr fontId="1" type="noConversion"/>
  </si>
  <si>
    <t>* 네이버글로벌(라인망가+태피툰) 7월 서비스분 정산 반영 (정상 루틴)</t>
    <phoneticPr fontId="1" type="noConversion"/>
  </si>
  <si>
    <t>- 테라핀 입금 기간 : 2022.09.01~2022.09.30</t>
    <phoneticPr fontId="1" type="noConversion"/>
  </si>
  <si>
    <t>★회당 제작비 (8월분 0화) / 시즌2종료</t>
    <phoneticPr fontId="1" type="noConversion"/>
  </si>
  <si>
    <t>외주작가 RS 대상여부</t>
    <phoneticPr fontId="1" type="noConversion"/>
  </si>
  <si>
    <t>RS 대상여부
(외주작가)</t>
    <phoneticPr fontId="1" type="noConversion"/>
  </si>
  <si>
    <t>2022.11월 (매입) 지급 대상 유통 정산 금액 &amp; 정산 순매출</t>
    <phoneticPr fontId="1" type="noConversion"/>
  </si>
  <si>
    <t>- 테라핀 입금 기간 : 2022.10.01~2022.10.31</t>
    <phoneticPr fontId="1" type="noConversion"/>
  </si>
  <si>
    <t>2022년 09월</t>
  </si>
  <si>
    <t>랭킹 1위를 영혼까지 털어버림</t>
  </si>
  <si>
    <t>악당 남편과 이혼하려는데, 아이가 생겼다</t>
  </si>
  <si>
    <t>백작 영애의 애인을 꼬셔라</t>
  </si>
  <si>
    <t>그 남자, 처음, 로맨틱</t>
  </si>
  <si>
    <t>2022년 10월</t>
    <phoneticPr fontId="1" type="noConversion"/>
  </si>
  <si>
    <t>오픈화수 5화</t>
    <phoneticPr fontId="1" type="noConversion"/>
  </si>
  <si>
    <t>나쁜 피</t>
  </si>
  <si>
    <t>그림자 없는 밤</t>
  </si>
  <si>
    <t>빌리빌리코믹스</t>
  </si>
  <si>
    <t>그 남자, 처음, 로맨틱</t>
    <phoneticPr fontId="1" type="noConversion"/>
  </si>
  <si>
    <t>그림자 없는 밤</t>
    <phoneticPr fontId="1" type="noConversion"/>
  </si>
  <si>
    <t>★회당 제작비 (9월분 0화) / 시즌2종료</t>
    <phoneticPr fontId="1" type="noConversion"/>
  </si>
  <si>
    <r>
      <t xml:space="preserve">라인웹툰 </t>
    </r>
    <r>
      <rPr>
        <b/>
        <sz val="9"/>
        <color theme="1"/>
        <rFont val="맑은 고딕"/>
        <family val="3"/>
        <charset val="129"/>
        <scheme val="minor"/>
      </rPr>
      <t xml:space="preserve">/ </t>
    </r>
    <r>
      <rPr>
        <sz val="9"/>
        <color theme="1"/>
        <rFont val="맑은 고딕"/>
        <family val="3"/>
        <charset val="129"/>
        <scheme val="minor"/>
      </rPr>
      <t>MG 차감 중</t>
    </r>
    <phoneticPr fontId="1" type="noConversion"/>
  </si>
  <si>
    <t xml:space="preserve">* 픽코마(일본/넥스츄어) 정산 오류로 06월 서비스분 추가 지급분 발생 반영 </t>
    <phoneticPr fontId="1" type="noConversion"/>
  </si>
  <si>
    <t>*정산 오류 추가 지급분</t>
    <phoneticPr fontId="1" type="noConversion"/>
  </si>
  <si>
    <t>* KW북스 &lt;빌어먹을 환생&gt; 공동 제작 정산 조건 크로스 체크 중</t>
    <phoneticPr fontId="1" type="noConversion"/>
  </si>
  <si>
    <t>원작료 10월 정산서 포함 완료</t>
    <phoneticPr fontId="1" type="noConversion"/>
  </si>
  <si>
    <t>*최초정산 / 원작료 10월 정산서 포함 완료</t>
    <phoneticPr fontId="1" type="noConversion"/>
  </si>
  <si>
    <t>2022.12월 (매입) 지급 대상 유통 정산 금액 &amp; 정산 순매출</t>
    <phoneticPr fontId="1" type="noConversion"/>
  </si>
  <si>
    <t>- 테라핀 입금 기간 : 2022.11.01~2022.11.30</t>
    <phoneticPr fontId="1" type="noConversion"/>
  </si>
  <si>
    <t>로판인 줄 알았는데 괴담이다</t>
    <phoneticPr fontId="1" type="noConversion"/>
  </si>
  <si>
    <t>요리하는 마법사</t>
  </si>
  <si>
    <t>주인공의 여동생이다</t>
  </si>
  <si>
    <t>너를 만지면</t>
  </si>
  <si>
    <t>교룡의 주인</t>
  </si>
  <si>
    <t>용두사망 소설 속의 악녀가 되었다</t>
  </si>
  <si>
    <t>숲속에서 공작이 주운 것은</t>
  </si>
  <si>
    <t>악녀가 길들인 짐승</t>
  </si>
  <si>
    <t>태피툰/*최초정산</t>
    <phoneticPr fontId="1" type="noConversion"/>
  </si>
  <si>
    <t>2022년 3분기</t>
    <phoneticPr fontId="1" type="noConversion"/>
  </si>
  <si>
    <t>*매출없음</t>
  </si>
  <si>
    <t>시체는 말한다</t>
    <phoneticPr fontId="1" type="noConversion"/>
  </si>
  <si>
    <t>너를 만지면</t>
    <phoneticPr fontId="1" type="noConversion"/>
  </si>
  <si>
    <t>★회당 제작비 (10월분 0화) / 시즌2종료</t>
    <phoneticPr fontId="1" type="noConversion"/>
  </si>
  <si>
    <t>* 만타 입금주기 임의 지정 : 서비스(오픈)월 기준=입금월</t>
    <phoneticPr fontId="1" type="noConversion"/>
  </si>
  <si>
    <t>2022년 11월</t>
    <phoneticPr fontId="1" type="noConversion"/>
  </si>
  <si>
    <t>오픈화수 25화</t>
    <phoneticPr fontId="1" type="noConversion"/>
  </si>
  <si>
    <t>오픈화수 20화</t>
    <phoneticPr fontId="1" type="noConversion"/>
  </si>
  <si>
    <t>* 코핀코믹스 서비스월 2022-11월 정산 시, 이관 안내 진행할 것(정산서 및 메일)</t>
    <phoneticPr fontId="1" type="noConversion"/>
  </si>
  <si>
    <t>RS율(원작사)</t>
    <phoneticPr fontId="1" type="noConversion"/>
  </si>
  <si>
    <t>아내바보</t>
  </si>
  <si>
    <t>라라툰</t>
    <phoneticPr fontId="1" type="noConversion"/>
  </si>
  <si>
    <t>- MG 차감 시 정산율 : 판매액의 60% 적용</t>
    <phoneticPr fontId="1" type="noConversion"/>
  </si>
  <si>
    <t>- MG 초과 시 정산율 : 판매액의 70% 적용</t>
    <phoneticPr fontId="1" type="noConversion"/>
  </si>
  <si>
    <t>* 리디 독점 작품 정산율</t>
    <phoneticPr fontId="1" type="noConversion"/>
  </si>
  <si>
    <t>검신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</si>
  <si>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</si>
  <si>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검마</t>
    <phoneticPr fontId="1" type="noConversion"/>
  </si>
  <si>
    <t>검신</t>
    <phoneticPr fontId="1" type="noConversion"/>
  </si>
  <si>
    <t xml:space="preserve"> 원작사 일괄 지급 건(계약일자 2021.04.14) 1차선금 + 2차 잔금</t>
    <phoneticPr fontId="1" type="noConversion"/>
  </si>
  <si>
    <t xml:space="preserve"> 원작사 일괄 지급 건(계약일자 2021.04.14 ) 1차선금 + 2차 잔금</t>
    <phoneticPr fontId="1" type="noConversion"/>
  </si>
  <si>
    <t>* 라라툰(MCP)_태피툰(북미) 정산주기 변경 월정산→분기정산 변경 : 23.2Q RS 정산부터 / 입금주기 : 분기 3M</t>
    <phoneticPr fontId="1" type="noConversion"/>
  </si>
  <si>
    <r>
      <t xml:space="preserve">RS율
</t>
    </r>
    <r>
      <rPr>
        <sz val="9"/>
        <rFont val="맑은 고딕"/>
        <family val="3"/>
        <charset val="129"/>
        <scheme val="minor"/>
      </rPr>
      <t>(테라핀)</t>
    </r>
    <phoneticPr fontId="1" type="noConversion"/>
  </si>
  <si>
    <r>
      <t xml:space="preserve">정산기준매출(B)
</t>
    </r>
    <r>
      <rPr>
        <sz val="9"/>
        <color rgb="FFFF0000"/>
        <rFont val="맑은 고딕"/>
        <family val="3"/>
        <charset val="129"/>
        <scheme val="minor"/>
      </rPr>
      <t>(테라핀)</t>
    </r>
    <phoneticPr fontId="1" type="noConversion"/>
  </si>
  <si>
    <t>웹(45%)/앱(35%)</t>
    <phoneticPr fontId="1" type="noConversion"/>
  </si>
  <si>
    <t>강호, 미치다!</t>
  </si>
  <si>
    <t>악녀인데 요리를 너무 잘해</t>
  </si>
  <si>
    <t>웹소설본부</t>
    <phoneticPr fontId="1" type="noConversion"/>
  </si>
  <si>
    <t>악녀인데 요리를 너무 잘해</t>
    <phoneticPr fontId="1" type="noConversion"/>
  </si>
  <si>
    <t>웹소설본부 원작여부</t>
    <phoneticPr fontId="1" type="noConversion"/>
  </si>
  <si>
    <t>이탈리아</t>
  </si>
  <si>
    <t>2024.09월 (매입) 지급 대상 유통 정산 금액 &amp; 정산 순매출</t>
    <phoneticPr fontId="1" type="noConversion"/>
  </si>
  <si>
    <t>- 테라핀 입금 기간 : 2024.08.01~08.31</t>
    <phoneticPr fontId="1" type="noConversion"/>
  </si>
  <si>
    <t>검마</t>
  </si>
  <si>
    <t>2024.10월 (매입) 지급 대상 유통 정산 금액 &amp; 정산 순매출</t>
    <phoneticPr fontId="1" type="noConversion"/>
  </si>
  <si>
    <t>- 테라핀 입금 기간 : 2024.09.01~09.30</t>
    <phoneticPr fontId="1" type="noConversion"/>
  </si>
  <si>
    <t>레진코믹스(=봄툰B2BC)</t>
    <phoneticPr fontId="1" type="noConversion"/>
  </si>
  <si>
    <t>리디</t>
    <phoneticPr fontId="1" type="noConversion"/>
  </si>
  <si>
    <t>이북재팬</t>
    <phoneticPr fontId="1" type="noConversion"/>
  </si>
  <si>
    <t>2024.11월 (매입) 지급 대상 유통 정산 금액 &amp; 정산 순매출</t>
    <phoneticPr fontId="1" type="noConversion"/>
  </si>
  <si>
    <t>- 테라핀 입금 기간 : 2024.10.01~2024.10.31</t>
    <phoneticPr fontId="1" type="noConversion"/>
  </si>
  <si>
    <t>스페인</t>
  </si>
  <si>
    <t>탑코</t>
    <phoneticPr fontId="1" type="noConversion"/>
  </si>
  <si>
    <t>2024.12월 (매입) 지급 대상 유통 정산 금액 &amp; 정산 순매출</t>
    <phoneticPr fontId="1" type="noConversion"/>
  </si>
  <si>
    <t>- 테라핀 입금 기간 : 2024.11.01~2024.11.30</t>
    <phoneticPr fontId="1" type="noConversion"/>
  </si>
  <si>
    <t>플랫폼 종료로 환불로 인한 마이너스 발생</t>
    <phoneticPr fontId="1" type="noConversion"/>
  </si>
  <si>
    <t>만타 단건결제</t>
    <phoneticPr fontId="1" type="noConversion"/>
  </si>
  <si>
    <t>- 테라핀 입금 기간 : 2024.12.01~2024.12.31</t>
    <phoneticPr fontId="1" type="noConversion"/>
  </si>
  <si>
    <t>2025.01월 (매입) 지급 대상 유통 정산 금액 &amp; 정산 순매출</t>
    <phoneticPr fontId="1" type="noConversion"/>
  </si>
  <si>
    <t>*환불금 카카오 부담으로 정산기준매출 0원</t>
    <phoneticPr fontId="1" type="noConversion"/>
  </si>
  <si>
    <t>플랫폼 종료로 인한 MG 잔여금 정산(실낱인 12월)</t>
    <phoneticPr fontId="1" type="noConversion"/>
  </si>
  <si>
    <t>ONO</t>
    <phoneticPr fontId="1" type="noConversion"/>
  </si>
  <si>
    <t>거래처의 원천세 공제 누락분 24년 4분기 공제될 예정</t>
    <phoneticPr fontId="1" type="noConversion"/>
  </si>
  <si>
    <t>거래처 정산사이트 오류로 누락된 건 추가정산</t>
    <phoneticPr fontId="1" type="noConversion"/>
  </si>
  <si>
    <t>2025.02월 (매입) 지급 대상 유통 정산 금액 &amp; 정산 순매출</t>
    <phoneticPr fontId="1" type="noConversion"/>
  </si>
  <si>
    <t>- 테라핀 입금 기간 : 2025.01.01~2025.01.31</t>
    <phoneticPr fontId="1" type="noConversion"/>
  </si>
  <si>
    <t>스마툰</t>
    <phoneticPr fontId="1" type="noConversion"/>
  </si>
  <si>
    <t>레진US</t>
    <phoneticPr fontId="1" type="noConversion"/>
  </si>
  <si>
    <t>2024.3Q</t>
    <phoneticPr fontId="1" type="noConversion"/>
  </si>
  <si>
    <t>붐툰</t>
    <phoneticPr fontId="1" type="noConversion"/>
  </si>
  <si>
    <t>분기정산</t>
    <phoneticPr fontId="1" type="noConversion"/>
  </si>
  <si>
    <t>벨툰</t>
    <phoneticPr fontId="1" type="noConversion"/>
  </si>
  <si>
    <t>*신규발생</t>
    <phoneticPr fontId="1" type="noConversion"/>
  </si>
  <si>
    <t>- 수성 입금 기간 : 2025.02.01~2025.02.28</t>
    <phoneticPr fontId="1" type="noConversion"/>
  </si>
  <si>
    <t>2025.03월 (매입) 지급 대상 유통 정산 금액 &amp; 정산 순매출</t>
    <phoneticPr fontId="1" type="noConversion"/>
  </si>
  <si>
    <t>카카오글로벌 잔여MG 정산 필요</t>
    <phoneticPr fontId="1" type="noConversion"/>
  </si>
  <si>
    <t>2025.04월 (매입) 지급 대상 유통 정산 금액 &amp; 정산 순매출</t>
    <phoneticPr fontId="1" type="noConversion"/>
  </si>
  <si>
    <t>- 수성 입금 기간 : 2025.03.01~2025.03.31</t>
    <phoneticPr fontId="1" type="noConversion"/>
  </si>
  <si>
    <t>거래처의 원천세 공제 누락분 반영</t>
    <phoneticPr fontId="1" type="noConversion"/>
  </si>
  <si>
    <t>2024.4Q</t>
    <phoneticPr fontId="1" type="noConversion"/>
  </si>
  <si>
    <t>글로벌</t>
    <phoneticPr fontId="1" type="noConversion"/>
  </si>
  <si>
    <t>플랫폼 종료로 인한 MG 잔여금 정산(실날인 3월)</t>
    <phoneticPr fontId="1" type="noConversion"/>
  </si>
  <si>
    <t>- 수성 입금 기간 : 2025.04.01~2025.04.30</t>
    <phoneticPr fontId="1" type="noConversion"/>
  </si>
  <si>
    <t>스마툰/매출없음</t>
    <phoneticPr fontId="1" type="noConversion"/>
  </si>
  <si>
    <t>2025.05월 (매입) 지급 대상 유통 정산 금액 &amp; 정산 순매출</t>
    <phoneticPr fontId="1" type="noConversion"/>
  </si>
  <si>
    <t>- 수성 입금 기간 : 2025.05.01~2025.05.31</t>
    <phoneticPr fontId="1" type="noConversion"/>
  </si>
  <si>
    <t>2025.06월 (매입) 지급 대상 유통 정산 금액 &amp; 정산 순매출</t>
    <phoneticPr fontId="1" type="noConversion"/>
  </si>
  <si>
    <t>정산사이트 반영 지연으로 이월된 정산금</t>
    <phoneticPr fontId="1" type="noConversion"/>
  </si>
  <si>
    <t>환불로 인한 마이너스 정산금</t>
    <phoneticPr fontId="1" type="noConversion"/>
  </si>
  <si>
    <t>투믹스글로벌</t>
    <phoneticPr fontId="1" type="noConversion"/>
  </si>
  <si>
    <t>2025.07월 (매입) 지급 대상 유통 정산 금액 &amp; 정산 순매출</t>
    <phoneticPr fontId="1" type="noConversion"/>
  </si>
  <si>
    <t>- 수성 입금 기간 : 2025.06.01~2025.06.30</t>
    <phoneticPr fontId="1" type="noConversion"/>
  </si>
  <si>
    <t>2025.1Q</t>
    <phoneticPr fontId="1" type="noConversion"/>
  </si>
  <si>
    <t>2025.08월 (매입) 지급 대상 유통 정산 금액 &amp; 정산 순매출</t>
    <phoneticPr fontId="1" type="noConversion"/>
  </si>
  <si>
    <t>- 수성 입금 기간 : 2025.07.01~2025.07.31</t>
    <phoneticPr fontId="1" type="noConversion"/>
  </si>
  <si>
    <t>레진</t>
    <phoneticPr fontId="1" type="noConversion"/>
  </si>
  <si>
    <t>기존 플랫폼명 델리툰</t>
    <phoneticPr fontId="1" type="noConversion"/>
  </si>
  <si>
    <t>2025.09월 (매입) 지급 대상 유통 정산 금액 &amp; 정산 순매출</t>
    <phoneticPr fontId="1" type="noConversion"/>
  </si>
  <si>
    <t>- 수성 입금 기간 : 2025.08.01~2025.08.31</t>
    <phoneticPr fontId="1" type="noConversion"/>
  </si>
  <si>
    <t>*서비스 종료로 발생한 환불금 카카오에서 부담</t>
    <phoneticPr fontId="1" type="noConversion"/>
  </si>
  <si>
    <t>레진유통</t>
    <phoneticPr fontId="1" type="noConversion"/>
  </si>
  <si>
    <t>2025.2Q</t>
    <phoneticPr fontId="1" type="noConversion"/>
  </si>
  <si>
    <t>2025.07~08</t>
    <phoneticPr fontId="1" type="noConversion"/>
  </si>
  <si>
    <t>서비스종료로 합산 정산</t>
    <phoneticPr fontId="1" type="noConversion"/>
  </si>
  <si>
    <t>만타 정액제 재계약 MG 정산 필요(이미 다 오픈한 거 계약 연장)</t>
    <phoneticPr fontId="1" type="noConversion"/>
  </si>
  <si>
    <t>카카오웹툰 태국, 포도 잔여 MG 정산 필요</t>
    <phoneticPr fontId="1" type="noConversion"/>
  </si>
  <si>
    <t>2025.10월 (매입) 지급 대상 유통 정산 금액 &amp; 정산 순매출</t>
    <phoneticPr fontId="1" type="noConversion"/>
  </si>
  <si>
    <t>- 수성 입금 기간 : 2025.09.01~2025.09.30</t>
    <phoneticPr fontId="1" type="noConversion"/>
  </si>
  <si>
    <t>플랫폼 서비스 종료로 인하여 잔여MG 정산</t>
    <phoneticPr fontId="1" type="noConversion"/>
  </si>
  <si>
    <t>만타 정액제 사용료 정산</t>
    <phoneticPr fontId="1" type="noConversion"/>
  </si>
  <si>
    <t>만타 정액제 재계약 MG 정산 필요(이미 다 오픈한 거 계약 연장) / 1차 완료, 2차 필요</t>
    <phoneticPr fontId="1" type="noConversion"/>
  </si>
  <si>
    <t>2025.11월 (매입) 지급 대상 유통 정산 금액 &amp; 정산 순매출</t>
    <phoneticPr fontId="1" type="noConversion"/>
  </si>
  <si>
    <t>- 수성 입금 기간 : 2025.10.01~2025.10.31</t>
    <phoneticPr fontId="1" type="noConversion"/>
  </si>
  <si>
    <t>카카오웹툰(글로벌) 이관작품</t>
    <phoneticPr fontId="1" type="noConversion"/>
  </si>
  <si>
    <t>2025.12월 (매입) 지급 대상 유통 정산 금액 &amp; 정산 순매출</t>
    <phoneticPr fontId="1" type="noConversion"/>
  </si>
  <si>
    <t>- 수성 입금 기간 : 2025.11.01~2025.11.30</t>
    <phoneticPr fontId="1" type="noConversion"/>
  </si>
  <si>
    <t>코미코(태국)→레진(태국) 이관</t>
    <phoneticPr fontId="1" type="noConversion"/>
  </si>
  <si>
    <t>2026.01월 (매입) 지급 대상 유통 정산 금액 &amp; 정산 순매출</t>
    <phoneticPr fontId="1" type="noConversion"/>
  </si>
  <si>
    <t>- 수성 입금 기간 : 2025.12.01~2025.12.31</t>
    <phoneticPr fontId="1" type="noConversion"/>
  </si>
  <si>
    <t>포르투갈</t>
  </si>
  <si>
    <t>- 수성 입금 기간 : 2026.01.01~2026.01.31</t>
    <phoneticPr fontId="1" type="noConversion"/>
  </si>
  <si>
    <t>2026.02월 (매입) 지급 대상 유통 정산 금액 &amp; 정산 순매출</t>
    <phoneticPr fontId="1" type="noConversion"/>
  </si>
  <si>
    <t>25.10월 플랫폼 서비스 종료</t>
    <phoneticPr fontId="1" type="noConversion"/>
  </si>
  <si>
    <t>2026.03월 (매입) 지급 대상 유통 정산 금액 &amp; 정산 순매출</t>
    <phoneticPr fontId="1" type="noConversion"/>
  </si>
  <si>
    <t>- 수성 입금 기간 : 2026.02.01~2026.02.28</t>
    <phoneticPr fontId="1" type="noConversion"/>
  </si>
  <si>
    <t>2025.3Q</t>
    <phoneticPr fontId="1" type="noConversion"/>
  </si>
  <si>
    <t>만타 정액제 사용료 잔금 정산</t>
    <phoneticPr fontId="1" type="noConversion"/>
  </si>
  <si>
    <t>만타 정액제 재계약 MG 정산 필요(이미 다 오픈한 거 계약 연장) / 1차 완료, 2차 완료</t>
    <phoneticPr fontId="1" type="noConversion"/>
  </si>
  <si>
    <t>2026.04월 (매입) 지급 대상 유통 정산 금액 &amp; 정산 순매출</t>
    <phoneticPr fontId="1" type="noConversion"/>
  </si>
  <si>
    <t>- 수성 입금 기간 : 2026.03.01~2026.03.31</t>
    <phoneticPr fontId="1" type="noConversion"/>
  </si>
  <si>
    <t>2026.05월 (매입) 지급 대상 유통 정산 금액 &amp; 정산 순매출</t>
    <phoneticPr fontId="1" type="noConversion"/>
  </si>
  <si>
    <t>- 수성 입금 기간 : 2026.04.01~2026.04.30</t>
    <phoneticPr fontId="1" type="noConversion"/>
  </si>
  <si>
    <t>2026.06월 (매입) 지급 대상 유통 정산 금액 &amp; 정산 순매출</t>
    <phoneticPr fontId="1" type="noConversion"/>
  </si>
  <si>
    <t>- 수성 입금 기간 : 2026.05.01~2026.05.31</t>
    <phoneticPr fontId="1" type="noConversion"/>
  </si>
  <si>
    <t>2025.4Q</t>
    <phoneticPr fontId="1" type="noConversion"/>
  </si>
  <si>
    <t>2026.07월 (매입) 지급 대상 유통 정산 금액 &amp; 정산 순매출</t>
    <phoneticPr fontId="1" type="noConversion"/>
  </si>
  <si>
    <t>- 수성 입금 기간 : 2026.06.01~2026.06.30</t>
    <phoneticPr fontId="1" type="noConversion"/>
  </si>
  <si>
    <t>거래처 담당자 퇴사로 인한 전달 지연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</si>
</sst>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-* #,##0_-;\-* #,##0_-;_-* &quot;-&quot;_-;_-@_-"/>
    <numFmt numFmtId="176" formatCode="0.0%"/>
    <numFmt numFmtId="177" formatCode="yyyy&quot;년&quot;\ m&quot;월&quot;;@"/>
    <numFmt numFmtId="178" formatCode="mm&quot;월&quot;\ dd&quot;일&quot;"/>
    <numFmt numFmtId="179" formatCode="&quot;update : &quot;yyyy/mm/dd"/>
    <numFmt numFmtId="180" formatCode="yyyy&quot;년&quot;\ mm&quot;월&quot;"/>
  </numFmts>
  <fonts count="8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9"/>
      <color theme="4"/>
      <name val="맑은 고딕"/>
      <family val="3"/>
      <charset val="129"/>
      <scheme val="minor"/>
    </font>
    <font>
      <b/>
      <sz val="9"/>
      <color theme="4"/>
      <name val="맑은 고딕"/>
      <family val="3"/>
      <charset val="129"/>
      <scheme val="major"/>
    </font>
    <font>
      <b/>
      <sz val="10"/>
      <color theme="4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나눔고딕"/>
      <family val="2"/>
      <charset val="129"/>
    </font>
    <font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color theme="1"/>
      <name val="맑은 고딕"/>
      <family val="3"/>
      <charset val="129"/>
      <scheme val="major"/>
    </font>
    <font>
      <sz val="8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1"/>
      <name val="Tahoma"/>
      <family val="2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i/>
      <sz val="9"/>
      <color rgb="FFC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b/>
      <sz val="14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i/>
      <sz val="9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BE7E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/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 tint="-0.499984740745262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0" tint="-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 style="medium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/>
      <bottom style="thin">
        <color theme="6" tint="0.399914548173467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0.39988402966399123"/>
      </left>
      <right style="thin">
        <color theme="6" tint="0.39988402966399123"/>
      </right>
      <top style="thin">
        <color theme="6" tint="0.39988402966399123"/>
      </top>
      <bottom style="thin">
        <color theme="6" tint="0.399884029663991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8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7" fillId="0" borderId="0" applyFont="0" applyFill="0" applyBorder="0" applyAlignment="0" applyProtection="0"/>
    <xf numFmtId="0" fontId="4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/>
    <xf numFmtId="0" fontId="8" fillId="0" borderId="0" applyNumberFormat="0" applyFill="0" applyBorder="0" applyAlignment="0" applyProtection="0"/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6" fillId="0" borderId="0">
      <alignment vertical="center"/>
    </xf>
    <xf numFmtId="0" fontId="18" fillId="0" borderId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41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60" applyNumberFormat="0" applyFill="0" applyAlignment="0" applyProtection="0">
      <alignment vertical="center"/>
    </xf>
    <xf numFmtId="0" fontId="70" fillId="0" borderId="61" applyNumberFormat="0" applyFill="0" applyAlignment="0" applyProtection="0">
      <alignment vertical="center"/>
    </xf>
    <xf numFmtId="0" fontId="71" fillId="0" borderId="62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5" fillId="23" borderId="63" applyNumberFormat="0" applyAlignment="0" applyProtection="0">
      <alignment vertical="center"/>
    </xf>
    <xf numFmtId="0" fontId="76" fillId="24" borderId="64" applyNumberFormat="0" applyAlignment="0" applyProtection="0">
      <alignment vertical="center"/>
    </xf>
    <xf numFmtId="0" fontId="77" fillId="24" borderId="63" applyNumberFormat="0" applyAlignment="0" applyProtection="0">
      <alignment vertical="center"/>
    </xf>
    <xf numFmtId="0" fontId="78" fillId="0" borderId="65" applyNumberFormat="0" applyFill="0" applyAlignment="0" applyProtection="0">
      <alignment vertical="center"/>
    </xf>
    <xf numFmtId="0" fontId="79" fillId="25" borderId="66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" fillId="26" borderId="67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68" applyNumberFormat="0" applyFill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687">
    <xf numFmtId="0" fontId="0" fillId="0" borderId="0" xfId="0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3" fillId="3" borderId="7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3" fillId="4" borderId="13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41" fontId="14" fillId="0" borderId="19" xfId="1" applyFont="1" applyFill="1" applyBorder="1" applyAlignment="1">
      <alignment horizontal="left" vertical="center"/>
    </xf>
    <xf numFmtId="41" fontId="16" fillId="0" borderId="19" xfId="1" applyFont="1" applyFill="1" applyBorder="1" applyAlignment="1">
      <alignment horizontal="left" vertical="center"/>
    </xf>
    <xf numFmtId="41" fontId="9" fillId="0" borderId="0" xfId="0" applyNumberFormat="1" applyFo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9" fillId="0" borderId="0" xfId="0" applyFont="1" applyAlignment="1">
      <alignment horizontal="left" vertical="center" shrinkToFit="1"/>
    </xf>
    <xf numFmtId="0" fontId="3" fillId="3" borderId="17" xfId="0" applyFont="1" applyFill="1" applyBorder="1" applyAlignment="1">
      <alignment horizontal="center" vertical="center" shrinkToFit="1"/>
    </xf>
    <xf numFmtId="41" fontId="14" fillId="0" borderId="19" xfId="1" applyFont="1" applyFill="1" applyBorder="1" applyAlignment="1">
      <alignment horizontal="left" vertical="center" shrinkToFit="1"/>
    </xf>
    <xf numFmtId="41" fontId="16" fillId="0" borderId="18" xfId="1" applyFont="1" applyFill="1" applyBorder="1" applyAlignment="1">
      <alignment horizontal="left" vertical="center" shrinkToFit="1"/>
    </xf>
    <xf numFmtId="41" fontId="16" fillId="0" borderId="19" xfId="1" applyFont="1" applyFill="1" applyBorder="1" applyAlignment="1">
      <alignment horizontal="left" vertical="center" shrinkToFit="1"/>
    </xf>
    <xf numFmtId="41" fontId="16" fillId="0" borderId="20" xfId="1" applyFont="1" applyFill="1" applyBorder="1" applyAlignment="1">
      <alignment vertical="center" shrinkToFit="1"/>
    </xf>
    <xf numFmtId="0" fontId="11" fillId="0" borderId="19" xfId="0" applyFont="1" applyBorder="1" applyAlignment="1">
      <alignment horizontal="left" vertical="center" shrinkToFit="1"/>
    </xf>
    <xf numFmtId="0" fontId="24" fillId="0" borderId="0" xfId="0" applyFo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5" fillId="0" borderId="15" xfId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9" fontId="14" fillId="0" borderId="2" xfId="20" applyFont="1" applyFill="1" applyBorder="1" applyAlignment="1">
      <alignment horizontal="center" vertical="center"/>
    </xf>
    <xf numFmtId="41" fontId="20" fillId="0" borderId="2" xfId="1" applyFont="1" applyFill="1" applyBorder="1" applyAlignment="1">
      <alignment horizontal="right" vertical="center"/>
    </xf>
    <xf numFmtId="41" fontId="14" fillId="0" borderId="1" xfId="1" applyFont="1" applyFill="1" applyBorder="1" applyAlignment="1">
      <alignment horizontal="right" vertical="center"/>
    </xf>
    <xf numFmtId="41" fontId="15" fillId="0" borderId="2" xfId="1" applyFont="1" applyFill="1" applyBorder="1" applyAlignment="1">
      <alignment horizontal="right" vertical="center"/>
    </xf>
    <xf numFmtId="9" fontId="14" fillId="0" borderId="3" xfId="2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1" fillId="0" borderId="1" xfId="20" applyFont="1" applyFill="1" applyBorder="1" applyAlignment="1">
      <alignment horizontal="center" vertical="center"/>
    </xf>
    <xf numFmtId="41" fontId="13" fillId="0" borderId="2" xfId="1" applyFont="1" applyFill="1" applyBorder="1" applyAlignment="1">
      <alignment horizontal="right" vertical="center"/>
    </xf>
    <xf numFmtId="14" fontId="11" fillId="0" borderId="1" xfId="0" applyNumberFormat="1" applyFont="1" applyBorder="1" applyAlignment="1">
      <alignment horizontal="center" vertical="center"/>
    </xf>
    <xf numFmtId="41" fontId="11" fillId="0" borderId="1" xfId="1" applyFont="1" applyFill="1" applyBorder="1" applyAlignment="1">
      <alignment horizontal="center" vertical="center"/>
    </xf>
    <xf numFmtId="41" fontId="13" fillId="0" borderId="2" xfId="1" applyFont="1" applyFill="1" applyBorder="1" applyAlignment="1">
      <alignment horizontal="center" vertical="center"/>
    </xf>
    <xf numFmtId="9" fontId="11" fillId="0" borderId="2" xfId="20" applyFont="1" applyFill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9" fontId="11" fillId="0" borderId="3" xfId="20" applyFont="1" applyFill="1" applyBorder="1" applyAlignment="1">
      <alignment horizontal="center" vertical="center"/>
    </xf>
    <xf numFmtId="41" fontId="11" fillId="0" borderId="3" xfId="1" applyFont="1" applyFill="1" applyBorder="1" applyAlignment="1">
      <alignment horizontal="right" vertical="center"/>
    </xf>
    <xf numFmtId="41" fontId="15" fillId="5" borderId="2" xfId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4" fontId="14" fillId="0" borderId="8" xfId="0" applyNumberFormat="1" applyFont="1" applyBorder="1" applyAlignment="1">
      <alignment horizontal="center" vertical="center"/>
    </xf>
    <xf numFmtId="41" fontId="12" fillId="0" borderId="22" xfId="1" applyFont="1" applyFill="1" applyBorder="1" applyAlignment="1">
      <alignment horizontal="center" vertical="center"/>
    </xf>
    <xf numFmtId="9" fontId="14" fillId="0" borderId="9" xfId="20" applyFont="1" applyFill="1" applyBorder="1" applyAlignment="1">
      <alignment horizontal="center" vertical="center"/>
    </xf>
    <xf numFmtId="41" fontId="15" fillId="0" borderId="2" xfId="1" applyFont="1" applyFill="1" applyBorder="1" applyAlignment="1">
      <alignment horizontal="center" vertical="center"/>
    </xf>
    <xf numFmtId="41" fontId="20" fillId="0" borderId="15" xfId="1" applyFont="1" applyFill="1" applyBorder="1" applyAlignment="1">
      <alignment horizontal="center" vertical="center"/>
    </xf>
    <xf numFmtId="41" fontId="12" fillId="0" borderId="23" xfId="1" applyFont="1" applyFill="1" applyBorder="1" applyAlignment="1">
      <alignment horizontal="center" vertical="center"/>
    </xf>
    <xf numFmtId="41" fontId="14" fillId="0" borderId="1" xfId="1" applyFont="1" applyFill="1" applyBorder="1" applyAlignment="1">
      <alignment horizontal="center" vertical="center"/>
    </xf>
    <xf numFmtId="41" fontId="12" fillId="0" borderId="24" xfId="1" applyFont="1" applyFill="1" applyBorder="1" applyAlignment="1">
      <alignment horizontal="center" vertical="center"/>
    </xf>
    <xf numFmtId="41" fontId="20" fillId="0" borderId="2" xfId="1" applyFont="1" applyFill="1" applyBorder="1" applyAlignment="1">
      <alignment horizontal="center" vertical="center"/>
    </xf>
    <xf numFmtId="41" fontId="15" fillId="0" borderId="16" xfId="1" applyFont="1" applyFill="1" applyBorder="1" applyAlignment="1">
      <alignment horizontal="right" vertical="center"/>
    </xf>
    <xf numFmtId="41" fontId="14" fillId="0" borderId="2" xfId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" fontId="11" fillId="0" borderId="3" xfId="0" applyNumberFormat="1" applyFont="1" applyBorder="1" applyAlignment="1">
      <alignment horizontal="center" vertical="center"/>
    </xf>
    <xf numFmtId="41" fontId="11" fillId="0" borderId="1" xfId="1" applyFont="1" applyFill="1" applyBorder="1" applyAlignment="1">
      <alignment horizontal="right" vertical="center"/>
    </xf>
    <xf numFmtId="41" fontId="11" fillId="0" borderId="3" xfId="1" applyFont="1" applyFill="1" applyBorder="1" applyAlignment="1">
      <alignment horizontal="center" vertical="center"/>
    </xf>
    <xf numFmtId="176" fontId="11" fillId="0" borderId="3" xfId="20" applyNumberFormat="1" applyFont="1" applyFill="1" applyBorder="1" applyAlignment="1">
      <alignment horizontal="center" vertical="center"/>
    </xf>
    <xf numFmtId="41" fontId="21" fillId="0" borderId="2" xfId="1" applyFont="1" applyFill="1" applyBorder="1" applyAlignment="1">
      <alignment horizontal="right" vertical="center"/>
    </xf>
    <xf numFmtId="0" fontId="27" fillId="0" borderId="30" xfId="0" applyFont="1" applyBorder="1" applyAlignment="1">
      <alignment horizontal="left" vertical="center"/>
    </xf>
    <xf numFmtId="41" fontId="16" fillId="0" borderId="20" xfId="1" applyFont="1" applyFill="1" applyBorder="1" applyAlignment="1">
      <alignment horizontal="left" vertical="center" shrinkToFit="1"/>
    </xf>
    <xf numFmtId="41" fontId="15" fillId="0" borderId="2" xfId="1" applyFont="1" applyFill="1" applyBorder="1" applyAlignment="1">
      <alignment horizontal="left" vertical="center"/>
    </xf>
    <xf numFmtId="41" fontId="29" fillId="0" borderId="19" xfId="1" applyFont="1" applyFill="1" applyBorder="1" applyAlignment="1">
      <alignment horizontal="left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41" fontId="11" fillId="7" borderId="1" xfId="1" applyFont="1" applyFill="1" applyBorder="1" applyAlignment="1">
      <alignment horizontal="center" vertical="center"/>
    </xf>
    <xf numFmtId="9" fontId="11" fillId="7" borderId="1" xfId="20" applyFont="1" applyFill="1" applyBorder="1" applyAlignment="1">
      <alignment horizontal="center" vertical="center"/>
    </xf>
    <xf numFmtId="41" fontId="13" fillId="7" borderId="2" xfId="1" applyFont="1" applyFill="1" applyBorder="1" applyAlignment="1">
      <alignment horizontal="center" vertical="center"/>
    </xf>
    <xf numFmtId="41" fontId="15" fillId="7" borderId="15" xfId="1" applyFont="1" applyFill="1" applyBorder="1" applyAlignment="1">
      <alignment horizontal="center" vertical="center"/>
    </xf>
    <xf numFmtId="41" fontId="20" fillId="7" borderId="15" xfId="1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41" fontId="14" fillId="7" borderId="1" xfId="1" applyFont="1" applyFill="1" applyBorder="1" applyAlignment="1">
      <alignment horizontal="right" vertical="center"/>
    </xf>
    <xf numFmtId="9" fontId="14" fillId="7" borderId="3" xfId="20" applyFont="1" applyFill="1" applyBorder="1" applyAlignment="1">
      <alignment horizontal="center" vertical="center"/>
    </xf>
    <xf numFmtId="41" fontId="15" fillId="7" borderId="2" xfId="1" applyFont="1" applyFill="1" applyBorder="1" applyAlignment="1">
      <alignment horizontal="right" vertical="center"/>
    </xf>
    <xf numFmtId="41" fontId="20" fillId="7" borderId="2" xfId="1" applyFont="1" applyFill="1" applyBorder="1" applyAlignment="1">
      <alignment horizontal="right" vertical="center"/>
    </xf>
    <xf numFmtId="14" fontId="11" fillId="7" borderId="3" xfId="0" applyNumberFormat="1" applyFont="1" applyFill="1" applyBorder="1" applyAlignment="1">
      <alignment horizontal="center" vertical="center"/>
    </xf>
    <xf numFmtId="41" fontId="11" fillId="7" borderId="3" xfId="1" applyFont="1" applyFill="1" applyBorder="1" applyAlignment="1">
      <alignment horizontal="right" vertical="center"/>
    </xf>
    <xf numFmtId="9" fontId="11" fillId="7" borderId="3" xfId="20" applyFont="1" applyFill="1" applyBorder="1" applyAlignment="1">
      <alignment horizontal="center" vertical="center"/>
    </xf>
    <xf numFmtId="41" fontId="13" fillId="7" borderId="2" xfId="1" applyFont="1" applyFill="1" applyBorder="1" applyAlignment="1">
      <alignment horizontal="right" vertical="center"/>
    </xf>
    <xf numFmtId="41" fontId="15" fillId="7" borderId="15" xfId="1" applyFont="1" applyFill="1" applyBorder="1" applyAlignment="1">
      <alignment horizontal="right" vertical="center"/>
    </xf>
    <xf numFmtId="0" fontId="14" fillId="7" borderId="4" xfId="0" applyFont="1" applyFill="1" applyBorder="1" applyAlignment="1">
      <alignment horizontal="center" vertical="center"/>
    </xf>
    <xf numFmtId="9" fontId="14" fillId="7" borderId="2" xfId="20" applyFont="1" applyFill="1" applyBorder="1" applyAlignment="1">
      <alignment horizontal="center" vertical="center"/>
    </xf>
    <xf numFmtId="41" fontId="15" fillId="7" borderId="16" xfId="1" applyFont="1" applyFill="1" applyBorder="1" applyAlignment="1">
      <alignment horizontal="right" vertical="center"/>
    </xf>
    <xf numFmtId="41" fontId="20" fillId="7" borderId="2" xfId="1" applyFont="1" applyFill="1" applyBorder="1" applyAlignment="1">
      <alignment horizontal="center" vertical="center"/>
    </xf>
    <xf numFmtId="41" fontId="15" fillId="7" borderId="25" xfId="1" applyFont="1" applyFill="1" applyBorder="1" applyAlignment="1">
      <alignment horizontal="right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14" fontId="14" fillId="8" borderId="1" xfId="0" applyNumberFormat="1" applyFont="1" applyFill="1" applyBorder="1" applyAlignment="1">
      <alignment horizontal="center" vertical="center"/>
    </xf>
    <xf numFmtId="41" fontId="14" fillId="8" borderId="1" xfId="1" applyFont="1" applyFill="1" applyBorder="1" applyAlignment="1">
      <alignment horizontal="right" vertical="center"/>
    </xf>
    <xf numFmtId="9" fontId="14" fillId="8" borderId="2" xfId="20" applyFont="1" applyFill="1" applyBorder="1" applyAlignment="1">
      <alignment horizontal="center" vertical="center"/>
    </xf>
    <xf numFmtId="41" fontId="15" fillId="8" borderId="2" xfId="1" applyFont="1" applyFill="1" applyBorder="1" applyAlignment="1">
      <alignment horizontal="right" vertical="center"/>
    </xf>
    <xf numFmtId="41" fontId="20" fillId="8" borderId="2" xfId="1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41" fontId="13" fillId="8" borderId="2" xfId="1" applyFont="1" applyFill="1" applyBorder="1" applyAlignment="1">
      <alignment horizontal="center" vertical="center"/>
    </xf>
    <xf numFmtId="14" fontId="11" fillId="8" borderId="3" xfId="0" applyNumberFormat="1" applyFont="1" applyFill="1" applyBorder="1" applyAlignment="1">
      <alignment horizontal="center" vertical="center"/>
    </xf>
    <xf numFmtId="9" fontId="11" fillId="8" borderId="3" xfId="20" applyFont="1" applyFill="1" applyBorder="1" applyAlignment="1">
      <alignment horizontal="center" vertical="center"/>
    </xf>
    <xf numFmtId="41" fontId="11" fillId="7" borderId="3" xfId="1" applyFont="1" applyFill="1" applyBorder="1" applyAlignment="1">
      <alignment horizontal="center" vertical="center"/>
    </xf>
    <xf numFmtId="9" fontId="14" fillId="8" borderId="3" xfId="20" applyFont="1" applyFill="1" applyBorder="1" applyAlignment="1">
      <alignment horizontal="center" vertical="center"/>
    </xf>
    <xf numFmtId="41" fontId="11" fillId="8" borderId="3" xfId="1" applyFont="1" applyFill="1" applyBorder="1" applyAlignment="1">
      <alignment horizontal="center" vertical="center"/>
    </xf>
    <xf numFmtId="41" fontId="15" fillId="6" borderId="2" xfId="1" applyFont="1" applyFill="1" applyBorder="1" applyAlignment="1">
      <alignment horizontal="right" vertical="center"/>
    </xf>
    <xf numFmtId="176" fontId="14" fillId="8" borderId="3" xfId="20" applyNumberFormat="1" applyFont="1" applyFill="1" applyBorder="1" applyAlignment="1">
      <alignment horizontal="center" vertical="center"/>
    </xf>
    <xf numFmtId="41" fontId="11" fillId="8" borderId="1" xfId="1" applyFont="1" applyFill="1" applyBorder="1" applyAlignment="1">
      <alignment horizontal="right" vertical="center"/>
    </xf>
    <xf numFmtId="9" fontId="11" fillId="8" borderId="2" xfId="20" applyFont="1" applyFill="1" applyBorder="1" applyAlignment="1">
      <alignment horizontal="center" vertical="center"/>
    </xf>
    <xf numFmtId="41" fontId="20" fillId="6" borderId="2" xfId="1" applyFont="1" applyFill="1" applyBorder="1" applyAlignment="1">
      <alignment horizontal="right" vertical="center"/>
    </xf>
    <xf numFmtId="14" fontId="14" fillId="7" borderId="21" xfId="0" applyNumberFormat="1" applyFont="1" applyFill="1" applyBorder="1" applyAlignment="1">
      <alignment horizontal="center" vertical="center"/>
    </xf>
    <xf numFmtId="41" fontId="14" fillId="7" borderId="1" xfId="1" applyFont="1" applyFill="1" applyBorder="1" applyAlignment="1">
      <alignment horizontal="center" vertical="center"/>
    </xf>
    <xf numFmtId="41" fontId="15" fillId="7" borderId="2" xfId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14" fillId="9" borderId="14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14" fontId="14" fillId="9" borderId="1" xfId="0" applyNumberFormat="1" applyFont="1" applyFill="1" applyBorder="1" applyAlignment="1">
      <alignment horizontal="center" vertical="center"/>
    </xf>
    <xf numFmtId="41" fontId="14" fillId="9" borderId="1" xfId="1" applyFont="1" applyFill="1" applyBorder="1" applyAlignment="1">
      <alignment horizontal="right" vertical="center"/>
    </xf>
    <xf numFmtId="9" fontId="14" fillId="9" borderId="2" xfId="20" applyFont="1" applyFill="1" applyBorder="1" applyAlignment="1">
      <alignment horizontal="center" vertical="center"/>
    </xf>
    <xf numFmtId="41" fontId="15" fillId="9" borderId="2" xfId="1" applyFont="1" applyFill="1" applyBorder="1" applyAlignment="1">
      <alignment horizontal="right" vertical="center"/>
    </xf>
    <xf numFmtId="41" fontId="20" fillId="9" borderId="2" xfId="1" applyFont="1" applyFill="1" applyBorder="1" applyAlignment="1">
      <alignment horizontal="right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11" fillId="9" borderId="1" xfId="0" applyNumberFormat="1" applyFont="1" applyFill="1" applyBorder="1" applyAlignment="1">
      <alignment horizontal="center" vertical="center"/>
    </xf>
    <xf numFmtId="41" fontId="11" fillId="9" borderId="1" xfId="1" applyFont="1" applyFill="1" applyBorder="1" applyAlignment="1">
      <alignment horizontal="center" vertical="center"/>
    </xf>
    <xf numFmtId="9" fontId="11" fillId="9" borderId="2" xfId="20" applyFont="1" applyFill="1" applyBorder="1" applyAlignment="1">
      <alignment horizontal="center" vertical="center"/>
    </xf>
    <xf numFmtId="41" fontId="13" fillId="9" borderId="2" xfId="1" applyFont="1" applyFill="1" applyBorder="1" applyAlignment="1">
      <alignment horizontal="center" vertical="center"/>
    </xf>
    <xf numFmtId="41" fontId="15" fillId="9" borderId="15" xfId="1" applyFont="1" applyFill="1" applyBorder="1" applyAlignment="1">
      <alignment horizontal="center" vertical="center"/>
    </xf>
    <xf numFmtId="14" fontId="11" fillId="9" borderId="3" xfId="0" applyNumberFormat="1" applyFont="1" applyFill="1" applyBorder="1" applyAlignment="1">
      <alignment horizontal="center" vertical="center"/>
    </xf>
    <xf numFmtId="41" fontId="11" fillId="9" borderId="3" xfId="1" applyFont="1" applyFill="1" applyBorder="1" applyAlignment="1">
      <alignment horizontal="right" vertical="center"/>
    </xf>
    <xf numFmtId="9" fontId="11" fillId="9" borderId="3" xfId="20" applyFont="1" applyFill="1" applyBorder="1" applyAlignment="1">
      <alignment horizontal="center" vertical="center"/>
    </xf>
    <xf numFmtId="41" fontId="13" fillId="9" borderId="2" xfId="1" applyFont="1" applyFill="1" applyBorder="1" applyAlignment="1">
      <alignment horizontal="right" vertical="center"/>
    </xf>
    <xf numFmtId="0" fontId="14" fillId="9" borderId="28" xfId="0" applyFont="1" applyFill="1" applyBorder="1" applyAlignment="1">
      <alignment horizontal="center" vertical="center"/>
    </xf>
    <xf numFmtId="9" fontId="14" fillId="9" borderId="3" xfId="20" applyFont="1" applyFill="1" applyBorder="1" applyAlignment="1">
      <alignment horizontal="center" vertical="center"/>
    </xf>
    <xf numFmtId="41" fontId="11" fillId="9" borderId="3" xfId="1" applyFont="1" applyFill="1" applyBorder="1" applyAlignment="1">
      <alignment horizontal="center" vertical="center"/>
    </xf>
    <xf numFmtId="41" fontId="14" fillId="9" borderId="1" xfId="1" applyFont="1" applyFill="1" applyBorder="1" applyAlignment="1">
      <alignment horizontal="center" vertical="center"/>
    </xf>
    <xf numFmtId="41" fontId="15" fillId="9" borderId="2" xfId="1" applyFont="1" applyFill="1" applyBorder="1" applyAlignment="1">
      <alignment horizontal="center" vertical="center"/>
    </xf>
    <xf numFmtId="41" fontId="20" fillId="9" borderId="15" xfId="1" applyFont="1" applyFill="1" applyBorder="1" applyAlignment="1">
      <alignment horizontal="center" vertical="center"/>
    </xf>
    <xf numFmtId="176" fontId="11" fillId="9" borderId="1" xfId="20" applyNumberFormat="1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center" vertical="center"/>
    </xf>
    <xf numFmtId="14" fontId="14" fillId="9" borderId="8" xfId="0" applyNumberFormat="1" applyFont="1" applyFill="1" applyBorder="1" applyAlignment="1">
      <alignment horizontal="center" vertical="center"/>
    </xf>
    <xf numFmtId="41" fontId="12" fillId="9" borderId="22" xfId="1" applyFont="1" applyFill="1" applyBorder="1" applyAlignment="1">
      <alignment horizontal="center" vertical="center"/>
    </xf>
    <xf numFmtId="9" fontId="14" fillId="9" borderId="9" xfId="2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9" xfId="0" applyFont="1" applyFill="1" applyBorder="1" applyAlignment="1">
      <alignment horizontal="center" vertical="center"/>
    </xf>
    <xf numFmtId="0" fontId="14" fillId="9" borderId="25" xfId="0" applyFont="1" applyFill="1" applyBorder="1" applyAlignment="1">
      <alignment horizontal="center" vertical="center"/>
    </xf>
    <xf numFmtId="176" fontId="14" fillId="9" borderId="3" xfId="20" applyNumberFormat="1" applyFont="1" applyFill="1" applyBorder="1" applyAlignment="1">
      <alignment horizontal="center" vertical="center"/>
    </xf>
    <xf numFmtId="41" fontId="11" fillId="9" borderId="1" xfId="1" applyFont="1" applyFill="1" applyBorder="1" applyAlignment="1">
      <alignment horizontal="right" vertical="center"/>
    </xf>
    <xf numFmtId="41" fontId="20" fillId="9" borderId="2" xfId="1" applyFont="1" applyFill="1" applyBorder="1" applyAlignment="1">
      <alignment horizontal="center" vertical="center"/>
    </xf>
    <xf numFmtId="41" fontId="16" fillId="6" borderId="19" xfId="1" applyFont="1" applyFill="1" applyBorder="1" applyAlignment="1">
      <alignment horizontal="left" vertical="center"/>
    </xf>
    <xf numFmtId="41" fontId="12" fillId="9" borderId="23" xfId="1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41" fontId="12" fillId="9" borderId="24" xfId="1" applyFont="1" applyFill="1" applyBorder="1" applyAlignment="1">
      <alignment horizontal="center" vertical="center"/>
    </xf>
    <xf numFmtId="41" fontId="14" fillId="0" borderId="2" xfId="1" applyFont="1" applyFill="1" applyBorder="1" applyAlignment="1">
      <alignment horizontal="left" vertical="center"/>
    </xf>
    <xf numFmtId="41" fontId="29" fillId="0" borderId="32" xfId="1" applyFont="1" applyFill="1" applyBorder="1" applyAlignment="1">
      <alignment horizontal="left" vertical="center"/>
    </xf>
    <xf numFmtId="41" fontId="30" fillId="0" borderId="0" xfId="0" applyNumberFormat="1" applyFont="1">
      <alignment vertical="center"/>
    </xf>
    <xf numFmtId="0" fontId="0" fillId="0" borderId="33" xfId="0" applyBorder="1">
      <alignment vertical="center"/>
    </xf>
    <xf numFmtId="41" fontId="15" fillId="7" borderId="29" xfId="1" applyFont="1" applyFill="1" applyBorder="1" applyAlignment="1">
      <alignment horizontal="right" vertical="center"/>
    </xf>
    <xf numFmtId="176" fontId="11" fillId="7" borderId="3" xfId="20" applyNumberFormat="1" applyFont="1" applyFill="1" applyBorder="1" applyAlignment="1">
      <alignment horizontal="center" vertical="center"/>
    </xf>
    <xf numFmtId="41" fontId="12" fillId="7" borderId="22" xfId="1" applyFont="1" applyFill="1" applyBorder="1" applyAlignment="1">
      <alignment horizontal="center" vertical="center"/>
    </xf>
    <xf numFmtId="9" fontId="14" fillId="7" borderId="9" xfId="20" applyFont="1" applyFill="1" applyBorder="1" applyAlignment="1">
      <alignment horizontal="center" vertical="center"/>
    </xf>
    <xf numFmtId="0" fontId="31" fillId="3" borderId="31" xfId="0" applyFont="1" applyFill="1" applyBorder="1" applyAlignment="1">
      <alignment horizontal="left" vertical="center"/>
    </xf>
    <xf numFmtId="41" fontId="15" fillId="9" borderId="16" xfId="1" applyFont="1" applyFill="1" applyBorder="1" applyAlignment="1">
      <alignment horizontal="center" vertical="center"/>
    </xf>
    <xf numFmtId="176" fontId="11" fillId="9" borderId="3" xfId="20" applyNumberFormat="1" applyFont="1" applyFill="1" applyBorder="1" applyAlignment="1">
      <alignment horizontal="center" vertical="center"/>
    </xf>
    <xf numFmtId="9" fontId="11" fillId="9" borderId="1" xfId="20" applyFont="1" applyFill="1" applyBorder="1" applyAlignment="1">
      <alignment horizontal="center" vertical="center"/>
    </xf>
    <xf numFmtId="41" fontId="15" fillId="9" borderId="16" xfId="1" applyFont="1" applyFill="1" applyBorder="1" applyAlignment="1">
      <alignment horizontal="righ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10" xfId="0" applyFont="1" applyBorder="1">
      <alignment vertical="center"/>
    </xf>
    <xf numFmtId="0" fontId="37" fillId="0" borderId="0" xfId="0" applyFont="1" applyAlignment="1">
      <alignment horizontal="center" vertical="center"/>
    </xf>
    <xf numFmtId="0" fontId="27" fillId="0" borderId="35" xfId="0" applyFont="1" applyBorder="1" applyAlignment="1">
      <alignment horizontal="left" vertical="center"/>
    </xf>
    <xf numFmtId="41" fontId="29" fillId="0" borderId="36" xfId="1" applyFont="1" applyFill="1" applyBorder="1" applyAlignment="1">
      <alignment horizontal="left" vertical="center"/>
    </xf>
    <xf numFmtId="41" fontId="14" fillId="0" borderId="38" xfId="1" applyFont="1" applyFill="1" applyBorder="1" applyAlignment="1">
      <alignment horizontal="left" vertical="center" shrinkToFit="1"/>
    </xf>
    <xf numFmtId="41" fontId="29" fillId="0" borderId="39" xfId="1" applyFont="1" applyFill="1" applyBorder="1" applyAlignment="1">
      <alignment horizontal="left" vertical="center"/>
    </xf>
    <xf numFmtId="41" fontId="16" fillId="0" borderId="38" xfId="1" applyFont="1" applyFill="1" applyBorder="1" applyAlignment="1">
      <alignment horizontal="left" vertical="center" shrinkToFit="1"/>
    </xf>
    <xf numFmtId="41" fontId="15" fillId="0" borderId="38" xfId="1" applyFont="1" applyFill="1" applyBorder="1" applyAlignment="1">
      <alignment horizontal="right" vertical="center"/>
    </xf>
    <xf numFmtId="0" fontId="27" fillId="0" borderId="38" xfId="0" applyFont="1" applyBorder="1" applyAlignment="1">
      <alignment horizontal="left" vertical="center"/>
    </xf>
    <xf numFmtId="0" fontId="11" fillId="0" borderId="38" xfId="0" applyFont="1" applyBorder="1" applyAlignment="1">
      <alignment horizontal="left" vertical="center" shrinkToFit="1"/>
    </xf>
    <xf numFmtId="41" fontId="14" fillId="0" borderId="38" xfId="1" applyFont="1" applyFill="1" applyBorder="1" applyAlignment="1">
      <alignment horizontal="left" vertical="center"/>
    </xf>
    <xf numFmtId="0" fontId="19" fillId="0" borderId="38" xfId="4" applyFont="1" applyBorder="1" applyAlignment="1">
      <alignment horizontal="left" vertical="center"/>
    </xf>
    <xf numFmtId="0" fontId="3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1" fontId="29" fillId="0" borderId="38" xfId="1" applyFont="1" applyFill="1" applyBorder="1" applyAlignment="1">
      <alignment horizontal="left" vertical="center"/>
    </xf>
    <xf numFmtId="0" fontId="14" fillId="7" borderId="37" xfId="0" applyFont="1" applyFill="1" applyBorder="1" applyAlignment="1">
      <alignment horizontal="center" vertical="center"/>
    </xf>
    <xf numFmtId="0" fontId="14" fillId="7" borderId="42" xfId="0" applyFont="1" applyFill="1" applyBorder="1" applyAlignment="1">
      <alignment horizontal="center" vertical="center"/>
    </xf>
    <xf numFmtId="0" fontId="11" fillId="7" borderId="38" xfId="0" applyFont="1" applyFill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14" fillId="7" borderId="38" xfId="0" applyFont="1" applyFill="1" applyBorder="1" applyAlignment="1">
      <alignment horizontal="center" vertical="center"/>
    </xf>
    <xf numFmtId="14" fontId="11" fillId="7" borderId="38" xfId="0" applyNumberFormat="1" applyFont="1" applyFill="1" applyBorder="1" applyAlignment="1">
      <alignment horizontal="center" vertical="center"/>
    </xf>
    <xf numFmtId="41" fontId="11" fillId="7" borderId="38" xfId="1" applyFont="1" applyFill="1" applyBorder="1" applyAlignment="1">
      <alignment horizontal="center" vertical="center"/>
    </xf>
    <xf numFmtId="9" fontId="11" fillId="7" borderId="38" xfId="20" applyFont="1" applyFill="1" applyBorder="1" applyAlignment="1">
      <alignment horizontal="center" vertical="center"/>
    </xf>
    <xf numFmtId="41" fontId="15" fillId="7" borderId="38" xfId="1" applyFont="1" applyFill="1" applyBorder="1" applyAlignment="1">
      <alignment horizontal="center" vertical="center"/>
    </xf>
    <xf numFmtId="41" fontId="15" fillId="7" borderId="38" xfId="1" applyFont="1" applyFill="1" applyBorder="1" applyAlignment="1">
      <alignment horizontal="right" vertical="center"/>
    </xf>
    <xf numFmtId="41" fontId="20" fillId="7" borderId="38" xfId="1" applyFont="1" applyFill="1" applyBorder="1" applyAlignment="1">
      <alignment horizontal="center" vertical="center"/>
    </xf>
    <xf numFmtId="41" fontId="11" fillId="7" borderId="38" xfId="1" applyFont="1" applyFill="1" applyBorder="1" applyAlignment="1">
      <alignment horizontal="right" vertical="center"/>
    </xf>
    <xf numFmtId="0" fontId="27" fillId="7" borderId="38" xfId="0" applyFont="1" applyFill="1" applyBorder="1" applyAlignment="1">
      <alignment horizontal="center" vertical="center"/>
    </xf>
    <xf numFmtId="14" fontId="14" fillId="7" borderId="38" xfId="0" applyNumberFormat="1" applyFont="1" applyFill="1" applyBorder="1" applyAlignment="1">
      <alignment horizontal="center" vertical="center"/>
    </xf>
    <xf numFmtId="41" fontId="14" fillId="7" borderId="38" xfId="1" applyFont="1" applyFill="1" applyBorder="1" applyAlignment="1">
      <alignment horizontal="right" vertical="center"/>
    </xf>
    <xf numFmtId="9" fontId="14" fillId="7" borderId="38" xfId="20" applyFont="1" applyFill="1" applyBorder="1" applyAlignment="1">
      <alignment horizontal="center" vertical="center"/>
    </xf>
    <xf numFmtId="14" fontId="19" fillId="7" borderId="38" xfId="0" applyNumberFormat="1" applyFont="1" applyFill="1" applyBorder="1" applyAlignment="1">
      <alignment horizontal="center" vertical="center"/>
    </xf>
    <xf numFmtId="41" fontId="19" fillId="7" borderId="38" xfId="1" applyFont="1" applyFill="1" applyBorder="1">
      <alignment vertical="center"/>
    </xf>
    <xf numFmtId="177" fontId="14" fillId="7" borderId="38" xfId="0" applyNumberFormat="1" applyFont="1" applyFill="1" applyBorder="1" applyAlignment="1">
      <alignment horizontal="center" vertical="center" wrapText="1"/>
    </xf>
    <xf numFmtId="9" fontId="19" fillId="7" borderId="38" xfId="30" applyFont="1" applyFill="1" applyBorder="1" applyAlignment="1">
      <alignment horizontal="center" vertical="center"/>
    </xf>
    <xf numFmtId="14" fontId="35" fillId="7" borderId="38" xfId="5" applyNumberFormat="1" applyFont="1" applyFill="1" applyBorder="1" applyAlignment="1">
      <alignment horizontal="center" vertical="center"/>
    </xf>
    <xf numFmtId="0" fontId="14" fillId="7" borderId="40" xfId="0" applyFont="1" applyFill="1" applyBorder="1" applyAlignment="1">
      <alignment horizontal="center" vertical="center"/>
    </xf>
    <xf numFmtId="0" fontId="38" fillId="7" borderId="38" xfId="0" applyFont="1" applyFill="1" applyBorder="1" applyAlignment="1">
      <alignment horizontal="center" vertical="center"/>
    </xf>
    <xf numFmtId="41" fontId="14" fillId="7" borderId="38" xfId="1" applyFont="1" applyFill="1" applyBorder="1" applyAlignment="1">
      <alignment horizontal="center" vertical="center"/>
    </xf>
    <xf numFmtId="9" fontId="19" fillId="7" borderId="38" xfId="20" applyFont="1" applyFill="1" applyBorder="1" applyAlignment="1">
      <alignment horizontal="center" vertical="center"/>
    </xf>
    <xf numFmtId="14" fontId="29" fillId="7" borderId="38" xfId="0" applyNumberFormat="1" applyFont="1" applyFill="1" applyBorder="1" applyAlignment="1">
      <alignment horizontal="center" vertical="center"/>
    </xf>
    <xf numFmtId="0" fontId="19" fillId="7" borderId="38" xfId="29" applyFont="1" applyFill="1" applyBorder="1" applyAlignment="1">
      <alignment horizontal="center" vertical="center"/>
    </xf>
    <xf numFmtId="176" fontId="11" fillId="7" borderId="38" xfId="20" applyNumberFormat="1" applyFont="1" applyFill="1" applyBorder="1" applyAlignment="1">
      <alignment horizontal="center" vertical="center"/>
    </xf>
    <xf numFmtId="0" fontId="38" fillId="7" borderId="38" xfId="29" applyFont="1" applyFill="1" applyBorder="1" applyAlignment="1">
      <alignment horizontal="center" vertical="center"/>
    </xf>
    <xf numFmtId="14" fontId="19" fillId="7" borderId="38" xfId="29" applyNumberFormat="1" applyFont="1" applyFill="1" applyBorder="1" applyAlignment="1">
      <alignment horizontal="center" vertical="center"/>
    </xf>
    <xf numFmtId="176" fontId="19" fillId="7" borderId="38" xfId="30" applyNumberFormat="1" applyFont="1" applyFill="1" applyBorder="1" applyAlignment="1">
      <alignment horizontal="center" vertical="center"/>
    </xf>
    <xf numFmtId="0" fontId="14" fillId="9" borderId="34" xfId="0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horizontal="center" vertical="center"/>
    </xf>
    <xf numFmtId="0" fontId="14" fillId="9" borderId="35" xfId="0" applyFont="1" applyFill="1" applyBorder="1" applyAlignment="1">
      <alignment horizontal="center" vertical="center"/>
    </xf>
    <xf numFmtId="0" fontId="38" fillId="9" borderId="35" xfId="0" applyFont="1" applyFill="1" applyBorder="1" applyAlignment="1">
      <alignment horizontal="center" vertical="center"/>
    </xf>
    <xf numFmtId="14" fontId="14" fillId="9" borderId="35" xfId="0" applyNumberFormat="1" applyFont="1" applyFill="1" applyBorder="1" applyAlignment="1">
      <alignment horizontal="center" vertical="center"/>
    </xf>
    <xf numFmtId="41" fontId="12" fillId="9" borderId="35" xfId="1" applyFont="1" applyFill="1" applyBorder="1" applyAlignment="1">
      <alignment horizontal="center" vertical="center"/>
    </xf>
    <xf numFmtId="9" fontId="14" fillId="9" borderId="35" xfId="20" applyFont="1" applyFill="1" applyBorder="1" applyAlignment="1">
      <alignment horizontal="center" vertical="center"/>
    </xf>
    <xf numFmtId="41" fontId="15" fillId="9" borderId="35" xfId="1" applyFont="1" applyFill="1" applyBorder="1" applyAlignment="1">
      <alignment horizontal="center" vertical="center"/>
    </xf>
    <xf numFmtId="41" fontId="20" fillId="9" borderId="35" xfId="1" applyFont="1" applyFill="1" applyBorder="1" applyAlignment="1">
      <alignment horizontal="center" vertical="center"/>
    </xf>
    <xf numFmtId="0" fontId="14" fillId="9" borderId="37" xfId="0" applyFont="1" applyFill="1" applyBorder="1" applyAlignment="1">
      <alignment horizontal="center" vertical="center"/>
    </xf>
    <xf numFmtId="0" fontId="14" fillId="9" borderId="42" xfId="0" applyFont="1" applyFill="1" applyBorder="1" applyAlignment="1">
      <alignment horizontal="center" vertical="center"/>
    </xf>
    <xf numFmtId="0" fontId="11" fillId="9" borderId="38" xfId="0" applyFont="1" applyFill="1" applyBorder="1" applyAlignment="1">
      <alignment horizontal="center" vertical="center"/>
    </xf>
    <xf numFmtId="0" fontId="27" fillId="9" borderId="38" xfId="0" applyFont="1" applyFill="1" applyBorder="1" applyAlignment="1">
      <alignment horizontal="center" vertical="center"/>
    </xf>
    <xf numFmtId="0" fontId="14" fillId="9" borderId="38" xfId="0" applyFont="1" applyFill="1" applyBorder="1" applyAlignment="1">
      <alignment horizontal="center" vertical="center"/>
    </xf>
    <xf numFmtId="14" fontId="11" fillId="9" borderId="38" xfId="0" applyNumberFormat="1" applyFont="1" applyFill="1" applyBorder="1" applyAlignment="1">
      <alignment horizontal="center" vertical="center"/>
    </xf>
    <xf numFmtId="41" fontId="11" fillId="9" borderId="38" xfId="1" applyFont="1" applyFill="1" applyBorder="1" applyAlignment="1">
      <alignment horizontal="right" vertical="center"/>
    </xf>
    <xf numFmtId="9" fontId="11" fillId="9" borderId="38" xfId="20" applyFont="1" applyFill="1" applyBorder="1" applyAlignment="1">
      <alignment horizontal="center" vertical="center"/>
    </xf>
    <xf numFmtId="41" fontId="15" fillId="9" borderId="38" xfId="1" applyFont="1" applyFill="1" applyBorder="1" applyAlignment="1">
      <alignment horizontal="center" vertical="center"/>
    </xf>
    <xf numFmtId="41" fontId="15" fillId="9" borderId="38" xfId="1" applyFont="1" applyFill="1" applyBorder="1" applyAlignment="1">
      <alignment horizontal="right" vertical="center"/>
    </xf>
    <xf numFmtId="41" fontId="20" fillId="9" borderId="38" xfId="1" applyFont="1" applyFill="1" applyBorder="1" applyAlignment="1">
      <alignment horizontal="center" vertical="center"/>
    </xf>
    <xf numFmtId="0" fontId="19" fillId="9" borderId="38" xfId="29" applyFont="1" applyFill="1" applyBorder="1" applyAlignment="1">
      <alignment horizontal="center" vertical="center"/>
    </xf>
    <xf numFmtId="0" fontId="37" fillId="9" borderId="38" xfId="0" applyFont="1" applyFill="1" applyBorder="1" applyAlignment="1">
      <alignment horizontal="center" vertical="center"/>
    </xf>
    <xf numFmtId="177" fontId="14" fillId="9" borderId="38" xfId="0" applyNumberFormat="1" applyFont="1" applyFill="1" applyBorder="1" applyAlignment="1">
      <alignment horizontal="center" vertical="center" wrapText="1"/>
    </xf>
    <xf numFmtId="9" fontId="19" fillId="9" borderId="38" xfId="30" applyFont="1" applyFill="1" applyBorder="1" applyAlignment="1">
      <alignment horizontal="center" vertical="center"/>
    </xf>
    <xf numFmtId="0" fontId="14" fillId="9" borderId="40" xfId="0" applyFont="1" applyFill="1" applyBorder="1" applyAlignment="1">
      <alignment horizontal="center" vertical="center"/>
    </xf>
    <xf numFmtId="14" fontId="19" fillId="9" borderId="38" xfId="4" applyNumberFormat="1" applyFont="1" applyFill="1" applyBorder="1" applyAlignment="1">
      <alignment horizontal="center" vertical="center"/>
    </xf>
    <xf numFmtId="9" fontId="19" fillId="9" borderId="38" xfId="3" applyFont="1" applyFill="1" applyBorder="1" applyAlignment="1">
      <alignment horizontal="center" vertical="center"/>
    </xf>
    <xf numFmtId="0" fontId="38" fillId="9" borderId="38" xfId="0" applyFont="1" applyFill="1" applyBorder="1" applyAlignment="1">
      <alignment horizontal="center" vertical="center"/>
    </xf>
    <xf numFmtId="14" fontId="14" fillId="9" borderId="38" xfId="0" applyNumberFormat="1" applyFont="1" applyFill="1" applyBorder="1" applyAlignment="1">
      <alignment horizontal="center" vertical="center"/>
    </xf>
    <xf numFmtId="41" fontId="12" fillId="9" borderId="38" xfId="1" applyFont="1" applyFill="1" applyBorder="1" applyAlignment="1">
      <alignment horizontal="center" vertical="center"/>
    </xf>
    <xf numFmtId="9" fontId="14" fillId="9" borderId="38" xfId="20" applyFont="1" applyFill="1" applyBorder="1" applyAlignment="1">
      <alignment horizontal="center" vertical="center"/>
    </xf>
    <xf numFmtId="14" fontId="35" fillId="9" borderId="38" xfId="5" applyNumberFormat="1" applyFont="1" applyFill="1" applyBorder="1" applyAlignment="1">
      <alignment horizontal="center" vertical="center"/>
    </xf>
    <xf numFmtId="41" fontId="14" fillId="9" borderId="38" xfId="1" applyFont="1" applyFill="1" applyBorder="1" applyAlignment="1">
      <alignment horizontal="right" vertical="center"/>
    </xf>
    <xf numFmtId="41" fontId="19" fillId="9" borderId="38" xfId="7" applyFont="1" applyFill="1" applyBorder="1">
      <alignment vertical="center"/>
    </xf>
    <xf numFmtId="14" fontId="19" fillId="9" borderId="38" xfId="0" applyNumberFormat="1" applyFont="1" applyFill="1" applyBorder="1" applyAlignment="1">
      <alignment horizontal="center" vertical="center"/>
    </xf>
    <xf numFmtId="41" fontId="0" fillId="6" borderId="0" xfId="0" applyNumberFormat="1" applyFill="1">
      <alignment vertical="center"/>
    </xf>
    <xf numFmtId="41" fontId="19" fillId="9" borderId="38" xfId="1" applyFont="1" applyFill="1" applyBorder="1">
      <alignment vertical="center"/>
    </xf>
    <xf numFmtId="41" fontId="11" fillId="9" borderId="38" xfId="1" applyFont="1" applyFill="1" applyBorder="1" applyAlignment="1">
      <alignment horizontal="center" vertical="center"/>
    </xf>
    <xf numFmtId="14" fontId="19" fillId="9" borderId="38" xfId="29" applyNumberFormat="1" applyFont="1" applyFill="1" applyBorder="1" applyAlignment="1">
      <alignment horizontal="center" vertical="center"/>
    </xf>
    <xf numFmtId="0" fontId="19" fillId="9" borderId="38" xfId="4" applyFont="1" applyFill="1" applyBorder="1" applyAlignment="1">
      <alignment horizontal="center" vertical="center"/>
    </xf>
    <xf numFmtId="14" fontId="29" fillId="9" borderId="38" xfId="0" applyNumberFormat="1" applyFont="1" applyFill="1" applyBorder="1" applyAlignment="1">
      <alignment horizontal="center" vertical="center"/>
    </xf>
    <xf numFmtId="41" fontId="15" fillId="0" borderId="38" xfId="1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 shrinkToFit="1"/>
    </xf>
    <xf numFmtId="0" fontId="14" fillId="0" borderId="21" xfId="0" applyFont="1" applyBorder="1" applyAlignment="1">
      <alignment horizontal="center" vertical="center"/>
    </xf>
    <xf numFmtId="41" fontId="12" fillId="0" borderId="21" xfId="1" applyFont="1" applyFill="1" applyBorder="1" applyAlignment="1">
      <alignment horizontal="center" vertical="center"/>
    </xf>
    <xf numFmtId="9" fontId="14" fillId="0" borderId="21" xfId="20" applyFont="1" applyFill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41" fontId="20" fillId="0" borderId="21" xfId="1" applyFont="1" applyFill="1" applyBorder="1" applyAlignment="1">
      <alignment horizontal="center" vertical="center"/>
    </xf>
    <xf numFmtId="41" fontId="29" fillId="0" borderId="21" xfId="1" applyFont="1" applyFill="1" applyBorder="1" applyAlignment="1">
      <alignment horizontal="left" vertical="center"/>
    </xf>
    <xf numFmtId="41" fontId="14" fillId="0" borderId="21" xfId="1" applyFont="1" applyFill="1" applyBorder="1" applyAlignment="1">
      <alignment horizontal="left" vertical="center" shrinkToFit="1"/>
    </xf>
    <xf numFmtId="41" fontId="14" fillId="0" borderId="21" xfId="1" applyFont="1" applyFill="1" applyBorder="1" applyAlignment="1">
      <alignment horizontal="center" vertical="center"/>
    </xf>
    <xf numFmtId="41" fontId="16" fillId="0" borderId="21" xfId="1" applyFont="1" applyFill="1" applyBorder="1" applyAlignment="1">
      <alignment horizontal="left" vertical="center" shrinkToFit="1"/>
    </xf>
    <xf numFmtId="14" fontId="14" fillId="0" borderId="21" xfId="0" applyNumberFormat="1" applyFont="1" applyBorder="1" applyAlignment="1">
      <alignment horizontal="center" vertical="center"/>
    </xf>
    <xf numFmtId="41" fontId="15" fillId="0" borderId="21" xfId="1" applyFont="1" applyFill="1" applyBorder="1" applyAlignment="1">
      <alignment horizontal="right" vertical="center"/>
    </xf>
    <xf numFmtId="41" fontId="14" fillId="0" borderId="21" xfId="1" applyFont="1" applyFill="1" applyBorder="1" applyAlignment="1">
      <alignment horizontal="right" vertical="center"/>
    </xf>
    <xf numFmtId="41" fontId="11" fillId="0" borderId="21" xfId="1" applyFont="1" applyFill="1" applyBorder="1" applyAlignment="1">
      <alignment horizontal="center" vertical="center"/>
    </xf>
    <xf numFmtId="41" fontId="11" fillId="0" borderId="21" xfId="1" applyFont="1" applyFill="1" applyBorder="1" applyAlignment="1">
      <alignment horizontal="right" vertical="center"/>
    </xf>
    <xf numFmtId="9" fontId="11" fillId="0" borderId="21" xfId="2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41" fontId="14" fillId="0" borderId="21" xfId="1" applyFont="1" applyFill="1" applyBorder="1" applyAlignment="1">
      <alignment horizontal="left" vertical="center"/>
    </xf>
    <xf numFmtId="177" fontId="14" fillId="0" borderId="21" xfId="0" applyNumberFormat="1" applyFont="1" applyBorder="1" applyAlignment="1">
      <alignment horizontal="center" vertical="center" wrapText="1"/>
    </xf>
    <xf numFmtId="14" fontId="11" fillId="0" borderId="21" xfId="0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41" fontId="12" fillId="0" borderId="21" xfId="1" applyFont="1" applyFill="1" applyBorder="1">
      <alignment vertical="center"/>
    </xf>
    <xf numFmtId="14" fontId="12" fillId="0" borderId="21" xfId="0" applyNumberFormat="1" applyFont="1" applyBorder="1" applyAlignment="1">
      <alignment horizontal="center" vertical="center"/>
    </xf>
    <xf numFmtId="14" fontId="42" fillId="0" borderId="21" xfId="5" applyNumberFormat="1" applyFont="1" applyBorder="1" applyAlignment="1">
      <alignment horizontal="center" vertical="center"/>
    </xf>
    <xf numFmtId="0" fontId="12" fillId="0" borderId="21" xfId="4" applyFont="1" applyBorder="1" applyAlignment="1">
      <alignment horizontal="left" vertical="center"/>
    </xf>
    <xf numFmtId="9" fontId="12" fillId="0" borderId="21" xfId="30" applyFont="1" applyFill="1" applyBorder="1" applyAlignment="1">
      <alignment horizontal="center" vertical="center"/>
    </xf>
    <xf numFmtId="0" fontId="12" fillId="0" borderId="21" xfId="29" applyFont="1" applyBorder="1" applyAlignment="1">
      <alignment horizontal="center" vertical="center"/>
    </xf>
    <xf numFmtId="41" fontId="15" fillId="0" borderId="48" xfId="1" applyFont="1" applyFill="1" applyBorder="1" applyAlignment="1">
      <alignment horizontal="center" vertical="center"/>
    </xf>
    <xf numFmtId="41" fontId="30" fillId="6" borderId="0" xfId="0" applyNumberFormat="1" applyFont="1" applyFill="1">
      <alignment vertical="center"/>
    </xf>
    <xf numFmtId="14" fontId="11" fillId="0" borderId="38" xfId="0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44" fillId="10" borderId="0" xfId="0" applyFont="1" applyFill="1" applyAlignment="1">
      <alignment horizontal="center" vertical="center"/>
    </xf>
    <xf numFmtId="41" fontId="45" fillId="6" borderId="0" xfId="0" applyNumberFormat="1" applyFont="1" applyFill="1">
      <alignment vertical="center"/>
    </xf>
    <xf numFmtId="0" fontId="46" fillId="3" borderId="46" xfId="0" applyFont="1" applyFill="1" applyBorder="1" applyAlignment="1">
      <alignment horizontal="center" vertical="center"/>
    </xf>
    <xf numFmtId="41" fontId="47" fillId="0" borderId="21" xfId="1" applyFont="1" applyFill="1" applyBorder="1" applyAlignment="1">
      <alignment horizontal="center" vertical="center"/>
    </xf>
    <xf numFmtId="41" fontId="0" fillId="0" borderId="0" xfId="1" applyFont="1" applyFill="1">
      <alignment vertical="center"/>
    </xf>
    <xf numFmtId="41" fontId="43" fillId="0" borderId="0" xfId="1" applyFont="1">
      <alignment vertical="center"/>
    </xf>
    <xf numFmtId="0" fontId="12" fillId="0" borderId="21" xfId="0" applyFont="1" applyBorder="1" applyAlignment="1">
      <alignment horizontal="center" vertical="center"/>
    </xf>
    <xf numFmtId="9" fontId="12" fillId="0" borderId="21" xfId="20" applyFont="1" applyFill="1" applyBorder="1" applyAlignment="1">
      <alignment horizontal="center" vertical="center"/>
    </xf>
    <xf numFmtId="41" fontId="12" fillId="0" borderId="21" xfId="7" applyFont="1" applyFill="1" applyBorder="1">
      <alignment vertical="center"/>
    </xf>
    <xf numFmtId="9" fontId="12" fillId="0" borderId="21" xfId="3" applyFont="1" applyFill="1" applyBorder="1" applyAlignment="1">
      <alignment horizontal="center" vertical="center"/>
    </xf>
    <xf numFmtId="0" fontId="12" fillId="0" borderId="21" xfId="34" applyFont="1" applyBorder="1" applyAlignment="1">
      <alignment horizontal="center" vertical="center"/>
    </xf>
    <xf numFmtId="14" fontId="12" fillId="0" borderId="21" xfId="34" applyNumberFormat="1" applyFont="1" applyBorder="1" applyAlignment="1">
      <alignment horizontal="center" vertical="center"/>
    </xf>
    <xf numFmtId="0" fontId="42" fillId="0" borderId="21" xfId="5" applyFont="1" applyBorder="1" applyAlignment="1">
      <alignment horizontal="center" vertical="center"/>
    </xf>
    <xf numFmtId="14" fontId="12" fillId="0" borderId="21" xfId="29" applyNumberFormat="1" applyFont="1" applyBorder="1" applyAlignment="1">
      <alignment horizontal="center" vertical="center"/>
    </xf>
    <xf numFmtId="14" fontId="12" fillId="0" borderId="21" xfId="4" applyNumberFormat="1" applyFont="1" applyBorder="1" applyAlignment="1">
      <alignment horizontal="center" vertical="center"/>
    </xf>
    <xf numFmtId="0" fontId="12" fillId="0" borderId="21" xfId="4" applyFont="1" applyBorder="1" applyAlignment="1">
      <alignment horizontal="center" vertical="center"/>
    </xf>
    <xf numFmtId="9" fontId="12" fillId="0" borderId="21" xfId="28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/>
    </xf>
    <xf numFmtId="0" fontId="29" fillId="0" borderId="21" xfId="5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50" fillId="0" borderId="0" xfId="0" applyFont="1">
      <alignment vertical="center"/>
    </xf>
    <xf numFmtId="0" fontId="23" fillId="3" borderId="47" xfId="0" applyFont="1" applyFill="1" applyBorder="1" applyAlignment="1">
      <alignment horizontal="center" vertical="center" shrinkToFit="1"/>
    </xf>
    <xf numFmtId="0" fontId="43" fillId="11" borderId="0" xfId="0" applyFont="1" applyFill="1">
      <alignment vertical="center"/>
    </xf>
    <xf numFmtId="0" fontId="44" fillId="11" borderId="0" xfId="0" applyFont="1" applyFill="1" applyAlignment="1">
      <alignment horizontal="center" vertical="center"/>
    </xf>
    <xf numFmtId="41" fontId="45" fillId="11" borderId="0" xfId="0" applyNumberFormat="1" applyFont="1" applyFill="1">
      <alignment vertical="center"/>
    </xf>
    <xf numFmtId="0" fontId="46" fillId="12" borderId="46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51" fillId="6" borderId="0" xfId="0" applyNumberFormat="1" applyFont="1" applyFill="1">
      <alignment vertical="center"/>
    </xf>
    <xf numFmtId="0" fontId="14" fillId="0" borderId="3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4" fontId="12" fillId="0" borderId="38" xfId="0" applyNumberFormat="1" applyFont="1" applyBorder="1" applyAlignment="1">
      <alignment horizontal="center" vertical="center"/>
    </xf>
    <xf numFmtId="41" fontId="12" fillId="0" borderId="38" xfId="1" applyFont="1" applyFill="1" applyBorder="1" applyAlignment="1">
      <alignment horizontal="center" vertical="center"/>
    </xf>
    <xf numFmtId="9" fontId="14" fillId="0" borderId="38" xfId="20" applyFont="1" applyFill="1" applyBorder="1" applyAlignment="1">
      <alignment horizontal="center" vertical="center" shrinkToFit="1"/>
    </xf>
    <xf numFmtId="41" fontId="47" fillId="11" borderId="38" xfId="1" applyFont="1" applyFill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41" fontId="14" fillId="0" borderId="38" xfId="1" applyFont="1" applyFill="1" applyBorder="1" applyAlignment="1">
      <alignment horizontal="center" vertical="center"/>
    </xf>
    <xf numFmtId="41" fontId="12" fillId="0" borderId="38" xfId="1" applyFont="1" applyFill="1" applyBorder="1">
      <alignment vertical="center"/>
    </xf>
    <xf numFmtId="9" fontId="12" fillId="0" borderId="38" xfId="20" applyFont="1" applyFill="1" applyBorder="1" applyAlignment="1">
      <alignment horizontal="center" vertical="center" shrinkToFit="1"/>
    </xf>
    <xf numFmtId="41" fontId="12" fillId="0" borderId="38" xfId="7" applyFont="1" applyFill="1" applyBorder="1">
      <alignment vertical="center"/>
    </xf>
    <xf numFmtId="9" fontId="12" fillId="0" borderId="38" xfId="3" applyFont="1" applyFill="1" applyBorder="1" applyAlignment="1">
      <alignment horizontal="center" vertical="center" shrinkToFit="1"/>
    </xf>
    <xf numFmtId="14" fontId="14" fillId="0" borderId="38" xfId="0" applyNumberFormat="1" applyFont="1" applyBorder="1" applyAlignment="1">
      <alignment horizontal="center" vertical="center"/>
    </xf>
    <xf numFmtId="17" fontId="14" fillId="0" borderId="38" xfId="0" applyNumberFormat="1" applyFont="1" applyBorder="1" applyAlignment="1">
      <alignment horizontal="center" vertical="center"/>
    </xf>
    <xf numFmtId="41" fontId="29" fillId="0" borderId="38" xfId="1" applyFont="1" applyFill="1" applyBorder="1" applyAlignment="1">
      <alignment horizontal="left" vertical="center" shrinkToFit="1"/>
    </xf>
    <xf numFmtId="14" fontId="42" fillId="0" borderId="38" xfId="5" applyNumberFormat="1" applyFont="1" applyBorder="1" applyAlignment="1">
      <alignment horizontal="center" vertical="center"/>
    </xf>
    <xf numFmtId="41" fontId="14" fillId="0" borderId="38" xfId="1" applyFont="1" applyFill="1" applyBorder="1" applyAlignment="1">
      <alignment horizontal="right" vertical="center"/>
    </xf>
    <xf numFmtId="0" fontId="12" fillId="0" borderId="38" xfId="34" applyFont="1" applyBorder="1" applyAlignment="1">
      <alignment horizontal="center" vertical="center"/>
    </xf>
    <xf numFmtId="14" fontId="12" fillId="0" borderId="38" xfId="34" applyNumberFormat="1" applyFont="1" applyBorder="1" applyAlignment="1">
      <alignment horizontal="center" vertical="center"/>
    </xf>
    <xf numFmtId="0" fontId="42" fillId="0" borderId="38" xfId="5" applyFont="1" applyBorder="1" applyAlignment="1">
      <alignment horizontal="center" vertical="center"/>
    </xf>
    <xf numFmtId="41" fontId="11" fillId="0" borderId="38" xfId="1" applyFont="1" applyFill="1" applyBorder="1" applyAlignment="1">
      <alignment horizontal="right" vertical="center"/>
    </xf>
    <xf numFmtId="0" fontId="12" fillId="0" borderId="38" xfId="29" applyFont="1" applyBorder="1" applyAlignment="1">
      <alignment horizontal="center" vertical="center"/>
    </xf>
    <xf numFmtId="14" fontId="12" fillId="0" borderId="38" xfId="29" applyNumberFormat="1" applyFont="1" applyBorder="1" applyAlignment="1">
      <alignment horizontal="center" vertical="center"/>
    </xf>
    <xf numFmtId="0" fontId="12" fillId="0" borderId="38" xfId="4" applyFont="1" applyBorder="1" applyAlignment="1">
      <alignment horizontal="left" vertical="center"/>
    </xf>
    <xf numFmtId="14" fontId="12" fillId="0" borderId="38" xfId="4" applyNumberFormat="1" applyFont="1" applyBorder="1" applyAlignment="1">
      <alignment horizontal="center" vertical="center"/>
    </xf>
    <xf numFmtId="0" fontId="12" fillId="0" borderId="38" xfId="4" applyFont="1" applyBorder="1" applyAlignment="1">
      <alignment horizontal="center" vertical="center"/>
    </xf>
    <xf numFmtId="41" fontId="11" fillId="0" borderId="38" xfId="1" applyFont="1" applyFill="1" applyBorder="1" applyAlignment="1">
      <alignment horizontal="center" vertical="center"/>
    </xf>
    <xf numFmtId="9" fontId="11" fillId="0" borderId="38" xfId="20" applyFont="1" applyFill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/>
    </xf>
    <xf numFmtId="41" fontId="14" fillId="0" borderId="38" xfId="1" applyFont="1" applyFill="1" applyBorder="1" applyAlignment="1">
      <alignment vertical="center"/>
    </xf>
    <xf numFmtId="9" fontId="12" fillId="0" borderId="38" xfId="30" applyFont="1" applyFill="1" applyBorder="1" applyAlignment="1">
      <alignment horizontal="center" vertical="center" shrinkToFit="1"/>
    </xf>
    <xf numFmtId="177" fontId="14" fillId="0" borderId="38" xfId="0" applyNumberFormat="1" applyFont="1" applyBorder="1" applyAlignment="1">
      <alignment horizontal="center" vertical="center" wrapText="1"/>
    </xf>
    <xf numFmtId="9" fontId="12" fillId="0" borderId="38" xfId="28" applyFont="1" applyFill="1" applyBorder="1" applyAlignment="1">
      <alignment horizontal="center" vertical="center" shrinkToFit="1"/>
    </xf>
    <xf numFmtId="0" fontId="14" fillId="0" borderId="38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/>
    </xf>
    <xf numFmtId="0" fontId="29" fillId="0" borderId="38" xfId="5" applyFont="1" applyBorder="1" applyAlignment="1">
      <alignment horizontal="center" vertical="center"/>
    </xf>
    <xf numFmtId="176" fontId="19" fillId="0" borderId="38" xfId="30" applyNumberFormat="1" applyFont="1" applyFill="1" applyBorder="1" applyAlignment="1">
      <alignment horizontal="center" vertical="center"/>
    </xf>
    <xf numFmtId="14" fontId="17" fillId="0" borderId="38" xfId="0" applyNumberFormat="1" applyFont="1" applyBorder="1" applyAlignment="1">
      <alignment horizontal="center" vertical="center"/>
    </xf>
    <xf numFmtId="0" fontId="54" fillId="0" borderId="0" xfId="0" applyFont="1" applyAlignment="1">
      <alignment horizontal="left" vertical="center" indent="1"/>
    </xf>
    <xf numFmtId="0" fontId="54" fillId="0" borderId="0" xfId="0" applyFont="1" applyAlignment="1">
      <alignment horizontal="left" vertical="center"/>
    </xf>
    <xf numFmtId="0" fontId="14" fillId="0" borderId="42" xfId="0" applyFont="1" applyBorder="1" applyAlignment="1">
      <alignment horizontal="center" vertical="center"/>
    </xf>
    <xf numFmtId="14" fontId="12" fillId="0" borderId="48" xfId="0" applyNumberFormat="1" applyFont="1" applyBorder="1" applyAlignment="1">
      <alignment horizontal="center" vertical="center"/>
    </xf>
    <xf numFmtId="14" fontId="12" fillId="0" borderId="48" xfId="4" applyNumberFormat="1" applyFont="1" applyBorder="1" applyAlignment="1">
      <alignment horizontal="center" vertical="center"/>
    </xf>
    <xf numFmtId="14" fontId="12" fillId="0" borderId="50" xfId="4" applyNumberFormat="1" applyFont="1" applyBorder="1" applyAlignment="1">
      <alignment horizontal="center" vertical="center"/>
    </xf>
    <xf numFmtId="14" fontId="12" fillId="0" borderId="50" xfId="29" applyNumberFormat="1" applyFont="1" applyBorder="1" applyAlignment="1">
      <alignment horizontal="center" vertical="center"/>
    </xf>
    <xf numFmtId="14" fontId="12" fillId="0" borderId="51" xfId="29" applyNumberFormat="1" applyFont="1" applyBorder="1" applyAlignment="1">
      <alignment horizontal="center" vertical="center"/>
    </xf>
    <xf numFmtId="176" fontId="11" fillId="0" borderId="38" xfId="20" applyNumberFormat="1" applyFont="1" applyFill="1" applyBorder="1" applyAlignment="1">
      <alignment horizontal="center" vertical="center" shrinkToFit="1"/>
    </xf>
    <xf numFmtId="14" fontId="19" fillId="0" borderId="38" xfId="29" applyNumberFormat="1" applyFont="1" applyBorder="1" applyAlignment="1">
      <alignment horizontal="center" vertical="center"/>
    </xf>
    <xf numFmtId="0" fontId="38" fillId="0" borderId="38" xfId="29" applyFont="1" applyBorder="1" applyAlignment="1">
      <alignment horizontal="center" vertical="center"/>
    </xf>
    <xf numFmtId="41" fontId="53" fillId="0" borderId="0" xfId="0" applyNumberFormat="1" applyFont="1">
      <alignment vertical="center"/>
    </xf>
    <xf numFmtId="0" fontId="14" fillId="0" borderId="38" xfId="1" applyNumberFormat="1" applyFont="1" applyFill="1" applyBorder="1" applyAlignment="1">
      <alignment horizontal="left" vertical="center" shrinkToFit="1"/>
    </xf>
    <xf numFmtId="0" fontId="14" fillId="0" borderId="38" xfId="1" applyNumberFormat="1" applyFont="1" applyFill="1" applyBorder="1" applyAlignment="1">
      <alignment vertical="center"/>
    </xf>
    <xf numFmtId="0" fontId="29" fillId="0" borderId="38" xfId="1" applyNumberFormat="1" applyFont="1" applyFill="1" applyBorder="1" applyAlignment="1">
      <alignment horizontal="left" vertical="center"/>
    </xf>
    <xf numFmtId="9" fontId="19" fillId="0" borderId="38" xfId="3" applyFont="1" applyFill="1" applyBorder="1" applyAlignment="1">
      <alignment horizontal="center" vertical="center"/>
    </xf>
    <xf numFmtId="41" fontId="20" fillId="0" borderId="38" xfId="1" applyFont="1" applyFill="1" applyBorder="1" applyAlignment="1">
      <alignment horizontal="center" vertical="center"/>
    </xf>
    <xf numFmtId="14" fontId="12" fillId="0" borderId="50" xfId="0" applyNumberFormat="1" applyFont="1" applyBorder="1" applyAlignment="1">
      <alignment horizontal="center" vertical="center"/>
    </xf>
    <xf numFmtId="176" fontId="12" fillId="0" borderId="38" xfId="30" applyNumberFormat="1" applyFont="1" applyFill="1" applyBorder="1" applyAlignment="1">
      <alignment horizontal="center" vertical="center" shrinkToFit="1"/>
    </xf>
    <xf numFmtId="14" fontId="14" fillId="0" borderId="51" xfId="0" applyNumberFormat="1" applyFont="1" applyBorder="1" applyAlignment="1">
      <alignment horizontal="center" vertical="center"/>
    </xf>
    <xf numFmtId="14" fontId="14" fillId="0" borderId="50" xfId="0" applyNumberFormat="1" applyFont="1" applyBorder="1" applyAlignment="1">
      <alignment horizontal="center" vertical="center"/>
    </xf>
    <xf numFmtId="14" fontId="11" fillId="0" borderId="50" xfId="0" applyNumberFormat="1" applyFont="1" applyBorder="1" applyAlignment="1">
      <alignment horizontal="center" vertical="center"/>
    </xf>
    <xf numFmtId="14" fontId="11" fillId="0" borderId="48" xfId="0" applyNumberFormat="1" applyFont="1" applyBorder="1" applyAlignment="1">
      <alignment horizontal="center" vertical="center"/>
    </xf>
    <xf numFmtId="14" fontId="14" fillId="0" borderId="48" xfId="0" applyNumberFormat="1" applyFont="1" applyBorder="1" applyAlignment="1">
      <alignment horizontal="center" vertical="center"/>
    </xf>
    <xf numFmtId="0" fontId="37" fillId="0" borderId="38" xfId="0" applyFont="1" applyBorder="1" applyAlignment="1">
      <alignment horizontal="center" vertical="center"/>
    </xf>
    <xf numFmtId="14" fontId="19" fillId="0" borderId="38" xfId="4" applyNumberFormat="1" applyFont="1" applyBorder="1" applyAlignment="1">
      <alignment horizontal="center" vertical="center"/>
    </xf>
    <xf numFmtId="177" fontId="14" fillId="0" borderId="38" xfId="0" applyNumberFormat="1" applyFont="1" applyBorder="1" applyAlignment="1">
      <alignment horizontal="center" vertical="center"/>
    </xf>
    <xf numFmtId="14" fontId="19" fillId="0" borderId="51" xfId="4" applyNumberFormat="1" applyFont="1" applyBorder="1" applyAlignment="1">
      <alignment horizontal="center" vertical="center"/>
    </xf>
    <xf numFmtId="14" fontId="19" fillId="0" borderId="50" xfId="4" applyNumberFormat="1" applyFont="1" applyBorder="1" applyAlignment="1">
      <alignment horizontal="center" vertical="center"/>
    </xf>
    <xf numFmtId="14" fontId="19" fillId="0" borderId="48" xfId="4" applyNumberFormat="1" applyFont="1" applyBorder="1" applyAlignment="1">
      <alignment horizontal="center" vertical="center"/>
    </xf>
    <xf numFmtId="14" fontId="12" fillId="0" borderId="48" xfId="29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4" fontId="12" fillId="0" borderId="51" xfId="4" applyNumberFormat="1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14" fontId="12" fillId="0" borderId="51" xfId="0" applyNumberFormat="1" applyFont="1" applyBorder="1" applyAlignment="1">
      <alignment horizontal="center" vertical="center"/>
    </xf>
    <xf numFmtId="41" fontId="11" fillId="0" borderId="51" xfId="1" applyFont="1" applyFill="1" applyBorder="1" applyAlignment="1">
      <alignment horizontal="right" vertical="center"/>
    </xf>
    <xf numFmtId="9" fontId="11" fillId="0" borderId="51" xfId="20" applyFont="1" applyFill="1" applyBorder="1" applyAlignment="1">
      <alignment horizontal="center" vertical="center" shrinkToFit="1"/>
    </xf>
    <xf numFmtId="41" fontId="47" fillId="11" borderId="51" xfId="1" applyFont="1" applyFill="1" applyBorder="1" applyAlignment="1">
      <alignment horizontal="center" vertical="center"/>
    </xf>
    <xf numFmtId="41" fontId="15" fillId="0" borderId="51" xfId="1" applyFont="1" applyFill="1" applyBorder="1" applyAlignment="1">
      <alignment horizontal="right" vertical="center"/>
    </xf>
    <xf numFmtId="41" fontId="15" fillId="0" borderId="51" xfId="1" applyFont="1" applyFill="1" applyBorder="1" applyAlignment="1">
      <alignment horizontal="center" vertical="center"/>
    </xf>
    <xf numFmtId="0" fontId="14" fillId="0" borderId="51" xfId="0" applyFont="1" applyBorder="1" applyAlignment="1">
      <alignment horizontal="left" vertical="center"/>
    </xf>
    <xf numFmtId="0" fontId="29" fillId="0" borderId="38" xfId="1" applyNumberFormat="1" applyFont="1" applyFill="1" applyBorder="1" applyAlignment="1">
      <alignment horizontal="left" vertical="center" shrinkToFit="1"/>
    </xf>
    <xf numFmtId="0" fontId="14" fillId="0" borderId="38" xfId="0" applyFont="1" applyBorder="1" applyAlignment="1">
      <alignment horizontal="left" vertical="center" wrapText="1"/>
    </xf>
    <xf numFmtId="9" fontId="32" fillId="0" borderId="0" xfId="20" applyFont="1" applyFill="1">
      <alignment vertical="center"/>
    </xf>
    <xf numFmtId="9" fontId="31" fillId="0" borderId="0" xfId="20" applyFont="1" applyFill="1" applyAlignment="1">
      <alignment horizontal="center" vertical="center"/>
    </xf>
    <xf numFmtId="9" fontId="55" fillId="0" borderId="0" xfId="20" applyFont="1" applyFill="1">
      <alignment vertical="center"/>
    </xf>
    <xf numFmtId="9" fontId="3" fillId="3" borderId="47" xfId="20" applyFont="1" applyFill="1" applyBorder="1" applyAlignment="1">
      <alignment horizontal="center" vertical="center" shrinkToFit="1"/>
    </xf>
    <xf numFmtId="9" fontId="29" fillId="0" borderId="38" xfId="20" applyFont="1" applyFill="1" applyBorder="1" applyAlignment="1">
      <alignment horizontal="center" vertical="center"/>
    </xf>
    <xf numFmtId="9" fontId="29" fillId="0" borderId="51" xfId="2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29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7" fontId="14" fillId="0" borderId="0" xfId="0" applyNumberFormat="1" applyFont="1" applyAlignment="1">
      <alignment horizontal="center" vertical="center"/>
    </xf>
    <xf numFmtId="41" fontId="11" fillId="0" borderId="0" xfId="1" applyFont="1" applyFill="1" applyBorder="1" applyAlignment="1">
      <alignment horizontal="right" vertical="center"/>
    </xf>
    <xf numFmtId="9" fontId="11" fillId="0" borderId="0" xfId="20" applyFont="1" applyFill="1" applyBorder="1" applyAlignment="1">
      <alignment horizontal="center" vertical="center" shrinkToFit="1"/>
    </xf>
    <xf numFmtId="41" fontId="47" fillId="11" borderId="0" xfId="1" applyFont="1" applyFill="1" applyBorder="1" applyAlignment="1">
      <alignment horizontal="center" vertical="center"/>
    </xf>
    <xf numFmtId="9" fontId="29" fillId="0" borderId="0" xfId="20" applyFont="1" applyFill="1" applyBorder="1" applyAlignment="1">
      <alignment horizontal="center" vertical="center"/>
    </xf>
    <xf numFmtId="41" fontId="15" fillId="0" borderId="0" xfId="1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29" fillId="0" borderId="0" xfId="1" applyNumberFormat="1" applyFont="1" applyFill="1" applyBorder="1" applyAlignment="1">
      <alignment horizontal="left" vertical="center"/>
    </xf>
    <xf numFmtId="0" fontId="3" fillId="2" borderId="46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14" fontId="12" fillId="0" borderId="52" xfId="4" applyNumberFormat="1" applyFont="1" applyBorder="1" applyAlignment="1">
      <alignment horizontal="center" vertical="center"/>
    </xf>
    <xf numFmtId="14" fontId="19" fillId="0" borderId="23" xfId="4" applyNumberFormat="1" applyFont="1" applyBorder="1" applyAlignment="1">
      <alignment horizontal="center" vertical="center"/>
    </xf>
    <xf numFmtId="14" fontId="19" fillId="0" borderId="0" xfId="4" applyNumberFormat="1" applyFont="1" applyAlignment="1">
      <alignment horizontal="center" vertical="center"/>
    </xf>
    <xf numFmtId="0" fontId="14" fillId="0" borderId="38" xfId="1" applyNumberFormat="1" applyFont="1" applyFill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14" fontId="12" fillId="0" borderId="53" xfId="0" applyNumberFormat="1" applyFont="1" applyBorder="1" applyAlignment="1">
      <alignment horizontal="center" vertical="center"/>
    </xf>
    <xf numFmtId="41" fontId="11" fillId="0" borderId="53" xfId="1" applyFont="1" applyFill="1" applyBorder="1" applyAlignment="1">
      <alignment horizontal="right" vertical="center"/>
    </xf>
    <xf numFmtId="9" fontId="11" fillId="0" borderId="53" xfId="20" applyFont="1" applyFill="1" applyBorder="1" applyAlignment="1">
      <alignment horizontal="center" vertical="center" shrinkToFit="1"/>
    </xf>
    <xf numFmtId="41" fontId="47" fillId="11" borderId="53" xfId="1" applyFont="1" applyFill="1" applyBorder="1" applyAlignment="1">
      <alignment horizontal="center" vertical="center"/>
    </xf>
    <xf numFmtId="9" fontId="29" fillId="0" borderId="53" xfId="20" applyFont="1" applyFill="1" applyBorder="1" applyAlignment="1">
      <alignment horizontal="center" vertical="center"/>
    </xf>
    <xf numFmtId="41" fontId="15" fillId="0" borderId="53" xfId="1" applyFont="1" applyFill="1" applyBorder="1" applyAlignment="1">
      <alignment horizontal="right" vertical="center"/>
    </xf>
    <xf numFmtId="41" fontId="15" fillId="0" borderId="53" xfId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left" vertical="center"/>
    </xf>
    <xf numFmtId="0" fontId="39" fillId="0" borderId="0" xfId="0" quotePrefix="1" applyFont="1" applyAlignment="1">
      <alignment horizontal="left" vertical="center"/>
    </xf>
    <xf numFmtId="0" fontId="57" fillId="14" borderId="0" xfId="0" applyFont="1" applyFill="1">
      <alignment vertical="center"/>
    </xf>
    <xf numFmtId="0" fontId="58" fillId="14" borderId="0" xfId="0" applyFont="1" applyFill="1">
      <alignment vertical="center"/>
    </xf>
    <xf numFmtId="0" fontId="59" fillId="14" borderId="0" xfId="0" applyFont="1" applyFill="1" applyAlignment="1">
      <alignment horizontal="center" vertical="center"/>
    </xf>
    <xf numFmtId="9" fontId="44" fillId="0" borderId="0" xfId="20" applyFont="1" applyFill="1" applyAlignment="1">
      <alignment horizontal="center" vertical="center"/>
    </xf>
    <xf numFmtId="14" fontId="44" fillId="0" borderId="0" xfId="20" applyNumberFormat="1" applyFont="1" applyFill="1" applyAlignment="1">
      <alignment horizontal="center" vertical="center"/>
    </xf>
    <xf numFmtId="0" fontId="44" fillId="0" borderId="0" xfId="0" applyFont="1" applyAlignment="1">
      <alignment horizontal="center" vertical="center"/>
    </xf>
    <xf numFmtId="41" fontId="47" fillId="0" borderId="0" xfId="1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 shrinkToFit="1"/>
    </xf>
    <xf numFmtId="0" fontId="27" fillId="0" borderId="54" xfId="0" applyFont="1" applyBorder="1" applyAlignment="1">
      <alignment horizontal="left" vertical="center"/>
    </xf>
    <xf numFmtId="0" fontId="3" fillId="3" borderId="55" xfId="0" applyFont="1" applyFill="1" applyBorder="1" applyAlignment="1">
      <alignment horizontal="center" vertical="center" wrapText="1"/>
    </xf>
    <xf numFmtId="0" fontId="46" fillId="16" borderId="55" xfId="0" applyFont="1" applyFill="1" applyBorder="1" applyAlignment="1">
      <alignment horizontal="center" vertical="center" wrapText="1"/>
    </xf>
    <xf numFmtId="9" fontId="3" fillId="3" borderId="55" xfId="20" applyFont="1" applyFill="1" applyBorder="1" applyAlignment="1">
      <alignment horizontal="center" vertical="center" wrapText="1" shrinkToFit="1"/>
    </xf>
    <xf numFmtId="0" fontId="3" fillId="3" borderId="55" xfId="0" applyFont="1" applyFill="1" applyBorder="1" applyAlignment="1">
      <alignment horizontal="center" vertical="center" wrapText="1" shrinkToFit="1"/>
    </xf>
    <xf numFmtId="0" fontId="23" fillId="3" borderId="55" xfId="0" applyFont="1" applyFill="1" applyBorder="1" applyAlignment="1">
      <alignment horizontal="center" vertical="center" wrapText="1" shrinkToFit="1"/>
    </xf>
    <xf numFmtId="41" fontId="52" fillId="17" borderId="56" xfId="1" applyFont="1" applyFill="1" applyBorder="1" applyAlignment="1">
      <alignment horizontal="center" vertical="center"/>
    </xf>
    <xf numFmtId="41" fontId="52" fillId="17" borderId="57" xfId="1" applyFont="1" applyFill="1" applyBorder="1" applyAlignment="1">
      <alignment horizontal="center" vertical="center"/>
    </xf>
    <xf numFmtId="41" fontId="52" fillId="17" borderId="21" xfId="1" applyFont="1" applyFill="1" applyBorder="1" applyAlignment="1">
      <alignment horizontal="center" vertical="center"/>
    </xf>
    <xf numFmtId="41" fontId="52" fillId="17" borderId="21" xfId="1" applyFont="1" applyFill="1" applyBorder="1" applyAlignment="1">
      <alignment horizontal="right" vertical="center"/>
    </xf>
    <xf numFmtId="0" fontId="32" fillId="0" borderId="0" xfId="0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29" fillId="0" borderId="0" xfId="1" applyNumberFormat="1" applyFont="1" applyFill="1" applyBorder="1" applyAlignment="1">
      <alignment horizontal="center" vertical="center"/>
    </xf>
    <xf numFmtId="0" fontId="46" fillId="3" borderId="47" xfId="0" applyFont="1" applyFill="1" applyBorder="1" applyAlignment="1">
      <alignment horizontal="center" vertical="center" shrinkToFit="1"/>
    </xf>
    <xf numFmtId="179" fontId="62" fillId="16" borderId="0" xfId="0" applyNumberFormat="1" applyFont="1" applyFill="1">
      <alignment vertical="center"/>
    </xf>
    <xf numFmtId="179" fontId="60" fillId="16" borderId="0" xfId="0" applyNumberFormat="1" applyFont="1" applyFill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shrinkToFit="1"/>
    </xf>
    <xf numFmtId="14" fontId="38" fillId="0" borderId="54" xfId="0" applyNumberFormat="1" applyFont="1" applyBorder="1" applyAlignment="1">
      <alignment horizontal="center" vertical="center" shrinkToFit="1"/>
    </xf>
    <xf numFmtId="41" fontId="38" fillId="0" borderId="54" xfId="1" applyFont="1" applyFill="1" applyBorder="1" applyAlignment="1">
      <alignment horizontal="center" vertical="center"/>
    </xf>
    <xf numFmtId="9" fontId="27" fillId="0" borderId="54" xfId="20" applyFont="1" applyFill="1" applyBorder="1" applyAlignment="1">
      <alignment horizontal="center" vertical="center" shrinkToFit="1"/>
    </xf>
    <xf numFmtId="41" fontId="63" fillId="16" borderId="54" xfId="1" applyFont="1" applyFill="1" applyBorder="1" applyAlignment="1">
      <alignment horizontal="center" vertical="center"/>
    </xf>
    <xf numFmtId="9" fontId="41" fillId="0" borderId="54" xfId="20" applyFont="1" applyFill="1" applyBorder="1" applyAlignment="1">
      <alignment horizontal="center" vertical="center"/>
    </xf>
    <xf numFmtId="41" fontId="28" fillId="0" borderId="54" xfId="1" applyFont="1" applyFill="1" applyBorder="1" applyAlignment="1">
      <alignment horizontal="center" vertical="center"/>
    </xf>
    <xf numFmtId="41" fontId="27" fillId="0" borderId="54" xfId="1" applyFont="1" applyFill="1" applyBorder="1" applyAlignment="1">
      <alignment vertical="center"/>
    </xf>
    <xf numFmtId="0" fontId="41" fillId="0" borderId="54" xfId="1" applyNumberFormat="1" applyFont="1" applyFill="1" applyBorder="1" applyAlignment="1">
      <alignment horizontal="center" vertical="center"/>
    </xf>
    <xf numFmtId="41" fontId="28" fillId="0" borderId="54" xfId="1" applyFont="1" applyFill="1" applyBorder="1" applyAlignment="1">
      <alignment horizontal="right" vertical="center"/>
    </xf>
    <xf numFmtId="0" fontId="27" fillId="0" borderId="54" xfId="1" applyNumberFormat="1" applyFont="1" applyFill="1" applyBorder="1" applyAlignment="1">
      <alignment vertical="center"/>
    </xf>
    <xf numFmtId="41" fontId="27" fillId="0" borderId="54" xfId="1" applyFont="1" applyFill="1" applyBorder="1" applyAlignment="1">
      <alignment horizontal="left" vertical="center" shrinkToFit="1"/>
    </xf>
    <xf numFmtId="41" fontId="27" fillId="0" borderId="54" xfId="1" applyFont="1" applyFill="1" applyBorder="1" applyAlignment="1">
      <alignment horizontal="center" vertical="center"/>
    </xf>
    <xf numFmtId="0" fontId="27" fillId="0" borderId="54" xfId="1" applyNumberFormat="1" applyFont="1" applyFill="1" applyBorder="1" applyAlignment="1">
      <alignment horizontal="left" vertical="center" shrinkToFit="1"/>
    </xf>
    <xf numFmtId="41" fontId="38" fillId="0" borderId="54" xfId="1" applyFont="1" applyFill="1" applyBorder="1">
      <alignment vertical="center"/>
    </xf>
    <xf numFmtId="9" fontId="38" fillId="0" borderId="54" xfId="20" applyFont="1" applyFill="1" applyBorder="1" applyAlignment="1">
      <alignment horizontal="center" vertical="center" shrinkToFit="1"/>
    </xf>
    <xf numFmtId="41" fontId="38" fillId="0" borderId="54" xfId="7" applyFont="1" applyFill="1" applyBorder="1">
      <alignment vertical="center"/>
    </xf>
    <xf numFmtId="9" fontId="38" fillId="0" borderId="54" xfId="3" applyFont="1" applyFill="1" applyBorder="1" applyAlignment="1">
      <alignment horizontal="center" vertical="center" shrinkToFit="1"/>
    </xf>
    <xf numFmtId="41" fontId="61" fillId="0" borderId="54" xfId="1" applyFont="1" applyFill="1" applyBorder="1" applyAlignment="1">
      <alignment horizontal="left" vertical="center" shrinkToFit="1"/>
    </xf>
    <xf numFmtId="41" fontId="41" fillId="0" borderId="54" xfId="1" applyFont="1" applyFill="1" applyBorder="1" applyAlignment="1">
      <alignment horizontal="left" vertical="center" shrinkToFit="1"/>
    </xf>
    <xf numFmtId="0" fontId="41" fillId="0" borderId="54" xfId="1" applyNumberFormat="1" applyFont="1" applyFill="1" applyBorder="1" applyAlignment="1">
      <alignment horizontal="left" vertical="center" shrinkToFit="1"/>
    </xf>
    <xf numFmtId="41" fontId="27" fillId="0" borderId="54" xfId="1" applyFont="1" applyFill="1" applyBorder="1" applyAlignment="1">
      <alignment horizontal="right" vertical="center"/>
    </xf>
    <xf numFmtId="41" fontId="37" fillId="0" borderId="54" xfId="1" applyFont="1" applyFill="1" applyBorder="1" applyAlignment="1">
      <alignment horizontal="right" vertical="center"/>
    </xf>
    <xf numFmtId="9" fontId="38" fillId="0" borderId="54" xfId="30" applyFont="1" applyFill="1" applyBorder="1" applyAlignment="1">
      <alignment horizontal="center" vertical="center" shrinkToFit="1"/>
    </xf>
    <xf numFmtId="176" fontId="38" fillId="0" borderId="54" xfId="30" applyNumberFormat="1" applyFont="1" applyFill="1" applyBorder="1" applyAlignment="1">
      <alignment horizontal="center" vertical="center" shrinkToFit="1"/>
    </xf>
    <xf numFmtId="41" fontId="27" fillId="0" borderId="54" xfId="1" applyFont="1" applyFill="1" applyBorder="1" applyAlignment="1">
      <alignment horizontal="left" vertical="center"/>
    </xf>
    <xf numFmtId="9" fontId="37" fillId="0" borderId="54" xfId="20" applyFont="1" applyFill="1" applyBorder="1" applyAlignment="1">
      <alignment horizontal="center" vertical="center" shrinkToFit="1"/>
    </xf>
    <xf numFmtId="0" fontId="38" fillId="0" borderId="54" xfId="4" applyFont="1" applyBorder="1" applyAlignment="1">
      <alignment horizontal="left" vertical="center"/>
    </xf>
    <xf numFmtId="176" fontId="37" fillId="0" borderId="54" xfId="20" applyNumberFormat="1" applyFont="1" applyFill="1" applyBorder="1" applyAlignment="1">
      <alignment horizontal="center" vertical="center" shrinkToFit="1"/>
    </xf>
    <xf numFmtId="9" fontId="38" fillId="0" borderId="54" xfId="28" applyFont="1" applyFill="1" applyBorder="1" applyAlignment="1">
      <alignment horizontal="center" vertical="center" shrinkToFit="1"/>
    </xf>
    <xf numFmtId="14" fontId="44" fillId="0" borderId="0" xfId="20" applyNumberFormat="1" applyFont="1" applyFill="1" applyAlignment="1">
      <alignment vertical="center"/>
    </xf>
    <xf numFmtId="9" fontId="44" fillId="0" borderId="0" xfId="20" applyFont="1" applyFill="1" applyAlignment="1">
      <alignment vertical="center"/>
    </xf>
    <xf numFmtId="0" fontId="27" fillId="15" borderId="54" xfId="0" applyFont="1" applyFill="1" applyBorder="1" applyAlignment="1">
      <alignment horizontal="center" vertical="center"/>
    </xf>
    <xf numFmtId="0" fontId="27" fillId="15" borderId="54" xfId="0" applyFont="1" applyFill="1" applyBorder="1" applyAlignment="1">
      <alignment horizontal="center" vertical="center" shrinkToFit="1"/>
    </xf>
    <xf numFmtId="14" fontId="38" fillId="15" borderId="54" xfId="0" applyNumberFormat="1" applyFont="1" applyFill="1" applyBorder="1" applyAlignment="1">
      <alignment horizontal="center" vertical="center" shrinkToFit="1"/>
    </xf>
    <xf numFmtId="41" fontId="27" fillId="15" borderId="54" xfId="1" applyFont="1" applyFill="1" applyBorder="1" applyAlignment="1">
      <alignment horizontal="right" vertical="center"/>
    </xf>
    <xf numFmtId="9" fontId="27" fillId="15" borderId="54" xfId="20" applyFont="1" applyFill="1" applyBorder="1" applyAlignment="1">
      <alignment horizontal="center" vertical="center" shrinkToFit="1"/>
    </xf>
    <xf numFmtId="41" fontId="63" fillId="15" borderId="54" xfId="1" applyFont="1" applyFill="1" applyBorder="1" applyAlignment="1">
      <alignment horizontal="center" vertical="center"/>
    </xf>
    <xf numFmtId="9" fontId="41" fillId="15" borderId="54" xfId="20" applyFont="1" applyFill="1" applyBorder="1" applyAlignment="1">
      <alignment horizontal="center" vertical="center"/>
    </xf>
    <xf numFmtId="41" fontId="28" fillId="15" borderId="54" xfId="1" applyFont="1" applyFill="1" applyBorder="1" applyAlignment="1">
      <alignment horizontal="right" vertical="center"/>
    </xf>
    <xf numFmtId="41" fontId="28" fillId="15" borderId="54" xfId="1" applyFont="1" applyFill="1" applyBorder="1" applyAlignment="1">
      <alignment horizontal="center" vertical="center"/>
    </xf>
    <xf numFmtId="0" fontId="27" fillId="15" borderId="54" xfId="0" applyFont="1" applyFill="1" applyBorder="1" applyAlignment="1">
      <alignment horizontal="left" vertical="center"/>
    </xf>
    <xf numFmtId="0" fontId="41" fillId="15" borderId="54" xfId="1" applyNumberFormat="1" applyFont="1" applyFill="1" applyBorder="1" applyAlignment="1">
      <alignment horizontal="center" vertical="center"/>
    </xf>
    <xf numFmtId="0" fontId="23" fillId="18" borderId="0" xfId="0" applyFont="1" applyFill="1" applyAlignment="1">
      <alignment horizontal="left" vertical="center"/>
    </xf>
    <xf numFmtId="0" fontId="0" fillId="18" borderId="0" xfId="0" applyFill="1" applyAlignment="1">
      <alignment horizontal="center" vertical="center"/>
    </xf>
    <xf numFmtId="0" fontId="27" fillId="18" borderId="0" xfId="0" applyFont="1" applyFill="1" applyAlignment="1">
      <alignment horizontal="center" vertical="center"/>
    </xf>
    <xf numFmtId="0" fontId="54" fillId="18" borderId="0" xfId="0" applyFont="1" applyFill="1" applyAlignment="1">
      <alignment horizontal="left" vertical="center"/>
    </xf>
    <xf numFmtId="0" fontId="54" fillId="18" borderId="0" xfId="0" applyFont="1" applyFill="1" applyAlignment="1">
      <alignment horizontal="left" vertical="center" indent="1"/>
    </xf>
    <xf numFmtId="0" fontId="64" fillId="14" borderId="0" xfId="0" applyFont="1" applyFill="1">
      <alignment vertical="center"/>
    </xf>
    <xf numFmtId="0" fontId="65" fillId="14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>
      <alignment vertical="center"/>
    </xf>
    <xf numFmtId="9" fontId="16" fillId="0" borderId="0" xfId="20" applyFont="1" applyFill="1" applyAlignment="1">
      <alignment vertical="center"/>
    </xf>
    <xf numFmtId="9" fontId="16" fillId="0" borderId="0" xfId="20" applyFont="1" applyFill="1" applyAlignment="1">
      <alignment horizontal="center" vertical="center"/>
    </xf>
    <xf numFmtId="0" fontId="14" fillId="0" borderId="0" xfId="0" quotePrefix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4" fontId="16" fillId="0" borderId="0" xfId="20" applyNumberFormat="1" applyFont="1" applyFill="1" applyAlignment="1">
      <alignment vertical="center"/>
    </xf>
    <xf numFmtId="14" fontId="16" fillId="0" borderId="0" xfId="20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2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62" fillId="4" borderId="54" xfId="0" applyFont="1" applyFill="1" applyBorder="1" applyAlignment="1">
      <alignment horizontal="center" vertical="center"/>
    </xf>
    <xf numFmtId="0" fontId="62" fillId="2" borderId="54" xfId="0" applyFont="1" applyFill="1" applyBorder="1" applyAlignment="1">
      <alignment horizontal="center" vertical="center" wrapText="1"/>
    </xf>
    <xf numFmtId="0" fontId="62" fillId="3" borderId="54" xfId="0" applyFont="1" applyFill="1" applyBorder="1" applyAlignment="1">
      <alignment horizontal="center" vertical="center" wrapText="1"/>
    </xf>
    <xf numFmtId="0" fontId="62" fillId="2" borderId="54" xfId="0" applyFont="1" applyFill="1" applyBorder="1" applyAlignment="1">
      <alignment horizontal="center" vertical="center"/>
    </xf>
    <xf numFmtId="0" fontId="62" fillId="3" borderId="54" xfId="0" applyFont="1" applyFill="1" applyBorder="1" applyAlignment="1">
      <alignment horizontal="center" vertical="center"/>
    </xf>
    <xf numFmtId="0" fontId="62" fillId="3" borderId="55" xfId="0" applyFont="1" applyFill="1" applyBorder="1" applyAlignment="1">
      <alignment horizontal="center" vertical="center" wrapText="1"/>
    </xf>
    <xf numFmtId="0" fontId="47" fillId="16" borderId="55" xfId="0" applyFont="1" applyFill="1" applyBorder="1" applyAlignment="1">
      <alignment horizontal="center" vertical="center" wrapText="1"/>
    </xf>
    <xf numFmtId="9" fontId="62" fillId="3" borderId="55" xfId="20" applyFont="1" applyFill="1" applyBorder="1" applyAlignment="1">
      <alignment horizontal="center" vertical="center" wrapText="1" shrinkToFit="1"/>
    </xf>
    <xf numFmtId="0" fontId="62" fillId="3" borderId="55" xfId="0" applyFont="1" applyFill="1" applyBorder="1" applyAlignment="1">
      <alignment horizontal="center" vertical="center" wrapText="1" shrinkToFit="1"/>
    </xf>
    <xf numFmtId="0" fontId="15" fillId="3" borderId="55" xfId="0" applyFont="1" applyFill="1" applyBorder="1" applyAlignment="1">
      <alignment horizontal="center" vertical="center" wrapText="1" shrinkToFit="1"/>
    </xf>
    <xf numFmtId="0" fontId="62" fillId="3" borderId="54" xfId="0" applyFont="1" applyFill="1" applyBorder="1" applyAlignment="1">
      <alignment horizontal="center" vertical="center" shrinkToFit="1"/>
    </xf>
    <xf numFmtId="0" fontId="14" fillId="0" borderId="54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 shrinkToFit="1"/>
    </xf>
    <xf numFmtId="14" fontId="12" fillId="0" borderId="54" xfId="0" applyNumberFormat="1" applyFont="1" applyBorder="1" applyAlignment="1">
      <alignment horizontal="center" vertical="center" shrinkToFit="1"/>
    </xf>
    <xf numFmtId="41" fontId="12" fillId="0" borderId="54" xfId="1" applyFont="1" applyFill="1" applyBorder="1" applyAlignment="1">
      <alignment horizontal="center" vertical="center"/>
    </xf>
    <xf numFmtId="9" fontId="14" fillId="0" borderId="54" xfId="20" applyFont="1" applyFill="1" applyBorder="1" applyAlignment="1">
      <alignment horizontal="center" vertical="center" shrinkToFit="1"/>
    </xf>
    <xf numFmtId="41" fontId="47" fillId="16" borderId="54" xfId="1" applyFont="1" applyFill="1" applyBorder="1" applyAlignment="1">
      <alignment horizontal="center" vertical="center"/>
    </xf>
    <xf numFmtId="9" fontId="29" fillId="0" borderId="54" xfId="20" applyFont="1" applyFill="1" applyBorder="1" applyAlignment="1">
      <alignment horizontal="center" vertical="center"/>
    </xf>
    <xf numFmtId="41" fontId="15" fillId="0" borderId="54" xfId="1" applyFont="1" applyFill="1" applyBorder="1" applyAlignment="1">
      <alignment horizontal="center" vertical="center"/>
    </xf>
    <xf numFmtId="41" fontId="14" fillId="0" borderId="54" xfId="1" applyFont="1" applyFill="1" applyBorder="1" applyAlignment="1">
      <alignment vertical="center"/>
    </xf>
    <xf numFmtId="0" fontId="29" fillId="0" borderId="54" xfId="1" applyNumberFormat="1" applyFont="1" applyFill="1" applyBorder="1" applyAlignment="1">
      <alignment horizontal="center" vertical="center"/>
    </xf>
    <xf numFmtId="41" fontId="15" fillId="0" borderId="54" xfId="1" applyFont="1" applyFill="1" applyBorder="1" applyAlignment="1">
      <alignment horizontal="right" vertical="center"/>
    </xf>
    <xf numFmtId="0" fontId="14" fillId="0" borderId="54" xfId="1" applyNumberFormat="1" applyFont="1" applyFill="1" applyBorder="1" applyAlignment="1">
      <alignment vertical="center"/>
    </xf>
    <xf numFmtId="0" fontId="14" fillId="0" borderId="54" xfId="0" applyFont="1" applyBorder="1" applyAlignment="1">
      <alignment horizontal="left" vertical="center"/>
    </xf>
    <xf numFmtId="41" fontId="14" fillId="0" borderId="54" xfId="1" applyFont="1" applyFill="1" applyBorder="1" applyAlignment="1">
      <alignment horizontal="left" vertical="center" shrinkToFit="1"/>
    </xf>
    <xf numFmtId="41" fontId="14" fillId="0" borderId="54" xfId="1" applyFont="1" applyFill="1" applyBorder="1" applyAlignment="1">
      <alignment horizontal="center" vertical="center"/>
    </xf>
    <xf numFmtId="0" fontId="14" fillId="0" borderId="54" xfId="1" applyNumberFormat="1" applyFont="1" applyFill="1" applyBorder="1" applyAlignment="1">
      <alignment horizontal="left" vertical="center" shrinkToFit="1"/>
    </xf>
    <xf numFmtId="41" fontId="12" fillId="0" borderId="54" xfId="1" applyFont="1" applyFill="1" applyBorder="1">
      <alignment vertical="center"/>
    </xf>
    <xf numFmtId="9" fontId="12" fillId="0" borderId="54" xfId="20" applyFont="1" applyFill="1" applyBorder="1" applyAlignment="1">
      <alignment horizontal="center" vertical="center" shrinkToFit="1"/>
    </xf>
    <xf numFmtId="41" fontId="12" fillId="0" borderId="54" xfId="7" applyFont="1" applyFill="1" applyBorder="1">
      <alignment vertical="center"/>
    </xf>
    <xf numFmtId="9" fontId="12" fillId="0" borderId="54" xfId="3" applyFont="1" applyFill="1" applyBorder="1" applyAlignment="1">
      <alignment horizontal="center" vertical="center" shrinkToFit="1"/>
    </xf>
    <xf numFmtId="41" fontId="16" fillId="0" borderId="54" xfId="1" applyFont="1" applyFill="1" applyBorder="1" applyAlignment="1">
      <alignment horizontal="left" vertical="center" shrinkToFit="1"/>
    </xf>
    <xf numFmtId="41" fontId="29" fillId="0" borderId="54" xfId="1" applyFont="1" applyFill="1" applyBorder="1" applyAlignment="1">
      <alignment horizontal="left" vertical="center" shrinkToFit="1"/>
    </xf>
    <xf numFmtId="0" fontId="29" fillId="0" borderId="54" xfId="1" applyNumberFormat="1" applyFont="1" applyFill="1" applyBorder="1" applyAlignment="1">
      <alignment horizontal="left" vertical="center" shrinkToFit="1"/>
    </xf>
    <xf numFmtId="41" fontId="14" fillId="0" borderId="54" xfId="1" applyFont="1" applyFill="1" applyBorder="1" applyAlignment="1">
      <alignment horizontal="right" vertical="center"/>
    </xf>
    <xf numFmtId="0" fontId="14" fillId="15" borderId="54" xfId="0" applyFont="1" applyFill="1" applyBorder="1" applyAlignment="1">
      <alignment horizontal="center" vertical="center" shrinkToFit="1"/>
    </xf>
    <xf numFmtId="14" fontId="12" fillId="15" borderId="54" xfId="0" applyNumberFormat="1" applyFont="1" applyFill="1" applyBorder="1" applyAlignment="1">
      <alignment horizontal="center" vertical="center" shrinkToFit="1"/>
    </xf>
    <xf numFmtId="41" fontId="14" fillId="15" borderId="54" xfId="1" applyFont="1" applyFill="1" applyBorder="1" applyAlignment="1">
      <alignment horizontal="right" vertical="center"/>
    </xf>
    <xf numFmtId="9" fontId="14" fillId="15" borderId="54" xfId="20" applyFont="1" applyFill="1" applyBorder="1" applyAlignment="1">
      <alignment horizontal="center" vertical="center" shrinkToFit="1"/>
    </xf>
    <xf numFmtId="41" fontId="47" fillId="15" borderId="54" xfId="1" applyFont="1" applyFill="1" applyBorder="1" applyAlignment="1">
      <alignment horizontal="center" vertical="center"/>
    </xf>
    <xf numFmtId="9" fontId="29" fillId="15" borderId="54" xfId="20" applyFont="1" applyFill="1" applyBorder="1" applyAlignment="1">
      <alignment horizontal="center" vertical="center"/>
    </xf>
    <xf numFmtId="41" fontId="15" fillId="15" borderId="54" xfId="1" applyFont="1" applyFill="1" applyBorder="1" applyAlignment="1">
      <alignment horizontal="center" vertical="center"/>
    </xf>
    <xf numFmtId="0" fontId="14" fillId="15" borderId="54" xfId="1" applyNumberFormat="1" applyFont="1" applyFill="1" applyBorder="1" applyAlignment="1">
      <alignment horizontal="left" vertical="center" shrinkToFit="1"/>
    </xf>
    <xf numFmtId="0" fontId="29" fillId="15" borderId="54" xfId="1" applyNumberFormat="1" applyFont="1" applyFill="1" applyBorder="1" applyAlignment="1">
      <alignment horizontal="center" vertical="center"/>
    </xf>
    <xf numFmtId="0" fontId="14" fillId="15" borderId="54" xfId="0" applyFont="1" applyFill="1" applyBorder="1" applyAlignment="1">
      <alignment horizontal="left" vertical="center"/>
    </xf>
    <xf numFmtId="41" fontId="29" fillId="0" borderId="54" xfId="20" applyNumberFormat="1" applyFont="1" applyFill="1" applyBorder="1" applyAlignment="1">
      <alignment horizontal="center" vertical="center"/>
    </xf>
    <xf numFmtId="41" fontId="15" fillId="15" borderId="54" xfId="1" applyFont="1" applyFill="1" applyBorder="1" applyAlignment="1">
      <alignment horizontal="right" vertical="center"/>
    </xf>
    <xf numFmtId="41" fontId="11" fillId="0" borderId="54" xfId="1" applyFont="1" applyFill="1" applyBorder="1" applyAlignment="1">
      <alignment horizontal="right" vertical="center"/>
    </xf>
    <xf numFmtId="9" fontId="12" fillId="0" borderId="54" xfId="30" applyFont="1" applyFill="1" applyBorder="1" applyAlignment="1">
      <alignment horizontal="center" vertical="center" shrinkToFit="1"/>
    </xf>
    <xf numFmtId="176" fontId="12" fillId="0" borderId="54" xfId="30" applyNumberFormat="1" applyFont="1" applyFill="1" applyBorder="1" applyAlignment="1">
      <alignment horizontal="center" vertical="center" shrinkToFit="1"/>
    </xf>
    <xf numFmtId="41" fontId="14" fillId="0" borderId="54" xfId="1" applyFont="1" applyFill="1" applyBorder="1" applyAlignment="1">
      <alignment horizontal="left" vertical="center"/>
    </xf>
    <xf numFmtId="9" fontId="11" fillId="0" borderId="54" xfId="20" applyFont="1" applyFill="1" applyBorder="1" applyAlignment="1">
      <alignment horizontal="center" vertical="center" shrinkToFit="1"/>
    </xf>
    <xf numFmtId="0" fontId="12" fillId="0" borderId="54" xfId="4" applyFont="1" applyBorder="1" applyAlignment="1">
      <alignment horizontal="left" vertical="center"/>
    </xf>
    <xf numFmtId="176" fontId="11" fillId="0" borderId="54" xfId="20" applyNumberFormat="1" applyFont="1" applyFill="1" applyBorder="1" applyAlignment="1">
      <alignment horizontal="center" vertical="center" shrinkToFit="1"/>
    </xf>
    <xf numFmtId="9" fontId="12" fillId="0" borderId="54" xfId="28" applyFont="1" applyFill="1" applyBorder="1" applyAlignment="1">
      <alignment horizontal="center" vertical="center" shrinkToFit="1"/>
    </xf>
    <xf numFmtId="0" fontId="14" fillId="15" borderId="54" xfId="0" applyFont="1" applyFill="1" applyBorder="1" applyAlignment="1">
      <alignment horizontal="center" vertical="center"/>
    </xf>
    <xf numFmtId="0" fontId="0" fillId="15" borderId="0" xfId="0" applyFill="1">
      <alignment vertical="center"/>
    </xf>
    <xf numFmtId="0" fontId="29" fillId="18" borderId="0" xfId="0" applyFont="1" applyFill="1" applyAlignment="1">
      <alignment horizontal="left" vertical="center"/>
    </xf>
    <xf numFmtId="0" fontId="62" fillId="3" borderId="54" xfId="0" applyFont="1" applyFill="1" applyBorder="1" applyAlignment="1">
      <alignment horizontal="center" vertical="center" wrapText="1" shrinkToFit="1"/>
    </xf>
    <xf numFmtId="41" fontId="15" fillId="0" borderId="54" xfId="1" applyFont="1" applyFill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indent="1"/>
    </xf>
    <xf numFmtId="41" fontId="66" fillId="17" borderId="21" xfId="1" applyFont="1" applyFill="1" applyBorder="1" applyAlignment="1">
      <alignment horizontal="center" vertical="center"/>
    </xf>
    <xf numFmtId="41" fontId="66" fillId="17" borderId="56" xfId="1" applyFont="1" applyFill="1" applyBorder="1" applyAlignment="1">
      <alignment horizontal="center" vertical="center"/>
    </xf>
    <xf numFmtId="41" fontId="66" fillId="17" borderId="57" xfId="1" applyFont="1" applyFill="1" applyBorder="1" applyAlignment="1">
      <alignment horizontal="center" vertical="center"/>
    </xf>
    <xf numFmtId="41" fontId="66" fillId="17" borderId="21" xfId="1" applyFont="1" applyFill="1" applyBorder="1" applyAlignment="1">
      <alignment horizontal="right" vertical="center"/>
    </xf>
    <xf numFmtId="0" fontId="14" fillId="0" borderId="54" xfId="0" applyFont="1" applyBorder="1">
      <alignment vertical="center"/>
    </xf>
    <xf numFmtId="41" fontId="14" fillId="0" borderId="0" xfId="1" applyFont="1" applyFill="1" applyBorder="1" applyAlignment="1">
      <alignment horizontal="left" vertical="center"/>
    </xf>
    <xf numFmtId="14" fontId="12" fillId="0" borderId="0" xfId="0" applyNumberFormat="1" applyFont="1" applyAlignment="1">
      <alignment horizontal="center" vertical="center" shrinkToFit="1"/>
    </xf>
    <xf numFmtId="176" fontId="11" fillId="0" borderId="0" xfId="20" applyNumberFormat="1" applyFont="1" applyFill="1" applyBorder="1" applyAlignment="1">
      <alignment horizontal="center" vertical="center" shrinkToFit="1"/>
    </xf>
    <xf numFmtId="0" fontId="23" fillId="17" borderId="0" xfId="0" applyFont="1" applyFill="1" applyAlignment="1">
      <alignment horizontal="left" vertical="center"/>
    </xf>
    <xf numFmtId="0" fontId="0" fillId="17" borderId="0" xfId="0" applyFill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0" fontId="43" fillId="17" borderId="0" xfId="0" applyFont="1" applyFill="1" applyAlignment="1">
      <alignment horizontal="center" vertical="center"/>
    </xf>
    <xf numFmtId="0" fontId="14" fillId="17" borderId="0" xfId="0" applyFont="1" applyFill="1" applyAlignment="1">
      <alignment horizontal="left" vertical="center" indent="1"/>
    </xf>
    <xf numFmtId="0" fontId="54" fillId="17" borderId="0" xfId="0" applyFont="1" applyFill="1" applyAlignment="1">
      <alignment horizontal="left" vertical="center" indent="1"/>
    </xf>
    <xf numFmtId="0" fontId="14" fillId="17" borderId="0" xfId="0" applyFont="1" applyFill="1" applyAlignment="1">
      <alignment horizontal="left" vertical="center" indent="2"/>
    </xf>
    <xf numFmtId="0" fontId="67" fillId="0" borderId="0" xfId="0" applyFont="1" applyAlignment="1">
      <alignment vertical="center" shrinkToFit="1"/>
    </xf>
    <xf numFmtId="0" fontId="14" fillId="0" borderId="0" xfId="0" applyFont="1" applyAlignment="1">
      <alignment vertical="center" shrinkToFit="1"/>
    </xf>
    <xf numFmtId="41" fontId="14" fillId="0" borderId="0" xfId="1" applyFont="1" applyFill="1" applyBorder="1" applyAlignment="1">
      <alignment vertical="center"/>
    </xf>
    <xf numFmtId="0" fontId="14" fillId="51" borderId="21" xfId="0" applyFont="1" applyFill="1" applyBorder="1" applyAlignment="1">
      <alignment horizontal="center" vertical="center"/>
    </xf>
    <xf numFmtId="0" fontId="11" fillId="51" borderId="21" xfId="0" applyFont="1" applyFill="1" applyBorder="1" applyAlignment="1">
      <alignment horizontal="center" vertical="center"/>
    </xf>
    <xf numFmtId="14" fontId="14" fillId="51" borderId="21" xfId="0" applyNumberFormat="1" applyFont="1" applyFill="1" applyBorder="1" applyAlignment="1">
      <alignment horizontal="center" vertical="center"/>
    </xf>
    <xf numFmtId="41" fontId="14" fillId="51" borderId="21" xfId="1" applyFont="1" applyFill="1" applyBorder="1" applyAlignment="1">
      <alignment horizontal="center" vertical="center"/>
    </xf>
    <xf numFmtId="41" fontId="47" fillId="51" borderId="21" xfId="1" applyFont="1" applyFill="1" applyBorder="1" applyAlignment="1">
      <alignment horizontal="center" vertical="center"/>
    </xf>
    <xf numFmtId="41" fontId="15" fillId="51" borderId="38" xfId="1" applyFont="1" applyFill="1" applyBorder="1" applyAlignment="1">
      <alignment horizontal="center" vertical="center"/>
    </xf>
    <xf numFmtId="41" fontId="20" fillId="51" borderId="21" xfId="1" applyFont="1" applyFill="1" applyBorder="1" applyAlignment="1">
      <alignment horizontal="center" vertical="center"/>
    </xf>
    <xf numFmtId="0" fontId="14" fillId="51" borderId="21" xfId="0" applyFont="1" applyFill="1" applyBorder="1" applyAlignment="1">
      <alignment horizontal="left" vertical="center" shrinkToFit="1"/>
    </xf>
    <xf numFmtId="41" fontId="14" fillId="0" borderId="54" xfId="1" applyFont="1" applyFill="1" applyBorder="1" applyAlignment="1">
      <alignment horizontal="center" vertical="center" shrinkToFit="1"/>
    </xf>
    <xf numFmtId="0" fontId="16" fillId="0" borderId="0" xfId="20" applyNumberFormat="1" applyFont="1" applyFill="1" applyAlignment="1">
      <alignment vertical="center"/>
    </xf>
    <xf numFmtId="0" fontId="16" fillId="0" borderId="0" xfId="20" applyNumberFormat="1" applyFont="1" applyFill="1" applyAlignment="1">
      <alignment horizontal="center" vertical="center"/>
    </xf>
    <xf numFmtId="0" fontId="14" fillId="0" borderId="54" xfId="1" applyNumberFormat="1" applyFont="1" applyFill="1" applyBorder="1" applyAlignment="1">
      <alignment horizontal="center" vertical="center" shrinkToFit="1"/>
    </xf>
    <xf numFmtId="3" fontId="47" fillId="16" borderId="54" xfId="1" applyNumberFormat="1" applyFont="1" applyFill="1" applyBorder="1" applyAlignment="1">
      <alignment vertical="center"/>
    </xf>
    <xf numFmtId="0" fontId="46" fillId="6" borderId="70" xfId="1" applyNumberFormat="1" applyFont="1" applyFill="1" applyBorder="1" applyAlignment="1">
      <alignment horizontal="center" vertical="center"/>
    </xf>
    <xf numFmtId="41" fontId="46" fillId="6" borderId="70" xfId="1" applyFont="1" applyFill="1" applyBorder="1" applyAlignment="1">
      <alignment vertical="center"/>
    </xf>
    <xf numFmtId="41" fontId="47" fillId="6" borderId="70" xfId="1" applyFont="1" applyFill="1" applyBorder="1" applyAlignment="1">
      <alignment vertical="center"/>
    </xf>
    <xf numFmtId="0" fontId="14" fillId="0" borderId="55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 shrinkToFit="1"/>
    </xf>
    <xf numFmtId="180" fontId="14" fillId="0" borderId="55" xfId="0" applyNumberFormat="1" applyFont="1" applyBorder="1" applyAlignment="1">
      <alignment horizontal="center" vertical="center" shrinkToFit="1"/>
    </xf>
    <xf numFmtId="3" fontId="12" fillId="0" borderId="55" xfId="1" applyNumberFormat="1" applyFont="1" applyFill="1" applyBorder="1" applyAlignment="1">
      <alignment vertical="center"/>
    </xf>
    <xf numFmtId="9" fontId="29" fillId="0" borderId="55" xfId="20" applyFont="1" applyFill="1" applyBorder="1" applyAlignment="1">
      <alignment horizontal="center" vertical="center"/>
    </xf>
    <xf numFmtId="3" fontId="15" fillId="0" borderId="55" xfId="1" applyNumberFormat="1" applyFont="1" applyFill="1" applyBorder="1" applyAlignment="1">
      <alignment vertical="center"/>
    </xf>
    <xf numFmtId="0" fontId="29" fillId="0" borderId="55" xfId="1" applyNumberFormat="1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 vertical="center"/>
    </xf>
    <xf numFmtId="0" fontId="62" fillId="13" borderId="69" xfId="0" applyFont="1" applyFill="1" applyBorder="1" applyAlignment="1">
      <alignment horizontal="center" vertical="center"/>
    </xf>
    <xf numFmtId="0" fontId="62" fillId="13" borderId="69" xfId="0" applyFont="1" applyFill="1" applyBorder="1" applyAlignment="1">
      <alignment horizontal="center" vertical="center" wrapText="1"/>
    </xf>
    <xf numFmtId="0" fontId="62" fillId="19" borderId="69" xfId="0" applyFont="1" applyFill="1" applyBorder="1" applyAlignment="1">
      <alignment horizontal="center" vertical="center" wrapText="1"/>
    </xf>
    <xf numFmtId="0" fontId="62" fillId="19" borderId="69" xfId="0" applyFont="1" applyFill="1" applyBorder="1" applyAlignment="1">
      <alignment horizontal="center" vertical="center"/>
    </xf>
    <xf numFmtId="0" fontId="47" fillId="13" borderId="69" xfId="0" applyFont="1" applyFill="1" applyBorder="1" applyAlignment="1">
      <alignment horizontal="center" vertical="center" wrapText="1"/>
    </xf>
    <xf numFmtId="9" fontId="62" fillId="19" borderId="69" xfId="20" applyFont="1" applyFill="1" applyBorder="1" applyAlignment="1">
      <alignment horizontal="center" vertical="center" wrapText="1" shrinkToFit="1"/>
    </xf>
    <xf numFmtId="0" fontId="62" fillId="19" borderId="69" xfId="0" applyFont="1" applyFill="1" applyBorder="1" applyAlignment="1">
      <alignment horizontal="center" vertical="center" wrapText="1" shrinkToFit="1"/>
    </xf>
    <xf numFmtId="0" fontId="15" fillId="19" borderId="69" xfId="0" applyFont="1" applyFill="1" applyBorder="1" applyAlignment="1">
      <alignment horizontal="center" vertical="center" wrapText="1" shrinkToFit="1"/>
    </xf>
    <xf numFmtId="0" fontId="14" fillId="52" borderId="58" xfId="0" applyFont="1" applyFill="1" applyBorder="1" applyAlignment="1">
      <alignment horizontal="center" vertical="center" shrinkToFit="1"/>
    </xf>
    <xf numFmtId="0" fontId="14" fillId="52" borderId="59" xfId="0" applyFont="1" applyFill="1" applyBorder="1" applyAlignment="1">
      <alignment horizontal="center" vertical="center"/>
    </xf>
    <xf numFmtId="9" fontId="14" fillId="52" borderId="59" xfId="20" applyFont="1" applyFill="1" applyBorder="1" applyAlignment="1">
      <alignment horizontal="center" vertical="center"/>
    </xf>
    <xf numFmtId="0" fontId="14" fillId="52" borderId="49" xfId="0" applyFont="1" applyFill="1" applyBorder="1" applyAlignment="1">
      <alignment horizontal="center" vertical="center"/>
    </xf>
    <xf numFmtId="9" fontId="14" fillId="52" borderId="49" xfId="20" applyFont="1" applyFill="1" applyBorder="1" applyAlignment="1">
      <alignment horizontal="center" vertical="center"/>
    </xf>
    <xf numFmtId="0" fontId="29" fillId="52" borderId="49" xfId="0" applyFont="1" applyFill="1" applyBorder="1" applyAlignment="1">
      <alignment horizontal="center" vertical="center"/>
    </xf>
    <xf numFmtId="0" fontId="29" fillId="0" borderId="55" xfId="20" applyNumberFormat="1" applyFont="1" applyFill="1" applyBorder="1" applyAlignment="1">
      <alignment horizontal="center" vertical="center"/>
    </xf>
    <xf numFmtId="0" fontId="29" fillId="52" borderId="58" xfId="0" applyFont="1" applyFill="1" applyBorder="1" applyAlignment="1">
      <alignment horizontal="center" vertical="center"/>
    </xf>
    <xf numFmtId="176" fontId="14" fillId="0" borderId="54" xfId="20" applyNumberFormat="1" applyFont="1" applyFill="1" applyBorder="1" applyAlignment="1">
      <alignment horizontal="center" vertical="center" shrinkToFit="1"/>
    </xf>
    <xf numFmtId="180" fontId="14" fillId="0" borderId="0" xfId="0" applyNumberFormat="1" applyFont="1" applyAlignment="1">
      <alignment horizontal="center" vertical="center" shrinkToFit="1"/>
    </xf>
    <xf numFmtId="3" fontId="12" fillId="0" borderId="0" xfId="1" applyNumberFormat="1" applyFont="1" applyFill="1" applyBorder="1" applyAlignment="1">
      <alignment vertical="center"/>
    </xf>
    <xf numFmtId="3" fontId="15" fillId="0" borderId="0" xfId="1" applyNumberFormat="1" applyFont="1" applyFill="1" applyBorder="1" applyAlignment="1">
      <alignment vertical="center"/>
    </xf>
    <xf numFmtId="0" fontId="29" fillId="0" borderId="0" xfId="20" applyNumberFormat="1" applyFont="1" applyFill="1" applyBorder="1" applyAlignment="1">
      <alignment horizontal="center" vertical="center"/>
    </xf>
    <xf numFmtId="0" fontId="29" fillId="0" borderId="0" xfId="1" applyNumberFormat="1" applyFont="1" applyFill="1" applyBorder="1" applyAlignment="1">
      <alignment horizontal="center" vertical="center" shrinkToFit="1"/>
    </xf>
    <xf numFmtId="180" fontId="14" fillId="6" borderId="55" xfId="0" applyNumberFormat="1" applyFont="1" applyFill="1" applyBorder="1" applyAlignment="1">
      <alignment horizontal="center" vertical="center" shrinkToFit="1"/>
    </xf>
    <xf numFmtId="0" fontId="47" fillId="0" borderId="0" xfId="0" applyFont="1" applyAlignment="1">
      <alignment horizontal="center" vertical="center" wrapText="1" shrinkToFit="1"/>
    </xf>
    <xf numFmtId="0" fontId="47" fillId="0" borderId="0" xfId="0" applyFont="1" applyAlignment="1">
      <alignment horizontal="center" vertical="center" shrinkToFit="1"/>
    </xf>
    <xf numFmtId="0" fontId="40" fillId="0" borderId="0" xfId="0" applyFont="1" applyAlignment="1">
      <alignment horizontal="center" vertical="center" wrapText="1" shrinkToFit="1"/>
    </xf>
    <xf numFmtId="0" fontId="40" fillId="0" borderId="0" xfId="0" applyFont="1" applyAlignment="1">
      <alignment horizontal="center" vertical="center" shrinkToFit="1"/>
    </xf>
    <xf numFmtId="0" fontId="40" fillId="6" borderId="0" xfId="0" applyFont="1" applyFill="1" applyAlignment="1">
      <alignment horizontal="center" vertical="center" wrapText="1" shrinkToFit="1"/>
    </xf>
    <xf numFmtId="0" fontId="40" fillId="6" borderId="0" xfId="0" applyFont="1" applyFill="1" applyAlignment="1">
      <alignment horizontal="center" vertical="center" shrinkToFit="1"/>
    </xf>
  </cellXfs>
  <cellStyles count="88">
    <cellStyle name="20% - 강조색1" xfId="63" builtinId="30" customBuiltin="1"/>
    <cellStyle name="20% - 강조색2" xfId="67" builtinId="34" customBuiltin="1"/>
    <cellStyle name="20% - 강조색3" xfId="71" builtinId="38" customBuiltin="1"/>
    <cellStyle name="20% - 강조색4" xfId="75" builtinId="42" customBuiltin="1"/>
    <cellStyle name="20% - 강조색5" xfId="79" builtinId="46" customBuiltin="1"/>
    <cellStyle name="20% - 강조색6" xfId="83" builtinId="50" customBuiltin="1"/>
    <cellStyle name="40% - 강조색1" xfId="64" builtinId="31" customBuiltin="1"/>
    <cellStyle name="40% - 강조색2" xfId="68" builtinId="35" customBuiltin="1"/>
    <cellStyle name="40% - 강조색3" xfId="72" builtinId="39" customBuiltin="1"/>
    <cellStyle name="40% - 강조색4" xfId="76" builtinId="43" customBuiltin="1"/>
    <cellStyle name="40% - 강조색5" xfId="80" builtinId="47" customBuiltin="1"/>
    <cellStyle name="40% - 강조색6" xfId="84" builtinId="51" customBuiltin="1"/>
    <cellStyle name="60% - 강조색1" xfId="65" builtinId="32" customBuiltin="1"/>
    <cellStyle name="60% - 강조색2" xfId="69" builtinId="36" customBuiltin="1"/>
    <cellStyle name="60% - 강조색3" xfId="73" builtinId="40" customBuiltin="1"/>
    <cellStyle name="60% - 강조색4" xfId="77" builtinId="44" customBuiltin="1"/>
    <cellStyle name="60% - 강조색5" xfId="81" builtinId="48" customBuiltin="1"/>
    <cellStyle name="60% - 강조색6" xfId="85" builtinId="52" customBuiltin="1"/>
    <cellStyle name="강조색1" xfId="62" builtinId="29" customBuiltin="1"/>
    <cellStyle name="강조색2" xfId="66" builtinId="33" customBuiltin="1"/>
    <cellStyle name="강조색3" xfId="70" builtinId="37" customBuiltin="1"/>
    <cellStyle name="강조색4" xfId="74" builtinId="41" customBuiltin="1"/>
    <cellStyle name="강조색5" xfId="78" builtinId="45" customBuiltin="1"/>
    <cellStyle name="강조색6" xfId="82" builtinId="49" customBuiltin="1"/>
    <cellStyle name="경고문" xfId="58" builtinId="11" customBuiltin="1"/>
    <cellStyle name="계산" xfId="55" builtinId="22" customBuiltin="1"/>
    <cellStyle name="나쁨" xfId="51" builtinId="27" customBuiltin="1"/>
    <cellStyle name="메모" xfId="59" builtinId="10" customBuiltin="1"/>
    <cellStyle name="백분율" xfId="20" builtinId="5"/>
    <cellStyle name="백분율 2" xfId="3" xr:uid="{00000000-0005-0000-0000-000001000000}"/>
    <cellStyle name="백분율 2 2" xfId="43" xr:uid="{B201BDFB-EC62-474A-8238-0F9FD47ED859}"/>
    <cellStyle name="백분율 3" xfId="25" xr:uid="{00000000-0005-0000-0000-000002000000}"/>
    <cellStyle name="백분율 3 2" xfId="36" xr:uid="{00000000-0005-0000-0000-000003000000}"/>
    <cellStyle name="백분율 4" xfId="28" xr:uid="{00000000-0005-0000-0000-000004000000}"/>
    <cellStyle name="백분율 4 2" xfId="30" xr:uid="{00000000-0005-0000-0000-000005000000}"/>
    <cellStyle name="보통" xfId="52" builtinId="28" customBuiltin="1"/>
    <cellStyle name="설명 텍스트" xfId="60" builtinId="53" customBuiltin="1"/>
    <cellStyle name="셀 확인" xfId="57" builtinId="23" customBuiltin="1"/>
    <cellStyle name="쉼표 [0]" xfId="1" builtinId="6"/>
    <cellStyle name="쉼표 [0] 2" xfId="6" xr:uid="{00000000-0005-0000-0000-000007000000}"/>
    <cellStyle name="쉼표 [0] 2 2" xfId="7" xr:uid="{00000000-0005-0000-0000-000008000000}"/>
    <cellStyle name="쉼표 [0] 2 2 2" xfId="12" xr:uid="{00000000-0005-0000-0000-000009000000}"/>
    <cellStyle name="쉼표 [0] 2 2 2 2" xfId="14" xr:uid="{00000000-0005-0000-0000-00000A000000}"/>
    <cellStyle name="쉼표 [0] 2 2 2 3" xfId="16" xr:uid="{00000000-0005-0000-0000-00000B000000}"/>
    <cellStyle name="쉼표 [0] 2 2 2 4" xfId="18" xr:uid="{00000000-0005-0000-0000-00000C000000}"/>
    <cellStyle name="쉼표 [0] 2 3" xfId="23" xr:uid="{00000000-0005-0000-0000-00000D000000}"/>
    <cellStyle name="쉼표 [0] 2 4" xfId="42" xr:uid="{5E64B141-5FCB-4E2D-B2CA-A02680B91EB3}"/>
    <cellStyle name="쉼표 [0] 3" xfId="8" xr:uid="{00000000-0005-0000-0000-00000E000000}"/>
    <cellStyle name="쉼표 [0] 3 2" xfId="32" xr:uid="{00000000-0005-0000-0000-00000F000000}"/>
    <cellStyle name="쉼표 [0] 4" xfId="21" xr:uid="{00000000-0005-0000-0000-000010000000}"/>
    <cellStyle name="쉼표 [0] 4 2" xfId="24" xr:uid="{00000000-0005-0000-0000-000011000000}"/>
    <cellStyle name="쉼표 [0] 5" xfId="26" xr:uid="{00000000-0005-0000-0000-000012000000}"/>
    <cellStyle name="쉼표 [0] 5 2" xfId="35" xr:uid="{00000000-0005-0000-0000-000013000000}"/>
    <cellStyle name="쉼표 [0] 6" xfId="27" xr:uid="{00000000-0005-0000-0000-000014000000}"/>
    <cellStyle name="쉼표 [0] 6 2" xfId="31" xr:uid="{00000000-0005-0000-0000-000015000000}"/>
    <cellStyle name="쉼표 [0] 6 3" xfId="38" xr:uid="{00000000-0005-0000-0000-000016000000}"/>
    <cellStyle name="쉼표 [0] 7" xfId="37" xr:uid="{00000000-0005-0000-0000-000017000000}"/>
    <cellStyle name="쉼표 [0] 8" xfId="40" xr:uid="{E8EFD334-AC96-468B-8466-8EBD79AD009F}"/>
    <cellStyle name="쉼표 [0] 9" xfId="86" xr:uid="{D4982618-B1BB-465F-B11B-048F4A71CD48}"/>
    <cellStyle name="연결된 셀" xfId="56" builtinId="24" customBuiltin="1"/>
    <cellStyle name="요약" xfId="61" builtinId="25" customBuiltin="1"/>
    <cellStyle name="입력" xfId="53" builtinId="20" customBuiltin="1"/>
    <cellStyle name="제목" xfId="45" builtinId="15" customBuiltin="1"/>
    <cellStyle name="제목 1" xfId="46" builtinId="16" customBuiltin="1"/>
    <cellStyle name="제목 2" xfId="47" builtinId="17" customBuiltin="1"/>
    <cellStyle name="제목 3" xfId="48" builtinId="18" customBuiltin="1"/>
    <cellStyle name="제목 4" xfId="49" builtinId="19" customBuiltin="1"/>
    <cellStyle name="좋음" xfId="50" builtinId="26" customBuiltin="1"/>
    <cellStyle name="출력" xfId="54" builtinId="21" customBuiltin="1"/>
    <cellStyle name="표준" xfId="0" builtinId="0"/>
    <cellStyle name="표준 2" xfId="5" xr:uid="{00000000-0005-0000-0000-000019000000}"/>
    <cellStyle name="표준 2 2" xfId="4" xr:uid="{00000000-0005-0000-0000-00001A000000}"/>
    <cellStyle name="표준 2 2 2" xfId="11" xr:uid="{00000000-0005-0000-0000-00001B000000}"/>
    <cellStyle name="표준 2 2 2 2" xfId="13" xr:uid="{00000000-0005-0000-0000-00001C000000}"/>
    <cellStyle name="표준 2 2 2 3" xfId="15" xr:uid="{00000000-0005-0000-0000-00001D000000}"/>
    <cellStyle name="표준 2 2 2 4" xfId="17" xr:uid="{00000000-0005-0000-0000-00001E000000}"/>
    <cellStyle name="표준 2 2 2 5" xfId="19" xr:uid="{00000000-0005-0000-0000-00001F000000}"/>
    <cellStyle name="표준 2 2 2 6" xfId="33" xr:uid="{00000000-0005-0000-0000-000020000000}"/>
    <cellStyle name="표준 2 2 3" xfId="22" xr:uid="{00000000-0005-0000-0000-000021000000}"/>
    <cellStyle name="표준 2 3" xfId="34" xr:uid="{00000000-0005-0000-0000-000022000000}"/>
    <cellStyle name="표준 2 4" xfId="41" xr:uid="{2FDB26B0-1A18-4290-B84D-2B269077B542}"/>
    <cellStyle name="표준 3" xfId="9" xr:uid="{00000000-0005-0000-0000-000023000000}"/>
    <cellStyle name="표준 3 2" xfId="44" xr:uid="{045D40BE-77E1-4261-8E75-2B9767D406DE}"/>
    <cellStyle name="표준 4" xfId="2" xr:uid="{00000000-0005-0000-0000-000024000000}"/>
    <cellStyle name="표준 4 2" xfId="29" xr:uid="{00000000-0005-0000-0000-000025000000}"/>
    <cellStyle name="표준 4 4" xfId="87" xr:uid="{1670FC2E-AE88-4310-B140-CC074D82E656}"/>
    <cellStyle name="표준 5" xfId="39" xr:uid="{313B514A-A153-43AE-A4F3-C9BF1684A50D}"/>
    <cellStyle name="하이퍼링크 2" xfId="10" xr:uid="{00000000-0005-0000-0000-000026000000}"/>
  </cellStyles>
  <dxfs count="12">
    <dxf>
      <font>
        <color rgb="FF000000"/>
      </font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0"/>
      </font>
      <fill>
        <patternFill>
          <bgColor theme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double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</dxfs>
  <tableStyles count="5" defaultTableStyle="TableStyleMedium2" defaultPivotStyle="PivotStyleLight16">
    <tableStyle name="Invisible" pivot="0" table="0" count="0" xr9:uid="{00000000-0011-0000-FFFF-FFFF00000000}"/>
    <tableStyle name="표 스타일 1" pivot="0" count="2" xr9:uid="{00000000-0011-0000-FFFF-FFFF01000000}">
      <tableStyleElement type="wholeTable" dxfId="11"/>
      <tableStyleElement type="headerRow" dxfId="10"/>
    </tableStyle>
    <tableStyle name="피벗 테이블 스타일 1" table="0" count="4" xr9:uid="{00000000-0011-0000-FFFF-FFFF02000000}">
      <tableStyleElement type="wholeTable" dxfId="9"/>
      <tableStyleElement type="headerRow" dxfId="8"/>
      <tableStyleElement type="pageFieldLabels" dxfId="7"/>
      <tableStyleElement type="pageFieldValues" dxfId="6"/>
    </tableStyle>
    <tableStyle name="표 스타일 2" pivot="0" count="1" xr9:uid="{00000000-0011-0000-FFFF-FFFF03000000}">
      <tableStyleElement type="wholeTable" dxfId="5"/>
    </tableStyle>
    <tableStyle name="피벗 테이블 스타일 1 2" table="0" count="4" xr9:uid="{00000000-0011-0000-FFFF-FFFF04000000}">
      <tableStyleElement type="wholeTable" dxfId="4"/>
      <tableStyleElement type="headerRow" dxfId="3"/>
      <tableStyleElement type="pageFieldLabels" dxfId="2"/>
      <tableStyleElement type="pageFieldValues" dxfId="1"/>
    </tableStyle>
  </tableStyles>
  <colors>
    <mruColors>
      <color rgb="FFFBE7E5"/>
      <color rgb="FFDAF1F6"/>
      <color rgb="FFDDF2F7"/>
      <color rgb="FFC5E9F1"/>
      <color rgb="FFC3E8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256;&#49849;&#48120;\Desktop\&#44256;&#49849;&#48120;\02%20&#47588;&#52636;%20&#51221;&#49328;&#49436;(&#54869;&#51064;&#50857;)\CMS%202021&#45380;_&#52852;&#52852;&#50724;&#54168;&#51060;&#51648;_RS_&#47588;&#5263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dotree1-my.sharepoint.com/personal/sunny_podotree_com/Documents/(page)%20&#54028;&#53944;&#45320;&#51221;&#49328;&#54016;/2020.09/&#44397;&#45236;_202009_s/(page)%20P.&#44397;&#45236;&#51221;&#49328;_00.&#54168;&#51060;&#51648;_&#50937;&#53808;_&#50896;&#51089;&#49324;_&#49368;&#54540;_&#51221;&#49328;_202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월"/>
      <sheetName val="CMS 2021년_카카오페이지_RS_매출"/>
    </sheetNames>
    <definedNames>
      <definedName name="MonthToDisplay" refersTo="#REF!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주기"/>
      <sheetName val="정산서"/>
      <sheetName val="요약_값"/>
      <sheetName val="요약_수식"/>
      <sheetName val="pv"/>
      <sheetName val="back data(2020.07부터~)"/>
      <sheetName val="환경설정 ▷"/>
      <sheetName val="작품정보"/>
      <sheetName val="테이블"/>
      <sheetName val="설정값"/>
      <sheetName val="(page) P.국내정산_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장희원" id="{42CEE085-0734-4F09-ADD9-CB39409B80E4}" userId="S::heewon2@copin.co.kr::5ecd6f12-680e-47e7-b2af-b302e9c5d93e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2-08-16T05:18:52.32" personId="{42CEE085-0734-4F09-ADD9-CB39409B80E4}" id="{2F2D1FB2-1B71-4F6A-82E1-218372742CFB}">
    <text>*N : 계약서 상 작가 RS가 없는 계약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DE074-D5FE-45D0-94CC-575676755BC1}">
  <dimension ref="B1:R130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" sqref="N2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633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634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14979646.033406999</v>
      </c>
      <c r="K4" s="52"/>
      <c r="L4" s="648">
        <f>SUBTOTAL(109,L6:L1048576)</f>
        <v>5748549</v>
      </c>
      <c r="M4" s="543"/>
      <c r="N4" s="649">
        <f>SUBTOTAL(109,N6:N1048576)</f>
        <v>446902</v>
      </c>
      <c r="O4" s="649">
        <f>SUBTOTAL(109,O6:O1048576)</f>
        <v>5301647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46143</v>
      </c>
      <c r="J6" s="653">
        <v>339575.5</v>
      </c>
      <c r="K6" s="567">
        <v>0.6</v>
      </c>
      <c r="L6" s="646">
        <v>203746</v>
      </c>
      <c r="M6" s="654" t="str">
        <f>VLOOKUP(G:G,list!B:E,4,FALSE)</f>
        <v>-</v>
      </c>
      <c r="N6" s="655">
        <f t="shared" ref="N6:N99" si="0">ROUND(IF(M6="-",0,L6*M6),0)</f>
        <v>0</v>
      </c>
      <c r="O6" s="655">
        <f t="shared" ref="O6:O99" si="1">L6-N6</f>
        <v>203746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46143</v>
      </c>
      <c r="J7" s="653">
        <v>58856</v>
      </c>
      <c r="K7" s="600">
        <v>0.6</v>
      </c>
      <c r="L7" s="646">
        <v>35315</v>
      </c>
      <c r="M7" s="654" t="str">
        <f>VLOOKUP(G:G,list!B:E,4,FALSE)</f>
        <v>-</v>
      </c>
      <c r="N7" s="655">
        <f t="shared" si="0"/>
        <v>0</v>
      </c>
      <c r="O7" s="655">
        <f t="shared" si="1"/>
        <v>35315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46143</v>
      </c>
      <c r="J8" s="653">
        <v>292239.59999999998</v>
      </c>
      <c r="K8" s="567">
        <v>0.6</v>
      </c>
      <c r="L8" s="646">
        <v>175345</v>
      </c>
      <c r="M8" s="654" t="str">
        <f>VLOOKUP(G:G,list!B:E,4,FALSE)</f>
        <v>-</v>
      </c>
      <c r="N8" s="655">
        <f t="shared" si="0"/>
        <v>0</v>
      </c>
      <c r="O8" s="655">
        <f t="shared" si="1"/>
        <v>175345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9</v>
      </c>
      <c r="F9" s="564" t="s">
        <v>126</v>
      </c>
      <c r="G9" s="564" t="s">
        <v>30</v>
      </c>
      <c r="H9" s="565">
        <v>44199</v>
      </c>
      <c r="I9" s="652">
        <v>46143</v>
      </c>
      <c r="J9" s="653">
        <v>162154</v>
      </c>
      <c r="K9" s="567">
        <v>0.6</v>
      </c>
      <c r="L9" s="646">
        <v>97293</v>
      </c>
      <c r="M9" s="654">
        <f>VLOOKUP(G:G,list!B:E,4,FALSE)</f>
        <v>0.1</v>
      </c>
      <c r="N9" s="655">
        <f t="shared" si="0"/>
        <v>9729</v>
      </c>
      <c r="O9" s="655">
        <f t="shared" si="1"/>
        <v>87564</v>
      </c>
      <c r="P9" s="645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9</v>
      </c>
      <c r="F10" s="564" t="s">
        <v>126</v>
      </c>
      <c r="G10" s="564" t="s">
        <v>56</v>
      </c>
      <c r="H10" s="565">
        <v>44372</v>
      </c>
      <c r="I10" s="652">
        <v>46143</v>
      </c>
      <c r="J10" s="653">
        <v>114696</v>
      </c>
      <c r="K10" s="567">
        <v>0.6</v>
      </c>
      <c r="L10" s="646">
        <v>68817</v>
      </c>
      <c r="M10" s="654">
        <f>VLOOKUP(G:G,list!B:E,4,FALSE)</f>
        <v>0.1</v>
      </c>
      <c r="N10" s="655">
        <f t="shared" si="0"/>
        <v>6882</v>
      </c>
      <c r="O10" s="655">
        <f t="shared" si="1"/>
        <v>61935</v>
      </c>
      <c r="P10" s="645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9</v>
      </c>
      <c r="F11" s="564" t="s">
        <v>126</v>
      </c>
      <c r="G11" s="564" t="s">
        <v>308</v>
      </c>
      <c r="H11" s="565">
        <v>44608</v>
      </c>
      <c r="I11" s="652">
        <v>46143</v>
      </c>
      <c r="J11" s="653">
        <v>0</v>
      </c>
      <c r="K11" s="567">
        <v>0.6</v>
      </c>
      <c r="L11" s="646">
        <v>0</v>
      </c>
      <c r="M11" s="654" t="str">
        <f>VLOOKUP(G:G,list!B:E,4,FALSE)</f>
        <v>-</v>
      </c>
      <c r="N11" s="655">
        <f t="shared" si="0"/>
        <v>0</v>
      </c>
      <c r="O11" s="655">
        <f t="shared" si="1"/>
        <v>0</v>
      </c>
      <c r="P11" s="645" t="s">
        <v>366</v>
      </c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9</v>
      </c>
      <c r="F12" s="564" t="s">
        <v>126</v>
      </c>
      <c r="G12" s="564" t="s">
        <v>316</v>
      </c>
      <c r="H12" s="565">
        <v>44639</v>
      </c>
      <c r="I12" s="652">
        <v>46143</v>
      </c>
      <c r="J12" s="653">
        <v>101504.2</v>
      </c>
      <c r="K12" s="567">
        <v>0.6</v>
      </c>
      <c r="L12" s="646">
        <v>60903</v>
      </c>
      <c r="M12" s="654">
        <f>VLOOKUP(G:G,list!B:E,4,FALSE)</f>
        <v>0.1</v>
      </c>
      <c r="N12" s="655">
        <f t="shared" si="0"/>
        <v>6090</v>
      </c>
      <c r="O12" s="655">
        <f t="shared" si="1"/>
        <v>54813</v>
      </c>
      <c r="P12" s="645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9</v>
      </c>
      <c r="F13" s="564" t="s">
        <v>126</v>
      </c>
      <c r="G13" s="564" t="s">
        <v>352</v>
      </c>
      <c r="H13" s="565">
        <v>44691</v>
      </c>
      <c r="I13" s="652">
        <v>46143</v>
      </c>
      <c r="J13" s="653">
        <v>39020.6</v>
      </c>
      <c r="K13" s="567">
        <v>0.6</v>
      </c>
      <c r="L13" s="646">
        <v>23413</v>
      </c>
      <c r="M13" s="654">
        <f>VLOOKUP(G:G,list!B:E,4,FALSE)</f>
        <v>0.1</v>
      </c>
      <c r="N13" s="655">
        <f t="shared" si="0"/>
        <v>2341</v>
      </c>
      <c r="O13" s="655">
        <f t="shared" si="1"/>
        <v>21072</v>
      </c>
      <c r="P13" s="645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9</v>
      </c>
      <c r="F14" s="564" t="s">
        <v>126</v>
      </c>
      <c r="G14" s="564" t="s">
        <v>353</v>
      </c>
      <c r="H14" s="565">
        <v>44709</v>
      </c>
      <c r="I14" s="652">
        <v>46143</v>
      </c>
      <c r="J14" s="653">
        <v>71247</v>
      </c>
      <c r="K14" s="567">
        <v>0.6</v>
      </c>
      <c r="L14" s="646">
        <v>42748</v>
      </c>
      <c r="M14" s="654">
        <f>VLOOKUP(G:G,list!B:E,4,FALSE)</f>
        <v>0.11</v>
      </c>
      <c r="N14" s="655">
        <f t="shared" si="0"/>
        <v>4702</v>
      </c>
      <c r="O14" s="655">
        <f t="shared" si="1"/>
        <v>38046</v>
      </c>
      <c r="P14" s="645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9</v>
      </c>
      <c r="F15" s="564" t="s">
        <v>126</v>
      </c>
      <c r="G15" s="564" t="s">
        <v>447</v>
      </c>
      <c r="H15" s="565">
        <v>44801</v>
      </c>
      <c r="I15" s="652">
        <v>46143</v>
      </c>
      <c r="J15" s="653">
        <v>158224</v>
      </c>
      <c r="K15" s="567">
        <v>0.6</v>
      </c>
      <c r="L15" s="646">
        <v>94934</v>
      </c>
      <c r="M15" s="654">
        <f>VLOOKUP(G:G,list!B:E,4,FALSE)</f>
        <v>0.1</v>
      </c>
      <c r="N15" s="655">
        <f t="shared" si="0"/>
        <v>9493</v>
      </c>
      <c r="O15" s="655">
        <f t="shared" si="1"/>
        <v>85441</v>
      </c>
      <c r="P15" s="645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9</v>
      </c>
      <c r="F16" s="564" t="s">
        <v>126</v>
      </c>
      <c r="G16" s="564" t="s">
        <v>481</v>
      </c>
      <c r="H16" s="565">
        <v>44831</v>
      </c>
      <c r="I16" s="652">
        <v>46143</v>
      </c>
      <c r="J16" s="653">
        <v>34754</v>
      </c>
      <c r="K16" s="567">
        <v>0.6</v>
      </c>
      <c r="L16" s="646">
        <v>20852</v>
      </c>
      <c r="M16" s="654">
        <f>VLOOKUP(G:G,list!B:E,4,FALSE)</f>
        <v>0.1</v>
      </c>
      <c r="N16" s="655">
        <f t="shared" si="0"/>
        <v>2085</v>
      </c>
      <c r="O16" s="655">
        <f t="shared" si="1"/>
        <v>18767</v>
      </c>
      <c r="P16" s="645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9</v>
      </c>
      <c r="F17" s="564" t="s">
        <v>126</v>
      </c>
      <c r="G17" s="564" t="s">
        <v>501</v>
      </c>
      <c r="H17" s="565">
        <v>44851</v>
      </c>
      <c r="I17" s="652">
        <v>46143</v>
      </c>
      <c r="J17" s="653">
        <v>10404</v>
      </c>
      <c r="K17" s="567">
        <v>0.7</v>
      </c>
      <c r="L17" s="646">
        <v>7283</v>
      </c>
      <c r="M17" s="654" t="str">
        <f>VLOOKUP(G:G,list!B:E,4,FALSE)</f>
        <v>-</v>
      </c>
      <c r="N17" s="655">
        <f t="shared" si="0"/>
        <v>0</v>
      </c>
      <c r="O17" s="655">
        <f t="shared" si="1"/>
        <v>7283</v>
      </c>
      <c r="P17" s="645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9</v>
      </c>
      <c r="F18" s="564" t="s">
        <v>126</v>
      </c>
      <c r="G18" s="564" t="s">
        <v>534</v>
      </c>
      <c r="H18" s="565">
        <v>45235</v>
      </c>
      <c r="I18" s="652">
        <v>46143</v>
      </c>
      <c r="J18" s="653">
        <v>402252.5</v>
      </c>
      <c r="K18" s="567">
        <v>0.6</v>
      </c>
      <c r="L18" s="646">
        <v>241351</v>
      </c>
      <c r="M18" s="654">
        <f>VLOOKUP(G:G,list!B:E,4,FALSE)</f>
        <v>0.1</v>
      </c>
      <c r="N18" s="655">
        <f t="shared" si="0"/>
        <v>24135</v>
      </c>
      <c r="O18" s="655">
        <f t="shared" si="1"/>
        <v>217216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9</v>
      </c>
      <c r="F19" s="564" t="s">
        <v>126</v>
      </c>
      <c r="G19" s="564" t="s">
        <v>541</v>
      </c>
      <c r="H19" s="565">
        <v>45066</v>
      </c>
      <c r="I19" s="652">
        <v>46143</v>
      </c>
      <c r="J19" s="653">
        <v>63706.8</v>
      </c>
      <c r="K19" s="567">
        <v>0.7</v>
      </c>
      <c r="L19" s="646">
        <v>44594</v>
      </c>
      <c r="M19" s="654">
        <f>VLOOKUP(G:G,list!B:E,4,FALSE)</f>
        <v>0.1</v>
      </c>
      <c r="N19" s="655">
        <f t="shared" si="0"/>
        <v>4459</v>
      </c>
      <c r="O19" s="655">
        <f t="shared" si="1"/>
        <v>40135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9</v>
      </c>
      <c r="F20" s="564" t="s">
        <v>209</v>
      </c>
      <c r="G20" s="564" t="s">
        <v>30</v>
      </c>
      <c r="H20" s="565">
        <v>44409</v>
      </c>
      <c r="I20" s="652">
        <v>46143</v>
      </c>
      <c r="J20" s="653">
        <v>23710.5</v>
      </c>
      <c r="K20" s="567">
        <v>0.6</v>
      </c>
      <c r="L20" s="646">
        <v>14226</v>
      </c>
      <c r="M20" s="654">
        <f>VLOOKUP(G:G,list!B:E,4,FALSE)</f>
        <v>0.1</v>
      </c>
      <c r="N20" s="655">
        <f t="shared" si="0"/>
        <v>1423</v>
      </c>
      <c r="O20" s="655">
        <f t="shared" si="1"/>
        <v>12803</v>
      </c>
      <c r="P20" s="645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9</v>
      </c>
      <c r="F21" s="564" t="s">
        <v>209</v>
      </c>
      <c r="G21" s="564" t="s">
        <v>501</v>
      </c>
      <c r="H21" s="565">
        <v>44851</v>
      </c>
      <c r="I21" s="652">
        <v>46143</v>
      </c>
      <c r="J21" s="653">
        <v>-10152</v>
      </c>
      <c r="K21" s="567">
        <v>0.6</v>
      </c>
      <c r="L21" s="646">
        <v>-7106</v>
      </c>
      <c r="M21" s="654" t="str">
        <f>VLOOKUP(G:G,list!B:E,4,FALSE)</f>
        <v>-</v>
      </c>
      <c r="N21" s="655">
        <f t="shared" si="0"/>
        <v>0</v>
      </c>
      <c r="O21" s="655">
        <f t="shared" si="1"/>
        <v>-7106</v>
      </c>
      <c r="P21" s="645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9</v>
      </c>
      <c r="F22" s="564" t="s">
        <v>209</v>
      </c>
      <c r="G22" s="564" t="s">
        <v>316</v>
      </c>
      <c r="H22" s="565">
        <v>44926</v>
      </c>
      <c r="I22" s="652">
        <v>46143</v>
      </c>
      <c r="J22" s="653">
        <v>36882.9</v>
      </c>
      <c r="K22" s="567">
        <v>0.6</v>
      </c>
      <c r="L22" s="646">
        <v>22130</v>
      </c>
      <c r="M22" s="654">
        <f>VLOOKUP(G:G,list!B:E,4,FALSE)</f>
        <v>0.1</v>
      </c>
      <c r="N22" s="655">
        <f t="shared" si="0"/>
        <v>2213</v>
      </c>
      <c r="O22" s="655">
        <f t="shared" si="1"/>
        <v>19917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9</v>
      </c>
      <c r="F23" s="564" t="s">
        <v>209</v>
      </c>
      <c r="G23" s="564" t="s">
        <v>308</v>
      </c>
      <c r="H23" s="565">
        <v>44944</v>
      </c>
      <c r="I23" s="652">
        <v>46143</v>
      </c>
      <c r="J23" s="653">
        <v>0</v>
      </c>
      <c r="K23" s="567">
        <v>0.6</v>
      </c>
      <c r="L23" s="646">
        <v>0</v>
      </c>
      <c r="M23" s="654" t="str">
        <f>VLOOKUP(G:G,list!B:E,4,FALSE)</f>
        <v>-</v>
      </c>
      <c r="N23" s="655">
        <f t="shared" si="0"/>
        <v>0</v>
      </c>
      <c r="O23" s="655">
        <f t="shared" si="1"/>
        <v>0</v>
      </c>
      <c r="P23" s="645" t="s">
        <v>366</v>
      </c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9</v>
      </c>
      <c r="F24" s="564" t="s">
        <v>209</v>
      </c>
      <c r="G24" s="564" t="s">
        <v>447</v>
      </c>
      <c r="H24" s="565">
        <v>44969</v>
      </c>
      <c r="I24" s="652">
        <v>46143</v>
      </c>
      <c r="J24" s="653">
        <v>64727.9</v>
      </c>
      <c r="K24" s="567">
        <v>0.6</v>
      </c>
      <c r="L24" s="646">
        <v>38837</v>
      </c>
      <c r="M24" s="654">
        <f>VLOOKUP(G:G,list!B:E,4,FALSE)</f>
        <v>0.1</v>
      </c>
      <c r="N24" s="655">
        <f t="shared" si="0"/>
        <v>3884</v>
      </c>
      <c r="O24" s="655">
        <f t="shared" si="1"/>
        <v>34953</v>
      </c>
      <c r="P24" s="645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9</v>
      </c>
      <c r="F25" s="564" t="s">
        <v>209</v>
      </c>
      <c r="G25" s="564" t="s">
        <v>481</v>
      </c>
      <c r="H25" s="565">
        <v>44981</v>
      </c>
      <c r="I25" s="652">
        <v>46143</v>
      </c>
      <c r="J25" s="653">
        <v>720</v>
      </c>
      <c r="K25" s="567">
        <v>0.6</v>
      </c>
      <c r="L25" s="646">
        <v>432</v>
      </c>
      <c r="M25" s="654">
        <f>VLOOKUP(G:G,list!B:E,4,FALSE)</f>
        <v>0.1</v>
      </c>
      <c r="N25" s="655">
        <f t="shared" si="0"/>
        <v>43</v>
      </c>
      <c r="O25" s="655">
        <f t="shared" si="1"/>
        <v>389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9</v>
      </c>
      <c r="F26" s="564" t="s">
        <v>209</v>
      </c>
      <c r="G26" s="564" t="s">
        <v>56</v>
      </c>
      <c r="H26" s="565">
        <v>44988</v>
      </c>
      <c r="I26" s="652">
        <v>46143</v>
      </c>
      <c r="J26" s="653">
        <v>21078.7</v>
      </c>
      <c r="K26" s="567">
        <v>0.6</v>
      </c>
      <c r="L26" s="646">
        <v>12647</v>
      </c>
      <c r="M26" s="654">
        <f>VLOOKUP(G:G,list!B:E,4,FALSE)</f>
        <v>0.1</v>
      </c>
      <c r="N26" s="655">
        <f t="shared" si="0"/>
        <v>1265</v>
      </c>
      <c r="O26" s="655">
        <f t="shared" si="1"/>
        <v>11382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9</v>
      </c>
      <c r="F27" s="564" t="s">
        <v>209</v>
      </c>
      <c r="G27" s="564" t="s">
        <v>352</v>
      </c>
      <c r="H27" s="565">
        <v>45033</v>
      </c>
      <c r="I27" s="652">
        <v>46143</v>
      </c>
      <c r="J27" s="653">
        <v>-2808</v>
      </c>
      <c r="K27" s="567">
        <v>0.6</v>
      </c>
      <c r="L27" s="646">
        <v>-1685</v>
      </c>
      <c r="M27" s="654">
        <f>VLOOKUP(G:G,list!B:E,4,FALSE)</f>
        <v>0.1</v>
      </c>
      <c r="N27" s="655">
        <f t="shared" si="0"/>
        <v>-169</v>
      </c>
      <c r="O27" s="655">
        <f t="shared" si="1"/>
        <v>-1516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9</v>
      </c>
      <c r="F28" s="564" t="s">
        <v>209</v>
      </c>
      <c r="G28" s="564" t="s">
        <v>523</v>
      </c>
      <c r="H28" s="565">
        <v>45057</v>
      </c>
      <c r="I28" s="652">
        <v>46143</v>
      </c>
      <c r="J28" s="653">
        <v>3448</v>
      </c>
      <c r="K28" s="567">
        <v>0.6</v>
      </c>
      <c r="L28" s="646">
        <v>2069</v>
      </c>
      <c r="M28" s="654" t="str">
        <f>VLOOKUP(G:G,list!B:E,4,FALSE)</f>
        <v>-</v>
      </c>
      <c r="N28" s="655">
        <f t="shared" si="0"/>
        <v>0</v>
      </c>
      <c r="O28" s="655">
        <f t="shared" si="1"/>
        <v>2069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9</v>
      </c>
      <c r="F29" s="564" t="s">
        <v>209</v>
      </c>
      <c r="G29" s="564" t="s">
        <v>353</v>
      </c>
      <c r="H29" s="565">
        <v>45057</v>
      </c>
      <c r="I29" s="652">
        <v>46143</v>
      </c>
      <c r="J29" s="653">
        <v>65356.7</v>
      </c>
      <c r="K29" s="567">
        <v>0.6</v>
      </c>
      <c r="L29" s="646">
        <v>39214</v>
      </c>
      <c r="M29" s="654">
        <f>VLOOKUP(G:G,list!B:E,4,FALSE)</f>
        <v>0.11</v>
      </c>
      <c r="N29" s="655">
        <f t="shared" si="0"/>
        <v>4314</v>
      </c>
      <c r="O29" s="655">
        <f t="shared" si="1"/>
        <v>34900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9</v>
      </c>
      <c r="F30" s="564" t="s">
        <v>209</v>
      </c>
      <c r="G30" s="564" t="s">
        <v>315</v>
      </c>
      <c r="H30" s="565">
        <v>45083</v>
      </c>
      <c r="I30" s="652">
        <v>46143</v>
      </c>
      <c r="J30" s="653">
        <v>24804.9</v>
      </c>
      <c r="K30" s="567">
        <v>0.6</v>
      </c>
      <c r="L30" s="646">
        <v>14883</v>
      </c>
      <c r="M30" s="654" t="str">
        <f>VLOOKUP(G:G,list!B:E,4,FALSE)</f>
        <v>-</v>
      </c>
      <c r="N30" s="655">
        <f t="shared" si="0"/>
        <v>0</v>
      </c>
      <c r="O30" s="655">
        <f t="shared" si="1"/>
        <v>14883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9</v>
      </c>
      <c r="F31" s="564" t="s">
        <v>209</v>
      </c>
      <c r="G31" s="564" t="s">
        <v>533</v>
      </c>
      <c r="H31" s="565">
        <v>45204</v>
      </c>
      <c r="I31" s="652">
        <v>46143</v>
      </c>
      <c r="J31" s="653">
        <v>25993.599999999999</v>
      </c>
      <c r="K31" s="567">
        <v>0.6</v>
      </c>
      <c r="L31" s="646">
        <v>15597</v>
      </c>
      <c r="M31" s="654" t="str">
        <f>VLOOKUP(G:G,list!B:E,4,FALSE)</f>
        <v>-</v>
      </c>
      <c r="N31" s="655">
        <f t="shared" si="0"/>
        <v>0</v>
      </c>
      <c r="O31" s="655">
        <f t="shared" si="1"/>
        <v>15597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9</v>
      </c>
      <c r="F32" s="564" t="s">
        <v>209</v>
      </c>
      <c r="G32" s="564" t="s">
        <v>534</v>
      </c>
      <c r="H32" s="565">
        <v>45236</v>
      </c>
      <c r="I32" s="652">
        <v>46143</v>
      </c>
      <c r="J32" s="653">
        <v>59699.9</v>
      </c>
      <c r="K32" s="567">
        <v>0.6</v>
      </c>
      <c r="L32" s="646">
        <v>35821</v>
      </c>
      <c r="M32" s="654">
        <f>VLOOKUP(G:G,list!B:E,4,FALSE)</f>
        <v>0.1</v>
      </c>
      <c r="N32" s="655">
        <f t="shared" si="0"/>
        <v>3582</v>
      </c>
      <c r="O32" s="655">
        <f t="shared" si="1"/>
        <v>32239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9</v>
      </c>
      <c r="F33" s="564" t="s">
        <v>73</v>
      </c>
      <c r="G33" s="564" t="s">
        <v>30</v>
      </c>
      <c r="H33" s="565">
        <v>44359</v>
      </c>
      <c r="I33" s="652">
        <v>46113</v>
      </c>
      <c r="J33" s="653">
        <v>108811</v>
      </c>
      <c r="K33" s="567">
        <v>0.224</v>
      </c>
      <c r="L33" s="646">
        <v>21945</v>
      </c>
      <c r="M33" s="654">
        <f>VLOOKUP(G:G,list!B:E,4,FALSE)</f>
        <v>0.1</v>
      </c>
      <c r="N33" s="655">
        <f t="shared" si="0"/>
        <v>2195</v>
      </c>
      <c r="O33" s="655">
        <f t="shared" si="1"/>
        <v>19750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9</v>
      </c>
      <c r="F34" s="564" t="s">
        <v>73</v>
      </c>
      <c r="G34" s="564" t="s">
        <v>56</v>
      </c>
      <c r="H34" s="565">
        <v>44629</v>
      </c>
      <c r="I34" s="652">
        <v>46113</v>
      </c>
      <c r="J34" s="653">
        <v>781046</v>
      </c>
      <c r="K34" s="567">
        <v>0.224</v>
      </c>
      <c r="L34" s="646">
        <v>157462</v>
      </c>
      <c r="M34" s="654">
        <f>VLOOKUP(G:G,list!B:E,4,FALSE)</f>
        <v>0.1</v>
      </c>
      <c r="N34" s="655">
        <f t="shared" si="0"/>
        <v>15746</v>
      </c>
      <c r="O34" s="655">
        <f t="shared" si="1"/>
        <v>141716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9</v>
      </c>
      <c r="F35" s="564" t="s">
        <v>73</v>
      </c>
      <c r="G35" s="564" t="s">
        <v>308</v>
      </c>
      <c r="H35" s="565">
        <v>44773</v>
      </c>
      <c r="I35" s="652">
        <v>46113</v>
      </c>
      <c r="J35" s="653">
        <v>0</v>
      </c>
      <c r="K35" s="567">
        <v>0.224</v>
      </c>
      <c r="L35" s="646">
        <v>0</v>
      </c>
      <c r="M35" s="654" t="str">
        <f>VLOOKUP(G:G,list!B:E,4,FALSE)</f>
        <v>-</v>
      </c>
      <c r="N35" s="655">
        <f t="shared" si="0"/>
        <v>0</v>
      </c>
      <c r="O35" s="655">
        <f t="shared" si="1"/>
        <v>0</v>
      </c>
      <c r="P35" s="645" t="s">
        <v>366</v>
      </c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9</v>
      </c>
      <c r="F36" s="564" t="s">
        <v>73</v>
      </c>
      <c r="G36" s="564" t="s">
        <v>316</v>
      </c>
      <c r="H36" s="565">
        <v>44784</v>
      </c>
      <c r="I36" s="652">
        <v>46113</v>
      </c>
      <c r="J36" s="653">
        <v>143562</v>
      </c>
      <c r="K36" s="567">
        <v>0.224</v>
      </c>
      <c r="L36" s="646">
        <v>28945</v>
      </c>
      <c r="M36" s="654">
        <f>VLOOKUP(G:G,list!B:E,4,FALSE)</f>
        <v>0.1</v>
      </c>
      <c r="N36" s="655">
        <f t="shared" si="0"/>
        <v>2895</v>
      </c>
      <c r="O36" s="655">
        <f t="shared" si="1"/>
        <v>26050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9</v>
      </c>
      <c r="F37" s="564" t="s">
        <v>73</v>
      </c>
      <c r="G37" s="564" t="s">
        <v>353</v>
      </c>
      <c r="H37" s="565">
        <v>44808</v>
      </c>
      <c r="I37" s="652">
        <v>46113</v>
      </c>
      <c r="J37" s="653">
        <v>31902</v>
      </c>
      <c r="K37" s="567">
        <v>0.224</v>
      </c>
      <c r="L37" s="646">
        <v>6436</v>
      </c>
      <c r="M37" s="654">
        <f>VLOOKUP(G:G,list!B:E,4,FALSE)</f>
        <v>0.11</v>
      </c>
      <c r="N37" s="655">
        <f t="shared" si="0"/>
        <v>708</v>
      </c>
      <c r="O37" s="655">
        <f t="shared" si="1"/>
        <v>5728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9</v>
      </c>
      <c r="F38" s="564" t="s">
        <v>73</v>
      </c>
      <c r="G38" s="564" t="s">
        <v>352</v>
      </c>
      <c r="H38" s="565">
        <v>44813</v>
      </c>
      <c r="I38" s="652">
        <v>46113</v>
      </c>
      <c r="J38" s="653">
        <v>104823</v>
      </c>
      <c r="K38" s="567">
        <v>0.224</v>
      </c>
      <c r="L38" s="646">
        <v>21136</v>
      </c>
      <c r="M38" s="654">
        <f>VLOOKUP(G:G,list!B:E,4,FALSE)</f>
        <v>0.1</v>
      </c>
      <c r="N38" s="655">
        <f t="shared" si="0"/>
        <v>2114</v>
      </c>
      <c r="O38" s="655">
        <f t="shared" si="1"/>
        <v>19022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9</v>
      </c>
      <c r="F39" s="564" t="s">
        <v>73</v>
      </c>
      <c r="G39" s="564" t="s">
        <v>315</v>
      </c>
      <c r="H39" s="565">
        <v>44825</v>
      </c>
      <c r="I39" s="652">
        <v>46113</v>
      </c>
      <c r="J39" s="653">
        <v>55829</v>
      </c>
      <c r="K39" s="567">
        <v>0.224</v>
      </c>
      <c r="L39" s="646">
        <v>11263</v>
      </c>
      <c r="M39" s="654" t="str">
        <f>VLOOKUP(G:G,list!B:E,4,FALSE)</f>
        <v>-</v>
      </c>
      <c r="N39" s="655">
        <f t="shared" si="0"/>
        <v>0</v>
      </c>
      <c r="O39" s="655">
        <f t="shared" si="1"/>
        <v>11263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9</v>
      </c>
      <c r="F40" s="564" t="s">
        <v>73</v>
      </c>
      <c r="G40" s="564" t="s">
        <v>447</v>
      </c>
      <c r="H40" s="565">
        <v>45035</v>
      </c>
      <c r="I40" s="652">
        <v>46113</v>
      </c>
      <c r="J40" s="653">
        <v>1594565</v>
      </c>
      <c r="K40" s="567">
        <v>0.224</v>
      </c>
      <c r="L40" s="646">
        <v>321469</v>
      </c>
      <c r="M40" s="654">
        <f>VLOOKUP(G:G,list!B:E,4,FALSE)</f>
        <v>0.1</v>
      </c>
      <c r="N40" s="655">
        <f t="shared" si="0"/>
        <v>32147</v>
      </c>
      <c r="O40" s="655">
        <f t="shared" si="1"/>
        <v>289322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9</v>
      </c>
      <c r="F41" s="564" t="s">
        <v>73</v>
      </c>
      <c r="G41" s="564" t="s">
        <v>501</v>
      </c>
      <c r="H41" s="565">
        <v>45116</v>
      </c>
      <c r="I41" s="652">
        <v>46113</v>
      </c>
      <c r="J41" s="653">
        <v>0</v>
      </c>
      <c r="K41" s="567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645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9</v>
      </c>
      <c r="F42" s="564" t="s">
        <v>73</v>
      </c>
      <c r="G42" s="564" t="s">
        <v>481</v>
      </c>
      <c r="H42" s="565">
        <v>45237</v>
      </c>
      <c r="I42" s="652">
        <v>46113</v>
      </c>
      <c r="J42" s="653">
        <v>35890</v>
      </c>
      <c r="K42" s="567">
        <v>0.224</v>
      </c>
      <c r="L42" s="646">
        <v>7236</v>
      </c>
      <c r="M42" s="654">
        <f>VLOOKUP(G:G,list!B:E,4,FALSE)</f>
        <v>0.1</v>
      </c>
      <c r="N42" s="655">
        <f t="shared" si="0"/>
        <v>724</v>
      </c>
      <c r="O42" s="655">
        <f t="shared" si="1"/>
        <v>6512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9</v>
      </c>
      <c r="F43" s="564" t="s">
        <v>73</v>
      </c>
      <c r="G43" s="564" t="s">
        <v>534</v>
      </c>
      <c r="H43" s="565">
        <v>45364</v>
      </c>
      <c r="I43" s="652">
        <v>46113</v>
      </c>
      <c r="J43" s="653">
        <v>1268132</v>
      </c>
      <c r="K43" s="567">
        <v>0.224</v>
      </c>
      <c r="L43" s="646">
        <v>255661</v>
      </c>
      <c r="M43" s="654">
        <f>VLOOKUP(G:G,list!B:E,4,FALSE)</f>
        <v>0.1</v>
      </c>
      <c r="N43" s="655">
        <f t="shared" si="0"/>
        <v>25566</v>
      </c>
      <c r="O43" s="655">
        <f t="shared" si="1"/>
        <v>230095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9</v>
      </c>
      <c r="F44" s="564" t="s">
        <v>73</v>
      </c>
      <c r="G44" s="564" t="s">
        <v>533</v>
      </c>
      <c r="H44" s="565">
        <v>45412</v>
      </c>
      <c r="I44" s="652">
        <v>46113</v>
      </c>
      <c r="J44" s="653">
        <v>308772</v>
      </c>
      <c r="K44" s="567">
        <v>0.224</v>
      </c>
      <c r="L44" s="646">
        <v>62254</v>
      </c>
      <c r="M44" s="654" t="str">
        <f>VLOOKUP(G:G,list!B:E,4,FALSE)</f>
        <v>-</v>
      </c>
      <c r="N44" s="655">
        <f t="shared" si="0"/>
        <v>0</v>
      </c>
      <c r="O44" s="655">
        <f t="shared" si="1"/>
        <v>62254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32</v>
      </c>
      <c r="E45" s="564" t="s">
        <v>9</v>
      </c>
      <c r="F45" s="564" t="s">
        <v>126</v>
      </c>
      <c r="G45" s="564" t="s">
        <v>364</v>
      </c>
      <c r="H45" s="565">
        <v>45901</v>
      </c>
      <c r="I45" s="652">
        <v>46143</v>
      </c>
      <c r="J45" s="653">
        <v>0</v>
      </c>
      <c r="K45" s="567">
        <v>0.35</v>
      </c>
      <c r="L45" s="646">
        <v>0</v>
      </c>
      <c r="M45" s="654">
        <f>VLOOKUP(G:G,list!B:E,4,FALSE)</f>
        <v>0.1</v>
      </c>
      <c r="N45" s="655">
        <f t="shared" si="0"/>
        <v>0</v>
      </c>
      <c r="O45" s="655">
        <f t="shared" si="1"/>
        <v>0</v>
      </c>
      <c r="P45" s="645" t="s">
        <v>366</v>
      </c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46143</v>
      </c>
      <c r="J46" s="653">
        <v>1080</v>
      </c>
      <c r="K46" s="567" t="s">
        <v>532</v>
      </c>
      <c r="L46" s="646">
        <v>378</v>
      </c>
      <c r="M46" s="654" t="str">
        <f>VLOOKUP(G:G,list!B:E,4,FALSE)</f>
        <v>-</v>
      </c>
      <c r="N46" s="655">
        <f t="shared" si="0"/>
        <v>0</v>
      </c>
      <c r="O46" s="655">
        <f t="shared" si="1"/>
        <v>378</v>
      </c>
      <c r="P46" s="645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46143</v>
      </c>
      <c r="J47" s="653">
        <v>10260</v>
      </c>
      <c r="K47" s="567" t="s">
        <v>532</v>
      </c>
      <c r="L47" s="646">
        <v>3591</v>
      </c>
      <c r="M47" s="654" t="str">
        <f>VLOOKUP(G:G,list!B:E,4,FALSE)</f>
        <v>-</v>
      </c>
      <c r="N47" s="655">
        <f t="shared" si="0"/>
        <v>0</v>
      </c>
      <c r="O47" s="655">
        <f t="shared" si="1"/>
        <v>3591</v>
      </c>
      <c r="P47" s="645"/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52">
        <v>46113</v>
      </c>
      <c r="J48" s="653">
        <v>39349</v>
      </c>
      <c r="K48" s="567">
        <v>0.5</v>
      </c>
      <c r="L48" s="646">
        <v>19675</v>
      </c>
      <c r="M48" s="654" t="str">
        <f>VLOOKUP(G:G,list!B:E,4,FALSE)</f>
        <v>-</v>
      </c>
      <c r="N48" s="655">
        <f t="shared" si="0"/>
        <v>0</v>
      </c>
      <c r="O48" s="655">
        <f t="shared" si="1"/>
        <v>19675</v>
      </c>
      <c r="P48" s="645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52">
        <v>46113</v>
      </c>
      <c r="J49" s="653">
        <v>3133</v>
      </c>
      <c r="K49" s="567">
        <v>0.5</v>
      </c>
      <c r="L49" s="646">
        <v>1567</v>
      </c>
      <c r="M49" s="654" t="str">
        <f>VLOOKUP(G:G,list!B:E,4,FALSE)</f>
        <v>-</v>
      </c>
      <c r="N49" s="655">
        <f t="shared" si="0"/>
        <v>0</v>
      </c>
      <c r="O49" s="655">
        <f t="shared" si="1"/>
        <v>1567</v>
      </c>
      <c r="P49" s="645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46143</v>
      </c>
      <c r="J50" s="653">
        <v>3310</v>
      </c>
      <c r="K50" s="567">
        <v>0.4</v>
      </c>
      <c r="L50" s="646">
        <v>1324</v>
      </c>
      <c r="M50" s="654">
        <f>VLOOKUP(G:G,list!B:E,4,FALSE)</f>
        <v>0.1</v>
      </c>
      <c r="N50" s="655">
        <f t="shared" si="0"/>
        <v>132</v>
      </c>
      <c r="O50" s="655">
        <f t="shared" si="1"/>
        <v>1192</v>
      </c>
      <c r="P50" s="645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46143</v>
      </c>
      <c r="J51" s="653">
        <v>93883</v>
      </c>
      <c r="K51" s="567">
        <v>0.4</v>
      </c>
      <c r="L51" s="646">
        <v>37553</v>
      </c>
      <c r="M51" s="654" t="str">
        <f>VLOOKUP(G:G,list!B:E,4,FALSE)</f>
        <v>-</v>
      </c>
      <c r="N51" s="655">
        <f t="shared" si="0"/>
        <v>0</v>
      </c>
      <c r="O51" s="655">
        <f t="shared" si="1"/>
        <v>37553</v>
      </c>
      <c r="P51" s="645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46143</v>
      </c>
      <c r="J52" s="653">
        <v>0</v>
      </c>
      <c r="K52" s="567">
        <v>0.4</v>
      </c>
      <c r="L52" s="646">
        <v>0</v>
      </c>
      <c r="M52" s="654" t="str">
        <f>VLOOKUP(G:G,list!B:E,4,FALSE)</f>
        <v>-</v>
      </c>
      <c r="N52" s="655">
        <f t="shared" si="0"/>
        <v>0</v>
      </c>
      <c r="O52" s="655">
        <f t="shared" si="1"/>
        <v>0</v>
      </c>
      <c r="P52" s="645" t="s">
        <v>366</v>
      </c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46143</v>
      </c>
      <c r="J53" s="653">
        <v>0</v>
      </c>
      <c r="K53" s="567">
        <v>0.4</v>
      </c>
      <c r="L53" s="646">
        <v>0</v>
      </c>
      <c r="M53" s="654" t="str">
        <f>VLOOKUP(G:G,list!B:E,4,FALSE)</f>
        <v>-</v>
      </c>
      <c r="N53" s="655">
        <f t="shared" si="0"/>
        <v>0</v>
      </c>
      <c r="O53" s="655">
        <f t="shared" si="1"/>
        <v>0</v>
      </c>
      <c r="P53" s="645" t="s">
        <v>366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46143</v>
      </c>
      <c r="J54" s="653">
        <v>75663</v>
      </c>
      <c r="K54" s="567">
        <v>0.4</v>
      </c>
      <c r="L54" s="646">
        <v>30265</v>
      </c>
      <c r="M54" s="654" t="str">
        <f>VLOOKUP(G:G,list!B:E,4,FALSE)</f>
        <v>-</v>
      </c>
      <c r="N54" s="655">
        <f t="shared" si="0"/>
        <v>0</v>
      </c>
      <c r="O54" s="655">
        <f t="shared" si="1"/>
        <v>30265</v>
      </c>
      <c r="P54" s="645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46143</v>
      </c>
      <c r="J55" s="653">
        <v>42353</v>
      </c>
      <c r="K55" s="567">
        <v>0.4</v>
      </c>
      <c r="L55" s="646">
        <v>16941</v>
      </c>
      <c r="M55" s="654">
        <f>VLOOKUP(G:G,list!B:E,4,FALSE)</f>
        <v>0.1</v>
      </c>
      <c r="N55" s="655">
        <f t="shared" si="0"/>
        <v>1694</v>
      </c>
      <c r="O55" s="655">
        <f t="shared" si="1"/>
        <v>15247</v>
      </c>
      <c r="P55" s="645"/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46143</v>
      </c>
      <c r="J56" s="653">
        <v>2428</v>
      </c>
      <c r="K56" s="567">
        <v>0.5</v>
      </c>
      <c r="L56" s="646">
        <v>1214</v>
      </c>
      <c r="M56" s="654" t="str">
        <f>VLOOKUP(G:G,list!B:E,4,FALSE)</f>
        <v>-</v>
      </c>
      <c r="N56" s="655">
        <f t="shared" si="0"/>
        <v>0</v>
      </c>
      <c r="O56" s="655">
        <f t="shared" si="1"/>
        <v>1214</v>
      </c>
      <c r="P56" s="645"/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46143</v>
      </c>
      <c r="J57" s="653">
        <v>14742</v>
      </c>
      <c r="K57" s="567">
        <v>0.5</v>
      </c>
      <c r="L57" s="646">
        <v>7371</v>
      </c>
      <c r="M57" s="654" t="str">
        <f>VLOOKUP(G:G,list!B:E,4,FALSE)</f>
        <v>-</v>
      </c>
      <c r="N57" s="655">
        <f t="shared" si="0"/>
        <v>0</v>
      </c>
      <c r="O57" s="655">
        <f t="shared" si="1"/>
        <v>7371</v>
      </c>
      <c r="P57" s="645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46113</v>
      </c>
      <c r="J58" s="653">
        <v>33970</v>
      </c>
      <c r="K58" s="567">
        <v>0.3</v>
      </c>
      <c r="L58" s="646">
        <v>10191</v>
      </c>
      <c r="M58" s="654" t="str">
        <f>VLOOKUP(G:G,list!B:E,4,FALSE)</f>
        <v>-</v>
      </c>
      <c r="N58" s="655">
        <f t="shared" si="0"/>
        <v>0</v>
      </c>
      <c r="O58" s="655">
        <f t="shared" si="1"/>
        <v>10191</v>
      </c>
      <c r="P58" s="645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46113</v>
      </c>
      <c r="J59" s="653">
        <v>11868</v>
      </c>
      <c r="K59" s="567">
        <v>0.5</v>
      </c>
      <c r="L59" s="646">
        <v>5934</v>
      </c>
      <c r="M59" s="654">
        <f>VLOOKUP(G:G,list!B:E,4,FALSE)</f>
        <v>0.1</v>
      </c>
      <c r="N59" s="655">
        <f t="shared" si="0"/>
        <v>593</v>
      </c>
      <c r="O59" s="655">
        <f t="shared" si="1"/>
        <v>5341</v>
      </c>
      <c r="P59" s="645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46113</v>
      </c>
      <c r="J60" s="653">
        <v>13370</v>
      </c>
      <c r="K60" s="567">
        <v>0.5</v>
      </c>
      <c r="L60" s="646">
        <v>6685</v>
      </c>
      <c r="M60" s="654" t="str">
        <f>VLOOKUP(G:G,list!B:E,4,FALSE)</f>
        <v>-</v>
      </c>
      <c r="N60" s="655">
        <f t="shared" si="0"/>
        <v>0</v>
      </c>
      <c r="O60" s="655">
        <f t="shared" si="1"/>
        <v>6685</v>
      </c>
      <c r="P60" s="645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46113</v>
      </c>
      <c r="J61" s="653">
        <v>35956</v>
      </c>
      <c r="K61" s="567">
        <v>0.5</v>
      </c>
      <c r="L61" s="646">
        <v>17978</v>
      </c>
      <c r="M61" s="654">
        <f>VLOOKUP(G:G,list!B:E,4,FALSE)</f>
        <v>0.1</v>
      </c>
      <c r="N61" s="655">
        <f t="shared" si="0"/>
        <v>1798</v>
      </c>
      <c r="O61" s="655">
        <f t="shared" si="1"/>
        <v>16180</v>
      </c>
      <c r="P61" s="645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46113</v>
      </c>
      <c r="J62" s="653">
        <v>22756</v>
      </c>
      <c r="K62" s="567">
        <v>0.5</v>
      </c>
      <c r="L62" s="646">
        <v>11378</v>
      </c>
      <c r="M62" s="654">
        <f>VLOOKUP(G:G,list!B:E,4,FALSE)</f>
        <v>0.11</v>
      </c>
      <c r="N62" s="655">
        <f t="shared" si="0"/>
        <v>1252</v>
      </c>
      <c r="O62" s="655">
        <f t="shared" si="1"/>
        <v>10126</v>
      </c>
      <c r="P62" s="645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46113</v>
      </c>
      <c r="J63" s="653">
        <v>310952</v>
      </c>
      <c r="K63" s="567">
        <v>0.7</v>
      </c>
      <c r="L63" s="646">
        <v>217997</v>
      </c>
      <c r="M63" s="654">
        <f>VLOOKUP(G:G,list!B:E,4,FALSE)</f>
        <v>0.1</v>
      </c>
      <c r="N63" s="655">
        <f t="shared" si="0"/>
        <v>21800</v>
      </c>
      <c r="O63" s="655">
        <f t="shared" si="1"/>
        <v>196197</v>
      </c>
      <c r="P63" s="645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46113</v>
      </c>
      <c r="J64" s="653">
        <v>950163.73340699996</v>
      </c>
      <c r="K64" s="567">
        <v>0.35</v>
      </c>
      <c r="L64" s="646">
        <v>332557</v>
      </c>
      <c r="M64" s="654">
        <f>VLOOKUP(G:G,list!B:E,4,FALSE)</f>
        <v>0.1</v>
      </c>
      <c r="N64" s="655">
        <f t="shared" si="0"/>
        <v>33256</v>
      </c>
      <c r="O64" s="655">
        <f t="shared" si="1"/>
        <v>299301</v>
      </c>
      <c r="P64" s="645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538</v>
      </c>
      <c r="E65" s="564" t="s">
        <v>9</v>
      </c>
      <c r="F65" s="564" t="s">
        <v>519</v>
      </c>
      <c r="G65" s="564" t="s">
        <v>316</v>
      </c>
      <c r="H65" s="565">
        <v>45446</v>
      </c>
      <c r="I65" s="652">
        <v>46143</v>
      </c>
      <c r="J65" s="653">
        <v>0</v>
      </c>
      <c r="K65" s="567">
        <v>0.7</v>
      </c>
      <c r="L65" s="646">
        <v>0</v>
      </c>
      <c r="M65" s="654">
        <f>VLOOKUP(G:G,list!B:E,4,FALSE)</f>
        <v>0.1</v>
      </c>
      <c r="N65" s="655">
        <f t="shared" si="0"/>
        <v>0</v>
      </c>
      <c r="O65" s="655">
        <f t="shared" si="1"/>
        <v>0</v>
      </c>
      <c r="P65" s="645" t="s">
        <v>366</v>
      </c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549</v>
      </c>
      <c r="E66" s="564" t="s">
        <v>9</v>
      </c>
      <c r="F66" s="564" t="s">
        <v>519</v>
      </c>
      <c r="G66" s="564" t="s">
        <v>316</v>
      </c>
      <c r="H66" s="565">
        <v>45524</v>
      </c>
      <c r="I66" s="652">
        <v>46143</v>
      </c>
      <c r="J66" s="653">
        <v>0</v>
      </c>
      <c r="K66" s="567">
        <v>0.7</v>
      </c>
      <c r="L66" s="646">
        <v>0</v>
      </c>
      <c r="M66" s="654">
        <f>VLOOKUP(G:G,list!B:E,4,FALSE)</f>
        <v>0.1</v>
      </c>
      <c r="N66" s="655">
        <f t="shared" si="0"/>
        <v>0</v>
      </c>
      <c r="O66" s="655">
        <f t="shared" si="1"/>
        <v>0</v>
      </c>
      <c r="P66" s="645" t="s">
        <v>366</v>
      </c>
      <c r="Q66" s="672" t="str">
        <f>VLOOKUP(G:G,list!B:F,5,FALSE)</f>
        <v>웹소설본부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123</v>
      </c>
      <c r="E67" s="564" t="s">
        <v>9</v>
      </c>
      <c r="F67" s="564" t="s">
        <v>519</v>
      </c>
      <c r="G67" s="564" t="s">
        <v>316</v>
      </c>
      <c r="H67" s="565">
        <v>45536</v>
      </c>
      <c r="I67" s="652">
        <v>46143</v>
      </c>
      <c r="J67" s="653">
        <v>0</v>
      </c>
      <c r="K67" s="567">
        <v>0.7</v>
      </c>
      <c r="L67" s="646">
        <v>0</v>
      </c>
      <c r="M67" s="654">
        <f>VLOOKUP(G:G,list!B:E,4,FALSE)</f>
        <v>0.1</v>
      </c>
      <c r="N67" s="655">
        <f t="shared" si="0"/>
        <v>0</v>
      </c>
      <c r="O67" s="655">
        <f t="shared" si="1"/>
        <v>0</v>
      </c>
      <c r="P67" s="645" t="s">
        <v>366</v>
      </c>
      <c r="Q67" s="672" t="str">
        <f>VLOOKUP(G:G,list!B:F,5,FALSE)</f>
        <v>웹소설본부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132</v>
      </c>
      <c r="E68" s="564" t="s">
        <v>9</v>
      </c>
      <c r="F68" s="564" t="s">
        <v>519</v>
      </c>
      <c r="G68" s="564" t="s">
        <v>316</v>
      </c>
      <c r="H68" s="565">
        <v>44945</v>
      </c>
      <c r="I68" s="652">
        <v>46143</v>
      </c>
      <c r="J68" s="653">
        <v>0</v>
      </c>
      <c r="K68" s="567">
        <v>0.5</v>
      </c>
      <c r="L68" s="646">
        <v>0</v>
      </c>
      <c r="M68" s="654">
        <f>VLOOKUP(G:G,list!B:E,4,FALSE)</f>
        <v>0.1</v>
      </c>
      <c r="N68" s="655">
        <f t="shared" si="0"/>
        <v>0</v>
      </c>
      <c r="O68" s="655">
        <f t="shared" si="1"/>
        <v>0</v>
      </c>
      <c r="P68" s="645" t="s">
        <v>366</v>
      </c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183</v>
      </c>
      <c r="E69" s="564" t="s">
        <v>9</v>
      </c>
      <c r="F69" s="564" t="s">
        <v>519</v>
      </c>
      <c r="G69" s="564" t="s">
        <v>316</v>
      </c>
      <c r="H69" s="565">
        <v>45702</v>
      </c>
      <c r="I69" s="652">
        <v>46143</v>
      </c>
      <c r="J69" s="653">
        <v>0</v>
      </c>
      <c r="K69" s="567">
        <v>0.7</v>
      </c>
      <c r="L69" s="646">
        <v>0</v>
      </c>
      <c r="M69" s="654">
        <f>VLOOKUP(G:G,list!B:E,4,FALSE)</f>
        <v>0.1</v>
      </c>
      <c r="N69" s="655">
        <f t="shared" si="0"/>
        <v>0</v>
      </c>
      <c r="O69" s="655">
        <f t="shared" si="1"/>
        <v>0</v>
      </c>
      <c r="P69" s="645" t="s">
        <v>366</v>
      </c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617</v>
      </c>
      <c r="E70" s="564" t="s">
        <v>9</v>
      </c>
      <c r="F70" s="564" t="s">
        <v>519</v>
      </c>
      <c r="G70" s="564" t="s">
        <v>316</v>
      </c>
      <c r="H70" s="565">
        <v>45534</v>
      </c>
      <c r="I70" s="652">
        <v>46143</v>
      </c>
      <c r="J70" s="653">
        <v>0</v>
      </c>
      <c r="K70" s="567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645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132</v>
      </c>
      <c r="E71" s="564" t="s">
        <v>9</v>
      </c>
      <c r="F71" s="564" t="s">
        <v>519</v>
      </c>
      <c r="G71" s="564" t="s">
        <v>56</v>
      </c>
      <c r="H71" s="565">
        <v>44952</v>
      </c>
      <c r="I71" s="652">
        <v>46143</v>
      </c>
      <c r="J71" s="653">
        <v>0</v>
      </c>
      <c r="K71" s="567">
        <v>0.5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645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56</v>
      </c>
      <c r="H72" s="565">
        <v>45503</v>
      </c>
      <c r="I72" s="652">
        <v>46143</v>
      </c>
      <c r="J72" s="653">
        <v>0</v>
      </c>
      <c r="K72" s="567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645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56</v>
      </c>
      <c r="H73" s="565">
        <v>45547</v>
      </c>
      <c r="I73" s="652">
        <v>46143</v>
      </c>
      <c r="J73" s="653">
        <v>0</v>
      </c>
      <c r="K73" s="567">
        <v>0.5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645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30</v>
      </c>
      <c r="H74" s="565">
        <v>44953</v>
      </c>
      <c r="I74" s="652">
        <v>46143</v>
      </c>
      <c r="J74" s="653">
        <v>0</v>
      </c>
      <c r="K74" s="567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645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작가기획</v>
      </c>
      <c r="D75" s="564" t="s">
        <v>132</v>
      </c>
      <c r="E75" s="564" t="s">
        <v>9</v>
      </c>
      <c r="F75" s="564" t="s">
        <v>519</v>
      </c>
      <c r="G75" s="564" t="s">
        <v>308</v>
      </c>
      <c r="H75" s="565">
        <v>44992</v>
      </c>
      <c r="I75" s="652">
        <v>46143</v>
      </c>
      <c r="J75" s="653">
        <v>0</v>
      </c>
      <c r="K75" s="567">
        <v>0.5</v>
      </c>
      <c r="L75" s="646">
        <v>0</v>
      </c>
      <c r="M75" s="654" t="str">
        <f>VLOOKUP(G:G,list!B:E,4,FALSE)</f>
        <v>-</v>
      </c>
      <c r="N75" s="655">
        <f t="shared" si="0"/>
        <v>0</v>
      </c>
      <c r="O75" s="655">
        <f t="shared" si="1"/>
        <v>0</v>
      </c>
      <c r="P75" s="645" t="s">
        <v>366</v>
      </c>
      <c r="Q75" s="672" t="str">
        <f>VLOOKUP(G:G,list!B:F,5,FALSE)</f>
        <v>-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작가기획</v>
      </c>
      <c r="D76" s="564" t="s">
        <v>538</v>
      </c>
      <c r="E76" s="564" t="s">
        <v>9</v>
      </c>
      <c r="F76" s="564" t="s">
        <v>519</v>
      </c>
      <c r="G76" s="564" t="s">
        <v>308</v>
      </c>
      <c r="H76" s="565">
        <v>45610</v>
      </c>
      <c r="I76" s="652">
        <v>46143</v>
      </c>
      <c r="J76" s="653">
        <v>0</v>
      </c>
      <c r="K76" s="567">
        <v>0.5</v>
      </c>
      <c r="L76" s="646">
        <v>0</v>
      </c>
      <c r="M76" s="654" t="str">
        <f>VLOOKUP(G:G,list!B:E,4,FALSE)</f>
        <v>-</v>
      </c>
      <c r="N76" s="655">
        <f t="shared" si="0"/>
        <v>0</v>
      </c>
      <c r="O76" s="655">
        <f t="shared" si="1"/>
        <v>0</v>
      </c>
      <c r="P76" s="645" t="s">
        <v>366</v>
      </c>
      <c r="Q76" s="672" t="str">
        <f>VLOOKUP(G:G,list!B:F,5,FALSE)</f>
        <v>-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작가기획</v>
      </c>
      <c r="D77" s="564" t="s">
        <v>132</v>
      </c>
      <c r="E77" s="564" t="s">
        <v>9</v>
      </c>
      <c r="F77" s="564" t="s">
        <v>519</v>
      </c>
      <c r="G77" s="564" t="s">
        <v>36</v>
      </c>
      <c r="H77" s="565">
        <v>45198</v>
      </c>
      <c r="I77" s="652">
        <v>46143</v>
      </c>
      <c r="J77" s="653">
        <v>0</v>
      </c>
      <c r="K77" s="567">
        <v>0.5</v>
      </c>
      <c r="L77" s="646">
        <v>0</v>
      </c>
      <c r="M77" s="654" t="str">
        <f>VLOOKUP(G:G,list!B:E,4,FALSE)</f>
        <v>-</v>
      </c>
      <c r="N77" s="655">
        <f t="shared" si="0"/>
        <v>0</v>
      </c>
      <c r="O77" s="655">
        <f t="shared" si="1"/>
        <v>0</v>
      </c>
      <c r="P77" s="645" t="s">
        <v>366</v>
      </c>
      <c r="Q77" s="672" t="str">
        <f>VLOOKUP(G:G,list!B:F,5,FALSE)</f>
        <v>-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작가기획</v>
      </c>
      <c r="D78" s="564" t="s">
        <v>538</v>
      </c>
      <c r="E78" s="564" t="s">
        <v>9</v>
      </c>
      <c r="F78" s="564" t="s">
        <v>519</v>
      </c>
      <c r="G78" s="564" t="s">
        <v>36</v>
      </c>
      <c r="H78" s="565">
        <v>45479</v>
      </c>
      <c r="I78" s="652">
        <v>46143</v>
      </c>
      <c r="J78" s="653">
        <v>0</v>
      </c>
      <c r="K78" s="567">
        <v>0.5</v>
      </c>
      <c r="L78" s="646">
        <v>0</v>
      </c>
      <c r="M78" s="654" t="str">
        <f>VLOOKUP(G:G,list!B:E,4,FALSE)</f>
        <v>-</v>
      </c>
      <c r="N78" s="655">
        <f t="shared" si="0"/>
        <v>0</v>
      </c>
      <c r="O78" s="655">
        <f t="shared" si="1"/>
        <v>0</v>
      </c>
      <c r="P78" s="645" t="s">
        <v>366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549</v>
      </c>
      <c r="E79" s="564" t="s">
        <v>9</v>
      </c>
      <c r="F79" s="564" t="s">
        <v>519</v>
      </c>
      <c r="G79" s="564" t="s">
        <v>36</v>
      </c>
      <c r="H79" s="565">
        <v>45531</v>
      </c>
      <c r="I79" s="652">
        <v>46143</v>
      </c>
      <c r="J79" s="653">
        <v>0</v>
      </c>
      <c r="K79" s="567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645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123</v>
      </c>
      <c r="E80" s="564" t="s">
        <v>9</v>
      </c>
      <c r="F80" s="564" t="s">
        <v>519</v>
      </c>
      <c r="G80" s="564" t="s">
        <v>36</v>
      </c>
      <c r="H80" s="565">
        <v>45555</v>
      </c>
      <c r="I80" s="652">
        <v>46143</v>
      </c>
      <c r="J80" s="653">
        <v>0</v>
      </c>
      <c r="K80" s="567">
        <v>0.5</v>
      </c>
      <c r="L80" s="646">
        <v>0</v>
      </c>
      <c r="M80" s="654" t="str">
        <f>VLOOKUP(G:G,list!B:E,4,FALSE)</f>
        <v>-</v>
      </c>
      <c r="N80" s="655">
        <f t="shared" si="0"/>
        <v>0</v>
      </c>
      <c r="O80" s="655">
        <f t="shared" si="1"/>
        <v>0</v>
      </c>
      <c r="P80" s="645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139</v>
      </c>
      <c r="H81" s="565">
        <v>45276</v>
      </c>
      <c r="I81" s="652">
        <v>46143</v>
      </c>
      <c r="J81" s="653">
        <v>0</v>
      </c>
      <c r="K81" s="567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645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139</v>
      </c>
      <c r="H82" s="565">
        <v>45534</v>
      </c>
      <c r="I82" s="652">
        <v>46143</v>
      </c>
      <c r="J82" s="653">
        <v>0</v>
      </c>
      <c r="K82" s="567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645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123</v>
      </c>
      <c r="E83" s="564" t="s">
        <v>9</v>
      </c>
      <c r="F83" s="564" t="s">
        <v>519</v>
      </c>
      <c r="G83" s="564" t="s">
        <v>139</v>
      </c>
      <c r="H83" s="565">
        <v>45656</v>
      </c>
      <c r="I83" s="652">
        <v>46143</v>
      </c>
      <c r="J83" s="653">
        <v>0</v>
      </c>
      <c r="K83" s="567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645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외부제작</v>
      </c>
      <c r="D84" s="564" t="s">
        <v>123</v>
      </c>
      <c r="E84" s="564" t="s">
        <v>9</v>
      </c>
      <c r="F84" s="564" t="s">
        <v>519</v>
      </c>
      <c r="G84" s="564" t="s">
        <v>315</v>
      </c>
      <c r="H84" s="565">
        <v>45673</v>
      </c>
      <c r="I84" s="652">
        <v>46143</v>
      </c>
      <c r="J84" s="653">
        <v>0</v>
      </c>
      <c r="K84" s="567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645" t="s">
        <v>366</v>
      </c>
      <c r="Q84" s="672" t="str">
        <f>VLOOKUP(G:G,list!B:F,5,FALSE)</f>
        <v>-</v>
      </c>
      <c r="R84" s="656" t="str">
        <f>VLOOKUP(G:G,list!B:D,3,FALSE)</f>
        <v>N</v>
      </c>
    </row>
    <row r="85" spans="2:18" ht="18" customHeight="1">
      <c r="B85" s="650">
        <v>80</v>
      </c>
      <c r="C85" s="651" t="str">
        <f>VLOOKUP(G:G,list!B:D,2,FALSE)</f>
        <v>원작료</v>
      </c>
      <c r="D85" s="564" t="s">
        <v>182</v>
      </c>
      <c r="E85" s="564" t="s">
        <v>115</v>
      </c>
      <c r="F85" s="564" t="s">
        <v>283</v>
      </c>
      <c r="G85" s="564" t="s">
        <v>30</v>
      </c>
      <c r="H85" s="565">
        <v>44358</v>
      </c>
      <c r="I85" s="652">
        <v>46082</v>
      </c>
      <c r="J85" s="653">
        <v>42312</v>
      </c>
      <c r="K85" s="567">
        <v>0.5</v>
      </c>
      <c r="L85" s="646">
        <v>21156</v>
      </c>
      <c r="M85" s="654">
        <f>VLOOKUP(G:G,list!B:E,4,FALSE)</f>
        <v>0.1</v>
      </c>
      <c r="N85" s="655">
        <f t="shared" si="0"/>
        <v>2116</v>
      </c>
      <c r="O85" s="655">
        <f t="shared" si="1"/>
        <v>19040</v>
      </c>
      <c r="P85" s="645"/>
      <c r="Q85" s="672" t="str">
        <f>VLOOKUP(G:G,list!B:F,5,FALSE)</f>
        <v>웹소설본부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원작료</v>
      </c>
      <c r="D86" s="564" t="s">
        <v>182</v>
      </c>
      <c r="E86" s="564" t="s">
        <v>115</v>
      </c>
      <c r="F86" s="564" t="s">
        <v>283</v>
      </c>
      <c r="G86" s="564" t="s">
        <v>56</v>
      </c>
      <c r="H86" s="565">
        <v>44391</v>
      </c>
      <c r="I86" s="652">
        <v>46082</v>
      </c>
      <c r="J86" s="653">
        <v>157410</v>
      </c>
      <c r="K86" s="567">
        <v>0.5</v>
      </c>
      <c r="L86" s="646">
        <v>78705</v>
      </c>
      <c r="M86" s="654">
        <f>VLOOKUP(G:G,list!B:E,4,FALSE)</f>
        <v>0.1</v>
      </c>
      <c r="N86" s="655">
        <f t="shared" si="0"/>
        <v>7871</v>
      </c>
      <c r="O86" s="655">
        <f t="shared" si="1"/>
        <v>70834</v>
      </c>
      <c r="P86" s="645"/>
      <c r="Q86" s="672" t="str">
        <f>VLOOKUP(G:G,list!B:F,5,FALSE)</f>
        <v>웹소설본부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원작료</v>
      </c>
      <c r="D87" s="564" t="s">
        <v>182</v>
      </c>
      <c r="E87" s="564" t="s">
        <v>115</v>
      </c>
      <c r="F87" s="564" t="s">
        <v>283</v>
      </c>
      <c r="G87" s="564" t="s">
        <v>316</v>
      </c>
      <c r="H87" s="565">
        <v>44969</v>
      </c>
      <c r="I87" s="652">
        <v>46082</v>
      </c>
      <c r="J87" s="653">
        <v>232037</v>
      </c>
      <c r="K87" s="567">
        <v>0.5</v>
      </c>
      <c r="L87" s="646">
        <v>116019</v>
      </c>
      <c r="M87" s="654">
        <f>VLOOKUP(G:G,list!B:E,4,FALSE)</f>
        <v>0.1</v>
      </c>
      <c r="N87" s="655">
        <f t="shared" si="0"/>
        <v>11602</v>
      </c>
      <c r="O87" s="655">
        <f t="shared" si="1"/>
        <v>104417</v>
      </c>
      <c r="P87" s="645"/>
      <c r="Q87" s="672" t="str">
        <f>VLOOKUP(G:G,list!B:F,5,FALSE)</f>
        <v>웹소설본부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182</v>
      </c>
      <c r="E88" s="564" t="s">
        <v>115</v>
      </c>
      <c r="F88" s="564" t="s">
        <v>550</v>
      </c>
      <c r="G88" s="564" t="s">
        <v>308</v>
      </c>
      <c r="H88" s="565">
        <v>45347</v>
      </c>
      <c r="I88" s="652">
        <v>46082</v>
      </c>
      <c r="J88" s="653">
        <v>0</v>
      </c>
      <c r="K88" s="567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645" t="s">
        <v>366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550</v>
      </c>
      <c r="G89" s="564" t="s">
        <v>316</v>
      </c>
      <c r="H89" s="565">
        <v>45359</v>
      </c>
      <c r="I89" s="652">
        <v>46082</v>
      </c>
      <c r="J89" s="653">
        <v>0</v>
      </c>
      <c r="K89" s="567">
        <v>0.5</v>
      </c>
      <c r="L89" s="646">
        <v>0</v>
      </c>
      <c r="M89" s="654">
        <f>VLOOKUP(G:G,list!B:E,4,FALSE)</f>
        <v>0.1</v>
      </c>
      <c r="N89" s="655">
        <f t="shared" si="0"/>
        <v>0</v>
      </c>
      <c r="O89" s="655">
        <f t="shared" si="1"/>
        <v>0</v>
      </c>
      <c r="P89" s="645" t="s">
        <v>366</v>
      </c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264</v>
      </c>
      <c r="G90" s="564" t="s">
        <v>56</v>
      </c>
      <c r="H90" s="565">
        <v>45941</v>
      </c>
      <c r="I90" s="652">
        <v>46113</v>
      </c>
      <c r="J90" s="653">
        <v>1260068</v>
      </c>
      <c r="K90" s="567">
        <v>0.5</v>
      </c>
      <c r="L90" s="646">
        <v>630034</v>
      </c>
      <c r="M90" s="654">
        <f>VLOOKUP(G:G,list!B:E,4,FALSE)</f>
        <v>0.1</v>
      </c>
      <c r="N90" s="655">
        <f t="shared" si="0"/>
        <v>63003</v>
      </c>
      <c r="O90" s="655">
        <f t="shared" si="1"/>
        <v>567031</v>
      </c>
      <c r="P90" s="645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264</v>
      </c>
      <c r="G91" s="564" t="s">
        <v>30</v>
      </c>
      <c r="H91" s="565">
        <v>45991</v>
      </c>
      <c r="I91" s="652">
        <v>46113</v>
      </c>
      <c r="J91" s="653">
        <v>386429</v>
      </c>
      <c r="K91" s="567">
        <v>0.5</v>
      </c>
      <c r="L91" s="646">
        <v>193215</v>
      </c>
      <c r="M91" s="654">
        <f>VLOOKUP(G:G,list!B:E,4,FALSE)</f>
        <v>0.1</v>
      </c>
      <c r="N91" s="655">
        <f t="shared" si="0"/>
        <v>19322</v>
      </c>
      <c r="O91" s="655">
        <f t="shared" si="1"/>
        <v>173893</v>
      </c>
      <c r="P91" s="645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264</v>
      </c>
      <c r="G92" s="564" t="s">
        <v>316</v>
      </c>
      <c r="H92" s="565">
        <v>46039</v>
      </c>
      <c r="I92" s="652">
        <v>46113</v>
      </c>
      <c r="J92" s="653">
        <v>235199</v>
      </c>
      <c r="K92" s="567">
        <v>0.5</v>
      </c>
      <c r="L92" s="646">
        <v>117600</v>
      </c>
      <c r="M92" s="654">
        <f>VLOOKUP(G:G,list!B:E,4,FALSE)</f>
        <v>0.1</v>
      </c>
      <c r="N92" s="655">
        <f t="shared" si="0"/>
        <v>11760</v>
      </c>
      <c r="O92" s="655">
        <f t="shared" si="1"/>
        <v>105840</v>
      </c>
      <c r="P92" s="645"/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작가기획</v>
      </c>
      <c r="D93" s="564" t="s">
        <v>182</v>
      </c>
      <c r="E93" s="564" t="s">
        <v>115</v>
      </c>
      <c r="F93" s="564" t="s">
        <v>264</v>
      </c>
      <c r="G93" s="564" t="s">
        <v>36</v>
      </c>
      <c r="H93" s="565">
        <v>46127</v>
      </c>
      <c r="I93" s="652">
        <v>46113</v>
      </c>
      <c r="J93" s="653">
        <v>1293000</v>
      </c>
      <c r="K93" s="567">
        <v>0.5</v>
      </c>
      <c r="L93" s="646">
        <v>646500</v>
      </c>
      <c r="M93" s="654" t="str">
        <f>VLOOKUP(G:G,list!B:E,4,FALSE)</f>
        <v>-</v>
      </c>
      <c r="N93" s="655">
        <f t="shared" ref="N93" si="2">ROUND(IF(M93="-",0,L93*M93),0)</f>
        <v>0</v>
      </c>
      <c r="O93" s="655">
        <f t="shared" ref="O93" si="3">L93-N93</f>
        <v>646500</v>
      </c>
      <c r="P93" s="645"/>
      <c r="Q93" s="672" t="str">
        <f>VLOOKUP(G:G,list!B:F,5,FALSE)</f>
        <v>-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32</v>
      </c>
      <c r="E94" s="564" t="s">
        <v>9</v>
      </c>
      <c r="F94" s="564" t="s">
        <v>31</v>
      </c>
      <c r="G94" s="564" t="s">
        <v>151</v>
      </c>
      <c r="H94" s="565">
        <v>44239</v>
      </c>
      <c r="I94" s="652">
        <v>46113</v>
      </c>
      <c r="J94" s="653">
        <v>0</v>
      </c>
      <c r="K94" s="567">
        <v>0.4</v>
      </c>
      <c r="L94" s="646">
        <v>0</v>
      </c>
      <c r="M94" s="654">
        <f>VLOOKUP(G:G,list!B:E,4,FALSE)</f>
        <v>0.1</v>
      </c>
      <c r="N94" s="655">
        <f t="shared" si="0"/>
        <v>0</v>
      </c>
      <c r="O94" s="655">
        <f t="shared" si="1"/>
        <v>0</v>
      </c>
      <c r="P94" s="645" t="s">
        <v>366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123</v>
      </c>
      <c r="E95" s="564" t="s">
        <v>9</v>
      </c>
      <c r="F95" s="564" t="s">
        <v>184</v>
      </c>
      <c r="G95" s="564" t="s">
        <v>56</v>
      </c>
      <c r="H95" s="565">
        <v>44581</v>
      </c>
      <c r="I95" s="652">
        <v>46143</v>
      </c>
      <c r="J95" s="653">
        <v>304367</v>
      </c>
      <c r="K95" s="567">
        <v>0.3</v>
      </c>
      <c r="L95" s="646">
        <v>91310</v>
      </c>
      <c r="M95" s="654">
        <f>VLOOKUP(G:G,list!B:E,4,FALSE)</f>
        <v>0.1</v>
      </c>
      <c r="N95" s="655">
        <f t="shared" si="0"/>
        <v>9131</v>
      </c>
      <c r="O95" s="655">
        <f t="shared" si="1"/>
        <v>82179</v>
      </c>
      <c r="P95" s="645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183</v>
      </c>
      <c r="E96" s="564" t="s">
        <v>9</v>
      </c>
      <c r="F96" s="564" t="s">
        <v>184</v>
      </c>
      <c r="G96" s="564" t="s">
        <v>56</v>
      </c>
      <c r="H96" s="565">
        <v>44829</v>
      </c>
      <c r="I96" s="652">
        <v>46143</v>
      </c>
      <c r="J96" s="653">
        <v>490920</v>
      </c>
      <c r="K96" s="567">
        <v>0.3</v>
      </c>
      <c r="L96" s="646">
        <v>147276</v>
      </c>
      <c r="M96" s="654">
        <f>VLOOKUP(G:G,list!B:E,4,FALSE)</f>
        <v>0.1</v>
      </c>
      <c r="N96" s="655">
        <f t="shared" si="0"/>
        <v>14728</v>
      </c>
      <c r="O96" s="655">
        <f t="shared" si="1"/>
        <v>132548</v>
      </c>
      <c r="P96" s="645" t="s">
        <v>186</v>
      </c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184</v>
      </c>
      <c r="G97" s="564" t="s">
        <v>454</v>
      </c>
      <c r="H97" s="565">
        <v>44854</v>
      </c>
      <c r="I97" s="652">
        <v>46143</v>
      </c>
      <c r="J97" s="653">
        <v>657677</v>
      </c>
      <c r="K97" s="567">
        <v>0.3</v>
      </c>
      <c r="L97" s="646">
        <v>197303</v>
      </c>
      <c r="M97" s="654">
        <f>VLOOKUP(G:G,list!B:E,4,FALSE)</f>
        <v>0.1</v>
      </c>
      <c r="N97" s="655">
        <f t="shared" si="0"/>
        <v>19730</v>
      </c>
      <c r="O97" s="655">
        <f t="shared" si="1"/>
        <v>177573</v>
      </c>
      <c r="P97" s="645" t="s">
        <v>186</v>
      </c>
      <c r="Q97" s="672" t="str">
        <f>VLOOKUP(G:G,list!B:F,5,FALSE)</f>
        <v>-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184</v>
      </c>
      <c r="G98" s="564" t="s">
        <v>481</v>
      </c>
      <c r="H98" s="565">
        <v>44981</v>
      </c>
      <c r="I98" s="652">
        <v>46143</v>
      </c>
      <c r="J98" s="653">
        <v>120653</v>
      </c>
      <c r="K98" s="567">
        <v>0.3</v>
      </c>
      <c r="L98" s="646">
        <v>36196</v>
      </c>
      <c r="M98" s="654">
        <f>VLOOKUP(G:G,list!B:E,4,FALSE)</f>
        <v>0.1</v>
      </c>
      <c r="N98" s="655">
        <f t="shared" si="0"/>
        <v>3620</v>
      </c>
      <c r="O98" s="655">
        <f t="shared" si="1"/>
        <v>32576</v>
      </c>
      <c r="P98" s="645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123</v>
      </c>
      <c r="E99" s="564" t="s">
        <v>9</v>
      </c>
      <c r="F99" s="564" t="s">
        <v>184</v>
      </c>
      <c r="G99" s="564" t="s">
        <v>352</v>
      </c>
      <c r="H99" s="565">
        <v>44984</v>
      </c>
      <c r="I99" s="652">
        <v>46143</v>
      </c>
      <c r="J99" s="653">
        <v>230217</v>
      </c>
      <c r="K99" s="567">
        <v>0.3</v>
      </c>
      <c r="L99" s="646">
        <v>69065</v>
      </c>
      <c r="M99" s="654">
        <f>VLOOKUP(G:G,list!B:E,4,FALSE)</f>
        <v>0.1</v>
      </c>
      <c r="N99" s="655">
        <f t="shared" si="0"/>
        <v>6907</v>
      </c>
      <c r="O99" s="655">
        <f t="shared" si="1"/>
        <v>62158</v>
      </c>
      <c r="P99" s="645" t="s">
        <v>186</v>
      </c>
      <c r="Q99" s="672" t="str">
        <f>VLOOKUP(G:G,list!B:F,5,FALSE)</f>
        <v>웹소설본부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72</v>
      </c>
      <c r="E100" s="564" t="s">
        <v>9</v>
      </c>
      <c r="F100" s="564" t="s">
        <v>184</v>
      </c>
      <c r="G100" s="564" t="s">
        <v>454</v>
      </c>
      <c r="H100" s="565">
        <v>44902</v>
      </c>
      <c r="I100" s="652">
        <v>46113</v>
      </c>
      <c r="J100" s="653">
        <v>317900</v>
      </c>
      <c r="K100" s="567">
        <v>0.3</v>
      </c>
      <c r="L100" s="646">
        <v>95370</v>
      </c>
      <c r="M100" s="654">
        <f>VLOOKUP(G:G,list!B:E,4,FALSE)</f>
        <v>0.1</v>
      </c>
      <c r="N100" s="655">
        <f t="shared" ref="N100:N119" si="4">ROUND(IF(M100="-",0,L100*M100),0)</f>
        <v>9537</v>
      </c>
      <c r="O100" s="655">
        <f t="shared" ref="O100:O119" si="5">L100-N100</f>
        <v>85833</v>
      </c>
      <c r="P100" s="645" t="s">
        <v>282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72</v>
      </c>
      <c r="E101" s="564" t="s">
        <v>9</v>
      </c>
      <c r="F101" s="564" t="s">
        <v>184</v>
      </c>
      <c r="G101" s="564" t="s">
        <v>454</v>
      </c>
      <c r="H101" s="565">
        <v>45257</v>
      </c>
      <c r="I101" s="652">
        <v>46113</v>
      </c>
      <c r="J101" s="653">
        <v>28263</v>
      </c>
      <c r="K101" s="567">
        <v>0.3</v>
      </c>
      <c r="L101" s="646">
        <v>8479</v>
      </c>
      <c r="M101" s="654">
        <f>VLOOKUP(G:G,list!B:E,4,FALSE)</f>
        <v>0.1</v>
      </c>
      <c r="N101" s="655">
        <f t="shared" si="4"/>
        <v>848</v>
      </c>
      <c r="O101" s="655">
        <f t="shared" si="5"/>
        <v>7631</v>
      </c>
      <c r="P101" s="645" t="s">
        <v>546</v>
      </c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67</v>
      </c>
      <c r="E102" s="564" t="s">
        <v>9</v>
      </c>
      <c r="F102" s="564" t="s">
        <v>559</v>
      </c>
      <c r="G102" s="564" t="s">
        <v>30</v>
      </c>
      <c r="H102" s="565">
        <v>45275</v>
      </c>
      <c r="I102" s="652">
        <v>45839</v>
      </c>
      <c r="J102" s="653">
        <v>17494</v>
      </c>
      <c r="K102" s="567">
        <v>0.4</v>
      </c>
      <c r="L102" s="646">
        <v>6291</v>
      </c>
      <c r="M102" s="654">
        <f>VLOOKUP(G:G,list!B:E,4,FALSE)</f>
        <v>0.1</v>
      </c>
      <c r="N102" s="655">
        <f t="shared" ref="N102:N104" si="6">ROUND(IF(M102="-",0,L102*M102),0)</f>
        <v>629</v>
      </c>
      <c r="O102" s="655">
        <f t="shared" ref="O102:O104" si="7">L102-N102</f>
        <v>5662</v>
      </c>
      <c r="P102" s="645" t="s">
        <v>635</v>
      </c>
      <c r="Q102" s="672" t="str">
        <f>VLOOKUP(G:G,list!B:F,5,FALSE)</f>
        <v>웹소설본부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67</v>
      </c>
      <c r="E103" s="564" t="s">
        <v>9</v>
      </c>
      <c r="F103" s="564" t="s">
        <v>559</v>
      </c>
      <c r="G103" s="564" t="s">
        <v>30</v>
      </c>
      <c r="H103" s="565">
        <v>45275</v>
      </c>
      <c r="I103" s="652">
        <v>45870</v>
      </c>
      <c r="J103" s="653">
        <v>184577</v>
      </c>
      <c r="K103" s="567">
        <v>0.4</v>
      </c>
      <c r="L103" s="646">
        <v>66443</v>
      </c>
      <c r="M103" s="654">
        <f>VLOOKUP(G:G,list!B:E,4,FALSE)</f>
        <v>0.1</v>
      </c>
      <c r="N103" s="655">
        <f t="shared" si="6"/>
        <v>6644</v>
      </c>
      <c r="O103" s="655">
        <f t="shared" si="7"/>
        <v>59799</v>
      </c>
      <c r="P103" s="645" t="s">
        <v>635</v>
      </c>
      <c r="Q103" s="672" t="str">
        <f>VLOOKUP(G:G,list!B:F,5,FALSE)</f>
        <v>웹소설본부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67</v>
      </c>
      <c r="E104" s="564" t="s">
        <v>9</v>
      </c>
      <c r="F104" s="564" t="s">
        <v>559</v>
      </c>
      <c r="G104" s="564" t="s">
        <v>30</v>
      </c>
      <c r="H104" s="565">
        <v>45275</v>
      </c>
      <c r="I104" s="652">
        <v>45901</v>
      </c>
      <c r="J104" s="653">
        <v>36712</v>
      </c>
      <c r="K104" s="567">
        <v>0.4</v>
      </c>
      <c r="L104" s="646">
        <v>13220</v>
      </c>
      <c r="M104" s="654">
        <f>VLOOKUP(G:G,list!B:E,4,FALSE)</f>
        <v>0.1</v>
      </c>
      <c r="N104" s="655">
        <f t="shared" si="6"/>
        <v>1322</v>
      </c>
      <c r="O104" s="655">
        <f t="shared" si="7"/>
        <v>11898</v>
      </c>
      <c r="P104" s="645" t="s">
        <v>635</v>
      </c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67</v>
      </c>
      <c r="E105" s="564" t="s">
        <v>9</v>
      </c>
      <c r="F105" s="564" t="s">
        <v>559</v>
      </c>
      <c r="G105" s="564" t="s">
        <v>30</v>
      </c>
      <c r="H105" s="565">
        <v>45275</v>
      </c>
      <c r="I105" s="652">
        <v>45931</v>
      </c>
      <c r="J105" s="653">
        <v>96744</v>
      </c>
      <c r="K105" s="567">
        <v>0.4</v>
      </c>
      <c r="L105" s="646">
        <v>34816</v>
      </c>
      <c r="M105" s="654">
        <f>VLOOKUP(G:G,list!B:E,4,FALSE)</f>
        <v>0.1</v>
      </c>
      <c r="N105" s="655">
        <f t="shared" ref="N105:N107" si="8">ROUND(IF(M105="-",0,L105*M105),0)</f>
        <v>3482</v>
      </c>
      <c r="O105" s="655">
        <f t="shared" ref="O105:O107" si="9">L105-N105</f>
        <v>31334</v>
      </c>
      <c r="P105" s="645" t="s">
        <v>635</v>
      </c>
      <c r="Q105" s="672" t="str">
        <f>VLOOKUP(G:G,list!B:F,5,FALSE)</f>
        <v>웹소설본부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67</v>
      </c>
      <c r="E106" s="564" t="s">
        <v>9</v>
      </c>
      <c r="F106" s="564" t="s">
        <v>559</v>
      </c>
      <c r="G106" s="564" t="s">
        <v>30</v>
      </c>
      <c r="H106" s="565">
        <v>45275</v>
      </c>
      <c r="I106" s="652">
        <v>45962</v>
      </c>
      <c r="J106" s="653">
        <v>53172</v>
      </c>
      <c r="K106" s="567">
        <v>0.4</v>
      </c>
      <c r="L106" s="646">
        <v>19149</v>
      </c>
      <c r="M106" s="654">
        <f>VLOOKUP(G:G,list!B:E,4,FALSE)</f>
        <v>0.1</v>
      </c>
      <c r="N106" s="655">
        <f t="shared" si="8"/>
        <v>1915</v>
      </c>
      <c r="O106" s="655">
        <f t="shared" si="9"/>
        <v>17234</v>
      </c>
      <c r="P106" s="645" t="s">
        <v>635</v>
      </c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67</v>
      </c>
      <c r="E107" s="564" t="s">
        <v>9</v>
      </c>
      <c r="F107" s="564" t="s">
        <v>559</v>
      </c>
      <c r="G107" s="564" t="s">
        <v>30</v>
      </c>
      <c r="H107" s="565">
        <v>45275</v>
      </c>
      <c r="I107" s="652">
        <v>45992</v>
      </c>
      <c r="J107" s="653">
        <v>49053</v>
      </c>
      <c r="K107" s="567">
        <v>0.4</v>
      </c>
      <c r="L107" s="646">
        <v>17667</v>
      </c>
      <c r="M107" s="654">
        <f>VLOOKUP(G:G,list!B:E,4,FALSE)</f>
        <v>0.1</v>
      </c>
      <c r="N107" s="655">
        <f t="shared" si="8"/>
        <v>1767</v>
      </c>
      <c r="O107" s="655">
        <f t="shared" si="9"/>
        <v>15900</v>
      </c>
      <c r="P107" s="645" t="s">
        <v>635</v>
      </c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작가기획</v>
      </c>
      <c r="D108" s="564" t="s">
        <v>72</v>
      </c>
      <c r="E108" s="564" t="s">
        <v>9</v>
      </c>
      <c r="F108" s="564" t="s">
        <v>73</v>
      </c>
      <c r="G108" s="564" t="s">
        <v>308</v>
      </c>
      <c r="H108" s="565" t="s">
        <v>168</v>
      </c>
      <c r="I108" s="652">
        <v>46023</v>
      </c>
      <c r="J108" s="653">
        <v>0</v>
      </c>
      <c r="K108" s="605">
        <v>0.78900000000000003</v>
      </c>
      <c r="L108" s="568">
        <v>0</v>
      </c>
      <c r="M108" s="654" t="str">
        <f>VLOOKUP(G:G,list!B:E,4,FALSE)</f>
        <v>-</v>
      </c>
      <c r="N108" s="655">
        <f t="shared" si="4"/>
        <v>0</v>
      </c>
      <c r="O108" s="655">
        <f t="shared" si="5"/>
        <v>0</v>
      </c>
      <c r="P108" s="564" t="s">
        <v>581</v>
      </c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작가기획</v>
      </c>
      <c r="D109" s="564" t="s">
        <v>72</v>
      </c>
      <c r="E109" s="564" t="s">
        <v>9</v>
      </c>
      <c r="F109" s="564" t="s">
        <v>73</v>
      </c>
      <c r="G109" s="564" t="s">
        <v>308</v>
      </c>
      <c r="H109" s="565" t="s">
        <v>168</v>
      </c>
      <c r="I109" s="652">
        <v>46054</v>
      </c>
      <c r="J109" s="653">
        <v>0</v>
      </c>
      <c r="K109" s="605">
        <v>0.78900000000000003</v>
      </c>
      <c r="L109" s="568">
        <v>0</v>
      </c>
      <c r="M109" s="654" t="str">
        <f>VLOOKUP(G:G,list!B:E,4,FALSE)</f>
        <v>-</v>
      </c>
      <c r="N109" s="655">
        <f t="shared" si="4"/>
        <v>0</v>
      </c>
      <c r="O109" s="655">
        <f t="shared" si="5"/>
        <v>0</v>
      </c>
      <c r="P109" s="564" t="s">
        <v>581</v>
      </c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작가기획</v>
      </c>
      <c r="D110" s="564" t="s">
        <v>72</v>
      </c>
      <c r="E110" s="564" t="s">
        <v>9</v>
      </c>
      <c r="F110" s="564" t="s">
        <v>73</v>
      </c>
      <c r="G110" s="564" t="s">
        <v>308</v>
      </c>
      <c r="H110" s="565" t="s">
        <v>168</v>
      </c>
      <c r="I110" s="652">
        <v>46082</v>
      </c>
      <c r="J110" s="653">
        <v>0</v>
      </c>
      <c r="K110" s="605">
        <v>0.78900000000000003</v>
      </c>
      <c r="L110" s="568">
        <v>0</v>
      </c>
      <c r="M110" s="654" t="str">
        <f>VLOOKUP(G:G,list!B:E,4,FALSE)</f>
        <v>-</v>
      </c>
      <c r="N110" s="655">
        <f t="shared" si="4"/>
        <v>0</v>
      </c>
      <c r="O110" s="655">
        <f t="shared" si="5"/>
        <v>0</v>
      </c>
      <c r="P110" s="564" t="s">
        <v>581</v>
      </c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79</v>
      </c>
      <c r="E111" s="564" t="s">
        <v>9</v>
      </c>
      <c r="F111" s="564" t="s">
        <v>235</v>
      </c>
      <c r="G111" s="564" t="s">
        <v>30</v>
      </c>
      <c r="H111" s="565">
        <v>44281</v>
      </c>
      <c r="I111" s="652">
        <v>46023</v>
      </c>
      <c r="J111" s="653">
        <v>546</v>
      </c>
      <c r="K111" s="603">
        <v>0.5</v>
      </c>
      <c r="L111" s="568">
        <v>228</v>
      </c>
      <c r="M111" s="654">
        <f>VLOOKUP(G:G,list!B:E,4,FALSE)</f>
        <v>0.1</v>
      </c>
      <c r="N111" s="655">
        <f t="shared" si="4"/>
        <v>23</v>
      </c>
      <c r="O111" s="655">
        <f t="shared" si="5"/>
        <v>205</v>
      </c>
      <c r="P111" s="564"/>
      <c r="Q111" s="672" t="str">
        <f>VLOOKUP(G:G,list!B:F,5,FALSE)</f>
        <v>웹소설본부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작가기획</v>
      </c>
      <c r="D112" s="564" t="s">
        <v>79</v>
      </c>
      <c r="E112" s="564" t="s">
        <v>9</v>
      </c>
      <c r="F112" s="564" t="s">
        <v>235</v>
      </c>
      <c r="G112" s="564" t="s">
        <v>36</v>
      </c>
      <c r="H112" s="565">
        <v>44293</v>
      </c>
      <c r="I112" s="652">
        <v>46023</v>
      </c>
      <c r="J112" s="653">
        <v>470</v>
      </c>
      <c r="K112" s="603">
        <v>0.5</v>
      </c>
      <c r="L112" s="568">
        <v>199</v>
      </c>
      <c r="M112" s="654" t="str">
        <f>VLOOKUP(G:G,list!B:E,4,FALSE)</f>
        <v>-</v>
      </c>
      <c r="N112" s="655">
        <f t="shared" si="4"/>
        <v>0</v>
      </c>
      <c r="O112" s="655">
        <f t="shared" si="5"/>
        <v>199</v>
      </c>
      <c r="P112" s="564"/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79</v>
      </c>
      <c r="E113" s="564" t="s">
        <v>9</v>
      </c>
      <c r="F113" s="564" t="s">
        <v>235</v>
      </c>
      <c r="G113" s="564" t="s">
        <v>454</v>
      </c>
      <c r="H113" s="565">
        <v>44840</v>
      </c>
      <c r="I113" s="652">
        <v>46023</v>
      </c>
      <c r="J113" s="653">
        <v>133293</v>
      </c>
      <c r="K113" s="603">
        <v>0.5</v>
      </c>
      <c r="L113" s="568">
        <v>56588</v>
      </c>
      <c r="M113" s="654">
        <f>VLOOKUP(G:G,list!B:E,4,FALSE)</f>
        <v>0.1</v>
      </c>
      <c r="N113" s="655">
        <f t="shared" si="4"/>
        <v>5659</v>
      </c>
      <c r="O113" s="655">
        <f t="shared" si="5"/>
        <v>50929</v>
      </c>
      <c r="P113" s="564"/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79</v>
      </c>
      <c r="E114" s="564" t="s">
        <v>9</v>
      </c>
      <c r="F114" s="564" t="s">
        <v>235</v>
      </c>
      <c r="G114" s="564" t="s">
        <v>30</v>
      </c>
      <c r="H114" s="565">
        <v>44281</v>
      </c>
      <c r="I114" s="652">
        <v>46054</v>
      </c>
      <c r="J114" s="653">
        <v>9975</v>
      </c>
      <c r="K114" s="603">
        <v>0.5</v>
      </c>
      <c r="L114" s="568">
        <v>4201</v>
      </c>
      <c r="M114" s="654">
        <f>VLOOKUP(G:G,list!B:E,4,FALSE)</f>
        <v>0.1</v>
      </c>
      <c r="N114" s="655">
        <f t="shared" si="4"/>
        <v>420</v>
      </c>
      <c r="O114" s="655">
        <f t="shared" si="5"/>
        <v>3781</v>
      </c>
      <c r="P114" s="564"/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작가기획</v>
      </c>
      <c r="D115" s="564" t="s">
        <v>79</v>
      </c>
      <c r="E115" s="564" t="s">
        <v>9</v>
      </c>
      <c r="F115" s="564" t="s">
        <v>235</v>
      </c>
      <c r="G115" s="564" t="s">
        <v>36</v>
      </c>
      <c r="H115" s="565">
        <v>44293</v>
      </c>
      <c r="I115" s="652">
        <v>46054</v>
      </c>
      <c r="J115" s="653">
        <v>7301</v>
      </c>
      <c r="K115" s="603">
        <v>0.5</v>
      </c>
      <c r="L115" s="568">
        <v>3075</v>
      </c>
      <c r="M115" s="654" t="str">
        <f>VLOOKUP(G:G,list!B:E,4,FALSE)</f>
        <v>-</v>
      </c>
      <c r="N115" s="655">
        <f t="shared" si="4"/>
        <v>0</v>
      </c>
      <c r="O115" s="655">
        <f t="shared" si="5"/>
        <v>3075</v>
      </c>
      <c r="P115" s="564"/>
      <c r="Q115" s="672" t="str">
        <f>VLOOKUP(G:G,list!B:F,5,FALSE)</f>
        <v>-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79</v>
      </c>
      <c r="E116" s="564" t="s">
        <v>9</v>
      </c>
      <c r="F116" s="564" t="s">
        <v>235</v>
      </c>
      <c r="G116" s="564" t="s">
        <v>454</v>
      </c>
      <c r="H116" s="565">
        <v>44840</v>
      </c>
      <c r="I116" s="652">
        <v>46054</v>
      </c>
      <c r="J116" s="653">
        <v>165578</v>
      </c>
      <c r="K116" s="603">
        <v>0.5</v>
      </c>
      <c r="L116" s="568">
        <v>70293</v>
      </c>
      <c r="M116" s="654">
        <f>VLOOKUP(G:G,list!B:E,4,FALSE)</f>
        <v>0.1</v>
      </c>
      <c r="N116" s="655">
        <f t="shared" si="4"/>
        <v>7029</v>
      </c>
      <c r="O116" s="655">
        <f t="shared" si="5"/>
        <v>63264</v>
      </c>
      <c r="P116" s="564"/>
      <c r="Q116" s="672" t="str">
        <f>VLOOKUP(G:G,list!B:F,5,FALSE)</f>
        <v>-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79</v>
      </c>
      <c r="E117" s="564" t="s">
        <v>9</v>
      </c>
      <c r="F117" s="564" t="s">
        <v>235</v>
      </c>
      <c r="G117" s="564" t="s">
        <v>30</v>
      </c>
      <c r="H117" s="565">
        <v>44281</v>
      </c>
      <c r="I117" s="652">
        <v>46082</v>
      </c>
      <c r="J117" s="653">
        <v>13068</v>
      </c>
      <c r="K117" s="603">
        <v>0.5</v>
      </c>
      <c r="L117" s="568">
        <v>5503</v>
      </c>
      <c r="M117" s="654">
        <f>VLOOKUP(G:G,list!B:E,4,FALSE)</f>
        <v>0.1</v>
      </c>
      <c r="N117" s="655">
        <f t="shared" si="4"/>
        <v>550</v>
      </c>
      <c r="O117" s="655">
        <f t="shared" si="5"/>
        <v>4953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작가기획</v>
      </c>
      <c r="D118" s="564" t="s">
        <v>79</v>
      </c>
      <c r="E118" s="564" t="s">
        <v>9</v>
      </c>
      <c r="F118" s="564" t="s">
        <v>235</v>
      </c>
      <c r="G118" s="564" t="s">
        <v>36</v>
      </c>
      <c r="H118" s="565">
        <v>44293</v>
      </c>
      <c r="I118" s="652">
        <v>46082</v>
      </c>
      <c r="J118" s="653">
        <v>1482</v>
      </c>
      <c r="K118" s="603">
        <v>0.5</v>
      </c>
      <c r="L118" s="568">
        <v>623</v>
      </c>
      <c r="M118" s="654" t="str">
        <f>VLOOKUP(G:G,list!B:E,4,FALSE)</f>
        <v>-</v>
      </c>
      <c r="N118" s="655">
        <f t="shared" si="4"/>
        <v>0</v>
      </c>
      <c r="O118" s="655">
        <f t="shared" si="5"/>
        <v>623</v>
      </c>
      <c r="P118" s="564"/>
      <c r="Q118" s="672" t="str">
        <f>VLOOKUP(G:G,list!B:F,5,FALSE)</f>
        <v>-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원작료</v>
      </c>
      <c r="D119" s="564" t="s">
        <v>79</v>
      </c>
      <c r="E119" s="564" t="s">
        <v>9</v>
      </c>
      <c r="F119" s="564" t="s">
        <v>235</v>
      </c>
      <c r="G119" s="564" t="s">
        <v>454</v>
      </c>
      <c r="H119" s="565">
        <v>44840</v>
      </c>
      <c r="I119" s="652">
        <v>46082</v>
      </c>
      <c r="J119" s="653">
        <v>193063</v>
      </c>
      <c r="K119" s="603">
        <v>0.5</v>
      </c>
      <c r="L119" s="568">
        <v>81960</v>
      </c>
      <c r="M119" s="654">
        <f>VLOOKUP(G:G,list!B:E,4,FALSE)</f>
        <v>0.1</v>
      </c>
      <c r="N119" s="655">
        <f t="shared" si="4"/>
        <v>8196</v>
      </c>
      <c r="O119" s="655">
        <f t="shared" si="5"/>
        <v>73764</v>
      </c>
      <c r="P119" s="564"/>
      <c r="Q119" s="672" t="str">
        <f>VLOOKUP(G:G,list!B:F,5,FALSE)</f>
        <v>-</v>
      </c>
      <c r="R119" s="656" t="str">
        <f>VLOOKUP(G:G,list!B:D,3,FALSE)</f>
        <v>Y</v>
      </c>
    </row>
    <row r="120" spans="2:18" ht="11.25" customHeight="1">
      <c r="B120" s="52"/>
      <c r="C120" s="551"/>
      <c r="D120" s="551"/>
      <c r="E120" s="551"/>
      <c r="F120" s="551"/>
      <c r="G120" s="551"/>
      <c r="H120" s="622"/>
      <c r="I120" s="551"/>
      <c r="J120" s="435"/>
      <c r="K120" s="623"/>
      <c r="L120"/>
      <c r="M120" s="438"/>
      <c r="N120" s="439"/>
      <c r="O120" s="440"/>
      <c r="P120" s="633"/>
      <c r="Q120" s="438"/>
      <c r="R120" s="486"/>
    </row>
    <row r="121" spans="2:18" s="7" customFormat="1" ht="16.5" customHeight="1">
      <c r="B121" s="624" t="s">
        <v>387</v>
      </c>
      <c r="C121" s="625"/>
      <c r="D121" s="625"/>
      <c r="E121" s="626"/>
      <c r="F121" s="625"/>
      <c r="G121" s="625"/>
      <c r="H121" s="625"/>
      <c r="I121" s="311"/>
      <c r="J121" s="311"/>
      <c r="K121" s="311"/>
      <c r="M121" s="424"/>
      <c r="N121"/>
      <c r="O121" s="333"/>
      <c r="P121" s="631"/>
      <c r="Q121" s="424"/>
      <c r="R121" s="484"/>
    </row>
    <row r="122" spans="2:18" s="7" customFormat="1" ht="16.5" customHeight="1">
      <c r="B122" s="629" t="s">
        <v>299</v>
      </c>
      <c r="C122" s="625"/>
      <c r="D122" s="625"/>
      <c r="E122" s="626"/>
      <c r="F122" s="625"/>
      <c r="G122" s="625"/>
      <c r="H122" s="625"/>
      <c r="I122" s="311"/>
      <c r="K122" s="311"/>
      <c r="L122" s="311"/>
      <c r="M122" s="424"/>
      <c r="N122"/>
      <c r="O122" s="333"/>
      <c r="P122" s="631"/>
      <c r="Q122" s="424"/>
      <c r="R122" s="484"/>
    </row>
    <row r="123" spans="2:18" s="7" customFormat="1" ht="16.5" customHeight="1">
      <c r="B123" s="628" t="s">
        <v>302</v>
      </c>
      <c r="C123" s="627"/>
      <c r="D123" s="625"/>
      <c r="E123" s="626"/>
      <c r="F123" s="625"/>
      <c r="G123" s="625"/>
      <c r="H123" s="625"/>
      <c r="I123" s="311"/>
      <c r="J123" s="311"/>
      <c r="L123" s="311"/>
      <c r="M123" s="424"/>
      <c r="N123"/>
      <c r="O123" s="333"/>
      <c r="P123" s="631"/>
      <c r="Q123" s="424"/>
      <c r="R123" s="484"/>
    </row>
    <row r="124" spans="2:18" s="7" customFormat="1" ht="16.5" customHeight="1">
      <c r="B124" s="630" t="s">
        <v>303</v>
      </c>
      <c r="C124" s="627"/>
      <c r="D124" s="625"/>
      <c r="E124" s="626"/>
      <c r="F124" s="625"/>
      <c r="G124" s="625"/>
      <c r="H124" s="625"/>
      <c r="I124" s="311"/>
      <c r="J124" s="311"/>
      <c r="K124" s="311"/>
      <c r="L124" s="311"/>
      <c r="M124" s="424"/>
      <c r="N124"/>
      <c r="O124" s="333"/>
      <c r="P124" s="631"/>
      <c r="Q124" s="424"/>
      <c r="R124" s="484"/>
    </row>
    <row r="125" spans="2:18" ht="16.5" customHeight="1">
      <c r="B125" s="629" t="s">
        <v>340</v>
      </c>
      <c r="C125" s="625"/>
      <c r="D125" s="625"/>
      <c r="E125" s="626"/>
      <c r="F125" s="625"/>
      <c r="G125" s="625"/>
      <c r="H125" s="625"/>
      <c r="I125" s="311"/>
      <c r="J125" s="311"/>
      <c r="K125" s="311"/>
    </row>
    <row r="126" spans="2:18" ht="16.5" customHeight="1">
      <c r="B126" s="629" t="s">
        <v>512</v>
      </c>
      <c r="C126" s="625"/>
      <c r="D126" s="625"/>
      <c r="E126" s="626"/>
      <c r="F126" s="625"/>
      <c r="G126" s="625"/>
      <c r="H126" s="625"/>
      <c r="I126" s="311"/>
      <c r="J126" s="311"/>
      <c r="K126" s="311"/>
    </row>
    <row r="127" spans="2:18" ht="16.5" customHeight="1">
      <c r="B127" s="629" t="s">
        <v>522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520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8" ht="16.5" customHeight="1">
      <c r="B129" s="629" t="s">
        <v>521</v>
      </c>
      <c r="C129" s="625"/>
      <c r="D129" s="625"/>
      <c r="E129" s="626"/>
      <c r="F129" s="625"/>
      <c r="G129" s="625"/>
      <c r="H129" s="625"/>
      <c r="I129" s="311"/>
      <c r="J129" s="311"/>
      <c r="K129" s="311"/>
    </row>
    <row r="130" spans="2:18" s="311" customFormat="1" ht="16.5" customHeight="1">
      <c r="B130" s="629" t="s">
        <v>529</v>
      </c>
      <c r="C130" s="625"/>
      <c r="D130" s="625"/>
      <c r="E130" s="626"/>
      <c r="F130" s="625"/>
      <c r="G130" s="625"/>
      <c r="H130" s="625"/>
      <c r="M130" s="424"/>
      <c r="N130"/>
      <c r="O130" s="333"/>
      <c r="P130" s="631"/>
      <c r="Q130" s="424"/>
      <c r="R130" s="484"/>
    </row>
  </sheetData>
  <autoFilter ref="B5:R119" xr:uid="{F15CE942-A373-42DA-8B31-032F1A7464FB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E942-A373-42DA-8B31-032F1A7464FB}">
  <dimension ref="B1:R141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6" sqref="F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630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631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14422763.414662</v>
      </c>
      <c r="K4" s="52"/>
      <c r="L4" s="648">
        <f>SUBTOTAL(109,L6:L1048576)</f>
        <v>5265506</v>
      </c>
      <c r="M4" s="543"/>
      <c r="N4" s="649">
        <f>SUBTOTAL(109,N6:N1048576)</f>
        <v>452517</v>
      </c>
      <c r="O4" s="649">
        <f>SUBTOTAL(109,O6:O1048576)</f>
        <v>4812989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46113</v>
      </c>
      <c r="J6" s="653">
        <v>190734.6</v>
      </c>
      <c r="K6" s="567">
        <v>0.6</v>
      </c>
      <c r="L6" s="646">
        <v>114440</v>
      </c>
      <c r="M6" s="654" t="str">
        <f>VLOOKUP(G:G,list!B:E,4,FALSE)</f>
        <v>-</v>
      </c>
      <c r="N6" s="655">
        <f t="shared" ref="N6:N98" si="0">ROUND(IF(M6="-",0,L6*M6),0)</f>
        <v>0</v>
      </c>
      <c r="O6" s="655">
        <f t="shared" ref="O6:O98" si="1">L6-N6</f>
        <v>114440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46113</v>
      </c>
      <c r="J7" s="653">
        <v>84180</v>
      </c>
      <c r="K7" s="600">
        <v>0.6</v>
      </c>
      <c r="L7" s="646">
        <v>50507</v>
      </c>
      <c r="M7" s="654" t="str">
        <f>VLOOKUP(G:G,list!B:E,4,FALSE)</f>
        <v>-</v>
      </c>
      <c r="N7" s="655">
        <f t="shared" si="0"/>
        <v>0</v>
      </c>
      <c r="O7" s="655">
        <f t="shared" si="1"/>
        <v>50507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46113</v>
      </c>
      <c r="J8" s="653">
        <v>170705</v>
      </c>
      <c r="K8" s="567">
        <v>0.6</v>
      </c>
      <c r="L8" s="646">
        <v>102424</v>
      </c>
      <c r="M8" s="654" t="str">
        <f>VLOOKUP(G:G,list!B:E,4,FALSE)</f>
        <v>-</v>
      </c>
      <c r="N8" s="655">
        <f t="shared" si="0"/>
        <v>0</v>
      </c>
      <c r="O8" s="655">
        <f t="shared" si="1"/>
        <v>102424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563">
        <v>4</v>
      </c>
      <c r="C9" s="651" t="str">
        <f>VLOOKUP(G:G,list!B:D,2,FALSE)</f>
        <v>원작료</v>
      </c>
      <c r="D9" s="564" t="s">
        <v>448</v>
      </c>
      <c r="E9" s="564" t="s">
        <v>9</v>
      </c>
      <c r="F9" s="564" t="s">
        <v>126</v>
      </c>
      <c r="G9" s="564" t="s">
        <v>30</v>
      </c>
      <c r="H9" s="565">
        <v>44199</v>
      </c>
      <c r="I9" s="652">
        <v>46113</v>
      </c>
      <c r="J9" s="653">
        <v>72916</v>
      </c>
      <c r="K9" s="567">
        <v>0.6</v>
      </c>
      <c r="L9" s="646">
        <v>43749</v>
      </c>
      <c r="M9" s="654">
        <f>VLOOKUP(G:G,list!B:E,4,FALSE)</f>
        <v>0.1</v>
      </c>
      <c r="N9" s="655">
        <f t="shared" si="0"/>
        <v>4375</v>
      </c>
      <c r="O9" s="655">
        <f t="shared" si="1"/>
        <v>39374</v>
      </c>
      <c r="P9" s="645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9</v>
      </c>
      <c r="F10" s="564" t="s">
        <v>126</v>
      </c>
      <c r="G10" s="564" t="s">
        <v>56</v>
      </c>
      <c r="H10" s="565">
        <v>44372</v>
      </c>
      <c r="I10" s="652">
        <v>46113</v>
      </c>
      <c r="J10" s="653">
        <v>42500.9</v>
      </c>
      <c r="K10" s="567">
        <v>0.6</v>
      </c>
      <c r="L10" s="646">
        <v>25499</v>
      </c>
      <c r="M10" s="654">
        <f>VLOOKUP(G:G,list!B:E,4,FALSE)</f>
        <v>0.1</v>
      </c>
      <c r="N10" s="655">
        <f t="shared" si="0"/>
        <v>2550</v>
      </c>
      <c r="O10" s="655">
        <f t="shared" si="1"/>
        <v>22949</v>
      </c>
      <c r="P10" s="645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563">
        <v>6</v>
      </c>
      <c r="C11" s="651" t="str">
        <f>VLOOKUP(G:G,list!B:D,2,FALSE)</f>
        <v>작가기획</v>
      </c>
      <c r="D11" s="564" t="s">
        <v>448</v>
      </c>
      <c r="E11" s="564" t="s">
        <v>9</v>
      </c>
      <c r="F11" s="564" t="s">
        <v>126</v>
      </c>
      <c r="G11" s="564" t="s">
        <v>308</v>
      </c>
      <c r="H11" s="565">
        <v>44608</v>
      </c>
      <c r="I11" s="652">
        <v>46113</v>
      </c>
      <c r="J11" s="653">
        <v>-1552</v>
      </c>
      <c r="K11" s="567">
        <v>0.6</v>
      </c>
      <c r="L11" s="646">
        <v>-931</v>
      </c>
      <c r="M11" s="654" t="str">
        <f>VLOOKUP(G:G,list!B:E,4,FALSE)</f>
        <v>-</v>
      </c>
      <c r="N11" s="655">
        <f t="shared" si="0"/>
        <v>0</v>
      </c>
      <c r="O11" s="655">
        <f t="shared" si="1"/>
        <v>-931</v>
      </c>
      <c r="P11" s="645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9</v>
      </c>
      <c r="F12" s="564" t="s">
        <v>126</v>
      </c>
      <c r="G12" s="564" t="s">
        <v>316</v>
      </c>
      <c r="H12" s="565">
        <v>44639</v>
      </c>
      <c r="I12" s="652">
        <v>46113</v>
      </c>
      <c r="J12" s="653">
        <v>120759.1</v>
      </c>
      <c r="K12" s="567">
        <v>0.6</v>
      </c>
      <c r="L12" s="646">
        <v>72455</v>
      </c>
      <c r="M12" s="654">
        <f>VLOOKUP(G:G,list!B:E,4,FALSE)</f>
        <v>0.1</v>
      </c>
      <c r="N12" s="655">
        <f t="shared" si="0"/>
        <v>7246</v>
      </c>
      <c r="O12" s="655">
        <f t="shared" si="1"/>
        <v>65209</v>
      </c>
      <c r="P12" s="645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563">
        <v>8</v>
      </c>
      <c r="C13" s="651" t="str">
        <f>VLOOKUP(G:G,list!B:D,2,FALSE)</f>
        <v>원작료</v>
      </c>
      <c r="D13" s="564" t="s">
        <v>448</v>
      </c>
      <c r="E13" s="564" t="s">
        <v>9</v>
      </c>
      <c r="F13" s="564" t="s">
        <v>126</v>
      </c>
      <c r="G13" s="564" t="s">
        <v>352</v>
      </c>
      <c r="H13" s="565">
        <v>44691</v>
      </c>
      <c r="I13" s="652">
        <v>46113</v>
      </c>
      <c r="J13" s="653">
        <v>38513</v>
      </c>
      <c r="K13" s="567">
        <v>0.6</v>
      </c>
      <c r="L13" s="646">
        <v>23108</v>
      </c>
      <c r="M13" s="654">
        <f>VLOOKUP(G:G,list!B:E,4,FALSE)</f>
        <v>0.1</v>
      </c>
      <c r="N13" s="655">
        <f t="shared" si="0"/>
        <v>2311</v>
      </c>
      <c r="O13" s="655">
        <f t="shared" si="1"/>
        <v>20797</v>
      </c>
      <c r="P13" s="645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9</v>
      </c>
      <c r="F14" s="564" t="s">
        <v>126</v>
      </c>
      <c r="G14" s="564" t="s">
        <v>353</v>
      </c>
      <c r="H14" s="565">
        <v>44709</v>
      </c>
      <c r="I14" s="652">
        <v>46113</v>
      </c>
      <c r="J14" s="653">
        <v>119960</v>
      </c>
      <c r="K14" s="567">
        <v>0.6</v>
      </c>
      <c r="L14" s="646">
        <v>71975</v>
      </c>
      <c r="M14" s="654">
        <f>VLOOKUP(G:G,list!B:E,4,FALSE)</f>
        <v>0.11</v>
      </c>
      <c r="N14" s="655">
        <f t="shared" si="0"/>
        <v>7917</v>
      </c>
      <c r="O14" s="655">
        <f t="shared" si="1"/>
        <v>64058</v>
      </c>
      <c r="P14" s="645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563">
        <v>10</v>
      </c>
      <c r="C15" s="651" t="str">
        <f>VLOOKUP(G:G,list!B:D,2,FALSE)</f>
        <v>원작료</v>
      </c>
      <c r="D15" s="564" t="s">
        <v>448</v>
      </c>
      <c r="E15" s="564" t="s">
        <v>9</v>
      </c>
      <c r="F15" s="564" t="s">
        <v>126</v>
      </c>
      <c r="G15" s="564" t="s">
        <v>447</v>
      </c>
      <c r="H15" s="565">
        <v>44801</v>
      </c>
      <c r="I15" s="652">
        <v>46113</v>
      </c>
      <c r="J15" s="653">
        <v>169406.8</v>
      </c>
      <c r="K15" s="567">
        <v>0.6</v>
      </c>
      <c r="L15" s="646">
        <v>101644</v>
      </c>
      <c r="M15" s="654">
        <f>VLOOKUP(G:G,list!B:E,4,FALSE)</f>
        <v>0.1</v>
      </c>
      <c r="N15" s="655">
        <f t="shared" si="0"/>
        <v>10164</v>
      </c>
      <c r="O15" s="655">
        <f t="shared" si="1"/>
        <v>91480</v>
      </c>
      <c r="P15" s="645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9</v>
      </c>
      <c r="F16" s="564" t="s">
        <v>126</v>
      </c>
      <c r="G16" s="564" t="s">
        <v>481</v>
      </c>
      <c r="H16" s="565">
        <v>44831</v>
      </c>
      <c r="I16" s="652">
        <v>46113</v>
      </c>
      <c r="J16" s="653">
        <v>13946</v>
      </c>
      <c r="K16" s="567">
        <v>0.6</v>
      </c>
      <c r="L16" s="646">
        <v>8368</v>
      </c>
      <c r="M16" s="654">
        <f>VLOOKUP(G:G,list!B:E,4,FALSE)</f>
        <v>0.1</v>
      </c>
      <c r="N16" s="655">
        <f t="shared" si="0"/>
        <v>837</v>
      </c>
      <c r="O16" s="655">
        <f t="shared" si="1"/>
        <v>7531</v>
      </c>
      <c r="P16" s="645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563">
        <v>12</v>
      </c>
      <c r="C17" s="651" t="str">
        <f>VLOOKUP(G:G,list!B:D,2,FALSE)</f>
        <v>작가기획</v>
      </c>
      <c r="D17" s="564" t="s">
        <v>448</v>
      </c>
      <c r="E17" s="564" t="s">
        <v>9</v>
      </c>
      <c r="F17" s="564" t="s">
        <v>126</v>
      </c>
      <c r="G17" s="564" t="s">
        <v>501</v>
      </c>
      <c r="H17" s="565">
        <v>44851</v>
      </c>
      <c r="I17" s="652">
        <v>46113</v>
      </c>
      <c r="J17" s="653">
        <v>1274</v>
      </c>
      <c r="K17" s="567">
        <v>0.7</v>
      </c>
      <c r="L17" s="646">
        <v>892</v>
      </c>
      <c r="M17" s="654" t="str">
        <f>VLOOKUP(G:G,list!B:E,4,FALSE)</f>
        <v>-</v>
      </c>
      <c r="N17" s="655">
        <f t="shared" si="0"/>
        <v>0</v>
      </c>
      <c r="O17" s="655">
        <f t="shared" si="1"/>
        <v>892</v>
      </c>
      <c r="P17" s="645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9</v>
      </c>
      <c r="F18" s="564" t="s">
        <v>126</v>
      </c>
      <c r="G18" s="564" t="s">
        <v>534</v>
      </c>
      <c r="H18" s="565">
        <v>45235</v>
      </c>
      <c r="I18" s="652">
        <v>46113</v>
      </c>
      <c r="J18" s="653">
        <v>554742</v>
      </c>
      <c r="K18" s="567">
        <v>0.6</v>
      </c>
      <c r="L18" s="646">
        <v>332845</v>
      </c>
      <c r="M18" s="654">
        <f>VLOOKUP(G:G,list!B:E,4,FALSE)</f>
        <v>0.1</v>
      </c>
      <c r="N18" s="655">
        <f t="shared" si="0"/>
        <v>33285</v>
      </c>
      <c r="O18" s="655">
        <f t="shared" si="1"/>
        <v>299560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563">
        <v>14</v>
      </c>
      <c r="C19" s="651" t="str">
        <f>VLOOKUP(G:G,list!B:D,2,FALSE)</f>
        <v>원작료</v>
      </c>
      <c r="D19" s="564" t="s">
        <v>448</v>
      </c>
      <c r="E19" s="564" t="s">
        <v>9</v>
      </c>
      <c r="F19" s="564" t="s">
        <v>126</v>
      </c>
      <c r="G19" s="564" t="s">
        <v>541</v>
      </c>
      <c r="H19" s="565">
        <v>45066</v>
      </c>
      <c r="I19" s="652">
        <v>46113</v>
      </c>
      <c r="J19" s="653">
        <v>99655</v>
      </c>
      <c r="K19" s="567">
        <v>0.7</v>
      </c>
      <c r="L19" s="646">
        <v>69760</v>
      </c>
      <c r="M19" s="654">
        <f>VLOOKUP(G:G,list!B:E,4,FALSE)</f>
        <v>0.1</v>
      </c>
      <c r="N19" s="655">
        <f t="shared" si="0"/>
        <v>6976</v>
      </c>
      <c r="O19" s="655">
        <f t="shared" si="1"/>
        <v>62784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9</v>
      </c>
      <c r="F20" s="564" t="s">
        <v>209</v>
      </c>
      <c r="G20" s="564" t="s">
        <v>30</v>
      </c>
      <c r="H20" s="565">
        <v>44409</v>
      </c>
      <c r="I20" s="652">
        <v>46113</v>
      </c>
      <c r="J20" s="653">
        <v>18576.900000000001</v>
      </c>
      <c r="K20" s="567">
        <v>0.6</v>
      </c>
      <c r="L20" s="646">
        <v>11146</v>
      </c>
      <c r="M20" s="654">
        <f>VLOOKUP(G:G,list!B:E,4,FALSE)</f>
        <v>0.1</v>
      </c>
      <c r="N20" s="655">
        <f t="shared" si="0"/>
        <v>1115</v>
      </c>
      <c r="O20" s="655">
        <f t="shared" si="1"/>
        <v>10031</v>
      </c>
      <c r="P20" s="645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563">
        <v>16</v>
      </c>
      <c r="C21" s="651" t="str">
        <f>VLOOKUP(G:G,list!B:D,2,FALSE)</f>
        <v>작가기획</v>
      </c>
      <c r="D21" s="564" t="s">
        <v>78</v>
      </c>
      <c r="E21" s="564" t="s">
        <v>9</v>
      </c>
      <c r="F21" s="564" t="s">
        <v>209</v>
      </c>
      <c r="G21" s="564" t="s">
        <v>501</v>
      </c>
      <c r="H21" s="565">
        <v>44851</v>
      </c>
      <c r="I21" s="652">
        <v>46113</v>
      </c>
      <c r="J21" s="653">
        <v>11448</v>
      </c>
      <c r="K21" s="567">
        <v>0.6</v>
      </c>
      <c r="L21" s="646">
        <v>8014</v>
      </c>
      <c r="M21" s="654" t="str">
        <f>VLOOKUP(G:G,list!B:E,4,FALSE)</f>
        <v>-</v>
      </c>
      <c r="N21" s="655">
        <f t="shared" si="0"/>
        <v>0</v>
      </c>
      <c r="O21" s="655">
        <f t="shared" si="1"/>
        <v>8014</v>
      </c>
      <c r="P21" s="645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9</v>
      </c>
      <c r="F22" s="564" t="s">
        <v>209</v>
      </c>
      <c r="G22" s="564" t="s">
        <v>316</v>
      </c>
      <c r="H22" s="565">
        <v>44926</v>
      </c>
      <c r="I22" s="652">
        <v>46113</v>
      </c>
      <c r="J22" s="653">
        <v>59072.800000000003</v>
      </c>
      <c r="K22" s="567">
        <v>0.6</v>
      </c>
      <c r="L22" s="646">
        <v>35444</v>
      </c>
      <c r="M22" s="654">
        <f>VLOOKUP(G:G,list!B:E,4,FALSE)</f>
        <v>0.1</v>
      </c>
      <c r="N22" s="655">
        <f t="shared" si="0"/>
        <v>3544</v>
      </c>
      <c r="O22" s="655">
        <f t="shared" si="1"/>
        <v>31900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563">
        <v>18</v>
      </c>
      <c r="C23" s="651" t="str">
        <f>VLOOKUP(G:G,list!B:D,2,FALSE)</f>
        <v>작가기획</v>
      </c>
      <c r="D23" s="564" t="s">
        <v>78</v>
      </c>
      <c r="E23" s="564" t="s">
        <v>9</v>
      </c>
      <c r="F23" s="564" t="s">
        <v>209</v>
      </c>
      <c r="G23" s="564" t="s">
        <v>308</v>
      </c>
      <c r="H23" s="565">
        <v>44944</v>
      </c>
      <c r="I23" s="652">
        <v>46113</v>
      </c>
      <c r="J23" s="653">
        <v>0</v>
      </c>
      <c r="K23" s="567">
        <v>0.6</v>
      </c>
      <c r="L23" s="646">
        <v>0</v>
      </c>
      <c r="M23" s="654" t="str">
        <f>VLOOKUP(G:G,list!B:E,4,FALSE)</f>
        <v>-</v>
      </c>
      <c r="N23" s="655">
        <f t="shared" si="0"/>
        <v>0</v>
      </c>
      <c r="O23" s="655">
        <f t="shared" si="1"/>
        <v>0</v>
      </c>
      <c r="P23" s="645" t="s">
        <v>366</v>
      </c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9</v>
      </c>
      <c r="F24" s="564" t="s">
        <v>209</v>
      </c>
      <c r="G24" s="564" t="s">
        <v>447</v>
      </c>
      <c r="H24" s="565">
        <v>44969</v>
      </c>
      <c r="I24" s="652">
        <v>46113</v>
      </c>
      <c r="J24" s="653">
        <v>37056.9</v>
      </c>
      <c r="K24" s="567">
        <v>0.6</v>
      </c>
      <c r="L24" s="646">
        <v>22234</v>
      </c>
      <c r="M24" s="654">
        <f>VLOOKUP(G:G,list!B:E,4,FALSE)</f>
        <v>0.1</v>
      </c>
      <c r="N24" s="655">
        <f t="shared" si="0"/>
        <v>2223</v>
      </c>
      <c r="O24" s="655">
        <f t="shared" si="1"/>
        <v>20011</v>
      </c>
      <c r="P24" s="645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563">
        <v>20</v>
      </c>
      <c r="C25" s="651" t="str">
        <f>VLOOKUP(G:G,list!B:D,2,FALSE)</f>
        <v>원작료</v>
      </c>
      <c r="D25" s="564" t="s">
        <v>78</v>
      </c>
      <c r="E25" s="564" t="s">
        <v>9</v>
      </c>
      <c r="F25" s="564" t="s">
        <v>209</v>
      </c>
      <c r="G25" s="564" t="s">
        <v>481</v>
      </c>
      <c r="H25" s="565">
        <v>44981</v>
      </c>
      <c r="I25" s="652">
        <v>46113</v>
      </c>
      <c r="J25" s="653">
        <v>9396</v>
      </c>
      <c r="K25" s="567">
        <v>0.6</v>
      </c>
      <c r="L25" s="646">
        <v>5637</v>
      </c>
      <c r="M25" s="654">
        <f>VLOOKUP(G:G,list!B:E,4,FALSE)</f>
        <v>0.1</v>
      </c>
      <c r="N25" s="655">
        <f t="shared" si="0"/>
        <v>564</v>
      </c>
      <c r="O25" s="655">
        <f t="shared" si="1"/>
        <v>5073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9</v>
      </c>
      <c r="F26" s="564" t="s">
        <v>209</v>
      </c>
      <c r="G26" s="564" t="s">
        <v>56</v>
      </c>
      <c r="H26" s="565">
        <v>44988</v>
      </c>
      <c r="I26" s="652">
        <v>46113</v>
      </c>
      <c r="J26" s="653">
        <v>41398.6</v>
      </c>
      <c r="K26" s="567">
        <v>0.6</v>
      </c>
      <c r="L26" s="646">
        <v>24840</v>
      </c>
      <c r="M26" s="654">
        <f>VLOOKUP(G:G,list!B:E,4,FALSE)</f>
        <v>0.1</v>
      </c>
      <c r="N26" s="655">
        <f t="shared" si="0"/>
        <v>2484</v>
      </c>
      <c r="O26" s="655">
        <f t="shared" si="1"/>
        <v>22356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563">
        <v>22</v>
      </c>
      <c r="C27" s="651" t="str">
        <f>VLOOKUP(G:G,list!B:D,2,FALSE)</f>
        <v>원작료</v>
      </c>
      <c r="D27" s="564" t="s">
        <v>78</v>
      </c>
      <c r="E27" s="564" t="s">
        <v>9</v>
      </c>
      <c r="F27" s="564" t="s">
        <v>209</v>
      </c>
      <c r="G27" s="564" t="s">
        <v>352</v>
      </c>
      <c r="H27" s="565">
        <v>45033</v>
      </c>
      <c r="I27" s="652">
        <v>46113</v>
      </c>
      <c r="J27" s="653">
        <v>22514.7</v>
      </c>
      <c r="K27" s="567">
        <v>0.6</v>
      </c>
      <c r="L27" s="646">
        <v>13509</v>
      </c>
      <c r="M27" s="654">
        <f>VLOOKUP(G:G,list!B:E,4,FALSE)</f>
        <v>0.1</v>
      </c>
      <c r="N27" s="655">
        <f t="shared" si="0"/>
        <v>1351</v>
      </c>
      <c r="O27" s="655">
        <f t="shared" si="1"/>
        <v>12158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9</v>
      </c>
      <c r="F28" s="564" t="s">
        <v>209</v>
      </c>
      <c r="G28" s="564" t="s">
        <v>523</v>
      </c>
      <c r="H28" s="565">
        <v>45057</v>
      </c>
      <c r="I28" s="652">
        <v>46113</v>
      </c>
      <c r="J28" s="653">
        <v>13788</v>
      </c>
      <c r="K28" s="567">
        <v>0.6</v>
      </c>
      <c r="L28" s="646">
        <v>8273</v>
      </c>
      <c r="M28" s="654" t="str">
        <f>VLOOKUP(G:G,list!B:E,4,FALSE)</f>
        <v>-</v>
      </c>
      <c r="N28" s="655">
        <f t="shared" si="0"/>
        <v>0</v>
      </c>
      <c r="O28" s="655">
        <f t="shared" si="1"/>
        <v>8273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563">
        <v>24</v>
      </c>
      <c r="C29" s="651" t="str">
        <f>VLOOKUP(G:G,list!B:D,2,FALSE)</f>
        <v>원작료</v>
      </c>
      <c r="D29" s="564" t="s">
        <v>78</v>
      </c>
      <c r="E29" s="564" t="s">
        <v>9</v>
      </c>
      <c r="F29" s="564" t="s">
        <v>209</v>
      </c>
      <c r="G29" s="564" t="s">
        <v>353</v>
      </c>
      <c r="H29" s="565">
        <v>45057</v>
      </c>
      <c r="I29" s="652">
        <v>46113</v>
      </c>
      <c r="J29" s="653">
        <v>6717</v>
      </c>
      <c r="K29" s="567">
        <v>0.6</v>
      </c>
      <c r="L29" s="646">
        <v>4031</v>
      </c>
      <c r="M29" s="654">
        <f>VLOOKUP(G:G,list!B:E,4,FALSE)</f>
        <v>0.11</v>
      </c>
      <c r="N29" s="655">
        <f t="shared" si="0"/>
        <v>443</v>
      </c>
      <c r="O29" s="655">
        <f t="shared" si="1"/>
        <v>3588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9</v>
      </c>
      <c r="F30" s="564" t="s">
        <v>209</v>
      </c>
      <c r="G30" s="564" t="s">
        <v>315</v>
      </c>
      <c r="H30" s="565">
        <v>45083</v>
      </c>
      <c r="I30" s="652">
        <v>46113</v>
      </c>
      <c r="J30" s="653">
        <v>61537.9</v>
      </c>
      <c r="K30" s="567">
        <v>0.6</v>
      </c>
      <c r="L30" s="646">
        <v>36922</v>
      </c>
      <c r="M30" s="654" t="str">
        <f>VLOOKUP(G:G,list!B:E,4,FALSE)</f>
        <v>-</v>
      </c>
      <c r="N30" s="655">
        <f t="shared" si="0"/>
        <v>0</v>
      </c>
      <c r="O30" s="655">
        <f t="shared" si="1"/>
        <v>36922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563">
        <v>26</v>
      </c>
      <c r="C31" s="651" t="str">
        <f>VLOOKUP(G:G,list!B:D,2,FALSE)</f>
        <v>외부제작</v>
      </c>
      <c r="D31" s="564" t="s">
        <v>78</v>
      </c>
      <c r="E31" s="564" t="s">
        <v>9</v>
      </c>
      <c r="F31" s="564" t="s">
        <v>209</v>
      </c>
      <c r="G31" s="564" t="s">
        <v>533</v>
      </c>
      <c r="H31" s="565">
        <v>45204</v>
      </c>
      <c r="I31" s="652">
        <v>46113</v>
      </c>
      <c r="J31" s="653">
        <v>59918.9</v>
      </c>
      <c r="K31" s="567">
        <v>0.6</v>
      </c>
      <c r="L31" s="646">
        <v>35952</v>
      </c>
      <c r="M31" s="654" t="str">
        <f>VLOOKUP(G:G,list!B:E,4,FALSE)</f>
        <v>-</v>
      </c>
      <c r="N31" s="655">
        <f t="shared" si="0"/>
        <v>0</v>
      </c>
      <c r="O31" s="655">
        <f t="shared" si="1"/>
        <v>35952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9</v>
      </c>
      <c r="F32" s="564" t="s">
        <v>209</v>
      </c>
      <c r="G32" s="564" t="s">
        <v>534</v>
      </c>
      <c r="H32" s="565">
        <v>45236</v>
      </c>
      <c r="I32" s="652">
        <v>46113</v>
      </c>
      <c r="J32" s="653">
        <v>119920.8</v>
      </c>
      <c r="K32" s="567">
        <v>0.6</v>
      </c>
      <c r="L32" s="646">
        <v>71953</v>
      </c>
      <c r="M32" s="654">
        <f>VLOOKUP(G:G,list!B:E,4,FALSE)</f>
        <v>0.1</v>
      </c>
      <c r="N32" s="655">
        <f t="shared" si="0"/>
        <v>7195</v>
      </c>
      <c r="O32" s="655">
        <f t="shared" si="1"/>
        <v>64758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563">
        <v>28</v>
      </c>
      <c r="C33" s="651" t="str">
        <f>VLOOKUP(G:G,list!B:D,2,FALSE)</f>
        <v>원작료</v>
      </c>
      <c r="D33" s="564" t="s">
        <v>72</v>
      </c>
      <c r="E33" s="564" t="s">
        <v>9</v>
      </c>
      <c r="F33" s="564" t="s">
        <v>73</v>
      </c>
      <c r="G33" s="564" t="s">
        <v>30</v>
      </c>
      <c r="H33" s="565">
        <v>44359</v>
      </c>
      <c r="I33" s="652">
        <v>46082</v>
      </c>
      <c r="J33" s="653">
        <v>115989</v>
      </c>
      <c r="K33" s="567">
        <v>0.224</v>
      </c>
      <c r="L33" s="646">
        <v>23386</v>
      </c>
      <c r="M33" s="654">
        <f>VLOOKUP(G:G,list!B:E,4,FALSE)</f>
        <v>0.1</v>
      </c>
      <c r="N33" s="655">
        <f t="shared" si="0"/>
        <v>2339</v>
      </c>
      <c r="O33" s="655">
        <f t="shared" si="1"/>
        <v>21047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9</v>
      </c>
      <c r="F34" s="564" t="s">
        <v>73</v>
      </c>
      <c r="G34" s="564" t="s">
        <v>56</v>
      </c>
      <c r="H34" s="565">
        <v>44629</v>
      </c>
      <c r="I34" s="652">
        <v>46082</v>
      </c>
      <c r="J34" s="653">
        <v>386249</v>
      </c>
      <c r="K34" s="567">
        <v>0.224</v>
      </c>
      <c r="L34" s="646">
        <v>77874</v>
      </c>
      <c r="M34" s="654">
        <f>VLOOKUP(G:G,list!B:E,4,FALSE)</f>
        <v>0.1</v>
      </c>
      <c r="N34" s="655">
        <f t="shared" si="0"/>
        <v>7787</v>
      </c>
      <c r="O34" s="655">
        <f t="shared" si="1"/>
        <v>70087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563">
        <v>30</v>
      </c>
      <c r="C35" s="651" t="str">
        <f>VLOOKUP(G:G,list!B:D,2,FALSE)</f>
        <v>작가기획</v>
      </c>
      <c r="D35" s="564" t="s">
        <v>72</v>
      </c>
      <c r="E35" s="564" t="s">
        <v>9</v>
      </c>
      <c r="F35" s="564" t="s">
        <v>73</v>
      </c>
      <c r="G35" s="564" t="s">
        <v>308</v>
      </c>
      <c r="H35" s="565">
        <v>44773</v>
      </c>
      <c r="I35" s="652">
        <v>46082</v>
      </c>
      <c r="J35" s="653">
        <v>0</v>
      </c>
      <c r="K35" s="567">
        <v>0.224</v>
      </c>
      <c r="L35" s="646">
        <v>0</v>
      </c>
      <c r="M35" s="654" t="str">
        <f>VLOOKUP(G:G,list!B:E,4,FALSE)</f>
        <v>-</v>
      </c>
      <c r="N35" s="655">
        <f t="shared" si="0"/>
        <v>0</v>
      </c>
      <c r="O35" s="655">
        <f t="shared" si="1"/>
        <v>0</v>
      </c>
      <c r="P35" s="645" t="s">
        <v>366</v>
      </c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9</v>
      </c>
      <c r="F36" s="564" t="s">
        <v>73</v>
      </c>
      <c r="G36" s="564" t="s">
        <v>316</v>
      </c>
      <c r="H36" s="565">
        <v>44784</v>
      </c>
      <c r="I36" s="652">
        <v>46082</v>
      </c>
      <c r="J36" s="653">
        <v>53137</v>
      </c>
      <c r="K36" s="567">
        <v>0.224</v>
      </c>
      <c r="L36" s="646">
        <v>10713</v>
      </c>
      <c r="M36" s="654">
        <f>VLOOKUP(G:G,list!B:E,4,FALSE)</f>
        <v>0.1</v>
      </c>
      <c r="N36" s="655">
        <f t="shared" si="0"/>
        <v>1071</v>
      </c>
      <c r="O36" s="655">
        <f t="shared" si="1"/>
        <v>9642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563">
        <v>32</v>
      </c>
      <c r="C37" s="651" t="str">
        <f>VLOOKUP(G:G,list!B:D,2,FALSE)</f>
        <v>원작료</v>
      </c>
      <c r="D37" s="564" t="s">
        <v>72</v>
      </c>
      <c r="E37" s="564" t="s">
        <v>9</v>
      </c>
      <c r="F37" s="564" t="s">
        <v>73</v>
      </c>
      <c r="G37" s="564" t="s">
        <v>353</v>
      </c>
      <c r="H37" s="565">
        <v>44808</v>
      </c>
      <c r="I37" s="652">
        <v>46082</v>
      </c>
      <c r="J37" s="653">
        <v>347967</v>
      </c>
      <c r="K37" s="567">
        <v>0.224</v>
      </c>
      <c r="L37" s="646">
        <v>70151</v>
      </c>
      <c r="M37" s="654">
        <f>VLOOKUP(G:G,list!B:E,4,FALSE)</f>
        <v>0.11</v>
      </c>
      <c r="N37" s="655">
        <f t="shared" si="0"/>
        <v>7717</v>
      </c>
      <c r="O37" s="655">
        <f t="shared" si="1"/>
        <v>62434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9</v>
      </c>
      <c r="F38" s="564" t="s">
        <v>73</v>
      </c>
      <c r="G38" s="564" t="s">
        <v>352</v>
      </c>
      <c r="H38" s="565">
        <v>44813</v>
      </c>
      <c r="I38" s="652">
        <v>46082</v>
      </c>
      <c r="J38" s="653">
        <v>102276</v>
      </c>
      <c r="K38" s="567">
        <v>0.224</v>
      </c>
      <c r="L38" s="646">
        <v>20624</v>
      </c>
      <c r="M38" s="654">
        <f>VLOOKUP(G:G,list!B:E,4,FALSE)</f>
        <v>0.1</v>
      </c>
      <c r="N38" s="655">
        <f t="shared" si="0"/>
        <v>2062</v>
      </c>
      <c r="O38" s="655">
        <f t="shared" si="1"/>
        <v>18562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563">
        <v>34</v>
      </c>
      <c r="C39" s="651" t="str">
        <f>VLOOKUP(G:G,list!B:D,2,FALSE)</f>
        <v>외부제작</v>
      </c>
      <c r="D39" s="564" t="s">
        <v>72</v>
      </c>
      <c r="E39" s="564" t="s">
        <v>9</v>
      </c>
      <c r="F39" s="564" t="s">
        <v>73</v>
      </c>
      <c r="G39" s="564" t="s">
        <v>315</v>
      </c>
      <c r="H39" s="565">
        <v>44825</v>
      </c>
      <c r="I39" s="652">
        <v>46082</v>
      </c>
      <c r="J39" s="653">
        <v>42281</v>
      </c>
      <c r="K39" s="567">
        <v>0.224</v>
      </c>
      <c r="L39" s="646">
        <v>8525</v>
      </c>
      <c r="M39" s="654" t="str">
        <f>VLOOKUP(G:G,list!B:E,4,FALSE)</f>
        <v>-</v>
      </c>
      <c r="N39" s="655">
        <f t="shared" si="0"/>
        <v>0</v>
      </c>
      <c r="O39" s="655">
        <f t="shared" si="1"/>
        <v>8525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9</v>
      </c>
      <c r="F40" s="564" t="s">
        <v>73</v>
      </c>
      <c r="G40" s="564" t="s">
        <v>447</v>
      </c>
      <c r="H40" s="565">
        <v>45035</v>
      </c>
      <c r="I40" s="652">
        <v>46082</v>
      </c>
      <c r="J40" s="653">
        <v>2204363</v>
      </c>
      <c r="K40" s="567">
        <v>0.224</v>
      </c>
      <c r="L40" s="646">
        <v>444405</v>
      </c>
      <c r="M40" s="654">
        <f>VLOOKUP(G:G,list!B:E,4,FALSE)</f>
        <v>0.1</v>
      </c>
      <c r="N40" s="655">
        <f t="shared" si="0"/>
        <v>44441</v>
      </c>
      <c r="O40" s="655">
        <f t="shared" si="1"/>
        <v>399964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563">
        <v>36</v>
      </c>
      <c r="C41" s="651" t="str">
        <f>VLOOKUP(G:G,list!B:D,2,FALSE)</f>
        <v>작가기획</v>
      </c>
      <c r="D41" s="564" t="s">
        <v>72</v>
      </c>
      <c r="E41" s="564" t="s">
        <v>9</v>
      </c>
      <c r="F41" s="564" t="s">
        <v>73</v>
      </c>
      <c r="G41" s="564" t="s">
        <v>501</v>
      </c>
      <c r="H41" s="565">
        <v>45116</v>
      </c>
      <c r="I41" s="652">
        <v>46082</v>
      </c>
      <c r="J41" s="653">
        <v>0</v>
      </c>
      <c r="K41" s="567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645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9</v>
      </c>
      <c r="F42" s="564" t="s">
        <v>73</v>
      </c>
      <c r="G42" s="564" t="s">
        <v>481</v>
      </c>
      <c r="H42" s="565">
        <v>45237</v>
      </c>
      <c r="I42" s="652">
        <v>46082</v>
      </c>
      <c r="J42" s="653">
        <v>94848</v>
      </c>
      <c r="K42" s="567">
        <v>0.224</v>
      </c>
      <c r="L42" s="646">
        <v>19129</v>
      </c>
      <c r="M42" s="654">
        <f>VLOOKUP(G:G,list!B:E,4,FALSE)</f>
        <v>0.1</v>
      </c>
      <c r="N42" s="655">
        <f t="shared" si="0"/>
        <v>1913</v>
      </c>
      <c r="O42" s="655">
        <f t="shared" si="1"/>
        <v>17216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563">
        <v>38</v>
      </c>
      <c r="C43" s="651" t="str">
        <f>VLOOKUP(G:G,list!B:D,2,FALSE)</f>
        <v>원작료</v>
      </c>
      <c r="D43" s="564" t="s">
        <v>72</v>
      </c>
      <c r="E43" s="564" t="s">
        <v>9</v>
      </c>
      <c r="F43" s="564" t="s">
        <v>73</v>
      </c>
      <c r="G43" s="564" t="s">
        <v>534</v>
      </c>
      <c r="H43" s="565">
        <v>45364</v>
      </c>
      <c r="I43" s="652">
        <v>46082</v>
      </c>
      <c r="J43" s="653">
        <v>1270166</v>
      </c>
      <c r="K43" s="567">
        <v>0.224</v>
      </c>
      <c r="L43" s="646">
        <v>256070</v>
      </c>
      <c r="M43" s="654">
        <f>VLOOKUP(G:G,list!B:E,4,FALSE)</f>
        <v>0.1</v>
      </c>
      <c r="N43" s="655">
        <f t="shared" si="0"/>
        <v>25607</v>
      </c>
      <c r="O43" s="655">
        <f t="shared" si="1"/>
        <v>230463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9</v>
      </c>
      <c r="F44" s="564" t="s">
        <v>73</v>
      </c>
      <c r="G44" s="564" t="s">
        <v>533</v>
      </c>
      <c r="H44" s="565">
        <v>45412</v>
      </c>
      <c r="I44" s="652">
        <v>46082</v>
      </c>
      <c r="J44" s="653">
        <v>280545</v>
      </c>
      <c r="K44" s="567">
        <v>0.224</v>
      </c>
      <c r="L44" s="646">
        <v>56566</v>
      </c>
      <c r="M44" s="654" t="str">
        <f>VLOOKUP(G:G,list!B:E,4,FALSE)</f>
        <v>-</v>
      </c>
      <c r="N44" s="655">
        <f t="shared" si="0"/>
        <v>0</v>
      </c>
      <c r="O44" s="655">
        <f t="shared" si="1"/>
        <v>56566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563">
        <v>40</v>
      </c>
      <c r="C45" s="651" t="str">
        <f>VLOOKUP(G:G,list!B:D,2,FALSE)</f>
        <v>원작료</v>
      </c>
      <c r="D45" s="564" t="s">
        <v>32</v>
      </c>
      <c r="E45" s="564" t="s">
        <v>9</v>
      </c>
      <c r="F45" s="564" t="s">
        <v>126</v>
      </c>
      <c r="G45" s="564" t="s">
        <v>364</v>
      </c>
      <c r="H45" s="565">
        <v>45901</v>
      </c>
      <c r="I45" s="652">
        <v>46113</v>
      </c>
      <c r="J45" s="653">
        <v>0</v>
      </c>
      <c r="K45" s="567">
        <v>0.35</v>
      </c>
      <c r="L45" s="646">
        <v>0</v>
      </c>
      <c r="M45" s="654">
        <f>VLOOKUP(G:G,list!B:E,4,FALSE)</f>
        <v>0.1</v>
      </c>
      <c r="N45" s="655">
        <f t="shared" si="0"/>
        <v>0</v>
      </c>
      <c r="O45" s="655">
        <f t="shared" si="1"/>
        <v>0</v>
      </c>
      <c r="P45" s="645" t="s">
        <v>366</v>
      </c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46113</v>
      </c>
      <c r="J46" s="653">
        <v>51480</v>
      </c>
      <c r="K46" s="567" t="s">
        <v>532</v>
      </c>
      <c r="L46" s="646">
        <v>19008</v>
      </c>
      <c r="M46" s="654" t="str">
        <f>VLOOKUP(G:G,list!B:E,4,FALSE)</f>
        <v>-</v>
      </c>
      <c r="N46" s="655">
        <f t="shared" si="0"/>
        <v>0</v>
      </c>
      <c r="O46" s="655">
        <f t="shared" si="1"/>
        <v>19008</v>
      </c>
      <c r="P46" s="645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563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46113</v>
      </c>
      <c r="J47" s="653">
        <v>0</v>
      </c>
      <c r="K47" s="567" t="s">
        <v>532</v>
      </c>
      <c r="L47" s="646">
        <v>0</v>
      </c>
      <c r="M47" s="654" t="str">
        <f>VLOOKUP(G:G,list!B:E,4,FALSE)</f>
        <v>-</v>
      </c>
      <c r="N47" s="655">
        <f t="shared" si="0"/>
        <v>0</v>
      </c>
      <c r="O47" s="655">
        <f t="shared" si="1"/>
        <v>0</v>
      </c>
      <c r="P47" s="645" t="s">
        <v>366</v>
      </c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52">
        <v>46082</v>
      </c>
      <c r="J48" s="653">
        <v>81632</v>
      </c>
      <c r="K48" s="567">
        <v>0.5</v>
      </c>
      <c r="L48" s="646">
        <v>40816</v>
      </c>
      <c r="M48" s="654" t="str">
        <f>VLOOKUP(G:G,list!B:E,4,FALSE)</f>
        <v>-</v>
      </c>
      <c r="N48" s="655">
        <f t="shared" si="0"/>
        <v>0</v>
      </c>
      <c r="O48" s="655">
        <f t="shared" si="1"/>
        <v>40816</v>
      </c>
      <c r="P48" s="645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563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52">
        <v>46082</v>
      </c>
      <c r="J49" s="653">
        <v>10370</v>
      </c>
      <c r="K49" s="567">
        <v>0.5</v>
      </c>
      <c r="L49" s="646">
        <v>5185</v>
      </c>
      <c r="M49" s="654" t="str">
        <f>VLOOKUP(G:G,list!B:E,4,FALSE)</f>
        <v>-</v>
      </c>
      <c r="N49" s="655">
        <f t="shared" si="0"/>
        <v>0</v>
      </c>
      <c r="O49" s="655">
        <f t="shared" si="1"/>
        <v>5185</v>
      </c>
      <c r="P49" s="645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46113</v>
      </c>
      <c r="J50" s="653">
        <v>15445</v>
      </c>
      <c r="K50" s="567">
        <v>0.4</v>
      </c>
      <c r="L50" s="646">
        <v>6178</v>
      </c>
      <c r="M50" s="654">
        <f>VLOOKUP(G:G,list!B:E,4,FALSE)</f>
        <v>0.1</v>
      </c>
      <c r="N50" s="655">
        <f t="shared" si="0"/>
        <v>618</v>
      </c>
      <c r="O50" s="655">
        <f t="shared" si="1"/>
        <v>5560</v>
      </c>
      <c r="P50" s="645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563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46113</v>
      </c>
      <c r="J51" s="653">
        <v>12443</v>
      </c>
      <c r="K51" s="567">
        <v>0.4</v>
      </c>
      <c r="L51" s="646">
        <v>4977</v>
      </c>
      <c r="M51" s="654" t="str">
        <f>VLOOKUP(G:G,list!B:E,4,FALSE)</f>
        <v>-</v>
      </c>
      <c r="N51" s="655">
        <f t="shared" si="0"/>
        <v>0</v>
      </c>
      <c r="O51" s="655">
        <f t="shared" si="1"/>
        <v>4977</v>
      </c>
      <c r="P51" s="645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46113</v>
      </c>
      <c r="J52" s="653">
        <v>43505</v>
      </c>
      <c r="K52" s="567">
        <v>0.4</v>
      </c>
      <c r="L52" s="646">
        <v>17402</v>
      </c>
      <c r="M52" s="654" t="str">
        <f>VLOOKUP(G:G,list!B:E,4,FALSE)</f>
        <v>-</v>
      </c>
      <c r="N52" s="655">
        <f t="shared" si="0"/>
        <v>0</v>
      </c>
      <c r="O52" s="655">
        <f t="shared" si="1"/>
        <v>17402</v>
      </c>
      <c r="P52" s="645"/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563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46113</v>
      </c>
      <c r="J53" s="653">
        <v>0</v>
      </c>
      <c r="K53" s="567">
        <v>0.4</v>
      </c>
      <c r="L53" s="646">
        <v>0</v>
      </c>
      <c r="M53" s="654" t="str">
        <f>VLOOKUP(G:G,list!B:E,4,FALSE)</f>
        <v>-</v>
      </c>
      <c r="N53" s="655">
        <f t="shared" si="0"/>
        <v>0</v>
      </c>
      <c r="O53" s="655">
        <f t="shared" si="1"/>
        <v>0</v>
      </c>
      <c r="P53" s="645" t="s">
        <v>366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46113</v>
      </c>
      <c r="J54" s="653">
        <v>116548</v>
      </c>
      <c r="K54" s="567">
        <v>0.4</v>
      </c>
      <c r="L54" s="646">
        <v>46619</v>
      </c>
      <c r="M54" s="654" t="str">
        <f>VLOOKUP(G:G,list!B:E,4,FALSE)</f>
        <v>-</v>
      </c>
      <c r="N54" s="655">
        <f t="shared" si="0"/>
        <v>0</v>
      </c>
      <c r="O54" s="655">
        <f t="shared" si="1"/>
        <v>46619</v>
      </c>
      <c r="P54" s="645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563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46113</v>
      </c>
      <c r="J55" s="653">
        <v>16575</v>
      </c>
      <c r="K55" s="567">
        <v>0.4</v>
      </c>
      <c r="L55" s="646">
        <v>6630</v>
      </c>
      <c r="M55" s="654">
        <f>VLOOKUP(G:G,list!B:E,4,FALSE)</f>
        <v>0.1</v>
      </c>
      <c r="N55" s="655">
        <f t="shared" si="0"/>
        <v>663</v>
      </c>
      <c r="O55" s="655">
        <f t="shared" si="1"/>
        <v>5967</v>
      </c>
      <c r="P55" s="645"/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46113</v>
      </c>
      <c r="J56" s="653">
        <v>160</v>
      </c>
      <c r="K56" s="567">
        <v>0.5</v>
      </c>
      <c r="L56" s="646">
        <v>80</v>
      </c>
      <c r="M56" s="654" t="str">
        <f>VLOOKUP(G:G,list!B:E,4,FALSE)</f>
        <v>-</v>
      </c>
      <c r="N56" s="655">
        <f t="shared" si="0"/>
        <v>0</v>
      </c>
      <c r="O56" s="655">
        <f t="shared" si="1"/>
        <v>80</v>
      </c>
      <c r="P56" s="645"/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563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46113</v>
      </c>
      <c r="J57" s="653">
        <v>32004</v>
      </c>
      <c r="K57" s="567">
        <v>0.5</v>
      </c>
      <c r="L57" s="646">
        <v>16002</v>
      </c>
      <c r="M57" s="654" t="str">
        <f>VLOOKUP(G:G,list!B:E,4,FALSE)</f>
        <v>-</v>
      </c>
      <c r="N57" s="655">
        <f t="shared" si="0"/>
        <v>0</v>
      </c>
      <c r="O57" s="655">
        <f t="shared" si="1"/>
        <v>16002</v>
      </c>
      <c r="P57" s="645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46082</v>
      </c>
      <c r="J58" s="653">
        <v>41830</v>
      </c>
      <c r="K58" s="567">
        <v>0.3</v>
      </c>
      <c r="L58" s="646">
        <v>12549</v>
      </c>
      <c r="M58" s="654" t="str">
        <f>VLOOKUP(G:G,list!B:E,4,FALSE)</f>
        <v>-</v>
      </c>
      <c r="N58" s="655">
        <f t="shared" si="0"/>
        <v>0</v>
      </c>
      <c r="O58" s="655">
        <f t="shared" si="1"/>
        <v>12549</v>
      </c>
      <c r="P58" s="645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563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46082</v>
      </c>
      <c r="J59" s="653">
        <v>16856</v>
      </c>
      <c r="K59" s="567">
        <v>0.5</v>
      </c>
      <c r="L59" s="646">
        <v>8428</v>
      </c>
      <c r="M59" s="654">
        <f>VLOOKUP(G:G,list!B:E,4,FALSE)</f>
        <v>0.1</v>
      </c>
      <c r="N59" s="655">
        <f t="shared" si="0"/>
        <v>843</v>
      </c>
      <c r="O59" s="655">
        <f t="shared" si="1"/>
        <v>7585</v>
      </c>
      <c r="P59" s="645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46082</v>
      </c>
      <c r="J60" s="653">
        <v>15022</v>
      </c>
      <c r="K60" s="567">
        <v>0.5</v>
      </c>
      <c r="L60" s="646">
        <v>7511</v>
      </c>
      <c r="M60" s="654" t="str">
        <f>VLOOKUP(G:G,list!B:E,4,FALSE)</f>
        <v>-</v>
      </c>
      <c r="N60" s="655">
        <f t="shared" si="0"/>
        <v>0</v>
      </c>
      <c r="O60" s="655">
        <f t="shared" si="1"/>
        <v>7511</v>
      </c>
      <c r="P60" s="645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563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46082</v>
      </c>
      <c r="J61" s="653">
        <v>66550</v>
      </c>
      <c r="K61" s="567">
        <v>0.5</v>
      </c>
      <c r="L61" s="646">
        <v>33275</v>
      </c>
      <c r="M61" s="654">
        <f>VLOOKUP(G:G,list!B:E,4,FALSE)</f>
        <v>0.1</v>
      </c>
      <c r="N61" s="655">
        <f t="shared" si="0"/>
        <v>3328</v>
      </c>
      <c r="O61" s="655">
        <f t="shared" si="1"/>
        <v>29947</v>
      </c>
      <c r="P61" s="645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46082</v>
      </c>
      <c r="J62" s="653">
        <v>17652</v>
      </c>
      <c r="K62" s="567">
        <v>0.5</v>
      </c>
      <c r="L62" s="646">
        <v>8826</v>
      </c>
      <c r="M62" s="654">
        <f>VLOOKUP(G:G,list!B:E,4,FALSE)</f>
        <v>0.11</v>
      </c>
      <c r="N62" s="655">
        <f t="shared" si="0"/>
        <v>971</v>
      </c>
      <c r="O62" s="655">
        <f t="shared" si="1"/>
        <v>7855</v>
      </c>
      <c r="P62" s="645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563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46082</v>
      </c>
      <c r="J63" s="653">
        <v>250945</v>
      </c>
      <c r="K63" s="567">
        <v>0.7</v>
      </c>
      <c r="L63" s="646">
        <v>175719</v>
      </c>
      <c r="M63" s="654">
        <f>VLOOKUP(G:G,list!B:E,4,FALSE)</f>
        <v>0.1</v>
      </c>
      <c r="N63" s="655">
        <f t="shared" si="0"/>
        <v>17572</v>
      </c>
      <c r="O63" s="655">
        <f t="shared" si="1"/>
        <v>158147</v>
      </c>
      <c r="P63" s="645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46082</v>
      </c>
      <c r="J64" s="653">
        <v>272485.014662</v>
      </c>
      <c r="K64" s="567">
        <v>0.35</v>
      </c>
      <c r="L64" s="646">
        <v>95370</v>
      </c>
      <c r="M64" s="654">
        <f>VLOOKUP(G:G,list!B:E,4,FALSE)</f>
        <v>0.1</v>
      </c>
      <c r="N64" s="655">
        <f t="shared" si="0"/>
        <v>9537</v>
      </c>
      <c r="O64" s="655">
        <f t="shared" si="1"/>
        <v>85833</v>
      </c>
      <c r="P64" s="645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563">
        <v>60</v>
      </c>
      <c r="C65" s="651" t="str">
        <f>VLOOKUP(G:G,list!B:D,2,FALSE)</f>
        <v>원작료</v>
      </c>
      <c r="D65" s="564" t="s">
        <v>538</v>
      </c>
      <c r="E65" s="564" t="s">
        <v>9</v>
      </c>
      <c r="F65" s="564" t="s">
        <v>519</v>
      </c>
      <c r="G65" s="564" t="s">
        <v>316</v>
      </c>
      <c r="H65" s="565">
        <v>45446</v>
      </c>
      <c r="I65" s="652">
        <v>46113</v>
      </c>
      <c r="J65" s="653">
        <v>0</v>
      </c>
      <c r="K65" s="567">
        <v>0.7</v>
      </c>
      <c r="L65" s="646">
        <v>0</v>
      </c>
      <c r="M65" s="654">
        <f>VLOOKUP(G:G,list!B:E,4,FALSE)</f>
        <v>0.1</v>
      </c>
      <c r="N65" s="655">
        <f t="shared" si="0"/>
        <v>0</v>
      </c>
      <c r="O65" s="655">
        <f t="shared" si="1"/>
        <v>0</v>
      </c>
      <c r="P65" s="645" t="s">
        <v>366</v>
      </c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549</v>
      </c>
      <c r="E66" s="564" t="s">
        <v>9</v>
      </c>
      <c r="F66" s="564" t="s">
        <v>519</v>
      </c>
      <c r="G66" s="564" t="s">
        <v>316</v>
      </c>
      <c r="H66" s="565">
        <v>45524</v>
      </c>
      <c r="I66" s="652">
        <v>46113</v>
      </c>
      <c r="J66" s="653">
        <v>0</v>
      </c>
      <c r="K66" s="567">
        <v>0.7</v>
      </c>
      <c r="L66" s="646">
        <v>0</v>
      </c>
      <c r="M66" s="654">
        <f>VLOOKUP(G:G,list!B:E,4,FALSE)</f>
        <v>0.1</v>
      </c>
      <c r="N66" s="655">
        <f t="shared" si="0"/>
        <v>0</v>
      </c>
      <c r="O66" s="655">
        <f t="shared" si="1"/>
        <v>0</v>
      </c>
      <c r="P66" s="645" t="s">
        <v>366</v>
      </c>
      <c r="Q66" s="672" t="str">
        <f>VLOOKUP(G:G,list!B:F,5,FALSE)</f>
        <v>웹소설본부</v>
      </c>
      <c r="R66" s="656" t="str">
        <f>VLOOKUP(G:G,list!B:D,3,FALSE)</f>
        <v>Y</v>
      </c>
    </row>
    <row r="67" spans="2:18" ht="18" customHeight="1">
      <c r="B67" s="563">
        <v>62</v>
      </c>
      <c r="C67" s="651" t="str">
        <f>VLOOKUP(G:G,list!B:D,2,FALSE)</f>
        <v>원작료</v>
      </c>
      <c r="D67" s="564" t="s">
        <v>123</v>
      </c>
      <c r="E67" s="564" t="s">
        <v>9</v>
      </c>
      <c r="F67" s="564" t="s">
        <v>519</v>
      </c>
      <c r="G67" s="564" t="s">
        <v>316</v>
      </c>
      <c r="H67" s="565">
        <v>45536</v>
      </c>
      <c r="I67" s="652">
        <v>46113</v>
      </c>
      <c r="J67" s="653">
        <v>0</v>
      </c>
      <c r="K67" s="567">
        <v>0.7</v>
      </c>
      <c r="L67" s="646">
        <v>0</v>
      </c>
      <c r="M67" s="654">
        <f>VLOOKUP(G:G,list!B:E,4,FALSE)</f>
        <v>0.1</v>
      </c>
      <c r="N67" s="655">
        <f t="shared" si="0"/>
        <v>0</v>
      </c>
      <c r="O67" s="655">
        <f t="shared" si="1"/>
        <v>0</v>
      </c>
      <c r="P67" s="645" t="s">
        <v>366</v>
      </c>
      <c r="Q67" s="672" t="str">
        <f>VLOOKUP(G:G,list!B:F,5,FALSE)</f>
        <v>웹소설본부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132</v>
      </c>
      <c r="E68" s="564" t="s">
        <v>9</v>
      </c>
      <c r="F68" s="564" t="s">
        <v>519</v>
      </c>
      <c r="G68" s="564" t="s">
        <v>316</v>
      </c>
      <c r="H68" s="565">
        <v>44945</v>
      </c>
      <c r="I68" s="652">
        <v>46113</v>
      </c>
      <c r="J68" s="653">
        <v>0</v>
      </c>
      <c r="K68" s="567">
        <v>0.5</v>
      </c>
      <c r="L68" s="646">
        <v>0</v>
      </c>
      <c r="M68" s="654">
        <f>VLOOKUP(G:G,list!B:E,4,FALSE)</f>
        <v>0.1</v>
      </c>
      <c r="N68" s="655">
        <f t="shared" si="0"/>
        <v>0</v>
      </c>
      <c r="O68" s="655">
        <f t="shared" si="1"/>
        <v>0</v>
      </c>
      <c r="P68" s="645" t="s">
        <v>366</v>
      </c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563">
        <v>64</v>
      </c>
      <c r="C69" s="651" t="str">
        <f>VLOOKUP(G:G,list!B:D,2,FALSE)</f>
        <v>원작료</v>
      </c>
      <c r="D69" s="564" t="s">
        <v>183</v>
      </c>
      <c r="E69" s="564" t="s">
        <v>9</v>
      </c>
      <c r="F69" s="564" t="s">
        <v>519</v>
      </c>
      <c r="G69" s="564" t="s">
        <v>316</v>
      </c>
      <c r="H69" s="565">
        <v>45702</v>
      </c>
      <c r="I69" s="652">
        <v>46113</v>
      </c>
      <c r="J69" s="653">
        <v>0</v>
      </c>
      <c r="K69" s="567">
        <v>0.7</v>
      </c>
      <c r="L69" s="646">
        <v>0</v>
      </c>
      <c r="M69" s="654">
        <f>VLOOKUP(G:G,list!B:E,4,FALSE)</f>
        <v>0.1</v>
      </c>
      <c r="N69" s="655">
        <f t="shared" si="0"/>
        <v>0</v>
      </c>
      <c r="O69" s="655">
        <f t="shared" si="1"/>
        <v>0</v>
      </c>
      <c r="P69" s="645" t="s">
        <v>366</v>
      </c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617</v>
      </c>
      <c r="E70" s="564" t="s">
        <v>9</v>
      </c>
      <c r="F70" s="564" t="s">
        <v>519</v>
      </c>
      <c r="G70" s="564" t="s">
        <v>316</v>
      </c>
      <c r="H70" s="565">
        <v>45534</v>
      </c>
      <c r="I70" s="652">
        <v>46113</v>
      </c>
      <c r="J70" s="653">
        <v>0</v>
      </c>
      <c r="K70" s="567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645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563">
        <v>66</v>
      </c>
      <c r="C71" s="651" t="str">
        <f>VLOOKUP(G:G,list!B:D,2,FALSE)</f>
        <v>원작료</v>
      </c>
      <c r="D71" s="564" t="s">
        <v>132</v>
      </c>
      <c r="E71" s="564" t="s">
        <v>9</v>
      </c>
      <c r="F71" s="564" t="s">
        <v>519</v>
      </c>
      <c r="G71" s="564" t="s">
        <v>56</v>
      </c>
      <c r="H71" s="565">
        <v>44952</v>
      </c>
      <c r="I71" s="652">
        <v>46113</v>
      </c>
      <c r="J71" s="653">
        <v>0</v>
      </c>
      <c r="K71" s="567">
        <v>0.5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645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56</v>
      </c>
      <c r="H72" s="565">
        <v>45503</v>
      </c>
      <c r="I72" s="652">
        <v>46113</v>
      </c>
      <c r="J72" s="653">
        <v>5187</v>
      </c>
      <c r="K72" s="567">
        <v>0.5</v>
      </c>
      <c r="L72" s="646">
        <v>2593.5</v>
      </c>
      <c r="M72" s="654">
        <f>VLOOKUP(G:G,list!B:E,4,FALSE)</f>
        <v>0.1</v>
      </c>
      <c r="N72" s="655">
        <f t="shared" si="0"/>
        <v>259</v>
      </c>
      <c r="O72" s="655">
        <f t="shared" si="1"/>
        <v>2334.5</v>
      </c>
      <c r="P72" s="645"/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563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56</v>
      </c>
      <c r="H73" s="565">
        <v>45547</v>
      </c>
      <c r="I73" s="652">
        <v>46113</v>
      </c>
      <c r="J73" s="653">
        <v>0</v>
      </c>
      <c r="K73" s="567">
        <v>0.5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645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30</v>
      </c>
      <c r="H74" s="565">
        <v>44953</v>
      </c>
      <c r="I74" s="652">
        <v>46113</v>
      </c>
      <c r="J74" s="653">
        <v>0</v>
      </c>
      <c r="K74" s="567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645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563">
        <v>70</v>
      </c>
      <c r="C75" s="651" t="str">
        <f>VLOOKUP(G:G,list!B:D,2,FALSE)</f>
        <v>작가기획</v>
      </c>
      <c r="D75" s="564" t="s">
        <v>132</v>
      </c>
      <c r="E75" s="564" t="s">
        <v>9</v>
      </c>
      <c r="F75" s="564" t="s">
        <v>519</v>
      </c>
      <c r="G75" s="564" t="s">
        <v>308</v>
      </c>
      <c r="H75" s="565">
        <v>44992</v>
      </c>
      <c r="I75" s="652">
        <v>46113</v>
      </c>
      <c r="J75" s="653">
        <v>0</v>
      </c>
      <c r="K75" s="567">
        <v>0.5</v>
      </c>
      <c r="L75" s="646">
        <v>0</v>
      </c>
      <c r="M75" s="654" t="str">
        <f>VLOOKUP(G:G,list!B:E,4,FALSE)</f>
        <v>-</v>
      </c>
      <c r="N75" s="655">
        <f t="shared" si="0"/>
        <v>0</v>
      </c>
      <c r="O75" s="655">
        <f t="shared" si="1"/>
        <v>0</v>
      </c>
      <c r="P75" s="645" t="s">
        <v>366</v>
      </c>
      <c r="Q75" s="672" t="str">
        <f>VLOOKUP(G:G,list!B:F,5,FALSE)</f>
        <v>-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작가기획</v>
      </c>
      <c r="D76" s="564" t="s">
        <v>538</v>
      </c>
      <c r="E76" s="564" t="s">
        <v>9</v>
      </c>
      <c r="F76" s="564" t="s">
        <v>519</v>
      </c>
      <c r="G76" s="564" t="s">
        <v>308</v>
      </c>
      <c r="H76" s="565">
        <v>45610</v>
      </c>
      <c r="I76" s="652">
        <v>46113</v>
      </c>
      <c r="J76" s="653">
        <v>0</v>
      </c>
      <c r="K76" s="567">
        <v>0.5</v>
      </c>
      <c r="L76" s="646">
        <v>0</v>
      </c>
      <c r="M76" s="654" t="str">
        <f>VLOOKUP(G:G,list!B:E,4,FALSE)</f>
        <v>-</v>
      </c>
      <c r="N76" s="655">
        <f t="shared" si="0"/>
        <v>0</v>
      </c>
      <c r="O76" s="655">
        <f t="shared" si="1"/>
        <v>0</v>
      </c>
      <c r="P76" s="645" t="s">
        <v>366</v>
      </c>
      <c r="Q76" s="672" t="str">
        <f>VLOOKUP(G:G,list!B:F,5,FALSE)</f>
        <v>-</v>
      </c>
      <c r="R76" s="656" t="str">
        <f>VLOOKUP(G:G,list!B:D,3,FALSE)</f>
        <v>Y</v>
      </c>
    </row>
    <row r="77" spans="2:18" ht="18" customHeight="1">
      <c r="B77" s="563">
        <v>72</v>
      </c>
      <c r="C77" s="651" t="str">
        <f>VLOOKUP(G:G,list!B:D,2,FALSE)</f>
        <v>작가기획</v>
      </c>
      <c r="D77" s="564" t="s">
        <v>132</v>
      </c>
      <c r="E77" s="564" t="s">
        <v>9</v>
      </c>
      <c r="F77" s="564" t="s">
        <v>519</v>
      </c>
      <c r="G77" s="564" t="s">
        <v>36</v>
      </c>
      <c r="H77" s="565">
        <v>45198</v>
      </c>
      <c r="I77" s="652">
        <v>46113</v>
      </c>
      <c r="J77" s="653">
        <v>51870</v>
      </c>
      <c r="K77" s="567">
        <v>0.5</v>
      </c>
      <c r="L77" s="646">
        <v>25935</v>
      </c>
      <c r="M77" s="654" t="str">
        <f>VLOOKUP(G:G,list!B:E,4,FALSE)</f>
        <v>-</v>
      </c>
      <c r="N77" s="655">
        <f t="shared" si="0"/>
        <v>0</v>
      </c>
      <c r="O77" s="655">
        <f t="shared" si="1"/>
        <v>25935</v>
      </c>
      <c r="P77" s="645"/>
      <c r="Q77" s="672" t="str">
        <f>VLOOKUP(G:G,list!B:F,5,FALSE)</f>
        <v>-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작가기획</v>
      </c>
      <c r="D78" s="564" t="s">
        <v>538</v>
      </c>
      <c r="E78" s="564" t="s">
        <v>9</v>
      </c>
      <c r="F78" s="564" t="s">
        <v>519</v>
      </c>
      <c r="G78" s="564" t="s">
        <v>36</v>
      </c>
      <c r="H78" s="565">
        <v>45479</v>
      </c>
      <c r="I78" s="652">
        <v>46113</v>
      </c>
      <c r="J78" s="653">
        <v>0</v>
      </c>
      <c r="K78" s="567">
        <v>0.5</v>
      </c>
      <c r="L78" s="646">
        <v>0</v>
      </c>
      <c r="M78" s="654" t="str">
        <f>VLOOKUP(G:G,list!B:E,4,FALSE)</f>
        <v>-</v>
      </c>
      <c r="N78" s="655">
        <f t="shared" si="0"/>
        <v>0</v>
      </c>
      <c r="O78" s="655">
        <f t="shared" si="1"/>
        <v>0</v>
      </c>
      <c r="P78" s="645" t="s">
        <v>366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563">
        <v>74</v>
      </c>
      <c r="C79" s="651" t="str">
        <f>VLOOKUP(G:G,list!B:D,2,FALSE)</f>
        <v>작가기획</v>
      </c>
      <c r="D79" s="564" t="s">
        <v>549</v>
      </c>
      <c r="E79" s="564" t="s">
        <v>9</v>
      </c>
      <c r="F79" s="564" t="s">
        <v>519</v>
      </c>
      <c r="G79" s="564" t="s">
        <v>36</v>
      </c>
      <c r="H79" s="565">
        <v>45531</v>
      </c>
      <c r="I79" s="652">
        <v>46113</v>
      </c>
      <c r="J79" s="653">
        <v>0</v>
      </c>
      <c r="K79" s="567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645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123</v>
      </c>
      <c r="E80" s="564" t="s">
        <v>9</v>
      </c>
      <c r="F80" s="564" t="s">
        <v>519</v>
      </c>
      <c r="G80" s="564" t="s">
        <v>36</v>
      </c>
      <c r="H80" s="565">
        <v>45555</v>
      </c>
      <c r="I80" s="652">
        <v>46113</v>
      </c>
      <c r="J80" s="653">
        <v>0</v>
      </c>
      <c r="K80" s="567">
        <v>0.5</v>
      </c>
      <c r="L80" s="646">
        <v>0</v>
      </c>
      <c r="M80" s="654" t="str">
        <f>VLOOKUP(G:G,list!B:E,4,FALSE)</f>
        <v>-</v>
      </c>
      <c r="N80" s="655">
        <f t="shared" si="0"/>
        <v>0</v>
      </c>
      <c r="O80" s="655">
        <f t="shared" si="1"/>
        <v>0</v>
      </c>
      <c r="P80" s="645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563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139</v>
      </c>
      <c r="H81" s="565">
        <v>45276</v>
      </c>
      <c r="I81" s="652">
        <v>46113</v>
      </c>
      <c r="J81" s="653">
        <v>18753</v>
      </c>
      <c r="K81" s="567">
        <v>0.5</v>
      </c>
      <c r="L81" s="646">
        <v>9376.5</v>
      </c>
      <c r="M81" s="654" t="str">
        <f>VLOOKUP(G:G,list!B:E,4,FALSE)</f>
        <v>-</v>
      </c>
      <c r="N81" s="655">
        <f t="shared" si="0"/>
        <v>0</v>
      </c>
      <c r="O81" s="655">
        <f t="shared" si="1"/>
        <v>9376.5</v>
      </c>
      <c r="P81" s="645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139</v>
      </c>
      <c r="H82" s="565">
        <v>45534</v>
      </c>
      <c r="I82" s="652">
        <v>46113</v>
      </c>
      <c r="J82" s="653">
        <v>0</v>
      </c>
      <c r="K82" s="567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645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563">
        <v>78</v>
      </c>
      <c r="C83" s="651" t="str">
        <f>VLOOKUP(G:G,list!B:D,2,FALSE)</f>
        <v>작가기획</v>
      </c>
      <c r="D83" s="564" t="s">
        <v>123</v>
      </c>
      <c r="E83" s="564" t="s">
        <v>9</v>
      </c>
      <c r="F83" s="564" t="s">
        <v>519</v>
      </c>
      <c r="G83" s="564" t="s">
        <v>139</v>
      </c>
      <c r="H83" s="565">
        <v>45656</v>
      </c>
      <c r="I83" s="652">
        <v>46113</v>
      </c>
      <c r="J83" s="653">
        <v>0</v>
      </c>
      <c r="K83" s="567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645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외부제작</v>
      </c>
      <c r="D84" s="564" t="s">
        <v>123</v>
      </c>
      <c r="E84" s="564" t="s">
        <v>9</v>
      </c>
      <c r="F84" s="564" t="s">
        <v>519</v>
      </c>
      <c r="G84" s="564" t="s">
        <v>315</v>
      </c>
      <c r="H84" s="565">
        <v>45673</v>
      </c>
      <c r="I84" s="652">
        <v>46113</v>
      </c>
      <c r="J84" s="653">
        <v>0</v>
      </c>
      <c r="K84" s="567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645" t="s">
        <v>366</v>
      </c>
      <c r="Q84" s="672" t="str">
        <f>VLOOKUP(G:G,list!B:F,5,FALSE)</f>
        <v>-</v>
      </c>
      <c r="R84" s="656" t="str">
        <f>VLOOKUP(G:G,list!B:D,3,FALSE)</f>
        <v>N</v>
      </c>
    </row>
    <row r="85" spans="2:18" ht="18" customHeight="1">
      <c r="B85" s="563">
        <v>80</v>
      </c>
      <c r="C85" s="651" t="str">
        <f>VLOOKUP(G:G,list!B:D,2,FALSE)</f>
        <v>원작료</v>
      </c>
      <c r="D85" s="564" t="s">
        <v>182</v>
      </c>
      <c r="E85" s="564" t="s">
        <v>115</v>
      </c>
      <c r="F85" s="564" t="s">
        <v>283</v>
      </c>
      <c r="G85" s="564" t="s">
        <v>30</v>
      </c>
      <c r="H85" s="565">
        <v>44358</v>
      </c>
      <c r="I85" s="652">
        <v>46054</v>
      </c>
      <c r="J85" s="653">
        <v>28938</v>
      </c>
      <c r="K85" s="567">
        <v>0.5</v>
      </c>
      <c r="L85" s="646">
        <v>14469</v>
      </c>
      <c r="M85" s="654">
        <f>VLOOKUP(G:G,list!B:E,4,FALSE)</f>
        <v>0.1</v>
      </c>
      <c r="N85" s="655">
        <f t="shared" si="0"/>
        <v>1447</v>
      </c>
      <c r="O85" s="655">
        <f t="shared" si="1"/>
        <v>13022</v>
      </c>
      <c r="P85" s="645"/>
      <c r="Q85" s="672" t="str">
        <f>VLOOKUP(G:G,list!B:F,5,FALSE)</f>
        <v>웹소설본부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원작료</v>
      </c>
      <c r="D86" s="564" t="s">
        <v>182</v>
      </c>
      <c r="E86" s="564" t="s">
        <v>115</v>
      </c>
      <c r="F86" s="564" t="s">
        <v>283</v>
      </c>
      <c r="G86" s="564" t="s">
        <v>56</v>
      </c>
      <c r="H86" s="565">
        <v>44391</v>
      </c>
      <c r="I86" s="652">
        <v>46054</v>
      </c>
      <c r="J86" s="653">
        <v>112533</v>
      </c>
      <c r="K86" s="567">
        <v>0.5</v>
      </c>
      <c r="L86" s="646">
        <v>56267</v>
      </c>
      <c r="M86" s="654">
        <f>VLOOKUP(G:G,list!B:E,4,FALSE)</f>
        <v>0.1</v>
      </c>
      <c r="N86" s="655">
        <f t="shared" si="0"/>
        <v>5627</v>
      </c>
      <c r="O86" s="655">
        <f t="shared" si="1"/>
        <v>50640</v>
      </c>
      <c r="P86" s="645"/>
      <c r="Q86" s="672" t="str">
        <f>VLOOKUP(G:G,list!B:F,5,FALSE)</f>
        <v>웹소설본부</v>
      </c>
      <c r="R86" s="656" t="str">
        <f>VLOOKUP(G:G,list!B:D,3,FALSE)</f>
        <v>Y</v>
      </c>
    </row>
    <row r="87" spans="2:18" ht="18" customHeight="1">
      <c r="B87" s="563">
        <v>82</v>
      </c>
      <c r="C87" s="651" t="str">
        <f>VLOOKUP(G:G,list!B:D,2,FALSE)</f>
        <v>원작료</v>
      </c>
      <c r="D87" s="564" t="s">
        <v>182</v>
      </c>
      <c r="E87" s="564" t="s">
        <v>115</v>
      </c>
      <c r="F87" s="564" t="s">
        <v>283</v>
      </c>
      <c r="G87" s="564" t="s">
        <v>316</v>
      </c>
      <c r="H87" s="565">
        <v>44969</v>
      </c>
      <c r="I87" s="652">
        <v>46054</v>
      </c>
      <c r="J87" s="653">
        <v>17278</v>
      </c>
      <c r="K87" s="567">
        <v>0.5</v>
      </c>
      <c r="L87" s="646">
        <v>8639</v>
      </c>
      <c r="M87" s="654">
        <f>VLOOKUP(G:G,list!B:E,4,FALSE)</f>
        <v>0.1</v>
      </c>
      <c r="N87" s="655">
        <f t="shared" si="0"/>
        <v>864</v>
      </c>
      <c r="O87" s="655">
        <f t="shared" si="1"/>
        <v>7775</v>
      </c>
      <c r="P87" s="645"/>
      <c r="Q87" s="672" t="str">
        <f>VLOOKUP(G:G,list!B:F,5,FALSE)</f>
        <v>웹소설본부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182</v>
      </c>
      <c r="E88" s="564" t="s">
        <v>115</v>
      </c>
      <c r="F88" s="564" t="s">
        <v>550</v>
      </c>
      <c r="G88" s="564" t="s">
        <v>308</v>
      </c>
      <c r="H88" s="565">
        <v>45347</v>
      </c>
      <c r="I88" s="652">
        <v>46054</v>
      </c>
      <c r="J88" s="653">
        <v>0</v>
      </c>
      <c r="K88" s="567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645" t="s">
        <v>366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563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550</v>
      </c>
      <c r="G89" s="564" t="s">
        <v>316</v>
      </c>
      <c r="H89" s="565">
        <v>45359</v>
      </c>
      <c r="I89" s="652">
        <v>46054</v>
      </c>
      <c r="J89" s="653">
        <v>0</v>
      </c>
      <c r="K89" s="567">
        <v>0.5</v>
      </c>
      <c r="L89" s="646">
        <v>0</v>
      </c>
      <c r="M89" s="654">
        <f>VLOOKUP(G:G,list!B:E,4,FALSE)</f>
        <v>0.1</v>
      </c>
      <c r="N89" s="655">
        <f t="shared" si="0"/>
        <v>0</v>
      </c>
      <c r="O89" s="655">
        <f t="shared" si="1"/>
        <v>0</v>
      </c>
      <c r="P89" s="645" t="s">
        <v>366</v>
      </c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264</v>
      </c>
      <c r="G90" s="564" t="s">
        <v>56</v>
      </c>
      <c r="H90" s="565">
        <v>45941</v>
      </c>
      <c r="I90" s="652">
        <v>46082</v>
      </c>
      <c r="J90" s="653">
        <v>1075434</v>
      </c>
      <c r="K90" s="567">
        <v>0.5</v>
      </c>
      <c r="L90" s="646">
        <v>537717</v>
      </c>
      <c r="M90" s="654">
        <f>VLOOKUP(G:G,list!B:E,4,FALSE)</f>
        <v>0.1</v>
      </c>
      <c r="N90" s="655">
        <f t="shared" si="0"/>
        <v>53772</v>
      </c>
      <c r="O90" s="655">
        <f t="shared" si="1"/>
        <v>483945</v>
      </c>
      <c r="P90" s="645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563">
        <v>86</v>
      </c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264</v>
      </c>
      <c r="G91" s="564" t="s">
        <v>30</v>
      </c>
      <c r="H91" s="565">
        <v>45991</v>
      </c>
      <c r="I91" s="652">
        <v>46082</v>
      </c>
      <c r="J91" s="653">
        <v>460243</v>
      </c>
      <c r="K91" s="567">
        <v>0.5</v>
      </c>
      <c r="L91" s="646">
        <v>230122</v>
      </c>
      <c r="M91" s="654">
        <f>VLOOKUP(G:G,list!B:E,4,FALSE)</f>
        <v>0.1</v>
      </c>
      <c r="N91" s="655">
        <f t="shared" si="0"/>
        <v>23012</v>
      </c>
      <c r="O91" s="655">
        <f t="shared" si="1"/>
        <v>207110</v>
      </c>
      <c r="P91" s="645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264</v>
      </c>
      <c r="G92" s="564" t="s">
        <v>316</v>
      </c>
      <c r="H92" s="565">
        <v>46039</v>
      </c>
      <c r="I92" s="652">
        <v>46082</v>
      </c>
      <c r="J92" s="653">
        <v>391700</v>
      </c>
      <c r="K92" s="567">
        <v>0.5</v>
      </c>
      <c r="L92" s="646">
        <v>195850</v>
      </c>
      <c r="M92" s="654">
        <f>VLOOKUP(G:G,list!B:E,4,FALSE)</f>
        <v>0.1</v>
      </c>
      <c r="N92" s="655">
        <f t="shared" si="0"/>
        <v>19585</v>
      </c>
      <c r="O92" s="655">
        <f t="shared" si="1"/>
        <v>176265</v>
      </c>
      <c r="P92" s="645"/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563">
        <v>88</v>
      </c>
      <c r="C93" s="651" t="str">
        <f>VLOOKUP(G:G,list!B:D,2,FALSE)</f>
        <v>원작료</v>
      </c>
      <c r="D93" s="564" t="s">
        <v>32</v>
      </c>
      <c r="E93" s="564" t="s">
        <v>9</v>
      </c>
      <c r="F93" s="564" t="s">
        <v>31</v>
      </c>
      <c r="G93" s="564" t="s">
        <v>30</v>
      </c>
      <c r="H93" s="565">
        <v>44239</v>
      </c>
      <c r="I93" s="652">
        <v>46082</v>
      </c>
      <c r="J93" s="653">
        <v>14688</v>
      </c>
      <c r="K93" s="567">
        <v>0.4</v>
      </c>
      <c r="L93" s="646">
        <v>5575</v>
      </c>
      <c r="M93" s="654">
        <f>VLOOKUP(G:G,list!B:E,4,FALSE)</f>
        <v>0.1</v>
      </c>
      <c r="N93" s="655">
        <f t="shared" si="0"/>
        <v>558</v>
      </c>
      <c r="O93" s="655">
        <f t="shared" si="1"/>
        <v>5017</v>
      </c>
      <c r="P93" s="645"/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184</v>
      </c>
      <c r="G94" s="564" t="s">
        <v>56</v>
      </c>
      <c r="H94" s="565">
        <v>44581</v>
      </c>
      <c r="I94" s="652">
        <v>46113</v>
      </c>
      <c r="J94" s="653">
        <v>349143</v>
      </c>
      <c r="K94" s="567">
        <v>0.3</v>
      </c>
      <c r="L94" s="646">
        <v>104743</v>
      </c>
      <c r="M94" s="654">
        <f>VLOOKUP(G:G,list!B:E,4,FALSE)</f>
        <v>0.1</v>
      </c>
      <c r="N94" s="655">
        <f t="shared" si="0"/>
        <v>10474</v>
      </c>
      <c r="O94" s="655">
        <f t="shared" si="1"/>
        <v>94269</v>
      </c>
      <c r="P94" s="645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563">
        <v>90</v>
      </c>
      <c r="C95" s="651" t="str">
        <f>VLOOKUP(G:G,list!B:D,2,FALSE)</f>
        <v>원작료</v>
      </c>
      <c r="D95" s="564" t="s">
        <v>183</v>
      </c>
      <c r="E95" s="564" t="s">
        <v>9</v>
      </c>
      <c r="F95" s="564" t="s">
        <v>184</v>
      </c>
      <c r="G95" s="564" t="s">
        <v>56</v>
      </c>
      <c r="H95" s="565">
        <v>44829</v>
      </c>
      <c r="I95" s="652">
        <v>46113</v>
      </c>
      <c r="J95" s="653">
        <v>554073</v>
      </c>
      <c r="K95" s="567">
        <v>0.3</v>
      </c>
      <c r="L95" s="646">
        <v>166222</v>
      </c>
      <c r="M95" s="654">
        <f>VLOOKUP(G:G,list!B:E,4,FALSE)</f>
        <v>0.1</v>
      </c>
      <c r="N95" s="655">
        <f t="shared" si="0"/>
        <v>16622</v>
      </c>
      <c r="O95" s="655">
        <f t="shared" si="1"/>
        <v>149600</v>
      </c>
      <c r="P95" s="645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184</v>
      </c>
      <c r="G96" s="564" t="s">
        <v>454</v>
      </c>
      <c r="H96" s="565">
        <v>44854</v>
      </c>
      <c r="I96" s="652">
        <v>46113</v>
      </c>
      <c r="J96" s="653">
        <v>581480</v>
      </c>
      <c r="K96" s="567">
        <v>0.3</v>
      </c>
      <c r="L96" s="646">
        <v>174444</v>
      </c>
      <c r="M96" s="654">
        <f>VLOOKUP(G:G,list!B:E,4,FALSE)</f>
        <v>0.1</v>
      </c>
      <c r="N96" s="655">
        <f t="shared" si="0"/>
        <v>17444</v>
      </c>
      <c r="O96" s="655">
        <f t="shared" si="1"/>
        <v>157000</v>
      </c>
      <c r="P96" s="645" t="s">
        <v>186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563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184</v>
      </c>
      <c r="G97" s="564" t="s">
        <v>481</v>
      </c>
      <c r="H97" s="565">
        <v>44981</v>
      </c>
      <c r="I97" s="652">
        <v>46113</v>
      </c>
      <c r="J97" s="653">
        <v>134743</v>
      </c>
      <c r="K97" s="567">
        <v>0.3</v>
      </c>
      <c r="L97" s="646">
        <v>40423</v>
      </c>
      <c r="M97" s="654">
        <f>VLOOKUP(G:G,list!B:E,4,FALSE)</f>
        <v>0.1</v>
      </c>
      <c r="N97" s="655">
        <f t="shared" si="0"/>
        <v>4042</v>
      </c>
      <c r="O97" s="655">
        <f t="shared" si="1"/>
        <v>36381</v>
      </c>
      <c r="P97" s="645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184</v>
      </c>
      <c r="G98" s="564" t="s">
        <v>352</v>
      </c>
      <c r="H98" s="565">
        <v>44984</v>
      </c>
      <c r="I98" s="652">
        <v>46113</v>
      </c>
      <c r="J98" s="653">
        <v>192717</v>
      </c>
      <c r="K98" s="567">
        <v>0.3</v>
      </c>
      <c r="L98" s="646">
        <v>57815</v>
      </c>
      <c r="M98" s="654">
        <f>VLOOKUP(G:G,list!B:E,4,FALSE)</f>
        <v>0.1</v>
      </c>
      <c r="N98" s="655">
        <f t="shared" si="0"/>
        <v>5782</v>
      </c>
      <c r="O98" s="655">
        <f t="shared" si="1"/>
        <v>52033</v>
      </c>
      <c r="P98" s="645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563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184</v>
      </c>
      <c r="G99" s="564" t="s">
        <v>454</v>
      </c>
      <c r="H99" s="565">
        <v>44902</v>
      </c>
      <c r="I99" s="652">
        <v>46082</v>
      </c>
      <c r="J99" s="653">
        <v>431510</v>
      </c>
      <c r="K99" s="567">
        <v>0.3</v>
      </c>
      <c r="L99" s="646">
        <v>129453</v>
      </c>
      <c r="M99" s="654">
        <f>VLOOKUP(G:G,list!B:E,4,FALSE)</f>
        <v>0.1</v>
      </c>
      <c r="N99" s="655">
        <f t="shared" ref="N99:N130" si="2">ROUND(IF(M99="-",0,L99*M99),0)</f>
        <v>12945</v>
      </c>
      <c r="O99" s="655">
        <f t="shared" ref="O99:O130" si="3">L99-N99</f>
        <v>116508</v>
      </c>
      <c r="P99" s="645" t="s">
        <v>282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72</v>
      </c>
      <c r="E100" s="564" t="s">
        <v>9</v>
      </c>
      <c r="F100" s="564" t="s">
        <v>184</v>
      </c>
      <c r="G100" s="564" t="s">
        <v>454</v>
      </c>
      <c r="H100" s="565">
        <v>45257</v>
      </c>
      <c r="I100" s="652">
        <v>46082</v>
      </c>
      <c r="J100" s="653">
        <v>7053</v>
      </c>
      <c r="K100" s="567">
        <v>0.3</v>
      </c>
      <c r="L100" s="646">
        <v>2116</v>
      </c>
      <c r="M100" s="654">
        <f>VLOOKUP(G:G,list!B:E,4,FALSE)</f>
        <v>0.1</v>
      </c>
      <c r="N100" s="655">
        <f t="shared" si="2"/>
        <v>212</v>
      </c>
      <c r="O100" s="655">
        <f t="shared" si="3"/>
        <v>1904</v>
      </c>
      <c r="P100" s="645" t="s">
        <v>546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563">
        <v>95</v>
      </c>
      <c r="C101" s="651" t="str">
        <f>VLOOKUP(G:G,list!B:D,2,FALSE)</f>
        <v>원작료</v>
      </c>
      <c r="D101" s="564" t="s">
        <v>229</v>
      </c>
      <c r="E101" s="564" t="s">
        <v>9</v>
      </c>
      <c r="F101" s="564" t="s">
        <v>230</v>
      </c>
      <c r="G101" s="564" t="s">
        <v>353</v>
      </c>
      <c r="H101" s="565">
        <v>44916</v>
      </c>
      <c r="I101" s="652">
        <v>46023</v>
      </c>
      <c r="J101" s="653">
        <v>307818</v>
      </c>
      <c r="K101" s="567">
        <v>0.35</v>
      </c>
      <c r="L101" s="646">
        <v>96962</v>
      </c>
      <c r="M101" s="654">
        <f>VLOOKUP(G:G,list!B:E,4,FALSE)</f>
        <v>0.11</v>
      </c>
      <c r="N101" s="655">
        <f t="shared" si="2"/>
        <v>10666</v>
      </c>
      <c r="O101" s="655">
        <f t="shared" si="3"/>
        <v>86296</v>
      </c>
      <c r="P101" s="645"/>
      <c r="Q101" s="672" t="str">
        <f>VLOOKUP(G:G,list!B:F,5,FALSE)</f>
        <v>-</v>
      </c>
      <c r="R101" s="656" t="str">
        <f>VLOOKUP(G:G,list!B:D,3,FALSE)</f>
        <v>N</v>
      </c>
    </row>
    <row r="102" spans="2:18" ht="18" customHeight="1">
      <c r="B102" s="563">
        <v>96</v>
      </c>
      <c r="C102" s="651" t="str">
        <f>VLOOKUP(G:G,list!B:D,2,FALSE)</f>
        <v>원작료</v>
      </c>
      <c r="D102" s="564" t="s">
        <v>229</v>
      </c>
      <c r="E102" s="564" t="s">
        <v>9</v>
      </c>
      <c r="F102" s="564" t="s">
        <v>230</v>
      </c>
      <c r="G102" s="564" t="s">
        <v>352</v>
      </c>
      <c r="H102" s="565">
        <v>45106</v>
      </c>
      <c r="I102" s="652">
        <v>46023</v>
      </c>
      <c r="J102" s="653">
        <v>144937</v>
      </c>
      <c r="K102" s="567">
        <v>0.35</v>
      </c>
      <c r="L102" s="646">
        <v>45655</v>
      </c>
      <c r="M102" s="654">
        <f>VLOOKUP(G:G,list!B:E,4,FALSE)</f>
        <v>0.1</v>
      </c>
      <c r="N102" s="655">
        <f t="shared" si="2"/>
        <v>4566</v>
      </c>
      <c r="O102" s="655">
        <f t="shared" si="3"/>
        <v>41089</v>
      </c>
      <c r="P102" s="645"/>
      <c r="Q102" s="672" t="str">
        <f>VLOOKUP(G:G,list!B:F,5,FALSE)</f>
        <v>웹소설본부</v>
      </c>
      <c r="R102" s="656" t="str">
        <f>VLOOKUP(G:G,list!B:D,3,FALSE)</f>
        <v>Y</v>
      </c>
    </row>
    <row r="103" spans="2:18" ht="18" customHeight="1">
      <c r="B103" s="563">
        <v>97</v>
      </c>
      <c r="C103" s="651" t="str">
        <f>VLOOKUP(G:G,list!B:D,2,FALSE)</f>
        <v>원작료</v>
      </c>
      <c r="D103" s="564" t="s">
        <v>229</v>
      </c>
      <c r="E103" s="564" t="s">
        <v>9</v>
      </c>
      <c r="F103" s="564" t="s">
        <v>230</v>
      </c>
      <c r="G103" s="564" t="s">
        <v>353</v>
      </c>
      <c r="H103" s="565">
        <v>44916</v>
      </c>
      <c r="I103" s="652">
        <v>46054</v>
      </c>
      <c r="J103" s="653">
        <v>272414</v>
      </c>
      <c r="K103" s="567">
        <v>0.35</v>
      </c>
      <c r="L103" s="646">
        <v>85810</v>
      </c>
      <c r="M103" s="654">
        <f>VLOOKUP(G:G,list!B:E,4,FALSE)</f>
        <v>0.11</v>
      </c>
      <c r="N103" s="655">
        <f t="shared" si="2"/>
        <v>9439</v>
      </c>
      <c r="O103" s="655">
        <f t="shared" si="3"/>
        <v>76371</v>
      </c>
      <c r="P103" s="645"/>
      <c r="Q103" s="672" t="str">
        <f>VLOOKUP(G:G,list!B:F,5,FALSE)</f>
        <v>-</v>
      </c>
      <c r="R103" s="656" t="str">
        <f>VLOOKUP(G:G,list!B:D,3,FALSE)</f>
        <v>N</v>
      </c>
    </row>
    <row r="104" spans="2:18" ht="18" customHeight="1">
      <c r="B104" s="563">
        <v>98</v>
      </c>
      <c r="C104" s="651" t="str">
        <f>VLOOKUP(G:G,list!B:D,2,FALSE)</f>
        <v>원작료</v>
      </c>
      <c r="D104" s="564" t="s">
        <v>229</v>
      </c>
      <c r="E104" s="564" t="s">
        <v>9</v>
      </c>
      <c r="F104" s="564" t="s">
        <v>230</v>
      </c>
      <c r="G104" s="564" t="s">
        <v>352</v>
      </c>
      <c r="H104" s="565">
        <v>45106</v>
      </c>
      <c r="I104" s="652">
        <v>46054</v>
      </c>
      <c r="J104" s="653">
        <v>162831</v>
      </c>
      <c r="K104" s="567">
        <v>0.35</v>
      </c>
      <c r="L104" s="646">
        <v>51291</v>
      </c>
      <c r="M104" s="654">
        <f>VLOOKUP(G:G,list!B:E,4,FALSE)</f>
        <v>0.1</v>
      </c>
      <c r="N104" s="655">
        <f t="shared" si="2"/>
        <v>5129</v>
      </c>
      <c r="O104" s="655">
        <f t="shared" si="3"/>
        <v>46162</v>
      </c>
      <c r="P104" s="645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563">
        <v>99</v>
      </c>
      <c r="C105" s="651" t="str">
        <f>VLOOKUP(G:G,list!B:D,2,FALSE)</f>
        <v>원작료</v>
      </c>
      <c r="D105" s="564" t="s">
        <v>229</v>
      </c>
      <c r="E105" s="564" t="s">
        <v>9</v>
      </c>
      <c r="F105" s="564" t="s">
        <v>230</v>
      </c>
      <c r="G105" s="564" t="s">
        <v>353</v>
      </c>
      <c r="H105" s="565">
        <v>44916</v>
      </c>
      <c r="I105" s="652">
        <v>46082</v>
      </c>
      <c r="J105" s="653">
        <v>149585</v>
      </c>
      <c r="K105" s="567">
        <v>0.35</v>
      </c>
      <c r="L105" s="646">
        <v>47119</v>
      </c>
      <c r="M105" s="654">
        <f>VLOOKUP(G:G,list!B:E,4,FALSE)</f>
        <v>0.11</v>
      </c>
      <c r="N105" s="655">
        <f t="shared" si="2"/>
        <v>5183</v>
      </c>
      <c r="O105" s="655">
        <f t="shared" si="3"/>
        <v>41936</v>
      </c>
      <c r="P105" s="645"/>
      <c r="Q105" s="672" t="str">
        <f>VLOOKUP(G:G,list!B:F,5,FALSE)</f>
        <v>-</v>
      </c>
      <c r="R105" s="656" t="str">
        <f>VLOOKUP(G:G,list!B:D,3,FALSE)</f>
        <v>N</v>
      </c>
    </row>
    <row r="106" spans="2:18" ht="18" customHeight="1">
      <c r="B106" s="563">
        <v>100</v>
      </c>
      <c r="C106" s="651" t="str">
        <f>VLOOKUP(G:G,list!B:D,2,FALSE)</f>
        <v>원작료</v>
      </c>
      <c r="D106" s="564" t="s">
        <v>229</v>
      </c>
      <c r="E106" s="564" t="s">
        <v>9</v>
      </c>
      <c r="F106" s="564" t="s">
        <v>230</v>
      </c>
      <c r="G106" s="564" t="s">
        <v>352</v>
      </c>
      <c r="H106" s="565">
        <v>45106</v>
      </c>
      <c r="I106" s="652">
        <v>46082</v>
      </c>
      <c r="J106" s="653">
        <v>94669</v>
      </c>
      <c r="K106" s="567">
        <v>0.35</v>
      </c>
      <c r="L106" s="646">
        <v>29820</v>
      </c>
      <c r="M106" s="654">
        <f>VLOOKUP(G:G,list!B:E,4,FALSE)</f>
        <v>0.1</v>
      </c>
      <c r="N106" s="655">
        <f t="shared" si="2"/>
        <v>2982</v>
      </c>
      <c r="O106" s="655">
        <f t="shared" si="3"/>
        <v>26838</v>
      </c>
      <c r="P106" s="645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563">
        <v>101</v>
      </c>
      <c r="C107" s="651" t="str">
        <f>VLOOKUP(G:G,list!B:D,2,FALSE)</f>
        <v>작가기획</v>
      </c>
      <c r="D107" s="564" t="s">
        <v>177</v>
      </c>
      <c r="E107" s="564" t="s">
        <v>9</v>
      </c>
      <c r="F107" s="564" t="s">
        <v>246</v>
      </c>
      <c r="G107" s="564" t="s">
        <v>36</v>
      </c>
      <c r="H107" s="565">
        <v>44505</v>
      </c>
      <c r="I107" s="652">
        <v>46023</v>
      </c>
      <c r="J107" s="653">
        <v>19970</v>
      </c>
      <c r="K107" s="567">
        <v>0.4</v>
      </c>
      <c r="L107" s="646">
        <v>7988</v>
      </c>
      <c r="M107" s="654" t="str">
        <f>VLOOKUP(G:G,list!B:E,4,FALSE)</f>
        <v>-</v>
      </c>
      <c r="N107" s="655">
        <f t="shared" si="2"/>
        <v>0</v>
      </c>
      <c r="O107" s="655">
        <f t="shared" si="3"/>
        <v>7988</v>
      </c>
      <c r="P107" s="645"/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102</v>
      </c>
      <c r="C108" s="651" t="str">
        <f>VLOOKUP(G:G,list!B:D,2,FALSE)</f>
        <v>작가기획</v>
      </c>
      <c r="D108" s="564" t="s">
        <v>177</v>
      </c>
      <c r="E108" s="564" t="s">
        <v>9</v>
      </c>
      <c r="F108" s="564" t="s">
        <v>246</v>
      </c>
      <c r="G108" s="564" t="s">
        <v>36</v>
      </c>
      <c r="H108" s="565">
        <v>44505</v>
      </c>
      <c r="I108" s="652">
        <v>46054</v>
      </c>
      <c r="J108" s="653">
        <v>120031</v>
      </c>
      <c r="K108" s="567">
        <v>0.4</v>
      </c>
      <c r="L108" s="646">
        <v>48013</v>
      </c>
      <c r="M108" s="654" t="str">
        <f>VLOOKUP(G:G,list!B:E,4,FALSE)</f>
        <v>-</v>
      </c>
      <c r="N108" s="655">
        <f t="shared" si="2"/>
        <v>0</v>
      </c>
      <c r="O108" s="655">
        <f t="shared" si="3"/>
        <v>48013</v>
      </c>
      <c r="P108" s="645"/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563">
        <v>103</v>
      </c>
      <c r="C109" s="651" t="str">
        <f>VLOOKUP(G:G,list!B:D,2,FALSE)</f>
        <v>작가기획</v>
      </c>
      <c r="D109" s="564" t="s">
        <v>177</v>
      </c>
      <c r="E109" s="564" t="s">
        <v>9</v>
      </c>
      <c r="F109" s="564" t="s">
        <v>246</v>
      </c>
      <c r="G109" s="564" t="s">
        <v>36</v>
      </c>
      <c r="H109" s="565">
        <v>44505</v>
      </c>
      <c r="I109" s="652">
        <v>46082</v>
      </c>
      <c r="J109" s="653">
        <v>12322</v>
      </c>
      <c r="K109" s="567">
        <v>0.4</v>
      </c>
      <c r="L109" s="646">
        <v>4929</v>
      </c>
      <c r="M109" s="654" t="str">
        <f>VLOOKUP(G:G,list!B:E,4,FALSE)</f>
        <v>-</v>
      </c>
      <c r="N109" s="655">
        <f t="shared" si="2"/>
        <v>0</v>
      </c>
      <c r="O109" s="655">
        <f t="shared" si="3"/>
        <v>4929</v>
      </c>
      <c r="P109" s="645"/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104</v>
      </c>
      <c r="C110" s="651" t="str">
        <f>VLOOKUP(G:G,list!B:D,2,FALSE)</f>
        <v>작가기획</v>
      </c>
      <c r="D110" s="564" t="s">
        <v>72</v>
      </c>
      <c r="E110" s="564" t="s">
        <v>9</v>
      </c>
      <c r="F110" s="564" t="s">
        <v>332</v>
      </c>
      <c r="G110" s="564" t="s">
        <v>36</v>
      </c>
      <c r="H110" s="565">
        <v>44556</v>
      </c>
      <c r="I110" s="652" t="s">
        <v>632</v>
      </c>
      <c r="J110" s="653">
        <v>218</v>
      </c>
      <c r="K110" s="567">
        <v>0.5</v>
      </c>
      <c r="L110" s="646">
        <v>109</v>
      </c>
      <c r="M110" s="654" t="str">
        <f>VLOOKUP(G:G,list!B:E,4,FALSE)</f>
        <v>-</v>
      </c>
      <c r="N110" s="655">
        <f t="shared" si="2"/>
        <v>0</v>
      </c>
      <c r="O110" s="655">
        <f t="shared" si="3"/>
        <v>109</v>
      </c>
      <c r="P110" s="645"/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563">
        <v>105</v>
      </c>
      <c r="C111" s="651" t="str">
        <f>VLOOKUP(G:G,list!B:D,2,FALSE)</f>
        <v>작가기획</v>
      </c>
      <c r="D111" s="564" t="s">
        <v>72</v>
      </c>
      <c r="E111" s="564" t="s">
        <v>9</v>
      </c>
      <c r="F111" s="564" t="s">
        <v>569</v>
      </c>
      <c r="G111" s="564" t="s">
        <v>36</v>
      </c>
      <c r="H111" s="565">
        <v>44753</v>
      </c>
      <c r="I111" s="652" t="s">
        <v>632</v>
      </c>
      <c r="J111" s="653">
        <v>15469</v>
      </c>
      <c r="K111" s="567">
        <v>0.5</v>
      </c>
      <c r="L111" s="646">
        <v>7735</v>
      </c>
      <c r="M111" s="654" t="str">
        <f>VLOOKUP(G:G,list!B:E,4,FALSE)</f>
        <v>-</v>
      </c>
      <c r="N111" s="655">
        <f t="shared" si="2"/>
        <v>0</v>
      </c>
      <c r="O111" s="655">
        <f t="shared" si="3"/>
        <v>7735</v>
      </c>
      <c r="P111" s="645"/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106</v>
      </c>
      <c r="C112" s="651" t="str">
        <f>VLOOKUP(G:G,list!B:D,2,FALSE)</f>
        <v>작가기획</v>
      </c>
      <c r="D112" s="564" t="s">
        <v>72</v>
      </c>
      <c r="E112" s="564" t="s">
        <v>9</v>
      </c>
      <c r="F112" s="564" t="s">
        <v>598</v>
      </c>
      <c r="G112" s="564" t="s">
        <v>180</v>
      </c>
      <c r="H112" s="565" t="s">
        <v>203</v>
      </c>
      <c r="I112" s="652" t="s">
        <v>632</v>
      </c>
      <c r="J112" s="653">
        <v>94286.5</v>
      </c>
      <c r="K112" s="567">
        <v>0.5</v>
      </c>
      <c r="L112" s="646">
        <v>47143</v>
      </c>
      <c r="M112" s="654" t="str">
        <f>VLOOKUP(G:G,list!B:E,4,FALSE)</f>
        <v>-</v>
      </c>
      <c r="N112" s="655">
        <f>ROUND(IF(M112="-",0,L112*M112),0)</f>
        <v>0</v>
      </c>
      <c r="O112" s="655">
        <f>L112-N112</f>
        <v>47143</v>
      </c>
      <c r="P112" s="645"/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563">
        <v>107</v>
      </c>
      <c r="C113" s="651" t="str">
        <f>VLOOKUP(G:G,list!B:D,2,FALSE)</f>
        <v>작가기획</v>
      </c>
      <c r="D113" s="564" t="s">
        <v>32</v>
      </c>
      <c r="E113" s="564" t="s">
        <v>9</v>
      </c>
      <c r="F113" s="564" t="s">
        <v>593</v>
      </c>
      <c r="G113" s="564" t="s">
        <v>36</v>
      </c>
      <c r="H113" s="565">
        <v>45888</v>
      </c>
      <c r="I113" s="652">
        <v>46023</v>
      </c>
      <c r="J113" s="653">
        <v>2203</v>
      </c>
      <c r="K113" s="567">
        <v>0.4</v>
      </c>
      <c r="L113" s="646">
        <v>881</v>
      </c>
      <c r="M113" s="654" t="str">
        <f>VLOOKUP(G:G,list!B:E,4,FALSE)</f>
        <v>-</v>
      </c>
      <c r="N113" s="655">
        <f t="shared" si="2"/>
        <v>0</v>
      </c>
      <c r="O113" s="655">
        <f t="shared" si="3"/>
        <v>881</v>
      </c>
      <c r="P113" s="645" t="s">
        <v>614</v>
      </c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108</v>
      </c>
      <c r="C114" s="651" t="str">
        <f>VLOOKUP(G:G,list!B:D,2,FALSE)</f>
        <v>작가기획</v>
      </c>
      <c r="D114" s="564" t="s">
        <v>32</v>
      </c>
      <c r="E114" s="564" t="s">
        <v>9</v>
      </c>
      <c r="F114" s="564" t="s">
        <v>593</v>
      </c>
      <c r="G114" s="564" t="s">
        <v>36</v>
      </c>
      <c r="H114" s="565">
        <v>45888</v>
      </c>
      <c r="I114" s="652">
        <v>46054</v>
      </c>
      <c r="J114" s="653">
        <v>734</v>
      </c>
      <c r="K114" s="567">
        <v>0.4</v>
      </c>
      <c r="L114" s="646">
        <v>294</v>
      </c>
      <c r="M114" s="654" t="str">
        <f>VLOOKUP(G:G,list!B:E,4,FALSE)</f>
        <v>-</v>
      </c>
      <c r="N114" s="655">
        <f t="shared" si="2"/>
        <v>0</v>
      </c>
      <c r="O114" s="655">
        <f t="shared" si="3"/>
        <v>294</v>
      </c>
      <c r="P114" s="645" t="s">
        <v>614</v>
      </c>
      <c r="Q114" s="672" t="str">
        <f>VLOOKUP(G:G,list!B:F,5,FALSE)</f>
        <v>-</v>
      </c>
      <c r="R114" s="656" t="str">
        <f>VLOOKUP(G:G,list!B:D,3,FALSE)</f>
        <v>Y</v>
      </c>
    </row>
    <row r="115" spans="2:18" ht="18" customHeight="1">
      <c r="B115" s="563">
        <v>109</v>
      </c>
      <c r="C115" s="651" t="str">
        <f>VLOOKUP(G:G,list!B:D,2,FALSE)</f>
        <v>작가기획</v>
      </c>
      <c r="D115" s="564" t="s">
        <v>32</v>
      </c>
      <c r="E115" s="564" t="s">
        <v>9</v>
      </c>
      <c r="F115" s="564" t="s">
        <v>593</v>
      </c>
      <c r="G115" s="564" t="s">
        <v>36</v>
      </c>
      <c r="H115" s="565">
        <v>45888</v>
      </c>
      <c r="I115" s="652">
        <v>46082</v>
      </c>
      <c r="J115" s="653">
        <v>1224</v>
      </c>
      <c r="K115" s="567">
        <v>0.4</v>
      </c>
      <c r="L115" s="646">
        <v>490</v>
      </c>
      <c r="M115" s="654" t="str">
        <f>VLOOKUP(G:G,list!B:E,4,FALSE)</f>
        <v>-</v>
      </c>
      <c r="N115" s="655">
        <f t="shared" si="2"/>
        <v>0</v>
      </c>
      <c r="O115" s="655">
        <f t="shared" si="3"/>
        <v>490</v>
      </c>
      <c r="P115" s="645" t="s">
        <v>614</v>
      </c>
      <c r="Q115" s="672" t="str">
        <f>VLOOKUP(G:G,list!B:F,5,FALSE)</f>
        <v>-</v>
      </c>
      <c r="R115" s="656" t="str">
        <f>VLOOKUP(G:G,list!B:D,3,FALSE)</f>
        <v>Y</v>
      </c>
    </row>
    <row r="116" spans="2:18" ht="18" customHeight="1">
      <c r="B116" s="563">
        <v>110</v>
      </c>
      <c r="C116" s="651" t="str">
        <f>VLOOKUP(G:G,list!B:D,2,FALSE)</f>
        <v>작가기획</v>
      </c>
      <c r="D116" s="564" t="s">
        <v>32</v>
      </c>
      <c r="E116" s="564" t="s">
        <v>9</v>
      </c>
      <c r="F116" s="564" t="s">
        <v>593</v>
      </c>
      <c r="G116" s="564" t="s">
        <v>37</v>
      </c>
      <c r="H116" s="565">
        <v>45888</v>
      </c>
      <c r="I116" s="652">
        <v>46023</v>
      </c>
      <c r="J116" s="653">
        <v>1877</v>
      </c>
      <c r="K116" s="567">
        <v>0.4</v>
      </c>
      <c r="L116" s="646">
        <v>751</v>
      </c>
      <c r="M116" s="654" t="str">
        <f>VLOOKUP(G:G,list!B:E,4,FALSE)</f>
        <v>-</v>
      </c>
      <c r="N116" s="655">
        <f t="shared" si="2"/>
        <v>0</v>
      </c>
      <c r="O116" s="655">
        <f t="shared" si="3"/>
        <v>751</v>
      </c>
      <c r="P116" s="645" t="s">
        <v>614</v>
      </c>
      <c r="Q116" s="672" t="str">
        <f>VLOOKUP(G:G,list!B:F,5,FALSE)</f>
        <v>-</v>
      </c>
      <c r="R116" s="656" t="str">
        <f>VLOOKUP(G:G,list!B:D,3,FALSE)</f>
        <v>Y</v>
      </c>
    </row>
    <row r="117" spans="2:18" ht="18" customHeight="1">
      <c r="B117" s="563">
        <v>111</v>
      </c>
      <c r="C117" s="651" t="str">
        <f>VLOOKUP(G:G,list!B:D,2,FALSE)</f>
        <v>작가기획</v>
      </c>
      <c r="D117" s="564" t="s">
        <v>32</v>
      </c>
      <c r="E117" s="564" t="s">
        <v>9</v>
      </c>
      <c r="F117" s="564" t="s">
        <v>593</v>
      </c>
      <c r="G117" s="564" t="s">
        <v>37</v>
      </c>
      <c r="H117" s="565">
        <v>45888</v>
      </c>
      <c r="I117" s="652">
        <v>46054</v>
      </c>
      <c r="J117" s="653">
        <v>571</v>
      </c>
      <c r="K117" s="567">
        <v>0.4</v>
      </c>
      <c r="L117" s="646">
        <v>229</v>
      </c>
      <c r="M117" s="654" t="str">
        <f>VLOOKUP(G:G,list!B:E,4,FALSE)</f>
        <v>-</v>
      </c>
      <c r="N117" s="655">
        <f t="shared" si="2"/>
        <v>0</v>
      </c>
      <c r="O117" s="655">
        <f t="shared" si="3"/>
        <v>229</v>
      </c>
      <c r="P117" s="645" t="s">
        <v>614</v>
      </c>
      <c r="Q117" s="672" t="str">
        <f>VLOOKUP(G:G,list!B:F,5,FALSE)</f>
        <v>-</v>
      </c>
      <c r="R117" s="656" t="str">
        <f>VLOOKUP(G:G,list!B:D,3,FALSE)</f>
        <v>Y</v>
      </c>
    </row>
    <row r="118" spans="2:18" ht="18" customHeight="1">
      <c r="B118" s="563">
        <v>112</v>
      </c>
      <c r="C118" s="651" t="str">
        <f>VLOOKUP(G:G,list!B:D,2,FALSE)</f>
        <v>작가기획</v>
      </c>
      <c r="D118" s="564" t="s">
        <v>32</v>
      </c>
      <c r="E118" s="564" t="s">
        <v>9</v>
      </c>
      <c r="F118" s="564" t="s">
        <v>593</v>
      </c>
      <c r="G118" s="564" t="s">
        <v>37</v>
      </c>
      <c r="H118" s="565">
        <v>45888</v>
      </c>
      <c r="I118" s="652">
        <v>46082</v>
      </c>
      <c r="J118" s="653">
        <v>1115</v>
      </c>
      <c r="K118" s="567">
        <v>0.4</v>
      </c>
      <c r="L118" s="646">
        <v>446</v>
      </c>
      <c r="M118" s="654" t="str">
        <f>VLOOKUP(G:G,list!B:E,4,FALSE)</f>
        <v>-</v>
      </c>
      <c r="N118" s="655">
        <f t="shared" si="2"/>
        <v>0</v>
      </c>
      <c r="O118" s="655">
        <f t="shared" si="3"/>
        <v>446</v>
      </c>
      <c r="P118" s="645" t="s">
        <v>614</v>
      </c>
      <c r="Q118" s="672" t="str">
        <f>VLOOKUP(G:G,list!B:F,5,FALSE)</f>
        <v>-</v>
      </c>
      <c r="R118" s="656" t="str">
        <f>VLOOKUP(G:G,list!B:D,3,FALSE)</f>
        <v>Y</v>
      </c>
    </row>
    <row r="119" spans="2:18" ht="18" customHeight="1">
      <c r="B119" s="563">
        <v>113</v>
      </c>
      <c r="C119" s="651" t="str">
        <f>VLOOKUP(G:G,list!B:D,2,FALSE)</f>
        <v>원작료</v>
      </c>
      <c r="D119" s="564" t="s">
        <v>32</v>
      </c>
      <c r="E119" s="564" t="s">
        <v>9</v>
      </c>
      <c r="F119" s="564" t="s">
        <v>593</v>
      </c>
      <c r="G119" s="564" t="s">
        <v>454</v>
      </c>
      <c r="H119" s="565">
        <v>45888</v>
      </c>
      <c r="I119" s="652">
        <v>46023</v>
      </c>
      <c r="J119" s="653">
        <v>31442</v>
      </c>
      <c r="K119" s="567">
        <v>0.4</v>
      </c>
      <c r="L119" s="646">
        <v>12577</v>
      </c>
      <c r="M119" s="654">
        <f>VLOOKUP(G:G,list!B:E,4,FALSE)</f>
        <v>0.1</v>
      </c>
      <c r="N119" s="655">
        <f t="shared" si="2"/>
        <v>1258</v>
      </c>
      <c r="O119" s="655">
        <f t="shared" si="3"/>
        <v>11319</v>
      </c>
      <c r="P119" s="645" t="s">
        <v>614</v>
      </c>
      <c r="Q119" s="672" t="str">
        <f>VLOOKUP(G:G,list!B:F,5,FALSE)</f>
        <v>-</v>
      </c>
      <c r="R119" s="656" t="str">
        <f>VLOOKUP(G:G,list!B:D,3,FALSE)</f>
        <v>Y</v>
      </c>
    </row>
    <row r="120" spans="2:18" ht="18" customHeight="1">
      <c r="B120" s="563">
        <v>114</v>
      </c>
      <c r="C120" s="651" t="str">
        <f>VLOOKUP(G:G,list!B:D,2,FALSE)</f>
        <v>원작료</v>
      </c>
      <c r="D120" s="564" t="s">
        <v>32</v>
      </c>
      <c r="E120" s="564" t="s">
        <v>9</v>
      </c>
      <c r="F120" s="564" t="s">
        <v>593</v>
      </c>
      <c r="G120" s="564" t="s">
        <v>454</v>
      </c>
      <c r="H120" s="565">
        <v>45888</v>
      </c>
      <c r="I120" s="652">
        <v>46054</v>
      </c>
      <c r="J120" s="653">
        <v>381</v>
      </c>
      <c r="K120" s="567">
        <v>0.4</v>
      </c>
      <c r="L120" s="646">
        <v>152</v>
      </c>
      <c r="M120" s="654">
        <f>VLOOKUP(G:G,list!B:E,4,FALSE)</f>
        <v>0.1</v>
      </c>
      <c r="N120" s="655">
        <f t="shared" si="2"/>
        <v>15</v>
      </c>
      <c r="O120" s="655">
        <f t="shared" si="3"/>
        <v>137</v>
      </c>
      <c r="P120" s="645" t="s">
        <v>614</v>
      </c>
      <c r="Q120" s="672" t="str">
        <f>VLOOKUP(G:G,list!B:F,5,FALSE)</f>
        <v>-</v>
      </c>
      <c r="R120" s="656" t="str">
        <f>VLOOKUP(G:G,list!B:D,3,FALSE)</f>
        <v>Y</v>
      </c>
    </row>
    <row r="121" spans="2:18" ht="18" customHeight="1">
      <c r="B121" s="563">
        <v>115</v>
      </c>
      <c r="C121" s="651" t="str">
        <f>VLOOKUP(G:G,list!B:D,2,FALSE)</f>
        <v>원작료</v>
      </c>
      <c r="D121" s="564" t="s">
        <v>32</v>
      </c>
      <c r="E121" s="564" t="s">
        <v>9</v>
      </c>
      <c r="F121" s="564" t="s">
        <v>593</v>
      </c>
      <c r="G121" s="564" t="s">
        <v>454</v>
      </c>
      <c r="H121" s="565">
        <v>45888</v>
      </c>
      <c r="I121" s="652">
        <v>46082</v>
      </c>
      <c r="J121" s="653">
        <v>28151</v>
      </c>
      <c r="K121" s="567">
        <v>0.4</v>
      </c>
      <c r="L121" s="646">
        <v>11260</v>
      </c>
      <c r="M121" s="654">
        <f>VLOOKUP(G:G,list!B:E,4,FALSE)</f>
        <v>0.1</v>
      </c>
      <c r="N121" s="655">
        <f t="shared" si="2"/>
        <v>1126</v>
      </c>
      <c r="O121" s="655">
        <f t="shared" si="3"/>
        <v>10134</v>
      </c>
      <c r="P121" s="645" t="s">
        <v>614</v>
      </c>
      <c r="Q121" s="672" t="str">
        <f>VLOOKUP(G:G,list!B:F,5,FALSE)</f>
        <v>-</v>
      </c>
      <c r="R121" s="656" t="str">
        <f>VLOOKUP(G:G,list!B:D,3,FALSE)</f>
        <v>Y</v>
      </c>
    </row>
    <row r="122" spans="2:18" ht="18" customHeight="1">
      <c r="B122" s="563">
        <v>116</v>
      </c>
      <c r="C122" s="651" t="str">
        <f>VLOOKUP(G:G,list!B:D,2,FALSE)</f>
        <v>원작료</v>
      </c>
      <c r="D122" s="564" t="s">
        <v>182</v>
      </c>
      <c r="E122" s="564" t="s">
        <v>115</v>
      </c>
      <c r="F122" s="564" t="s">
        <v>230</v>
      </c>
      <c r="G122" s="564" t="s">
        <v>30</v>
      </c>
      <c r="H122" s="565">
        <v>45248</v>
      </c>
      <c r="I122" s="652">
        <v>46023</v>
      </c>
      <c r="J122" s="653">
        <v>83175</v>
      </c>
      <c r="K122" s="567">
        <v>0.5</v>
      </c>
      <c r="L122" s="646">
        <v>41588</v>
      </c>
      <c r="M122" s="654">
        <f>VLOOKUP(G:G,list!B:E,4,FALSE)</f>
        <v>0.1</v>
      </c>
      <c r="N122" s="655">
        <f t="shared" si="2"/>
        <v>4159</v>
      </c>
      <c r="O122" s="655">
        <f t="shared" si="3"/>
        <v>37429</v>
      </c>
      <c r="P122" s="645"/>
      <c r="Q122" s="672" t="str">
        <f>VLOOKUP(G:G,list!B:F,5,FALSE)</f>
        <v>웹소설본부</v>
      </c>
      <c r="R122" s="656" t="str">
        <f>VLOOKUP(G:G,list!B:D,3,FALSE)</f>
        <v>Y</v>
      </c>
    </row>
    <row r="123" spans="2:18" ht="18" customHeight="1">
      <c r="B123" s="563">
        <v>117</v>
      </c>
      <c r="C123" s="651" t="str">
        <f>VLOOKUP(G:G,list!B:D,2,FALSE)</f>
        <v>원작료</v>
      </c>
      <c r="D123" s="564" t="s">
        <v>182</v>
      </c>
      <c r="E123" s="564" t="s">
        <v>115</v>
      </c>
      <c r="F123" s="564" t="s">
        <v>230</v>
      </c>
      <c r="G123" s="564" t="s">
        <v>30</v>
      </c>
      <c r="H123" s="565">
        <v>45248</v>
      </c>
      <c r="I123" s="652">
        <v>46054</v>
      </c>
      <c r="J123" s="653">
        <v>68001</v>
      </c>
      <c r="K123" s="567">
        <v>0.5</v>
      </c>
      <c r="L123" s="646">
        <v>34001</v>
      </c>
      <c r="M123" s="654">
        <f>VLOOKUP(G:G,list!B:E,4,FALSE)</f>
        <v>0.1</v>
      </c>
      <c r="N123" s="655">
        <f t="shared" si="2"/>
        <v>3400</v>
      </c>
      <c r="O123" s="655">
        <f t="shared" si="3"/>
        <v>30601</v>
      </c>
      <c r="P123" s="645"/>
      <c r="Q123" s="672" t="str">
        <f>VLOOKUP(G:G,list!B:F,5,FALSE)</f>
        <v>웹소설본부</v>
      </c>
      <c r="R123" s="656" t="str">
        <f>VLOOKUP(G:G,list!B:D,3,FALSE)</f>
        <v>Y</v>
      </c>
    </row>
    <row r="124" spans="2:18" ht="18" customHeight="1">
      <c r="B124" s="563">
        <v>118</v>
      </c>
      <c r="C124" s="651" t="str">
        <f>VLOOKUP(G:G,list!B:D,2,FALSE)</f>
        <v>원작료</v>
      </c>
      <c r="D124" s="564" t="s">
        <v>182</v>
      </c>
      <c r="E124" s="564" t="s">
        <v>115</v>
      </c>
      <c r="F124" s="564" t="s">
        <v>230</v>
      </c>
      <c r="G124" s="564" t="s">
        <v>30</v>
      </c>
      <c r="H124" s="565">
        <v>45248</v>
      </c>
      <c r="I124" s="652">
        <v>46082</v>
      </c>
      <c r="J124" s="653">
        <v>31089</v>
      </c>
      <c r="K124" s="567">
        <v>0.5</v>
      </c>
      <c r="L124" s="646">
        <v>15545</v>
      </c>
      <c r="M124" s="654">
        <f>VLOOKUP(G:G,list!B:E,4,FALSE)</f>
        <v>0.1</v>
      </c>
      <c r="N124" s="655">
        <f t="shared" si="2"/>
        <v>1555</v>
      </c>
      <c r="O124" s="655">
        <f t="shared" si="3"/>
        <v>13990</v>
      </c>
      <c r="P124" s="645"/>
      <c r="Q124" s="672" t="str">
        <f>VLOOKUP(G:G,list!B:F,5,FALSE)</f>
        <v>웹소설본부</v>
      </c>
      <c r="R124" s="656" t="str">
        <f>VLOOKUP(G:G,list!B:D,3,FALSE)</f>
        <v>Y</v>
      </c>
    </row>
    <row r="125" spans="2:18" ht="18" customHeight="1">
      <c r="B125" s="563">
        <v>119</v>
      </c>
      <c r="C125" s="651" t="str">
        <f>VLOOKUP(G:G,list!B:D,2,FALSE)</f>
        <v>원작료</v>
      </c>
      <c r="D125" s="564" t="s">
        <v>182</v>
      </c>
      <c r="E125" s="564" t="s">
        <v>115</v>
      </c>
      <c r="F125" s="564" t="s">
        <v>230</v>
      </c>
      <c r="G125" s="564" t="s">
        <v>56</v>
      </c>
      <c r="H125" s="565">
        <v>45414</v>
      </c>
      <c r="I125" s="652">
        <v>46023</v>
      </c>
      <c r="J125" s="653">
        <v>78610</v>
      </c>
      <c r="K125" s="567">
        <v>0.5</v>
      </c>
      <c r="L125" s="646">
        <v>39305</v>
      </c>
      <c r="M125" s="654">
        <f>VLOOKUP(G:G,list!B:E,4,FALSE)</f>
        <v>0.1</v>
      </c>
      <c r="N125" s="655">
        <f t="shared" si="2"/>
        <v>3931</v>
      </c>
      <c r="O125" s="655">
        <f t="shared" si="3"/>
        <v>35374</v>
      </c>
      <c r="P125" s="645"/>
      <c r="Q125" s="672" t="str">
        <f>VLOOKUP(G:G,list!B:F,5,FALSE)</f>
        <v>웹소설본부</v>
      </c>
      <c r="R125" s="656" t="str">
        <f>VLOOKUP(G:G,list!B:D,3,FALSE)</f>
        <v>Y</v>
      </c>
    </row>
    <row r="126" spans="2:18" ht="18" customHeight="1">
      <c r="B126" s="563">
        <v>120</v>
      </c>
      <c r="C126" s="651" t="str">
        <f>VLOOKUP(G:G,list!B:D,2,FALSE)</f>
        <v>원작료</v>
      </c>
      <c r="D126" s="564" t="s">
        <v>182</v>
      </c>
      <c r="E126" s="564" t="s">
        <v>115</v>
      </c>
      <c r="F126" s="564" t="s">
        <v>230</v>
      </c>
      <c r="G126" s="564" t="s">
        <v>56</v>
      </c>
      <c r="H126" s="565">
        <v>45414</v>
      </c>
      <c r="I126" s="652">
        <v>46054</v>
      </c>
      <c r="J126" s="653">
        <v>48251</v>
      </c>
      <c r="K126" s="567">
        <v>0.5</v>
      </c>
      <c r="L126" s="646">
        <v>24126</v>
      </c>
      <c r="M126" s="654">
        <f>VLOOKUP(G:G,list!B:E,4,FALSE)</f>
        <v>0.1</v>
      </c>
      <c r="N126" s="655">
        <f t="shared" si="2"/>
        <v>2413</v>
      </c>
      <c r="O126" s="655">
        <f t="shared" si="3"/>
        <v>21713</v>
      </c>
      <c r="P126" s="645"/>
      <c r="Q126" s="672" t="str">
        <f>VLOOKUP(G:G,list!B:F,5,FALSE)</f>
        <v>웹소설본부</v>
      </c>
      <c r="R126" s="656" t="str">
        <f>VLOOKUP(G:G,list!B:D,3,FALSE)</f>
        <v>Y</v>
      </c>
    </row>
    <row r="127" spans="2:18" ht="18" customHeight="1">
      <c r="B127" s="563">
        <v>121</v>
      </c>
      <c r="C127" s="651" t="str">
        <f>VLOOKUP(G:G,list!B:D,2,FALSE)</f>
        <v>원작료</v>
      </c>
      <c r="D127" s="564" t="s">
        <v>182</v>
      </c>
      <c r="E127" s="564" t="s">
        <v>115</v>
      </c>
      <c r="F127" s="564" t="s">
        <v>230</v>
      </c>
      <c r="G127" s="564" t="s">
        <v>56</v>
      </c>
      <c r="H127" s="565">
        <v>45414</v>
      </c>
      <c r="I127" s="652">
        <v>46082</v>
      </c>
      <c r="J127" s="653">
        <v>60016</v>
      </c>
      <c r="K127" s="567">
        <v>0.5</v>
      </c>
      <c r="L127" s="646">
        <v>30008</v>
      </c>
      <c r="M127" s="654">
        <f>VLOOKUP(G:G,list!B:E,4,FALSE)</f>
        <v>0.1</v>
      </c>
      <c r="N127" s="655">
        <f t="shared" si="2"/>
        <v>3001</v>
      </c>
      <c r="O127" s="655">
        <f t="shared" si="3"/>
        <v>27007</v>
      </c>
      <c r="P127" s="645"/>
      <c r="Q127" s="672" t="str">
        <f>VLOOKUP(G:G,list!B:F,5,FALSE)</f>
        <v>웹소설본부</v>
      </c>
      <c r="R127" s="656" t="str">
        <f>VLOOKUP(G:G,list!B:D,3,FALSE)</f>
        <v>Y</v>
      </c>
    </row>
    <row r="128" spans="2:18" ht="18" customHeight="1">
      <c r="B128" s="563">
        <v>122</v>
      </c>
      <c r="C128" s="651" t="str">
        <f>VLOOKUP(G:G,list!B:D,2,FALSE)</f>
        <v>작가기획</v>
      </c>
      <c r="D128" s="564" t="s">
        <v>182</v>
      </c>
      <c r="E128" s="564" t="s">
        <v>115</v>
      </c>
      <c r="F128" s="564" t="s">
        <v>230</v>
      </c>
      <c r="G128" s="564" t="s">
        <v>308</v>
      </c>
      <c r="H128" s="565">
        <v>45569</v>
      </c>
      <c r="I128" s="652">
        <v>46023</v>
      </c>
      <c r="J128" s="653">
        <v>10419</v>
      </c>
      <c r="K128" s="567">
        <v>0.5</v>
      </c>
      <c r="L128" s="646">
        <v>5210</v>
      </c>
      <c r="M128" s="654" t="str">
        <f>VLOOKUP(G:G,list!B:E,4,FALSE)</f>
        <v>-</v>
      </c>
      <c r="N128" s="655">
        <f t="shared" si="2"/>
        <v>0</v>
      </c>
      <c r="O128" s="655">
        <f t="shared" si="3"/>
        <v>5210</v>
      </c>
      <c r="P128" s="645"/>
      <c r="Q128" s="672" t="str">
        <f>VLOOKUP(G:G,list!B:F,5,FALSE)</f>
        <v>-</v>
      </c>
      <c r="R128" s="656" t="str">
        <f>VLOOKUP(G:G,list!B:D,3,FALSE)</f>
        <v>Y</v>
      </c>
    </row>
    <row r="129" spans="2:18" ht="18" customHeight="1">
      <c r="B129" s="563">
        <v>123</v>
      </c>
      <c r="C129" s="651" t="str">
        <f>VLOOKUP(G:G,list!B:D,2,FALSE)</f>
        <v>작가기획</v>
      </c>
      <c r="D129" s="564" t="s">
        <v>182</v>
      </c>
      <c r="E129" s="564" t="s">
        <v>115</v>
      </c>
      <c r="F129" s="564" t="s">
        <v>230</v>
      </c>
      <c r="G129" s="564" t="s">
        <v>308</v>
      </c>
      <c r="H129" s="565">
        <v>45569</v>
      </c>
      <c r="I129" s="652">
        <v>46054</v>
      </c>
      <c r="J129" s="653">
        <v>16179</v>
      </c>
      <c r="K129" s="567">
        <v>0.5</v>
      </c>
      <c r="L129" s="646">
        <v>8090</v>
      </c>
      <c r="M129" s="654" t="str">
        <f>VLOOKUP(G:G,list!B:E,4,FALSE)</f>
        <v>-</v>
      </c>
      <c r="N129" s="655">
        <f t="shared" si="2"/>
        <v>0</v>
      </c>
      <c r="O129" s="655">
        <f t="shared" si="3"/>
        <v>8090</v>
      </c>
      <c r="P129" s="645"/>
      <c r="Q129" s="672" t="str">
        <f>VLOOKUP(G:G,list!B:F,5,FALSE)</f>
        <v>-</v>
      </c>
      <c r="R129" s="656" t="str">
        <f>VLOOKUP(G:G,list!B:D,3,FALSE)</f>
        <v>Y</v>
      </c>
    </row>
    <row r="130" spans="2:18" ht="18" customHeight="1">
      <c r="B130" s="563">
        <v>124</v>
      </c>
      <c r="C130" s="651" t="str">
        <f>VLOOKUP(G:G,list!B:D,2,FALSE)</f>
        <v>작가기획</v>
      </c>
      <c r="D130" s="564" t="s">
        <v>182</v>
      </c>
      <c r="E130" s="564" t="s">
        <v>115</v>
      </c>
      <c r="F130" s="564" t="s">
        <v>230</v>
      </c>
      <c r="G130" s="564" t="s">
        <v>308</v>
      </c>
      <c r="H130" s="565">
        <v>45569</v>
      </c>
      <c r="I130" s="652">
        <v>46082</v>
      </c>
      <c r="J130" s="653">
        <v>39022</v>
      </c>
      <c r="K130" s="567">
        <v>0.5</v>
      </c>
      <c r="L130" s="646">
        <v>19511</v>
      </c>
      <c r="M130" s="654" t="str">
        <f>VLOOKUP(G:G,list!B:E,4,FALSE)</f>
        <v>-</v>
      </c>
      <c r="N130" s="655">
        <f t="shared" si="2"/>
        <v>0</v>
      </c>
      <c r="O130" s="655">
        <f t="shared" si="3"/>
        <v>19511</v>
      </c>
      <c r="P130" s="645"/>
      <c r="Q130" s="672" t="str">
        <f>VLOOKUP(G:G,list!B:F,5,FALSE)</f>
        <v>-</v>
      </c>
      <c r="R130" s="656" t="str">
        <f>VLOOKUP(G:G,list!B:D,3,FALSE)</f>
        <v>Y</v>
      </c>
    </row>
    <row r="131" spans="2:18" ht="11.25" customHeight="1">
      <c r="B131" s="52"/>
      <c r="C131" s="551"/>
      <c r="D131" s="551"/>
      <c r="E131" s="551"/>
      <c r="F131" s="551"/>
      <c r="G131" s="551"/>
      <c r="H131" s="622"/>
      <c r="I131" s="551"/>
      <c r="J131" s="435"/>
      <c r="K131" s="623"/>
      <c r="L131"/>
      <c r="M131" s="438"/>
      <c r="N131" s="439"/>
      <c r="O131" s="440"/>
      <c r="P131" s="633"/>
      <c r="Q131" s="438"/>
      <c r="R131" s="486"/>
    </row>
    <row r="132" spans="2:18" s="7" customFormat="1" ht="16.5" customHeight="1">
      <c r="B132" s="624" t="s">
        <v>387</v>
      </c>
      <c r="C132" s="625"/>
      <c r="D132" s="625"/>
      <c r="E132" s="626"/>
      <c r="F132" s="625"/>
      <c r="G132" s="625"/>
      <c r="H132" s="625"/>
      <c r="I132" s="311"/>
      <c r="J132" s="311"/>
      <c r="K132" s="311"/>
      <c r="M132" s="424"/>
      <c r="N132"/>
      <c r="O132" s="333"/>
      <c r="P132" s="631"/>
      <c r="Q132" s="424"/>
      <c r="R132" s="484"/>
    </row>
    <row r="133" spans="2:18" s="7" customFormat="1" ht="16.5" customHeight="1">
      <c r="B133" s="629" t="s">
        <v>299</v>
      </c>
      <c r="C133" s="625"/>
      <c r="D133" s="625"/>
      <c r="E133" s="626"/>
      <c r="F133" s="625"/>
      <c r="G133" s="625"/>
      <c r="H133" s="625"/>
      <c r="I133" s="311"/>
      <c r="K133" s="311"/>
      <c r="L133" s="311"/>
      <c r="M133" s="424"/>
      <c r="N133"/>
      <c r="O133" s="333"/>
      <c r="P133" s="631"/>
      <c r="Q133" s="424"/>
      <c r="R133" s="484"/>
    </row>
    <row r="134" spans="2:18" s="7" customFormat="1" ht="16.5" customHeight="1">
      <c r="B134" s="628" t="s">
        <v>302</v>
      </c>
      <c r="C134" s="627"/>
      <c r="D134" s="625"/>
      <c r="E134" s="626"/>
      <c r="F134" s="625"/>
      <c r="G134" s="625"/>
      <c r="H134" s="625"/>
      <c r="I134" s="311"/>
      <c r="J134" s="311"/>
      <c r="L134" s="311"/>
      <c r="M134" s="424"/>
      <c r="N134"/>
      <c r="O134" s="333"/>
      <c r="P134" s="631"/>
      <c r="Q134" s="424"/>
      <c r="R134" s="484"/>
    </row>
    <row r="135" spans="2:18" s="7" customFormat="1" ht="16.5" customHeight="1">
      <c r="B135" s="630" t="s">
        <v>303</v>
      </c>
      <c r="C135" s="627"/>
      <c r="D135" s="625"/>
      <c r="E135" s="626"/>
      <c r="F135" s="625"/>
      <c r="G135" s="625"/>
      <c r="H135" s="625"/>
      <c r="I135" s="311"/>
      <c r="J135" s="311"/>
      <c r="K135" s="311"/>
      <c r="L135" s="311"/>
      <c r="M135" s="424"/>
      <c r="N135"/>
      <c r="O135" s="333"/>
      <c r="P135" s="631"/>
      <c r="Q135" s="424"/>
      <c r="R135" s="484"/>
    </row>
    <row r="136" spans="2:18" ht="16.5" customHeight="1">
      <c r="B136" s="629" t="s">
        <v>340</v>
      </c>
      <c r="C136" s="625"/>
      <c r="D136" s="625"/>
      <c r="E136" s="626"/>
      <c r="F136" s="625"/>
      <c r="G136" s="625"/>
      <c r="H136" s="625"/>
      <c r="I136" s="311"/>
      <c r="J136" s="311"/>
      <c r="K136" s="311"/>
    </row>
    <row r="137" spans="2:18" ht="16.5" customHeight="1">
      <c r="B137" s="629" t="s">
        <v>512</v>
      </c>
      <c r="C137" s="625"/>
      <c r="D137" s="625"/>
      <c r="E137" s="626"/>
      <c r="F137" s="625"/>
      <c r="G137" s="625"/>
      <c r="H137" s="625"/>
      <c r="I137" s="311"/>
      <c r="J137" s="311"/>
      <c r="K137" s="311"/>
    </row>
    <row r="138" spans="2:18" ht="16.5" customHeight="1">
      <c r="B138" s="629" t="s">
        <v>522</v>
      </c>
      <c r="C138" s="625"/>
      <c r="D138" s="625"/>
      <c r="E138" s="626"/>
      <c r="F138" s="625"/>
      <c r="G138" s="625"/>
      <c r="H138" s="625"/>
      <c r="I138" s="311"/>
      <c r="J138" s="311"/>
      <c r="K138" s="311"/>
    </row>
    <row r="139" spans="2:18" ht="16.5" customHeight="1">
      <c r="B139" s="629" t="s">
        <v>520</v>
      </c>
      <c r="C139" s="625"/>
      <c r="D139" s="625"/>
      <c r="E139" s="626"/>
      <c r="F139" s="625"/>
      <c r="G139" s="625"/>
      <c r="H139" s="625"/>
      <c r="I139" s="311"/>
      <c r="J139" s="311"/>
      <c r="K139" s="311"/>
    </row>
    <row r="140" spans="2:18" ht="16.5" customHeight="1">
      <c r="B140" s="629" t="s">
        <v>521</v>
      </c>
      <c r="C140" s="625"/>
      <c r="D140" s="625"/>
      <c r="E140" s="626"/>
      <c r="F140" s="625"/>
      <c r="G140" s="625"/>
      <c r="H140" s="625"/>
      <c r="I140" s="311"/>
      <c r="J140" s="311"/>
      <c r="K140" s="311"/>
    </row>
    <row r="141" spans="2:18" s="311" customFormat="1" ht="16.5" customHeight="1">
      <c r="B141" s="629" t="s">
        <v>529</v>
      </c>
      <c r="C141" s="625"/>
      <c r="D141" s="625"/>
      <c r="E141" s="626"/>
      <c r="F141" s="625"/>
      <c r="G141" s="625"/>
      <c r="H141" s="625"/>
      <c r="M141" s="424"/>
      <c r="N141"/>
      <c r="O141" s="333"/>
      <c r="P141" s="631"/>
      <c r="Q141" s="424"/>
      <c r="R141" s="484"/>
    </row>
  </sheetData>
  <autoFilter ref="B5:R130" xr:uid="{F15CE942-A373-42DA-8B31-032F1A7464FB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D099-9AFE-4EA9-8EF8-16577395E1FF}">
  <dimension ref="B1:R12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6" sqref="F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628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629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14717858.065673999</v>
      </c>
      <c r="K4" s="52"/>
      <c r="L4" s="648">
        <f>SUBTOTAL(109,L6:L1048576)</f>
        <v>5931767.5</v>
      </c>
      <c r="M4" s="543"/>
      <c r="N4" s="649">
        <f>SUBTOTAL(109,N6:N1048576)</f>
        <v>526620</v>
      </c>
      <c r="O4" s="649">
        <f>SUBTOTAL(109,O6:O1048576)</f>
        <v>5405147.5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46082</v>
      </c>
      <c r="J6" s="653">
        <v>165185</v>
      </c>
      <c r="K6" s="567">
        <v>0.6</v>
      </c>
      <c r="L6" s="646">
        <v>99111</v>
      </c>
      <c r="M6" s="654" t="str">
        <f>VLOOKUP(G:G,list!B:E,4,FALSE)</f>
        <v>-</v>
      </c>
      <c r="N6" s="655">
        <f t="shared" ref="N6:N98" si="0">ROUND(IF(M6="-",0,L6*M6),0)</f>
        <v>0</v>
      </c>
      <c r="O6" s="655">
        <f t="shared" ref="O6:O98" si="1">L6-N6</f>
        <v>99111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46082</v>
      </c>
      <c r="J7" s="653">
        <v>83177</v>
      </c>
      <c r="K7" s="600">
        <v>0.6</v>
      </c>
      <c r="L7" s="646">
        <v>49907</v>
      </c>
      <c r="M7" s="654" t="str">
        <f>VLOOKUP(G:G,list!B:E,4,FALSE)</f>
        <v>-</v>
      </c>
      <c r="N7" s="655">
        <f t="shared" si="0"/>
        <v>0</v>
      </c>
      <c r="O7" s="655">
        <f t="shared" si="1"/>
        <v>49907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46082</v>
      </c>
      <c r="J8" s="653">
        <v>122851</v>
      </c>
      <c r="K8" s="567">
        <v>0.6</v>
      </c>
      <c r="L8" s="646">
        <v>73711</v>
      </c>
      <c r="M8" s="654" t="str">
        <f>VLOOKUP(G:G,list!B:E,4,FALSE)</f>
        <v>-</v>
      </c>
      <c r="N8" s="655">
        <f t="shared" si="0"/>
        <v>0</v>
      </c>
      <c r="O8" s="655">
        <f t="shared" si="1"/>
        <v>73711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46082</v>
      </c>
      <c r="J9" s="653">
        <v>105046.3</v>
      </c>
      <c r="K9" s="606">
        <v>0.6</v>
      </c>
      <c r="L9" s="646">
        <v>63027</v>
      </c>
      <c r="M9" s="654">
        <f>VLOOKUP(G:G,list!B:E,4,FALSE)</f>
        <v>0.1</v>
      </c>
      <c r="N9" s="655">
        <f t="shared" si="0"/>
        <v>6303</v>
      </c>
      <c r="O9" s="655">
        <f t="shared" si="1"/>
        <v>56724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46082</v>
      </c>
      <c r="J10" s="653">
        <v>727681.3</v>
      </c>
      <c r="K10" s="600">
        <v>0.6</v>
      </c>
      <c r="L10" s="646">
        <v>436608</v>
      </c>
      <c r="M10" s="654">
        <f>VLOOKUP(G:G,list!B:E,4,FALSE)</f>
        <v>0.1</v>
      </c>
      <c r="N10" s="655">
        <f t="shared" si="0"/>
        <v>43661</v>
      </c>
      <c r="O10" s="655">
        <f t="shared" si="1"/>
        <v>392947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46082</v>
      </c>
      <c r="J11" s="653">
        <v>10441</v>
      </c>
      <c r="K11" s="603">
        <v>0.6</v>
      </c>
      <c r="L11" s="646">
        <v>6265</v>
      </c>
      <c r="M11" s="654" t="str">
        <f>VLOOKUP(G:G,list!B:E,4,FALSE)</f>
        <v>-</v>
      </c>
      <c r="N11" s="655">
        <f t="shared" si="0"/>
        <v>0</v>
      </c>
      <c r="O11" s="655">
        <f t="shared" si="1"/>
        <v>6265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46082</v>
      </c>
      <c r="J12" s="653">
        <v>119693</v>
      </c>
      <c r="K12" s="603">
        <v>0.6</v>
      </c>
      <c r="L12" s="646">
        <v>71816</v>
      </c>
      <c r="M12" s="654">
        <f>VLOOKUP(G:G,list!B:E,4,FALSE)</f>
        <v>0.1</v>
      </c>
      <c r="N12" s="655">
        <f t="shared" si="0"/>
        <v>7182</v>
      </c>
      <c r="O12" s="655">
        <f t="shared" si="1"/>
        <v>64634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46082</v>
      </c>
      <c r="J13" s="653">
        <v>22958</v>
      </c>
      <c r="K13" s="600">
        <v>0.6</v>
      </c>
      <c r="L13" s="646">
        <v>13774</v>
      </c>
      <c r="M13" s="654">
        <f>VLOOKUP(G:G,list!B:E,4,FALSE)</f>
        <v>0.1</v>
      </c>
      <c r="N13" s="655">
        <f t="shared" si="0"/>
        <v>1377</v>
      </c>
      <c r="O13" s="655">
        <f t="shared" si="1"/>
        <v>12397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46082</v>
      </c>
      <c r="J14" s="653">
        <v>22190</v>
      </c>
      <c r="K14" s="606">
        <v>0.6</v>
      </c>
      <c r="L14" s="646">
        <v>13315</v>
      </c>
      <c r="M14" s="654">
        <f>VLOOKUP(G:G,list!B:E,4,FALSE)</f>
        <v>0.11</v>
      </c>
      <c r="N14" s="655">
        <f t="shared" si="0"/>
        <v>1465</v>
      </c>
      <c r="O14" s="655">
        <f t="shared" si="1"/>
        <v>11850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46082</v>
      </c>
      <c r="J15" s="653">
        <v>234563</v>
      </c>
      <c r="K15" s="567">
        <v>0.6</v>
      </c>
      <c r="L15" s="646">
        <v>140738</v>
      </c>
      <c r="M15" s="654">
        <f>VLOOKUP(G:G,list!B:E,4,FALSE)</f>
        <v>0.1</v>
      </c>
      <c r="N15" s="655">
        <f t="shared" si="0"/>
        <v>14074</v>
      </c>
      <c r="O15" s="655">
        <f t="shared" si="1"/>
        <v>126664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46082</v>
      </c>
      <c r="J16" s="653">
        <v>29846</v>
      </c>
      <c r="K16" s="567">
        <v>0.6</v>
      </c>
      <c r="L16" s="646">
        <v>17909</v>
      </c>
      <c r="M16" s="654">
        <f>VLOOKUP(G:G,list!B:E,4,FALSE)</f>
        <v>0.1</v>
      </c>
      <c r="N16" s="655">
        <f t="shared" si="0"/>
        <v>1791</v>
      </c>
      <c r="O16" s="655">
        <f t="shared" si="1"/>
        <v>16118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46082</v>
      </c>
      <c r="J17" s="653">
        <v>4316</v>
      </c>
      <c r="K17" s="600">
        <v>0.7</v>
      </c>
      <c r="L17" s="646">
        <v>3021</v>
      </c>
      <c r="M17" s="654" t="str">
        <f>VLOOKUP(G:G,list!B:E,4,FALSE)</f>
        <v>-</v>
      </c>
      <c r="N17" s="655">
        <f t="shared" si="0"/>
        <v>0</v>
      </c>
      <c r="O17" s="655">
        <f t="shared" si="1"/>
        <v>3021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46082</v>
      </c>
      <c r="J18" s="653">
        <v>717637.2</v>
      </c>
      <c r="K18" s="603">
        <v>0.6</v>
      </c>
      <c r="L18" s="646">
        <v>430581</v>
      </c>
      <c r="M18" s="654">
        <f>VLOOKUP(G:G,list!B:E,4,FALSE)</f>
        <v>0.1</v>
      </c>
      <c r="N18" s="655">
        <f t="shared" si="0"/>
        <v>43058</v>
      </c>
      <c r="O18" s="655">
        <f t="shared" si="1"/>
        <v>387523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46082</v>
      </c>
      <c r="J19" s="653">
        <v>59633.599999999999</v>
      </c>
      <c r="K19" s="603">
        <v>0.7</v>
      </c>
      <c r="L19" s="646">
        <v>41744</v>
      </c>
      <c r="M19" s="654">
        <f>VLOOKUP(G:G,list!B:E,4,FALSE)</f>
        <v>0.1</v>
      </c>
      <c r="N19" s="655">
        <f t="shared" si="0"/>
        <v>4174</v>
      </c>
      <c r="O19" s="655">
        <f t="shared" si="1"/>
        <v>37570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46082</v>
      </c>
      <c r="J20" s="653">
        <v>20520</v>
      </c>
      <c r="K20" s="603">
        <v>0.6</v>
      </c>
      <c r="L20" s="646">
        <v>12312</v>
      </c>
      <c r="M20" s="654">
        <f>VLOOKUP(G:G,list!B:E,4,FALSE)</f>
        <v>0.1</v>
      </c>
      <c r="N20" s="655">
        <f t="shared" si="0"/>
        <v>1231</v>
      </c>
      <c r="O20" s="655">
        <f t="shared" si="1"/>
        <v>11081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46082</v>
      </c>
      <c r="J21" s="653">
        <v>2880</v>
      </c>
      <c r="K21" s="567">
        <v>0.6</v>
      </c>
      <c r="L21" s="646">
        <v>2016</v>
      </c>
      <c r="M21" s="654" t="str">
        <f>VLOOKUP(G:G,list!B:E,4,FALSE)</f>
        <v>-</v>
      </c>
      <c r="N21" s="655">
        <f t="shared" si="0"/>
        <v>0</v>
      </c>
      <c r="O21" s="655">
        <f t="shared" si="1"/>
        <v>2016</v>
      </c>
      <c r="P21" s="564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46082</v>
      </c>
      <c r="J22" s="653">
        <v>66464.600000000006</v>
      </c>
      <c r="K22" s="567">
        <v>0.6</v>
      </c>
      <c r="L22" s="646">
        <v>39879</v>
      </c>
      <c r="M22" s="654">
        <f>VLOOKUP(G:G,list!B:E,4,FALSE)</f>
        <v>0.1</v>
      </c>
      <c r="N22" s="655">
        <f t="shared" si="0"/>
        <v>3988</v>
      </c>
      <c r="O22" s="655">
        <f t="shared" si="1"/>
        <v>35891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46082</v>
      </c>
      <c r="J23" s="653">
        <v>0</v>
      </c>
      <c r="K23" s="567">
        <v>0.6</v>
      </c>
      <c r="L23" s="646">
        <v>0</v>
      </c>
      <c r="M23" s="654" t="str">
        <f>VLOOKUP(G:G,list!B:E,4,FALSE)</f>
        <v>-</v>
      </c>
      <c r="N23" s="655">
        <f t="shared" si="0"/>
        <v>0</v>
      </c>
      <c r="O23" s="655">
        <f t="shared" si="1"/>
        <v>0</v>
      </c>
      <c r="P23" s="564" t="s">
        <v>366</v>
      </c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46082</v>
      </c>
      <c r="J24" s="653">
        <v>26826.9</v>
      </c>
      <c r="K24" s="603">
        <v>0.6</v>
      </c>
      <c r="L24" s="646">
        <v>16097</v>
      </c>
      <c r="M24" s="654">
        <f>VLOOKUP(G:G,list!B:E,4,FALSE)</f>
        <v>0.1</v>
      </c>
      <c r="N24" s="655">
        <f t="shared" si="0"/>
        <v>1610</v>
      </c>
      <c r="O24" s="655">
        <f t="shared" si="1"/>
        <v>14487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46082</v>
      </c>
      <c r="J25" s="653">
        <v>0</v>
      </c>
      <c r="K25" s="603">
        <v>0.6</v>
      </c>
      <c r="L25" s="646">
        <v>0</v>
      </c>
      <c r="M25" s="654">
        <f>VLOOKUP(G:G,list!B:E,4,FALSE)</f>
        <v>0.1</v>
      </c>
      <c r="N25" s="655">
        <f t="shared" si="0"/>
        <v>0</v>
      </c>
      <c r="O25" s="655">
        <f t="shared" si="1"/>
        <v>0</v>
      </c>
      <c r="P25" s="564" t="s">
        <v>366</v>
      </c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46082</v>
      </c>
      <c r="J26" s="653">
        <v>64205.8</v>
      </c>
      <c r="K26" s="567">
        <v>0.6</v>
      </c>
      <c r="L26" s="646">
        <v>38524</v>
      </c>
      <c r="M26" s="654">
        <f>VLOOKUP(G:G,list!B:E,4,FALSE)</f>
        <v>0.1</v>
      </c>
      <c r="N26" s="655">
        <f t="shared" si="0"/>
        <v>3852</v>
      </c>
      <c r="O26" s="655">
        <f t="shared" si="1"/>
        <v>34672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46082</v>
      </c>
      <c r="J27" s="653">
        <v>21262.9</v>
      </c>
      <c r="K27" s="567">
        <v>0.6</v>
      </c>
      <c r="L27" s="646">
        <v>12758</v>
      </c>
      <c r="M27" s="654">
        <f>VLOOKUP(G:G,list!B:E,4,FALSE)</f>
        <v>0.1</v>
      </c>
      <c r="N27" s="655">
        <f t="shared" si="0"/>
        <v>1276</v>
      </c>
      <c r="O27" s="655">
        <f t="shared" si="1"/>
        <v>11482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46082</v>
      </c>
      <c r="J28" s="653">
        <v>2088</v>
      </c>
      <c r="K28" s="567">
        <v>0.6</v>
      </c>
      <c r="L28" s="646">
        <v>1253</v>
      </c>
      <c r="M28" s="654" t="str">
        <f>VLOOKUP(G:G,list!B:E,4,FALSE)</f>
        <v>-</v>
      </c>
      <c r="N28" s="655">
        <f t="shared" si="0"/>
        <v>0</v>
      </c>
      <c r="O28" s="655">
        <f t="shared" si="1"/>
        <v>1253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46082</v>
      </c>
      <c r="J29" s="653">
        <v>24354.9</v>
      </c>
      <c r="K29" s="567">
        <v>0.6</v>
      </c>
      <c r="L29" s="646">
        <v>14613</v>
      </c>
      <c r="M29" s="654">
        <f>VLOOKUP(G:G,list!B:E,4,FALSE)</f>
        <v>0.11</v>
      </c>
      <c r="N29" s="655">
        <f t="shared" si="0"/>
        <v>1607</v>
      </c>
      <c r="O29" s="655">
        <f t="shared" si="1"/>
        <v>13006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46082</v>
      </c>
      <c r="J30" s="653">
        <v>7660</v>
      </c>
      <c r="K30" s="567">
        <v>0.6</v>
      </c>
      <c r="L30" s="646">
        <v>4596</v>
      </c>
      <c r="M30" s="654" t="str">
        <f>VLOOKUP(G:G,list!B:E,4,FALSE)</f>
        <v>-</v>
      </c>
      <c r="N30" s="655">
        <f t="shared" si="0"/>
        <v>0</v>
      </c>
      <c r="O30" s="655">
        <f t="shared" si="1"/>
        <v>4596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46082</v>
      </c>
      <c r="J31" s="653">
        <v>19742.900000000001</v>
      </c>
      <c r="K31" s="567">
        <v>0.6</v>
      </c>
      <c r="L31" s="646">
        <v>11846</v>
      </c>
      <c r="M31" s="654" t="str">
        <f>VLOOKUP(G:G,list!B:E,4,FALSE)</f>
        <v>-</v>
      </c>
      <c r="N31" s="655">
        <f t="shared" si="0"/>
        <v>0</v>
      </c>
      <c r="O31" s="655">
        <f t="shared" si="1"/>
        <v>11846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46082</v>
      </c>
      <c r="J32" s="653">
        <v>272795.7</v>
      </c>
      <c r="K32" s="567">
        <v>0.6</v>
      </c>
      <c r="L32" s="646">
        <v>163676</v>
      </c>
      <c r="M32" s="654">
        <f>VLOOKUP(G:G,list!B:E,4,FALSE)</f>
        <v>0.1</v>
      </c>
      <c r="N32" s="655">
        <f t="shared" si="0"/>
        <v>16368</v>
      </c>
      <c r="O32" s="655">
        <f t="shared" si="1"/>
        <v>147308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46054</v>
      </c>
      <c r="J33" s="653">
        <v>138812</v>
      </c>
      <c r="K33" s="674">
        <v>0.224</v>
      </c>
      <c r="L33" s="646">
        <v>27988</v>
      </c>
      <c r="M33" s="654">
        <f>VLOOKUP(G:G,list!B:E,4,FALSE)</f>
        <v>0.1</v>
      </c>
      <c r="N33" s="655">
        <f t="shared" si="0"/>
        <v>2799</v>
      </c>
      <c r="O33" s="655">
        <f t="shared" si="1"/>
        <v>25189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46054</v>
      </c>
      <c r="J34" s="653">
        <v>584833</v>
      </c>
      <c r="K34" s="674">
        <v>0.224</v>
      </c>
      <c r="L34" s="646">
        <v>117908</v>
      </c>
      <c r="M34" s="654">
        <f>VLOOKUP(G:G,list!B:E,4,FALSE)</f>
        <v>0.1</v>
      </c>
      <c r="N34" s="655">
        <f t="shared" si="0"/>
        <v>11791</v>
      </c>
      <c r="O34" s="655">
        <f t="shared" si="1"/>
        <v>106117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46054</v>
      </c>
      <c r="J35" s="653">
        <v>1706</v>
      </c>
      <c r="K35" s="674">
        <v>0.224</v>
      </c>
      <c r="L35" s="646">
        <v>354</v>
      </c>
      <c r="M35" s="654" t="str">
        <f>VLOOKUP(G:G,list!B:E,4,FALSE)</f>
        <v>-</v>
      </c>
      <c r="N35" s="655">
        <f t="shared" si="0"/>
        <v>0</v>
      </c>
      <c r="O35" s="655">
        <f t="shared" si="1"/>
        <v>354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46054</v>
      </c>
      <c r="J36" s="653">
        <v>82491</v>
      </c>
      <c r="K36" s="674">
        <v>0.224</v>
      </c>
      <c r="L36" s="646">
        <v>16631</v>
      </c>
      <c r="M36" s="654">
        <f>VLOOKUP(G:G,list!B:E,4,FALSE)</f>
        <v>0.1</v>
      </c>
      <c r="N36" s="655">
        <f t="shared" si="0"/>
        <v>1663</v>
      </c>
      <c r="O36" s="655">
        <f t="shared" si="1"/>
        <v>14968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46054</v>
      </c>
      <c r="J37" s="653">
        <v>236095</v>
      </c>
      <c r="K37" s="674">
        <v>0.224</v>
      </c>
      <c r="L37" s="646">
        <v>47597</v>
      </c>
      <c r="M37" s="654">
        <f>VLOOKUP(G:G,list!B:E,4,FALSE)</f>
        <v>0.11</v>
      </c>
      <c r="N37" s="655">
        <f t="shared" si="0"/>
        <v>5236</v>
      </c>
      <c r="O37" s="655">
        <f t="shared" si="1"/>
        <v>42361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46054</v>
      </c>
      <c r="J38" s="653">
        <v>58597</v>
      </c>
      <c r="K38" s="674">
        <v>0.224</v>
      </c>
      <c r="L38" s="646">
        <v>11820</v>
      </c>
      <c r="M38" s="654">
        <f>VLOOKUP(G:G,list!B:E,4,FALSE)</f>
        <v>0.1</v>
      </c>
      <c r="N38" s="655">
        <f t="shared" si="0"/>
        <v>1182</v>
      </c>
      <c r="O38" s="655">
        <f t="shared" si="1"/>
        <v>10638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46054</v>
      </c>
      <c r="J39" s="653">
        <v>67699</v>
      </c>
      <c r="K39" s="674">
        <v>0.224</v>
      </c>
      <c r="L39" s="646">
        <v>13653</v>
      </c>
      <c r="M39" s="654" t="str">
        <f>VLOOKUP(G:G,list!B:E,4,FALSE)</f>
        <v>-</v>
      </c>
      <c r="N39" s="655">
        <f t="shared" si="0"/>
        <v>0</v>
      </c>
      <c r="O39" s="655">
        <f t="shared" si="1"/>
        <v>13653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46054</v>
      </c>
      <c r="J40" s="653">
        <v>1339200</v>
      </c>
      <c r="K40" s="674">
        <v>0.224</v>
      </c>
      <c r="L40" s="646">
        <v>269987</v>
      </c>
      <c r="M40" s="654">
        <f>VLOOKUP(G:G,list!B:E,4,FALSE)</f>
        <v>0.1</v>
      </c>
      <c r="N40" s="655">
        <f t="shared" si="0"/>
        <v>26999</v>
      </c>
      <c r="O40" s="655">
        <f t="shared" si="1"/>
        <v>242988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46054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46054</v>
      </c>
      <c r="J42" s="653">
        <v>42667</v>
      </c>
      <c r="K42" s="674">
        <v>0.224</v>
      </c>
      <c r="L42" s="646">
        <v>8606</v>
      </c>
      <c r="M42" s="654">
        <f>VLOOKUP(G:G,list!B:E,4,FALSE)</f>
        <v>0.1</v>
      </c>
      <c r="N42" s="655">
        <f t="shared" si="0"/>
        <v>861</v>
      </c>
      <c r="O42" s="655">
        <f t="shared" si="1"/>
        <v>7745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46054</v>
      </c>
      <c r="J43" s="653">
        <v>1217455</v>
      </c>
      <c r="K43" s="674">
        <v>0.224</v>
      </c>
      <c r="L43" s="646">
        <v>245439</v>
      </c>
      <c r="M43" s="654">
        <f>VLOOKUP(G:G,list!B:E,4,FALSE)</f>
        <v>0.1</v>
      </c>
      <c r="N43" s="655">
        <f t="shared" si="0"/>
        <v>24544</v>
      </c>
      <c r="O43" s="655">
        <f t="shared" si="1"/>
        <v>220895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46054</v>
      </c>
      <c r="J44" s="653">
        <v>271367</v>
      </c>
      <c r="K44" s="674">
        <v>0.224</v>
      </c>
      <c r="L44" s="646">
        <v>54714</v>
      </c>
      <c r="M44" s="654" t="str">
        <f>VLOOKUP(G:G,list!B:E,4,FALSE)</f>
        <v>-</v>
      </c>
      <c r="N44" s="655">
        <f t="shared" si="0"/>
        <v>0</v>
      </c>
      <c r="O44" s="655">
        <f t="shared" si="1"/>
        <v>54714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32</v>
      </c>
      <c r="E45" s="564" t="s">
        <v>62</v>
      </c>
      <c r="F45" s="564" t="s">
        <v>126</v>
      </c>
      <c r="G45" s="564" t="s">
        <v>364</v>
      </c>
      <c r="H45" s="565">
        <v>45901</v>
      </c>
      <c r="I45" s="652">
        <v>46082</v>
      </c>
      <c r="J45" s="653">
        <v>364</v>
      </c>
      <c r="K45" s="674">
        <v>0.35</v>
      </c>
      <c r="L45" s="646">
        <v>127</v>
      </c>
      <c r="M45" s="654">
        <f>VLOOKUP(G:G,list!B:E,4,FALSE)</f>
        <v>0.1</v>
      </c>
      <c r="N45" s="655">
        <f t="shared" si="0"/>
        <v>13</v>
      </c>
      <c r="O45" s="655">
        <f t="shared" si="1"/>
        <v>114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46082</v>
      </c>
      <c r="J46" s="653">
        <v>21240</v>
      </c>
      <c r="K46" s="600" t="s">
        <v>532</v>
      </c>
      <c r="L46" s="646">
        <v>7884</v>
      </c>
      <c r="M46" s="654" t="str">
        <f>VLOOKUP(G:G,list!B:E,4,FALSE)</f>
        <v>-</v>
      </c>
      <c r="N46" s="655">
        <f t="shared" si="0"/>
        <v>0</v>
      </c>
      <c r="O46" s="655">
        <f t="shared" si="1"/>
        <v>7884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46082</v>
      </c>
      <c r="J47" s="653">
        <v>7560</v>
      </c>
      <c r="K47" s="600" t="s">
        <v>532</v>
      </c>
      <c r="L47" s="646">
        <v>2646</v>
      </c>
      <c r="M47" s="654" t="str">
        <f>VLOOKUP(G:G,list!B:E,4,FALSE)</f>
        <v>-</v>
      </c>
      <c r="N47" s="655">
        <f t="shared" si="0"/>
        <v>0</v>
      </c>
      <c r="O47" s="655">
        <f t="shared" si="1"/>
        <v>2646</v>
      </c>
      <c r="P47" s="564"/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52">
        <v>46054</v>
      </c>
      <c r="J48" s="653">
        <v>115138</v>
      </c>
      <c r="K48" s="600">
        <v>0.5</v>
      </c>
      <c r="L48" s="646">
        <v>64359</v>
      </c>
      <c r="M48" s="654" t="str">
        <f>VLOOKUP(G:G,list!B:E,4,FALSE)</f>
        <v>-</v>
      </c>
      <c r="N48" s="655">
        <f t="shared" si="0"/>
        <v>0</v>
      </c>
      <c r="O48" s="655">
        <f t="shared" si="1"/>
        <v>64359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52">
        <v>46054</v>
      </c>
      <c r="J49" s="653">
        <v>17432</v>
      </c>
      <c r="K49" s="600">
        <v>0.5</v>
      </c>
      <c r="L49" s="646">
        <v>12808</v>
      </c>
      <c r="M49" s="654" t="str">
        <f>VLOOKUP(G:G,list!B:E,4,FALSE)</f>
        <v>-</v>
      </c>
      <c r="N49" s="655">
        <f t="shared" si="0"/>
        <v>0</v>
      </c>
      <c r="O49" s="655">
        <f t="shared" si="1"/>
        <v>12808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46082</v>
      </c>
      <c r="J50" s="653">
        <v>14678</v>
      </c>
      <c r="K50" s="567">
        <v>0.4</v>
      </c>
      <c r="L50" s="646">
        <v>5871</v>
      </c>
      <c r="M50" s="654">
        <f>VLOOKUP(G:G,list!B:E,4,FALSE)</f>
        <v>0.1</v>
      </c>
      <c r="N50" s="655">
        <f t="shared" si="0"/>
        <v>587</v>
      </c>
      <c r="O50" s="655">
        <f t="shared" si="1"/>
        <v>5284</v>
      </c>
      <c r="P50" s="564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46082</v>
      </c>
      <c r="J51" s="653">
        <v>9785</v>
      </c>
      <c r="K51" s="600">
        <v>0.4</v>
      </c>
      <c r="L51" s="646">
        <v>3914</v>
      </c>
      <c r="M51" s="654" t="str">
        <f>VLOOKUP(G:G,list!B:E,4,FALSE)</f>
        <v>-</v>
      </c>
      <c r="N51" s="655">
        <f t="shared" si="0"/>
        <v>0</v>
      </c>
      <c r="O51" s="655">
        <f t="shared" si="1"/>
        <v>3914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46082</v>
      </c>
      <c r="J52" s="653">
        <v>0</v>
      </c>
      <c r="K52" s="600">
        <v>0.4</v>
      </c>
      <c r="L52" s="646">
        <v>0</v>
      </c>
      <c r="M52" s="654" t="str">
        <f>VLOOKUP(G:G,list!B:E,4,FALSE)</f>
        <v>-</v>
      </c>
      <c r="N52" s="655">
        <f t="shared" si="0"/>
        <v>0</v>
      </c>
      <c r="O52" s="655">
        <f t="shared" si="1"/>
        <v>0</v>
      </c>
      <c r="P52" s="564" t="s">
        <v>366</v>
      </c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46082</v>
      </c>
      <c r="J53" s="653">
        <v>873</v>
      </c>
      <c r="K53" s="600">
        <v>0.4</v>
      </c>
      <c r="L53" s="646">
        <v>349</v>
      </c>
      <c r="M53" s="654" t="str">
        <f>VLOOKUP(G:G,list!B:E,4,FALSE)</f>
        <v>-</v>
      </c>
      <c r="N53" s="655">
        <f t="shared" si="0"/>
        <v>0</v>
      </c>
      <c r="O53" s="655">
        <f t="shared" si="1"/>
        <v>349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46082</v>
      </c>
      <c r="J54" s="653">
        <v>2665</v>
      </c>
      <c r="K54" s="600">
        <v>0.4</v>
      </c>
      <c r="L54" s="646">
        <v>1066</v>
      </c>
      <c r="M54" s="654" t="str">
        <f>VLOOKUP(G:G,list!B:E,4,FALSE)</f>
        <v>-</v>
      </c>
      <c r="N54" s="655">
        <f t="shared" si="0"/>
        <v>0</v>
      </c>
      <c r="O54" s="655">
        <f t="shared" si="1"/>
        <v>1066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46082</v>
      </c>
      <c r="J55" s="653">
        <v>43948</v>
      </c>
      <c r="K55" s="600">
        <v>0.4</v>
      </c>
      <c r="L55" s="646">
        <v>17579</v>
      </c>
      <c r="M55" s="654">
        <f>VLOOKUP(G:G,list!B:E,4,FALSE)</f>
        <v>0.1</v>
      </c>
      <c r="N55" s="655">
        <f t="shared" si="0"/>
        <v>1758</v>
      </c>
      <c r="O55" s="655">
        <f t="shared" si="1"/>
        <v>15821</v>
      </c>
      <c r="P55" s="564"/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46082</v>
      </c>
      <c r="J56" s="653">
        <v>160</v>
      </c>
      <c r="K56" s="603">
        <v>0.5</v>
      </c>
      <c r="L56" s="646">
        <v>80</v>
      </c>
      <c r="M56" s="654" t="str">
        <f>VLOOKUP(G:G,list!B:E,4,FALSE)</f>
        <v>-</v>
      </c>
      <c r="N56" s="655">
        <f t="shared" si="0"/>
        <v>0</v>
      </c>
      <c r="O56" s="655">
        <f t="shared" si="1"/>
        <v>80</v>
      </c>
      <c r="P56" s="564"/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46082</v>
      </c>
      <c r="J57" s="653">
        <v>22680</v>
      </c>
      <c r="K57" s="603">
        <v>0.5</v>
      </c>
      <c r="L57" s="646">
        <v>11340</v>
      </c>
      <c r="M57" s="654" t="str">
        <f>VLOOKUP(G:G,list!B:E,4,FALSE)</f>
        <v>-</v>
      </c>
      <c r="N57" s="655">
        <f t="shared" si="0"/>
        <v>0</v>
      </c>
      <c r="O57" s="655">
        <f t="shared" si="1"/>
        <v>11340</v>
      </c>
      <c r="P57" s="564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46054</v>
      </c>
      <c r="J58" s="653">
        <v>37247</v>
      </c>
      <c r="K58" s="603">
        <v>0.3</v>
      </c>
      <c r="L58" s="646">
        <v>11174</v>
      </c>
      <c r="M58" s="654" t="str">
        <f>VLOOKUP(G:G,list!B:E,4,FALSE)</f>
        <v>-</v>
      </c>
      <c r="N58" s="655">
        <f t="shared" si="0"/>
        <v>0</v>
      </c>
      <c r="O58" s="655">
        <f t="shared" si="1"/>
        <v>11174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46054</v>
      </c>
      <c r="J59" s="653">
        <v>17286</v>
      </c>
      <c r="K59" s="603">
        <v>0.5</v>
      </c>
      <c r="L59" s="646">
        <v>8643</v>
      </c>
      <c r="M59" s="654">
        <f>VLOOKUP(G:G,list!B:E,4,FALSE)</f>
        <v>0.1</v>
      </c>
      <c r="N59" s="655">
        <f t="shared" si="0"/>
        <v>864</v>
      </c>
      <c r="O59" s="655">
        <f t="shared" si="1"/>
        <v>7779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46054</v>
      </c>
      <c r="J60" s="653">
        <v>14730</v>
      </c>
      <c r="K60" s="603">
        <v>0.5</v>
      </c>
      <c r="L60" s="646">
        <v>7365</v>
      </c>
      <c r="M60" s="654" t="str">
        <f>VLOOKUP(G:G,list!B:E,4,FALSE)</f>
        <v>-</v>
      </c>
      <c r="N60" s="655">
        <f t="shared" si="0"/>
        <v>0</v>
      </c>
      <c r="O60" s="655">
        <f t="shared" si="1"/>
        <v>7365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46054</v>
      </c>
      <c r="J61" s="653">
        <v>52036</v>
      </c>
      <c r="K61" s="603">
        <v>0.5</v>
      </c>
      <c r="L61" s="646">
        <v>26018</v>
      </c>
      <c r="M61" s="654">
        <f>VLOOKUP(G:G,list!B:E,4,FALSE)</f>
        <v>0.1</v>
      </c>
      <c r="N61" s="655">
        <f t="shared" si="0"/>
        <v>2602</v>
      </c>
      <c r="O61" s="655">
        <f t="shared" si="1"/>
        <v>23416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46054</v>
      </c>
      <c r="J62" s="653">
        <v>30604</v>
      </c>
      <c r="K62" s="603">
        <v>0.5</v>
      </c>
      <c r="L62" s="646">
        <v>15302</v>
      </c>
      <c r="M62" s="654">
        <f>VLOOKUP(G:G,list!B:E,4,FALSE)</f>
        <v>0.11</v>
      </c>
      <c r="N62" s="655">
        <f t="shared" si="0"/>
        <v>1683</v>
      </c>
      <c r="O62" s="655">
        <f t="shared" si="1"/>
        <v>13619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46054</v>
      </c>
      <c r="J63" s="653">
        <v>155636</v>
      </c>
      <c r="K63" s="603">
        <v>0.7</v>
      </c>
      <c r="L63" s="646">
        <v>109143</v>
      </c>
      <c r="M63" s="654">
        <f>VLOOKUP(G:G,list!B:E,4,FALSE)</f>
        <v>0.1</v>
      </c>
      <c r="N63" s="655">
        <f t="shared" si="0"/>
        <v>10914</v>
      </c>
      <c r="O63" s="655">
        <f t="shared" si="1"/>
        <v>98229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46054</v>
      </c>
      <c r="J64" s="653">
        <v>462329.08567399997</v>
      </c>
      <c r="K64" s="603">
        <v>0.35</v>
      </c>
      <c r="L64" s="646">
        <v>161815</v>
      </c>
      <c r="M64" s="654">
        <f>VLOOKUP(G:G,list!B:E,4,FALSE)</f>
        <v>0.1</v>
      </c>
      <c r="N64" s="655">
        <f t="shared" si="0"/>
        <v>16182</v>
      </c>
      <c r="O64" s="655">
        <f t="shared" si="1"/>
        <v>145633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538</v>
      </c>
      <c r="E65" s="564" t="s">
        <v>9</v>
      </c>
      <c r="F65" s="564" t="s">
        <v>519</v>
      </c>
      <c r="G65" s="564" t="s">
        <v>316</v>
      </c>
      <c r="H65" s="565">
        <v>45446</v>
      </c>
      <c r="I65" s="652">
        <v>46082</v>
      </c>
      <c r="J65" s="653">
        <v>0</v>
      </c>
      <c r="K65" s="603">
        <v>0.7</v>
      </c>
      <c r="L65" s="646">
        <v>0</v>
      </c>
      <c r="M65" s="654">
        <f>VLOOKUP(G:G,list!B:E,4,FALSE)</f>
        <v>0.1</v>
      </c>
      <c r="N65" s="655">
        <f t="shared" si="0"/>
        <v>0</v>
      </c>
      <c r="O65" s="655">
        <f t="shared" si="1"/>
        <v>0</v>
      </c>
      <c r="P65" s="564" t="s">
        <v>366</v>
      </c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549</v>
      </c>
      <c r="E66" s="564" t="s">
        <v>9</v>
      </c>
      <c r="F66" s="564" t="s">
        <v>519</v>
      </c>
      <c r="G66" s="564" t="s">
        <v>316</v>
      </c>
      <c r="H66" s="565">
        <v>45524</v>
      </c>
      <c r="I66" s="652">
        <v>46082</v>
      </c>
      <c r="J66" s="653">
        <v>0</v>
      </c>
      <c r="K66" s="603">
        <v>0.7</v>
      </c>
      <c r="L66" s="646">
        <v>0</v>
      </c>
      <c r="M66" s="654">
        <f>VLOOKUP(G:G,list!B:E,4,FALSE)</f>
        <v>0.1</v>
      </c>
      <c r="N66" s="655">
        <f t="shared" si="0"/>
        <v>0</v>
      </c>
      <c r="O66" s="655">
        <f t="shared" si="1"/>
        <v>0</v>
      </c>
      <c r="P66" s="564" t="s">
        <v>366</v>
      </c>
      <c r="Q66" s="672" t="str">
        <f>VLOOKUP(G:G,list!B:F,5,FALSE)</f>
        <v>웹소설본부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123</v>
      </c>
      <c r="E67" s="564" t="s">
        <v>9</v>
      </c>
      <c r="F67" s="564" t="s">
        <v>519</v>
      </c>
      <c r="G67" s="564" t="s">
        <v>316</v>
      </c>
      <c r="H67" s="565">
        <v>45536</v>
      </c>
      <c r="I67" s="652">
        <v>46082</v>
      </c>
      <c r="J67" s="653">
        <v>0</v>
      </c>
      <c r="K67" s="603">
        <v>0.7</v>
      </c>
      <c r="L67" s="646">
        <v>0</v>
      </c>
      <c r="M67" s="654">
        <f>VLOOKUP(G:G,list!B:E,4,FALSE)</f>
        <v>0.1</v>
      </c>
      <c r="N67" s="655">
        <f t="shared" si="0"/>
        <v>0</v>
      </c>
      <c r="O67" s="655">
        <f t="shared" si="1"/>
        <v>0</v>
      </c>
      <c r="P67" s="564" t="s">
        <v>366</v>
      </c>
      <c r="Q67" s="672" t="str">
        <f>VLOOKUP(G:G,list!B:F,5,FALSE)</f>
        <v>웹소설본부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132</v>
      </c>
      <c r="E68" s="564" t="s">
        <v>9</v>
      </c>
      <c r="F68" s="564" t="s">
        <v>519</v>
      </c>
      <c r="G68" s="564" t="s">
        <v>316</v>
      </c>
      <c r="H68" s="565">
        <v>44945</v>
      </c>
      <c r="I68" s="652">
        <v>46082</v>
      </c>
      <c r="J68" s="653">
        <v>0</v>
      </c>
      <c r="K68" s="603">
        <v>0.5</v>
      </c>
      <c r="L68" s="646">
        <v>0</v>
      </c>
      <c r="M68" s="654">
        <f>VLOOKUP(G:G,list!B:E,4,FALSE)</f>
        <v>0.1</v>
      </c>
      <c r="N68" s="655">
        <f t="shared" si="0"/>
        <v>0</v>
      </c>
      <c r="O68" s="655">
        <f t="shared" si="1"/>
        <v>0</v>
      </c>
      <c r="P68" s="564" t="s">
        <v>366</v>
      </c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183</v>
      </c>
      <c r="E69" s="564" t="s">
        <v>9</v>
      </c>
      <c r="F69" s="564" t="s">
        <v>519</v>
      </c>
      <c r="G69" s="564" t="s">
        <v>316</v>
      </c>
      <c r="H69" s="565">
        <v>45702</v>
      </c>
      <c r="I69" s="652">
        <v>46082</v>
      </c>
      <c r="J69" s="653">
        <v>0</v>
      </c>
      <c r="K69" s="603">
        <v>0.7</v>
      </c>
      <c r="L69" s="646">
        <v>0</v>
      </c>
      <c r="M69" s="654">
        <f>VLOOKUP(G:G,list!B:E,4,FALSE)</f>
        <v>0.1</v>
      </c>
      <c r="N69" s="655">
        <f t="shared" si="0"/>
        <v>0</v>
      </c>
      <c r="O69" s="655">
        <f t="shared" si="1"/>
        <v>0</v>
      </c>
      <c r="P69" s="564" t="s">
        <v>366</v>
      </c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617</v>
      </c>
      <c r="E70" s="564" t="s">
        <v>9</v>
      </c>
      <c r="F70" s="564" t="s">
        <v>519</v>
      </c>
      <c r="G70" s="564" t="s">
        <v>316</v>
      </c>
      <c r="H70" s="565">
        <v>45534</v>
      </c>
      <c r="I70" s="652">
        <v>46082</v>
      </c>
      <c r="J70" s="653">
        <v>0</v>
      </c>
      <c r="K70" s="603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132</v>
      </c>
      <c r="E71" s="564" t="s">
        <v>9</v>
      </c>
      <c r="F71" s="564" t="s">
        <v>519</v>
      </c>
      <c r="G71" s="564" t="s">
        <v>56</v>
      </c>
      <c r="H71" s="565">
        <v>44952</v>
      </c>
      <c r="I71" s="652">
        <v>46082</v>
      </c>
      <c r="J71" s="653">
        <v>0</v>
      </c>
      <c r="K71" s="567">
        <v>0.5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564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56</v>
      </c>
      <c r="H72" s="565">
        <v>45503</v>
      </c>
      <c r="I72" s="652">
        <v>46082</v>
      </c>
      <c r="J72" s="653">
        <v>0</v>
      </c>
      <c r="K72" s="567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56</v>
      </c>
      <c r="H73" s="565">
        <v>45547</v>
      </c>
      <c r="I73" s="652">
        <v>46082</v>
      </c>
      <c r="J73" s="653">
        <v>0</v>
      </c>
      <c r="K73" s="567">
        <v>0.5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30</v>
      </c>
      <c r="H74" s="565">
        <v>44953</v>
      </c>
      <c r="I74" s="652">
        <v>46082</v>
      </c>
      <c r="J74" s="653">
        <v>0</v>
      </c>
      <c r="K74" s="567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작가기획</v>
      </c>
      <c r="D75" s="564" t="s">
        <v>132</v>
      </c>
      <c r="E75" s="564" t="s">
        <v>9</v>
      </c>
      <c r="F75" s="564" t="s">
        <v>519</v>
      </c>
      <c r="G75" s="564" t="s">
        <v>308</v>
      </c>
      <c r="H75" s="565">
        <v>44992</v>
      </c>
      <c r="I75" s="652">
        <v>46082</v>
      </c>
      <c r="J75" s="653">
        <v>0</v>
      </c>
      <c r="K75" s="603">
        <v>0.5</v>
      </c>
      <c r="L75" s="646">
        <v>0</v>
      </c>
      <c r="M75" s="654" t="str">
        <f>VLOOKUP(G:G,list!B:E,4,FALSE)</f>
        <v>-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-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작가기획</v>
      </c>
      <c r="D76" s="564" t="s">
        <v>538</v>
      </c>
      <c r="E76" s="564" t="s">
        <v>9</v>
      </c>
      <c r="F76" s="564" t="s">
        <v>519</v>
      </c>
      <c r="G76" s="564" t="s">
        <v>308</v>
      </c>
      <c r="H76" s="565">
        <v>45610</v>
      </c>
      <c r="I76" s="652">
        <v>46082</v>
      </c>
      <c r="J76" s="653">
        <v>0</v>
      </c>
      <c r="K76" s="603">
        <v>0.5</v>
      </c>
      <c r="L76" s="646">
        <v>0</v>
      </c>
      <c r="M76" s="654" t="str">
        <f>VLOOKUP(G:G,list!B:E,4,FALSE)</f>
        <v>-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-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작가기획</v>
      </c>
      <c r="D77" s="564" t="s">
        <v>132</v>
      </c>
      <c r="E77" s="564" t="s">
        <v>9</v>
      </c>
      <c r="F77" s="564" t="s">
        <v>519</v>
      </c>
      <c r="G77" s="564" t="s">
        <v>36</v>
      </c>
      <c r="H77" s="565">
        <v>45198</v>
      </c>
      <c r="I77" s="652">
        <v>46082</v>
      </c>
      <c r="J77" s="653">
        <v>32319</v>
      </c>
      <c r="K77" s="603">
        <v>0.5</v>
      </c>
      <c r="L77" s="646">
        <v>16159.5</v>
      </c>
      <c r="M77" s="654" t="str">
        <f>VLOOKUP(G:G,list!B:E,4,FALSE)</f>
        <v>-</v>
      </c>
      <c r="N77" s="655">
        <f t="shared" si="0"/>
        <v>0</v>
      </c>
      <c r="O77" s="655">
        <f t="shared" si="1"/>
        <v>16159.5</v>
      </c>
      <c r="P77" s="564"/>
      <c r="Q77" s="672" t="str">
        <f>VLOOKUP(G:G,list!B:F,5,FALSE)</f>
        <v>-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작가기획</v>
      </c>
      <c r="D78" s="564" t="s">
        <v>538</v>
      </c>
      <c r="E78" s="564" t="s">
        <v>9</v>
      </c>
      <c r="F78" s="564" t="s">
        <v>519</v>
      </c>
      <c r="G78" s="564" t="s">
        <v>36</v>
      </c>
      <c r="H78" s="565">
        <v>45479</v>
      </c>
      <c r="I78" s="652">
        <v>46082</v>
      </c>
      <c r="J78" s="653">
        <v>0</v>
      </c>
      <c r="K78" s="603">
        <v>0.5</v>
      </c>
      <c r="L78" s="646">
        <v>0</v>
      </c>
      <c r="M78" s="654" t="str">
        <f>VLOOKUP(G:G,list!B:E,4,FALSE)</f>
        <v>-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549</v>
      </c>
      <c r="E79" s="564" t="s">
        <v>9</v>
      </c>
      <c r="F79" s="564" t="s">
        <v>519</v>
      </c>
      <c r="G79" s="564" t="s">
        <v>36</v>
      </c>
      <c r="H79" s="565">
        <v>45531</v>
      </c>
      <c r="I79" s="652">
        <v>46082</v>
      </c>
      <c r="J79" s="653">
        <v>0</v>
      </c>
      <c r="K79" s="603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123</v>
      </c>
      <c r="E80" s="564" t="s">
        <v>9</v>
      </c>
      <c r="F80" s="564" t="s">
        <v>519</v>
      </c>
      <c r="G80" s="564" t="s">
        <v>36</v>
      </c>
      <c r="H80" s="565">
        <v>45555</v>
      </c>
      <c r="I80" s="652">
        <v>46082</v>
      </c>
      <c r="J80" s="653">
        <v>0</v>
      </c>
      <c r="K80" s="603">
        <v>0.5</v>
      </c>
      <c r="L80" s="646">
        <v>0</v>
      </c>
      <c r="M80" s="654" t="str">
        <f>VLOOKUP(G:G,list!B:E,4,FALSE)</f>
        <v>-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139</v>
      </c>
      <c r="H81" s="565">
        <v>45276</v>
      </c>
      <c r="I81" s="652">
        <v>46082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139</v>
      </c>
      <c r="H82" s="565">
        <v>45534</v>
      </c>
      <c r="I82" s="652">
        <v>46082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123</v>
      </c>
      <c r="E83" s="564" t="s">
        <v>9</v>
      </c>
      <c r="F83" s="564" t="s">
        <v>519</v>
      </c>
      <c r="G83" s="564" t="s">
        <v>139</v>
      </c>
      <c r="H83" s="565">
        <v>45656</v>
      </c>
      <c r="I83" s="652">
        <v>46082</v>
      </c>
      <c r="J83" s="653">
        <v>0</v>
      </c>
      <c r="K83" s="603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외부제작</v>
      </c>
      <c r="D84" s="564" t="s">
        <v>123</v>
      </c>
      <c r="E84" s="564" t="s">
        <v>9</v>
      </c>
      <c r="F84" s="564" t="s">
        <v>519</v>
      </c>
      <c r="G84" s="564" t="s">
        <v>315</v>
      </c>
      <c r="H84" s="565">
        <v>45673</v>
      </c>
      <c r="I84" s="652">
        <v>46082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N</v>
      </c>
    </row>
    <row r="85" spans="2:18" ht="18" customHeight="1">
      <c r="B85" s="650">
        <v>80</v>
      </c>
      <c r="C85" s="651" t="str">
        <f>VLOOKUP(G:G,list!B:D,2,FALSE)</f>
        <v>원작료</v>
      </c>
      <c r="D85" s="564" t="s">
        <v>182</v>
      </c>
      <c r="E85" s="564" t="s">
        <v>115</v>
      </c>
      <c r="F85" s="564" t="s">
        <v>283</v>
      </c>
      <c r="G85" s="564" t="s">
        <v>30</v>
      </c>
      <c r="H85" s="565">
        <v>44358</v>
      </c>
      <c r="I85" s="652">
        <v>46023</v>
      </c>
      <c r="J85" s="653">
        <v>64281</v>
      </c>
      <c r="K85" s="603">
        <v>0.5</v>
      </c>
      <c r="L85" s="646">
        <v>32141</v>
      </c>
      <c r="M85" s="654">
        <f>VLOOKUP(G:G,list!B:E,4,FALSE)</f>
        <v>0.1</v>
      </c>
      <c r="N85" s="655">
        <f t="shared" si="0"/>
        <v>3214</v>
      </c>
      <c r="O85" s="655">
        <f t="shared" si="1"/>
        <v>28927</v>
      </c>
      <c r="P85" s="564"/>
      <c r="Q85" s="672" t="str">
        <f>VLOOKUP(G:G,list!B:F,5,FALSE)</f>
        <v>웹소설본부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원작료</v>
      </c>
      <c r="D86" s="564" t="s">
        <v>182</v>
      </c>
      <c r="E86" s="564" t="s">
        <v>115</v>
      </c>
      <c r="F86" s="564" t="s">
        <v>283</v>
      </c>
      <c r="G86" s="564" t="s">
        <v>56</v>
      </c>
      <c r="H86" s="565">
        <v>44391</v>
      </c>
      <c r="I86" s="652">
        <v>46023</v>
      </c>
      <c r="J86" s="653">
        <v>174030</v>
      </c>
      <c r="K86" s="603">
        <v>0.5</v>
      </c>
      <c r="L86" s="646">
        <v>87015</v>
      </c>
      <c r="M86" s="654">
        <f>VLOOKUP(G:G,list!B:E,4,FALSE)</f>
        <v>0.1</v>
      </c>
      <c r="N86" s="655">
        <f t="shared" si="0"/>
        <v>8702</v>
      </c>
      <c r="O86" s="655">
        <f t="shared" si="1"/>
        <v>78313</v>
      </c>
      <c r="P86" s="564"/>
      <c r="Q86" s="672" t="str">
        <f>VLOOKUP(G:G,list!B:F,5,FALSE)</f>
        <v>웹소설본부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원작료</v>
      </c>
      <c r="D87" s="564" t="s">
        <v>182</v>
      </c>
      <c r="E87" s="564" t="s">
        <v>115</v>
      </c>
      <c r="F87" s="564" t="s">
        <v>283</v>
      </c>
      <c r="G87" s="564" t="s">
        <v>316</v>
      </c>
      <c r="H87" s="565">
        <v>44969</v>
      </c>
      <c r="I87" s="652">
        <v>46023</v>
      </c>
      <c r="J87" s="653">
        <v>14441</v>
      </c>
      <c r="K87" s="603">
        <v>0.5</v>
      </c>
      <c r="L87" s="646">
        <v>7221</v>
      </c>
      <c r="M87" s="654">
        <f>VLOOKUP(G:G,list!B:E,4,FALSE)</f>
        <v>0.1</v>
      </c>
      <c r="N87" s="655">
        <f t="shared" si="0"/>
        <v>722</v>
      </c>
      <c r="O87" s="655">
        <f t="shared" si="1"/>
        <v>6499</v>
      </c>
      <c r="P87" s="564"/>
      <c r="Q87" s="672" t="str">
        <f>VLOOKUP(G:G,list!B:F,5,FALSE)</f>
        <v>웹소설본부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182</v>
      </c>
      <c r="E88" s="564" t="s">
        <v>115</v>
      </c>
      <c r="F88" s="564" t="s">
        <v>550</v>
      </c>
      <c r="G88" s="564" t="s">
        <v>308</v>
      </c>
      <c r="H88" s="565">
        <v>45347</v>
      </c>
      <c r="I88" s="652">
        <v>46023</v>
      </c>
      <c r="J88" s="653">
        <v>0</v>
      </c>
      <c r="K88" s="603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564" t="s">
        <v>366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550</v>
      </c>
      <c r="G89" s="564" t="s">
        <v>316</v>
      </c>
      <c r="H89" s="565">
        <v>45359</v>
      </c>
      <c r="I89" s="652">
        <v>46023</v>
      </c>
      <c r="J89" s="653">
        <v>0</v>
      </c>
      <c r="K89" s="603">
        <v>0.5</v>
      </c>
      <c r="L89" s="646">
        <v>0</v>
      </c>
      <c r="M89" s="654">
        <f>VLOOKUP(G:G,list!B:E,4,FALSE)</f>
        <v>0.1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264</v>
      </c>
      <c r="G90" s="564" t="s">
        <v>56</v>
      </c>
      <c r="H90" s="565">
        <v>45941</v>
      </c>
      <c r="I90" s="652">
        <v>46054</v>
      </c>
      <c r="J90" s="653">
        <v>2273369</v>
      </c>
      <c r="K90" s="603">
        <v>0.5</v>
      </c>
      <c r="L90" s="646">
        <v>1136685</v>
      </c>
      <c r="M90" s="654">
        <f>VLOOKUP(G:G,list!B:E,4,FALSE)</f>
        <v>0.1</v>
      </c>
      <c r="N90" s="655">
        <f t="shared" si="0"/>
        <v>113669</v>
      </c>
      <c r="O90" s="655">
        <f t="shared" si="1"/>
        <v>1023016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264</v>
      </c>
      <c r="G91" s="564" t="s">
        <v>30</v>
      </c>
      <c r="H91" s="565">
        <v>45991</v>
      </c>
      <c r="I91" s="652">
        <v>46054</v>
      </c>
      <c r="J91" s="653">
        <v>472188</v>
      </c>
      <c r="K91" s="603">
        <v>0.5</v>
      </c>
      <c r="L91" s="646">
        <v>236094</v>
      </c>
      <c r="M91" s="654">
        <f>VLOOKUP(G:G,list!B:E,4,FALSE)</f>
        <v>0.1</v>
      </c>
      <c r="N91" s="655">
        <f t="shared" si="0"/>
        <v>23609</v>
      </c>
      <c r="O91" s="655">
        <f t="shared" si="1"/>
        <v>212485</v>
      </c>
      <c r="P91" s="564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264</v>
      </c>
      <c r="G92" s="564" t="s">
        <v>316</v>
      </c>
      <c r="H92" s="565">
        <v>46039</v>
      </c>
      <c r="I92" s="652">
        <v>46054</v>
      </c>
      <c r="J92" s="653">
        <v>564318</v>
      </c>
      <c r="K92" s="603">
        <v>0.5</v>
      </c>
      <c r="L92" s="646">
        <v>282159</v>
      </c>
      <c r="M92" s="654">
        <f>VLOOKUP(G:G,list!B:E,4,FALSE)</f>
        <v>0.1</v>
      </c>
      <c r="N92" s="655">
        <f t="shared" si="0"/>
        <v>28216</v>
      </c>
      <c r="O92" s="655">
        <f t="shared" si="1"/>
        <v>253943</v>
      </c>
      <c r="P92" s="564"/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32</v>
      </c>
      <c r="E93" s="564" t="s">
        <v>9</v>
      </c>
      <c r="F93" s="564" t="s">
        <v>31</v>
      </c>
      <c r="G93" s="564" t="s">
        <v>30</v>
      </c>
      <c r="H93" s="565">
        <v>44239</v>
      </c>
      <c r="I93" s="652">
        <v>46054</v>
      </c>
      <c r="J93" s="653">
        <v>478</v>
      </c>
      <c r="K93" s="603">
        <v>0.4</v>
      </c>
      <c r="L93" s="646">
        <v>174</v>
      </c>
      <c r="M93" s="654">
        <f>VLOOKUP(G:G,list!B:E,4,FALSE)</f>
        <v>0.1</v>
      </c>
      <c r="N93" s="655">
        <f t="shared" si="0"/>
        <v>17</v>
      </c>
      <c r="O93" s="655">
        <f t="shared" si="1"/>
        <v>157</v>
      </c>
      <c r="P93" s="564"/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56</v>
      </c>
      <c r="H94" s="565">
        <v>44581</v>
      </c>
      <c r="I94" s="652">
        <v>46082</v>
      </c>
      <c r="J94" s="653">
        <v>460897</v>
      </c>
      <c r="K94" s="603">
        <v>0.3</v>
      </c>
      <c r="L94" s="568">
        <v>138269</v>
      </c>
      <c r="M94" s="654">
        <f>VLOOKUP(G:G,list!B:E,4,FALSE)</f>
        <v>0.1</v>
      </c>
      <c r="N94" s="655">
        <f t="shared" si="0"/>
        <v>13827</v>
      </c>
      <c r="O94" s="655">
        <f t="shared" si="1"/>
        <v>124442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183</v>
      </c>
      <c r="E95" s="564" t="s">
        <v>9</v>
      </c>
      <c r="F95" s="564" t="s">
        <v>213</v>
      </c>
      <c r="G95" s="564" t="s">
        <v>56</v>
      </c>
      <c r="H95" s="565">
        <v>44829</v>
      </c>
      <c r="I95" s="652">
        <v>46082</v>
      </c>
      <c r="J95" s="653">
        <v>588513</v>
      </c>
      <c r="K95" s="603">
        <v>0.3</v>
      </c>
      <c r="L95" s="568">
        <v>176554</v>
      </c>
      <c r="M95" s="654">
        <f>VLOOKUP(G:G,list!B:E,4,FALSE)</f>
        <v>0.1</v>
      </c>
      <c r="N95" s="655">
        <f t="shared" si="0"/>
        <v>17655</v>
      </c>
      <c r="O95" s="655">
        <f t="shared" si="1"/>
        <v>158899</v>
      </c>
      <c r="P95" s="564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454</v>
      </c>
      <c r="H96" s="565">
        <v>44854</v>
      </c>
      <c r="I96" s="652">
        <v>46082</v>
      </c>
      <c r="J96" s="653">
        <v>466063</v>
      </c>
      <c r="K96" s="603">
        <v>0.3</v>
      </c>
      <c r="L96" s="568">
        <v>139819</v>
      </c>
      <c r="M96" s="654">
        <f>VLOOKUP(G:G,list!B:E,4,FALSE)</f>
        <v>0.1</v>
      </c>
      <c r="N96" s="655">
        <f t="shared" si="0"/>
        <v>13982</v>
      </c>
      <c r="O96" s="655">
        <f t="shared" si="1"/>
        <v>125837</v>
      </c>
      <c r="P96" s="564" t="s">
        <v>186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481</v>
      </c>
      <c r="H97" s="565">
        <v>44981</v>
      </c>
      <c r="I97" s="652">
        <v>46082</v>
      </c>
      <c r="J97" s="653">
        <v>74143</v>
      </c>
      <c r="K97" s="603">
        <v>0.3</v>
      </c>
      <c r="L97" s="568">
        <v>22243</v>
      </c>
      <c r="M97" s="654">
        <f>VLOOKUP(G:G,list!B:E,4,FALSE)</f>
        <v>0.1</v>
      </c>
      <c r="N97" s="655">
        <f t="shared" si="0"/>
        <v>2224</v>
      </c>
      <c r="O97" s="655">
        <f t="shared" si="1"/>
        <v>20019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213</v>
      </c>
      <c r="G98" s="564" t="s">
        <v>352</v>
      </c>
      <c r="H98" s="565">
        <v>44984</v>
      </c>
      <c r="I98" s="652">
        <v>46082</v>
      </c>
      <c r="J98" s="653">
        <v>198210</v>
      </c>
      <c r="K98" s="603">
        <v>0.3</v>
      </c>
      <c r="L98" s="568">
        <v>59463</v>
      </c>
      <c r="M98" s="654">
        <f>VLOOKUP(G:G,list!B:E,4,FALSE)</f>
        <v>0.1</v>
      </c>
      <c r="N98" s="655">
        <f t="shared" si="0"/>
        <v>5946</v>
      </c>
      <c r="O98" s="655">
        <f t="shared" si="1"/>
        <v>53517</v>
      </c>
      <c r="P98" s="564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213</v>
      </c>
      <c r="G99" s="564" t="s">
        <v>454</v>
      </c>
      <c r="H99" s="565">
        <v>44902</v>
      </c>
      <c r="I99" s="652">
        <v>46054</v>
      </c>
      <c r="J99" s="653">
        <v>595767</v>
      </c>
      <c r="K99" s="603">
        <v>0.3</v>
      </c>
      <c r="L99" s="568">
        <v>178730</v>
      </c>
      <c r="M99" s="654">
        <f>VLOOKUP(G:G,list!B:E,4,FALSE)</f>
        <v>0.1</v>
      </c>
      <c r="N99" s="655">
        <f t="shared" ref="N99:N118" si="2">ROUND(IF(M99="-",0,L99*M99),0)</f>
        <v>17873</v>
      </c>
      <c r="O99" s="655">
        <f t="shared" ref="O99:O118" si="3">L99-N99</f>
        <v>160857</v>
      </c>
      <c r="P99" s="564" t="s">
        <v>282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72</v>
      </c>
      <c r="E100" s="564" t="s">
        <v>9</v>
      </c>
      <c r="F100" s="564" t="s">
        <v>213</v>
      </c>
      <c r="G100" s="564" t="s">
        <v>454</v>
      </c>
      <c r="H100" s="565">
        <v>45257</v>
      </c>
      <c r="I100" s="652">
        <v>46054</v>
      </c>
      <c r="J100" s="653">
        <v>4957</v>
      </c>
      <c r="K100" s="603">
        <v>0.3</v>
      </c>
      <c r="L100" s="568">
        <v>1487</v>
      </c>
      <c r="M100" s="654">
        <f>VLOOKUP(G:G,list!B:E,4,FALSE)</f>
        <v>0.1</v>
      </c>
      <c r="N100" s="655">
        <f t="shared" si="2"/>
        <v>149</v>
      </c>
      <c r="O100" s="655">
        <f t="shared" si="3"/>
        <v>1338</v>
      </c>
      <c r="P100" s="564" t="s">
        <v>546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563">
        <v>99</v>
      </c>
      <c r="C101" s="651" t="str">
        <f>VLOOKUP(G:G,list!B:D,2,FALSE)</f>
        <v>작가기획</v>
      </c>
      <c r="D101" s="564" t="s">
        <v>182</v>
      </c>
      <c r="E101" s="564" t="s">
        <v>115</v>
      </c>
      <c r="F101" s="564" t="s">
        <v>565</v>
      </c>
      <c r="G101" s="564" t="s">
        <v>36</v>
      </c>
      <c r="H101" s="565">
        <v>45364</v>
      </c>
      <c r="I101" s="652">
        <v>45931</v>
      </c>
      <c r="J101" s="653">
        <v>51741.634265402849</v>
      </c>
      <c r="K101" s="603">
        <v>0.5</v>
      </c>
      <c r="L101" s="568">
        <v>25871</v>
      </c>
      <c r="M101" s="654" t="str">
        <f>VLOOKUP(G:G,list!B:E,4,FALSE)</f>
        <v>-</v>
      </c>
      <c r="N101" s="655">
        <f t="shared" si="2"/>
        <v>0</v>
      </c>
      <c r="O101" s="655">
        <f t="shared" si="3"/>
        <v>25871</v>
      </c>
      <c r="P101" s="564"/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650">
        <v>100</v>
      </c>
      <c r="C102" s="651" t="str">
        <f>VLOOKUP(G:G,list!B:D,2,FALSE)</f>
        <v>작가기획</v>
      </c>
      <c r="D102" s="564" t="s">
        <v>182</v>
      </c>
      <c r="E102" s="564" t="s">
        <v>115</v>
      </c>
      <c r="F102" s="564" t="s">
        <v>565</v>
      </c>
      <c r="G102" s="564" t="s">
        <v>36</v>
      </c>
      <c r="H102" s="565">
        <v>45364</v>
      </c>
      <c r="I102" s="652">
        <v>45962</v>
      </c>
      <c r="J102" s="653">
        <v>173227.1764691943</v>
      </c>
      <c r="K102" s="603">
        <v>0.5</v>
      </c>
      <c r="L102" s="568">
        <v>86614</v>
      </c>
      <c r="M102" s="654" t="str">
        <f>VLOOKUP(G:G,list!B:E,4,FALSE)</f>
        <v>-</v>
      </c>
      <c r="N102" s="655">
        <f t="shared" si="2"/>
        <v>0</v>
      </c>
      <c r="O102" s="655">
        <f t="shared" si="3"/>
        <v>86614</v>
      </c>
      <c r="P102" s="564"/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563">
        <v>101</v>
      </c>
      <c r="C103" s="651" t="str">
        <f>VLOOKUP(G:G,list!B:D,2,FALSE)</f>
        <v>작가기획</v>
      </c>
      <c r="D103" s="564" t="s">
        <v>182</v>
      </c>
      <c r="E103" s="564" t="s">
        <v>115</v>
      </c>
      <c r="F103" s="564" t="s">
        <v>565</v>
      </c>
      <c r="G103" s="564" t="s">
        <v>36</v>
      </c>
      <c r="H103" s="565">
        <v>45364</v>
      </c>
      <c r="I103" s="652">
        <v>45992</v>
      </c>
      <c r="J103" s="653">
        <v>177519.10926540283</v>
      </c>
      <c r="K103" s="603">
        <v>0.5</v>
      </c>
      <c r="L103" s="568">
        <v>88760</v>
      </c>
      <c r="M103" s="654" t="str">
        <f>VLOOKUP(G:G,list!B:E,4,FALSE)</f>
        <v>-</v>
      </c>
      <c r="N103" s="655">
        <f t="shared" si="2"/>
        <v>0</v>
      </c>
      <c r="O103" s="655">
        <f t="shared" si="3"/>
        <v>88760</v>
      </c>
      <c r="P103" s="564"/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650">
        <v>102</v>
      </c>
      <c r="C104" s="651" t="str">
        <f>VLOOKUP(G:G,list!B:D,2,FALSE)</f>
        <v>작가기획</v>
      </c>
      <c r="D104" s="564" t="s">
        <v>182</v>
      </c>
      <c r="E104" s="564" t="s">
        <v>115</v>
      </c>
      <c r="F104" s="564" t="s">
        <v>565</v>
      </c>
      <c r="G104" s="564" t="s">
        <v>37</v>
      </c>
      <c r="H104" s="565">
        <v>45362</v>
      </c>
      <c r="I104" s="652">
        <v>45931</v>
      </c>
      <c r="J104" s="653">
        <v>1796.3831775700935</v>
      </c>
      <c r="K104" s="603">
        <v>0.5</v>
      </c>
      <c r="L104" s="568">
        <v>898</v>
      </c>
      <c r="M104" s="654" t="str">
        <f>VLOOKUP(G:G,list!B:E,4,FALSE)</f>
        <v>-</v>
      </c>
      <c r="N104" s="655">
        <f t="shared" si="2"/>
        <v>0</v>
      </c>
      <c r="O104" s="655">
        <f t="shared" si="3"/>
        <v>898</v>
      </c>
      <c r="P104" s="564"/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563">
        <v>103</v>
      </c>
      <c r="C105" s="651" t="str">
        <f>VLOOKUP(G:G,list!B:D,2,FALSE)</f>
        <v>작가기획</v>
      </c>
      <c r="D105" s="564" t="s">
        <v>182</v>
      </c>
      <c r="E105" s="564" t="s">
        <v>115</v>
      </c>
      <c r="F105" s="564" t="s">
        <v>565</v>
      </c>
      <c r="G105" s="564" t="s">
        <v>37</v>
      </c>
      <c r="H105" s="565">
        <v>45362</v>
      </c>
      <c r="I105" s="652">
        <v>45962</v>
      </c>
      <c r="J105" s="653">
        <v>4670.5962616822435</v>
      </c>
      <c r="K105" s="603">
        <v>0.5</v>
      </c>
      <c r="L105" s="568">
        <v>2335</v>
      </c>
      <c r="M105" s="654" t="str">
        <f>VLOOKUP(G:G,list!B:E,4,FALSE)</f>
        <v>-</v>
      </c>
      <c r="N105" s="655">
        <f t="shared" si="2"/>
        <v>0</v>
      </c>
      <c r="O105" s="655">
        <f t="shared" si="3"/>
        <v>2335</v>
      </c>
      <c r="P105" s="564"/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650">
        <v>104</v>
      </c>
      <c r="C106" s="651" t="str">
        <f>VLOOKUP(G:G,list!B:D,2,FALSE)</f>
        <v>작가기획</v>
      </c>
      <c r="D106" s="564" t="s">
        <v>182</v>
      </c>
      <c r="E106" s="564" t="s">
        <v>115</v>
      </c>
      <c r="F106" s="564" t="s">
        <v>565</v>
      </c>
      <c r="G106" s="564" t="s">
        <v>37</v>
      </c>
      <c r="H106" s="565">
        <v>45362</v>
      </c>
      <c r="I106" s="652">
        <v>45992</v>
      </c>
      <c r="J106" s="653">
        <v>4516.6205607476631</v>
      </c>
      <c r="K106" s="603">
        <v>0.5</v>
      </c>
      <c r="L106" s="568">
        <v>2258</v>
      </c>
      <c r="M106" s="654" t="str">
        <f>VLOOKUP(G:G,list!B:E,4,FALSE)</f>
        <v>-</v>
      </c>
      <c r="N106" s="655">
        <f t="shared" si="2"/>
        <v>0</v>
      </c>
      <c r="O106" s="655">
        <f t="shared" si="3"/>
        <v>2258</v>
      </c>
      <c r="P106" s="564"/>
      <c r="Q106" s="672" t="str">
        <f>VLOOKUP(G:G,list!B:F,5,FALSE)</f>
        <v>-</v>
      </c>
      <c r="R106" s="656" t="str">
        <f>VLOOKUP(G:G,list!B:D,3,FALSE)</f>
        <v>Y</v>
      </c>
    </row>
    <row r="107" spans="2:18" ht="18" customHeight="1">
      <c r="B107" s="563">
        <v>105</v>
      </c>
      <c r="C107" s="651" t="str">
        <f>VLOOKUP(G:G,list!B:D,2,FALSE)</f>
        <v>원작료</v>
      </c>
      <c r="D107" s="564" t="s">
        <v>182</v>
      </c>
      <c r="E107" s="564" t="s">
        <v>115</v>
      </c>
      <c r="F107" s="564" t="s">
        <v>565</v>
      </c>
      <c r="G107" s="564" t="s">
        <v>30</v>
      </c>
      <c r="H107" s="565">
        <v>45379</v>
      </c>
      <c r="I107" s="652">
        <v>45931</v>
      </c>
      <c r="J107" s="653">
        <v>7142.2256055363323</v>
      </c>
      <c r="K107" s="603">
        <v>0.5</v>
      </c>
      <c r="L107" s="568">
        <v>3571</v>
      </c>
      <c r="M107" s="654">
        <f>VLOOKUP(G:G,list!B:E,4,FALSE)</f>
        <v>0.1</v>
      </c>
      <c r="N107" s="655">
        <f t="shared" si="2"/>
        <v>357</v>
      </c>
      <c r="O107" s="655">
        <f t="shared" si="3"/>
        <v>3214</v>
      </c>
      <c r="P107" s="564"/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650">
        <v>106</v>
      </c>
      <c r="C108" s="651" t="str">
        <f>VLOOKUP(G:G,list!B:D,2,FALSE)</f>
        <v>원작료</v>
      </c>
      <c r="D108" s="564" t="s">
        <v>182</v>
      </c>
      <c r="E108" s="564" t="s">
        <v>115</v>
      </c>
      <c r="F108" s="564" t="s">
        <v>565</v>
      </c>
      <c r="G108" s="564" t="s">
        <v>30</v>
      </c>
      <c r="H108" s="565">
        <v>45379</v>
      </c>
      <c r="I108" s="652">
        <v>45962</v>
      </c>
      <c r="J108" s="653">
        <v>6893.0782006920417</v>
      </c>
      <c r="K108" s="603">
        <v>0.5</v>
      </c>
      <c r="L108" s="568">
        <v>3447</v>
      </c>
      <c r="M108" s="654">
        <f>VLOOKUP(G:G,list!B:E,4,FALSE)</f>
        <v>0.1</v>
      </c>
      <c r="N108" s="655">
        <f t="shared" si="2"/>
        <v>345</v>
      </c>
      <c r="O108" s="655">
        <f t="shared" si="3"/>
        <v>3102</v>
      </c>
      <c r="P108" s="564"/>
      <c r="Q108" s="672" t="str">
        <f>VLOOKUP(G:G,list!B:F,5,FALSE)</f>
        <v>웹소설본부</v>
      </c>
      <c r="R108" s="656" t="str">
        <f>VLOOKUP(G:G,list!B:D,3,FALSE)</f>
        <v>Y</v>
      </c>
    </row>
    <row r="109" spans="2:18" ht="18" customHeight="1">
      <c r="B109" s="563">
        <v>107</v>
      </c>
      <c r="C109" s="651" t="str">
        <f>VLOOKUP(G:G,list!B:D,2,FALSE)</f>
        <v>원작료</v>
      </c>
      <c r="D109" s="564" t="s">
        <v>182</v>
      </c>
      <c r="E109" s="564" t="s">
        <v>115</v>
      </c>
      <c r="F109" s="564" t="s">
        <v>565</v>
      </c>
      <c r="G109" s="564" t="s">
        <v>30</v>
      </c>
      <c r="H109" s="565">
        <v>45379</v>
      </c>
      <c r="I109" s="652">
        <v>45992</v>
      </c>
      <c r="J109" s="653">
        <v>21966.496193771625</v>
      </c>
      <c r="K109" s="603">
        <v>0.5</v>
      </c>
      <c r="L109" s="568">
        <v>10983</v>
      </c>
      <c r="M109" s="654">
        <f>VLOOKUP(G:G,list!B:E,4,FALSE)</f>
        <v>0.1</v>
      </c>
      <c r="N109" s="655">
        <f t="shared" si="2"/>
        <v>1098</v>
      </c>
      <c r="O109" s="655">
        <f t="shared" si="3"/>
        <v>9885</v>
      </c>
      <c r="P109" s="564"/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650">
        <v>108</v>
      </c>
      <c r="C110" s="651" t="str">
        <f>VLOOKUP(G:G,list!B:D,2,FALSE)</f>
        <v>작가기획</v>
      </c>
      <c r="D110" s="564" t="s">
        <v>182</v>
      </c>
      <c r="E110" s="564" t="s">
        <v>115</v>
      </c>
      <c r="F110" s="564" t="s">
        <v>565</v>
      </c>
      <c r="G110" s="564" t="s">
        <v>308</v>
      </c>
      <c r="H110" s="565">
        <v>45382</v>
      </c>
      <c r="I110" s="652">
        <v>45931</v>
      </c>
      <c r="J110" s="653">
        <v>47.201440677966104</v>
      </c>
      <c r="K110" s="603">
        <v>0.5</v>
      </c>
      <c r="L110" s="568">
        <v>24</v>
      </c>
      <c r="M110" s="654" t="str">
        <f>VLOOKUP(G:G,list!B:E,4,FALSE)</f>
        <v>-</v>
      </c>
      <c r="N110" s="655">
        <f t="shared" si="2"/>
        <v>0</v>
      </c>
      <c r="O110" s="655">
        <f t="shared" si="3"/>
        <v>24</v>
      </c>
      <c r="P110" s="564"/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563">
        <v>109</v>
      </c>
      <c r="C111" s="651" t="str">
        <f>VLOOKUP(G:G,list!B:D,2,FALSE)</f>
        <v>작가기획</v>
      </c>
      <c r="D111" s="564" t="s">
        <v>182</v>
      </c>
      <c r="E111" s="564" t="s">
        <v>115</v>
      </c>
      <c r="F111" s="564" t="s">
        <v>565</v>
      </c>
      <c r="G111" s="564" t="s">
        <v>308</v>
      </c>
      <c r="H111" s="565">
        <v>45382</v>
      </c>
      <c r="I111" s="652">
        <v>45962</v>
      </c>
      <c r="J111" s="653">
        <v>424.812966101695</v>
      </c>
      <c r="K111" s="603">
        <v>0.5</v>
      </c>
      <c r="L111" s="568">
        <v>212</v>
      </c>
      <c r="M111" s="654" t="str">
        <f>VLOOKUP(G:G,list!B:E,4,FALSE)</f>
        <v>-</v>
      </c>
      <c r="N111" s="655">
        <f t="shared" si="2"/>
        <v>0</v>
      </c>
      <c r="O111" s="655">
        <f t="shared" si="3"/>
        <v>212</v>
      </c>
      <c r="P111" s="564"/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650">
        <v>110</v>
      </c>
      <c r="C112" s="651" t="str">
        <f>VLOOKUP(G:G,list!B:D,2,FALSE)</f>
        <v>작가기획</v>
      </c>
      <c r="D112" s="564" t="s">
        <v>182</v>
      </c>
      <c r="E112" s="564" t="s">
        <v>115</v>
      </c>
      <c r="F112" s="564" t="s">
        <v>565</v>
      </c>
      <c r="G112" s="564" t="s">
        <v>308</v>
      </c>
      <c r="H112" s="565">
        <v>45382</v>
      </c>
      <c r="I112" s="652">
        <v>45992</v>
      </c>
      <c r="J112" s="653">
        <v>16237.29559322034</v>
      </c>
      <c r="K112" s="603">
        <v>0.5</v>
      </c>
      <c r="L112" s="568">
        <v>8119</v>
      </c>
      <c r="M112" s="654" t="str">
        <f>VLOOKUP(G:G,list!B:E,4,FALSE)</f>
        <v>-</v>
      </c>
      <c r="N112" s="655">
        <f t="shared" si="2"/>
        <v>0</v>
      </c>
      <c r="O112" s="655">
        <f t="shared" si="3"/>
        <v>8119</v>
      </c>
      <c r="P112" s="564"/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563">
        <v>111</v>
      </c>
      <c r="C113" s="651" t="str">
        <f>VLOOKUP(G:G,list!B:D,2,FALSE)</f>
        <v>원작료</v>
      </c>
      <c r="D113" s="564" t="s">
        <v>182</v>
      </c>
      <c r="E113" s="564" t="s">
        <v>115</v>
      </c>
      <c r="F113" s="564" t="s">
        <v>565</v>
      </c>
      <c r="G113" s="564" t="s">
        <v>316</v>
      </c>
      <c r="H113" s="565">
        <v>45390</v>
      </c>
      <c r="I113" s="652">
        <v>45931</v>
      </c>
      <c r="J113" s="653">
        <v>231.84755244755243</v>
      </c>
      <c r="K113" s="603">
        <v>0.5</v>
      </c>
      <c r="L113" s="568">
        <v>116</v>
      </c>
      <c r="M113" s="654">
        <f>VLOOKUP(G:G,list!B:E,4,FALSE)</f>
        <v>0.1</v>
      </c>
      <c r="N113" s="655">
        <f t="shared" si="2"/>
        <v>12</v>
      </c>
      <c r="O113" s="655">
        <f t="shared" si="3"/>
        <v>104</v>
      </c>
      <c r="P113" s="564"/>
      <c r="Q113" s="672" t="str">
        <f>VLOOKUP(G:G,list!B:F,5,FALSE)</f>
        <v>웹소설본부</v>
      </c>
      <c r="R113" s="656" t="str">
        <f>VLOOKUP(G:G,list!B:D,3,FALSE)</f>
        <v>Y</v>
      </c>
    </row>
    <row r="114" spans="2:18" ht="18" customHeight="1">
      <c r="B114" s="650">
        <v>112</v>
      </c>
      <c r="C114" s="651" t="str">
        <f>VLOOKUP(G:G,list!B:D,2,FALSE)</f>
        <v>원작료</v>
      </c>
      <c r="D114" s="564" t="s">
        <v>182</v>
      </c>
      <c r="E114" s="564" t="s">
        <v>115</v>
      </c>
      <c r="F114" s="564" t="s">
        <v>565</v>
      </c>
      <c r="G114" s="564" t="s">
        <v>316</v>
      </c>
      <c r="H114" s="565">
        <v>45390</v>
      </c>
      <c r="I114" s="652">
        <v>45962</v>
      </c>
      <c r="J114" s="653">
        <v>9215.9402097902093</v>
      </c>
      <c r="K114" s="603">
        <v>0.5</v>
      </c>
      <c r="L114" s="568">
        <v>4608</v>
      </c>
      <c r="M114" s="654">
        <f>VLOOKUP(G:G,list!B:E,4,FALSE)</f>
        <v>0.1</v>
      </c>
      <c r="N114" s="655">
        <f t="shared" si="2"/>
        <v>461</v>
      </c>
      <c r="O114" s="655">
        <f t="shared" si="3"/>
        <v>4147</v>
      </c>
      <c r="P114" s="564"/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563">
        <v>113</v>
      </c>
      <c r="C115" s="651" t="str">
        <f>VLOOKUP(G:G,list!B:D,2,FALSE)</f>
        <v>원작료</v>
      </c>
      <c r="D115" s="564" t="s">
        <v>182</v>
      </c>
      <c r="E115" s="564" t="s">
        <v>115</v>
      </c>
      <c r="F115" s="564" t="s">
        <v>565</v>
      </c>
      <c r="G115" s="564" t="s">
        <v>316</v>
      </c>
      <c r="H115" s="565">
        <v>45390</v>
      </c>
      <c r="I115" s="652">
        <v>45992</v>
      </c>
      <c r="J115" s="653">
        <v>7129.3122377622367</v>
      </c>
      <c r="K115" s="603">
        <v>0.5</v>
      </c>
      <c r="L115" s="568">
        <v>3565</v>
      </c>
      <c r="M115" s="654">
        <f>VLOOKUP(G:G,list!B:E,4,FALSE)</f>
        <v>0.1</v>
      </c>
      <c r="N115" s="655">
        <f t="shared" si="2"/>
        <v>357</v>
      </c>
      <c r="O115" s="655">
        <f t="shared" si="3"/>
        <v>3208</v>
      </c>
      <c r="P115" s="564"/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650">
        <v>114</v>
      </c>
      <c r="C116" s="651" t="str">
        <f>VLOOKUP(G:G,list!B:D,2,FALSE)</f>
        <v>원작료</v>
      </c>
      <c r="D116" s="564" t="s">
        <v>182</v>
      </c>
      <c r="E116" s="564" t="s">
        <v>115</v>
      </c>
      <c r="F116" s="564" t="s">
        <v>565</v>
      </c>
      <c r="G116" s="564" t="s">
        <v>56</v>
      </c>
      <c r="H116" s="565">
        <v>45391</v>
      </c>
      <c r="I116" s="652">
        <v>45931</v>
      </c>
      <c r="J116" s="653">
        <v>82294.351239669428</v>
      </c>
      <c r="K116" s="603">
        <v>0.5</v>
      </c>
      <c r="L116" s="568">
        <v>41147</v>
      </c>
      <c r="M116" s="654">
        <f>VLOOKUP(G:G,list!B:E,4,FALSE)</f>
        <v>0.1</v>
      </c>
      <c r="N116" s="655">
        <f t="shared" si="2"/>
        <v>4115</v>
      </c>
      <c r="O116" s="655">
        <f t="shared" si="3"/>
        <v>37032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563">
        <v>115</v>
      </c>
      <c r="C117" s="651" t="str">
        <f>VLOOKUP(G:G,list!B:D,2,FALSE)</f>
        <v>원작료</v>
      </c>
      <c r="D117" s="564" t="s">
        <v>182</v>
      </c>
      <c r="E117" s="564" t="s">
        <v>115</v>
      </c>
      <c r="F117" s="564" t="s">
        <v>565</v>
      </c>
      <c r="G117" s="564" t="s">
        <v>56</v>
      </c>
      <c r="H117" s="565">
        <v>45391</v>
      </c>
      <c r="I117" s="652">
        <v>45962</v>
      </c>
      <c r="J117" s="653">
        <v>69633.681818181823</v>
      </c>
      <c r="K117" s="603">
        <v>0.5</v>
      </c>
      <c r="L117" s="568">
        <v>34817</v>
      </c>
      <c r="M117" s="654">
        <f>VLOOKUP(G:G,list!B:E,4,FALSE)</f>
        <v>0.1</v>
      </c>
      <c r="N117" s="655">
        <f t="shared" si="2"/>
        <v>3482</v>
      </c>
      <c r="O117" s="655">
        <f t="shared" si="3"/>
        <v>31335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650">
        <v>116</v>
      </c>
      <c r="C118" s="651" t="str">
        <f>VLOOKUP(G:G,list!B:D,2,FALSE)</f>
        <v>원작료</v>
      </c>
      <c r="D118" s="564" t="s">
        <v>182</v>
      </c>
      <c r="E118" s="564" t="s">
        <v>115</v>
      </c>
      <c r="F118" s="564" t="s">
        <v>565</v>
      </c>
      <c r="G118" s="564" t="s">
        <v>56</v>
      </c>
      <c r="H118" s="565">
        <v>45391</v>
      </c>
      <c r="I118" s="652">
        <v>45992</v>
      </c>
      <c r="J118" s="653">
        <v>77863.116942148758</v>
      </c>
      <c r="K118" s="603">
        <v>0.5</v>
      </c>
      <c r="L118" s="568">
        <v>38932</v>
      </c>
      <c r="M118" s="654">
        <f>VLOOKUP(G:G,list!B:E,4,FALSE)</f>
        <v>0.1</v>
      </c>
      <c r="N118" s="655">
        <f t="shared" si="2"/>
        <v>3893</v>
      </c>
      <c r="O118" s="655">
        <f t="shared" si="3"/>
        <v>35039</v>
      </c>
      <c r="P118" s="564"/>
      <c r="Q118" s="672" t="str">
        <f>VLOOKUP(G:G,list!B:F,5,FALSE)</f>
        <v>웹소설본부</v>
      </c>
      <c r="R118" s="656" t="str">
        <f>VLOOKUP(G:G,list!B:D,3,FALSE)</f>
        <v>Y</v>
      </c>
    </row>
    <row r="119" spans="2:18" ht="11.25" customHeight="1">
      <c r="B119" s="52"/>
      <c r="C119" s="551"/>
      <c r="D119" s="551"/>
      <c r="E119" s="551"/>
      <c r="F119" s="551"/>
      <c r="G119" s="551"/>
      <c r="H119" s="622"/>
      <c r="I119" s="551"/>
      <c r="J119" s="435"/>
      <c r="K119" s="623"/>
      <c r="L119"/>
      <c r="M119" s="438"/>
      <c r="N119" s="439"/>
      <c r="O119" s="440"/>
      <c r="P119" s="633"/>
      <c r="Q119" s="438"/>
      <c r="R119" s="486"/>
    </row>
    <row r="120" spans="2:18" s="7" customFormat="1" ht="16.5" customHeight="1">
      <c r="B120" s="624" t="s">
        <v>387</v>
      </c>
      <c r="C120" s="625"/>
      <c r="D120" s="625"/>
      <c r="E120" s="626"/>
      <c r="F120" s="625"/>
      <c r="G120" s="625"/>
      <c r="H120" s="625"/>
      <c r="I120" s="311"/>
      <c r="J120" s="311"/>
      <c r="K120" s="311"/>
      <c r="M120" s="424"/>
      <c r="N120"/>
      <c r="O120" s="333"/>
      <c r="P120" s="631"/>
      <c r="Q120" s="424"/>
      <c r="R120" s="484"/>
    </row>
    <row r="121" spans="2:18" s="7" customFormat="1" ht="16.5" customHeight="1">
      <c r="B121" s="629" t="s">
        <v>299</v>
      </c>
      <c r="C121" s="625"/>
      <c r="D121" s="625"/>
      <c r="E121" s="626"/>
      <c r="F121" s="625"/>
      <c r="G121" s="625"/>
      <c r="H121" s="625"/>
      <c r="I121" s="311"/>
      <c r="K121" s="311"/>
      <c r="L121" s="311"/>
      <c r="M121" s="424"/>
      <c r="N121"/>
      <c r="O121" s="333"/>
      <c r="P121" s="631"/>
      <c r="Q121" s="424"/>
      <c r="R121" s="484"/>
    </row>
    <row r="122" spans="2:18" s="7" customFormat="1" ht="16.5" customHeight="1">
      <c r="B122" s="628" t="s">
        <v>302</v>
      </c>
      <c r="C122" s="627"/>
      <c r="D122" s="625"/>
      <c r="E122" s="626"/>
      <c r="F122" s="625"/>
      <c r="G122" s="625"/>
      <c r="H122" s="625"/>
      <c r="I122" s="311"/>
      <c r="J122" s="311"/>
      <c r="L122" s="311"/>
      <c r="M122" s="424"/>
      <c r="N122"/>
      <c r="O122" s="333"/>
      <c r="P122" s="631"/>
      <c r="Q122" s="424"/>
      <c r="R122" s="484"/>
    </row>
    <row r="123" spans="2:18" s="7" customFormat="1" ht="16.5" customHeight="1">
      <c r="B123" s="630" t="s">
        <v>303</v>
      </c>
      <c r="C123" s="627"/>
      <c r="D123" s="625"/>
      <c r="E123" s="626"/>
      <c r="F123" s="625"/>
      <c r="G123" s="625"/>
      <c r="H123" s="625"/>
      <c r="I123" s="311"/>
      <c r="J123" s="311"/>
      <c r="K123" s="311"/>
      <c r="L123" s="311"/>
      <c r="M123" s="424"/>
      <c r="N123"/>
      <c r="O123" s="333"/>
      <c r="P123" s="631"/>
      <c r="Q123" s="424"/>
      <c r="R123" s="484"/>
    </row>
    <row r="124" spans="2:18" ht="16.5" customHeight="1">
      <c r="B124" s="629" t="s">
        <v>340</v>
      </c>
      <c r="C124" s="625"/>
      <c r="D124" s="625"/>
      <c r="E124" s="626"/>
      <c r="F124" s="625"/>
      <c r="G124" s="625"/>
      <c r="H124" s="625"/>
      <c r="I124" s="311"/>
      <c r="J124" s="311"/>
      <c r="K124" s="311"/>
    </row>
    <row r="125" spans="2:18" ht="16.5" customHeight="1">
      <c r="B125" s="629" t="s">
        <v>512</v>
      </c>
      <c r="C125" s="625"/>
      <c r="D125" s="625"/>
      <c r="E125" s="626"/>
      <c r="F125" s="625"/>
      <c r="G125" s="625"/>
      <c r="H125" s="625"/>
      <c r="I125" s="311"/>
      <c r="J125" s="311"/>
      <c r="K125" s="311"/>
    </row>
    <row r="126" spans="2:18" ht="16.5" customHeight="1">
      <c r="B126" s="629" t="s">
        <v>522</v>
      </c>
      <c r="C126" s="625"/>
      <c r="D126" s="625"/>
      <c r="E126" s="626"/>
      <c r="F126" s="625"/>
      <c r="G126" s="625"/>
      <c r="H126" s="625"/>
      <c r="I126" s="311"/>
      <c r="J126" s="311"/>
      <c r="K126" s="311"/>
    </row>
    <row r="127" spans="2:18" ht="16.5" customHeight="1">
      <c r="B127" s="629" t="s">
        <v>520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521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8" s="311" customFormat="1" ht="16.5" customHeight="1">
      <c r="B129" s="629" t="s">
        <v>529</v>
      </c>
      <c r="C129" s="625"/>
      <c r="D129" s="625"/>
      <c r="E129" s="626"/>
      <c r="F129" s="625"/>
      <c r="G129" s="625"/>
      <c r="H129" s="625"/>
      <c r="M129" s="424"/>
      <c r="N129"/>
      <c r="O129" s="333"/>
      <c r="P129" s="631"/>
      <c r="Q129" s="424"/>
      <c r="R129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1696-E3E2-456D-9FE9-3F7AC441C169}">
  <dimension ref="B1:R12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6" sqref="F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626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627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22389483.480682001</v>
      </c>
      <c r="K4" s="52"/>
      <c r="L4" s="648">
        <f>SUBTOTAL(109,L6:L1048576)</f>
        <v>9092749</v>
      </c>
      <c r="M4" s="543"/>
      <c r="N4" s="649">
        <f>SUBTOTAL(109,N6:N1048576)</f>
        <v>834437</v>
      </c>
      <c r="O4" s="649">
        <f>SUBTOTAL(109,O6:O1048576)</f>
        <v>8258312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46054</v>
      </c>
      <c r="J6" s="653">
        <v>279106</v>
      </c>
      <c r="K6" s="567">
        <v>0.6</v>
      </c>
      <c r="L6" s="646">
        <v>167463</v>
      </c>
      <c r="M6" s="654" t="str">
        <f>VLOOKUP(G:G,list!B:E,4,FALSE)</f>
        <v>-</v>
      </c>
      <c r="N6" s="655">
        <f t="shared" ref="N6:N98" si="0">ROUND(IF(M6="-",0,L6*M6),0)</f>
        <v>0</v>
      </c>
      <c r="O6" s="655">
        <f t="shared" ref="O6:O98" si="1">L6-N6</f>
        <v>167463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46054</v>
      </c>
      <c r="J7" s="653">
        <v>101649.60000000001</v>
      </c>
      <c r="K7" s="600">
        <v>0.6</v>
      </c>
      <c r="L7" s="646">
        <v>60989</v>
      </c>
      <c r="M7" s="654" t="str">
        <f>VLOOKUP(G:G,list!B:E,4,FALSE)</f>
        <v>-</v>
      </c>
      <c r="N7" s="655">
        <f t="shared" si="0"/>
        <v>0</v>
      </c>
      <c r="O7" s="655">
        <f t="shared" si="1"/>
        <v>60989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46054</v>
      </c>
      <c r="J8" s="653">
        <v>217351</v>
      </c>
      <c r="K8" s="567">
        <v>0.6</v>
      </c>
      <c r="L8" s="646">
        <v>130411</v>
      </c>
      <c r="M8" s="654" t="str">
        <f>VLOOKUP(G:G,list!B:E,4,FALSE)</f>
        <v>-</v>
      </c>
      <c r="N8" s="655">
        <f t="shared" si="0"/>
        <v>0</v>
      </c>
      <c r="O8" s="655">
        <f t="shared" si="1"/>
        <v>130411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46054</v>
      </c>
      <c r="J9" s="653">
        <v>38802</v>
      </c>
      <c r="K9" s="606">
        <v>0.6</v>
      </c>
      <c r="L9" s="646">
        <v>23282</v>
      </c>
      <c r="M9" s="654">
        <f>VLOOKUP(G:G,list!B:E,4,FALSE)</f>
        <v>0.1</v>
      </c>
      <c r="N9" s="655">
        <f t="shared" si="0"/>
        <v>2328</v>
      </c>
      <c r="O9" s="655">
        <f t="shared" si="1"/>
        <v>20954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46054</v>
      </c>
      <c r="J10" s="653">
        <v>156339</v>
      </c>
      <c r="K10" s="600">
        <v>0.6</v>
      </c>
      <c r="L10" s="646">
        <v>93801</v>
      </c>
      <c r="M10" s="654">
        <f>VLOOKUP(G:G,list!B:E,4,FALSE)</f>
        <v>0.1</v>
      </c>
      <c r="N10" s="655">
        <f t="shared" si="0"/>
        <v>9380</v>
      </c>
      <c r="O10" s="655">
        <f t="shared" si="1"/>
        <v>84421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46054</v>
      </c>
      <c r="J11" s="653">
        <v>-14</v>
      </c>
      <c r="K11" s="603">
        <v>0.6</v>
      </c>
      <c r="L11" s="646">
        <v>-8</v>
      </c>
      <c r="M11" s="654" t="str">
        <f>VLOOKUP(G:G,list!B:E,4,FALSE)</f>
        <v>-</v>
      </c>
      <c r="N11" s="655">
        <f t="shared" si="0"/>
        <v>0</v>
      </c>
      <c r="O11" s="655">
        <f t="shared" si="1"/>
        <v>-8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46054</v>
      </c>
      <c r="J12" s="653">
        <v>232496</v>
      </c>
      <c r="K12" s="603">
        <v>0.6</v>
      </c>
      <c r="L12" s="646">
        <v>139497</v>
      </c>
      <c r="M12" s="654">
        <f>VLOOKUP(G:G,list!B:E,4,FALSE)</f>
        <v>0.1</v>
      </c>
      <c r="N12" s="655">
        <f t="shared" si="0"/>
        <v>13950</v>
      </c>
      <c r="O12" s="655">
        <f t="shared" si="1"/>
        <v>125547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46054</v>
      </c>
      <c r="J13" s="653">
        <v>27456.6</v>
      </c>
      <c r="K13" s="600">
        <v>0.6</v>
      </c>
      <c r="L13" s="646">
        <v>16474</v>
      </c>
      <c r="M13" s="654">
        <f>VLOOKUP(G:G,list!B:E,4,FALSE)</f>
        <v>0.1</v>
      </c>
      <c r="N13" s="655">
        <f t="shared" si="0"/>
        <v>1647</v>
      </c>
      <c r="O13" s="655">
        <f t="shared" si="1"/>
        <v>14827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46054</v>
      </c>
      <c r="J14" s="653">
        <v>79102.5</v>
      </c>
      <c r="K14" s="606">
        <v>0.6</v>
      </c>
      <c r="L14" s="646">
        <v>47461</v>
      </c>
      <c r="M14" s="654">
        <f>VLOOKUP(G:G,list!B:E,4,FALSE)</f>
        <v>0.11</v>
      </c>
      <c r="N14" s="655">
        <f t="shared" si="0"/>
        <v>5221</v>
      </c>
      <c r="O14" s="655">
        <f t="shared" si="1"/>
        <v>42240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46054</v>
      </c>
      <c r="J15" s="653">
        <v>364877.2</v>
      </c>
      <c r="K15" s="567">
        <v>0.6</v>
      </c>
      <c r="L15" s="646">
        <v>218926</v>
      </c>
      <c r="M15" s="654">
        <f>VLOOKUP(G:G,list!B:E,4,FALSE)</f>
        <v>0.1</v>
      </c>
      <c r="N15" s="655">
        <f t="shared" si="0"/>
        <v>21893</v>
      </c>
      <c r="O15" s="655">
        <f t="shared" si="1"/>
        <v>197033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46054</v>
      </c>
      <c r="J16" s="653">
        <v>53065</v>
      </c>
      <c r="K16" s="567">
        <v>0.6</v>
      </c>
      <c r="L16" s="646">
        <v>31839</v>
      </c>
      <c r="M16" s="654">
        <f>VLOOKUP(G:G,list!B:E,4,FALSE)</f>
        <v>0.1</v>
      </c>
      <c r="N16" s="655">
        <f t="shared" si="0"/>
        <v>3184</v>
      </c>
      <c r="O16" s="655">
        <f t="shared" si="1"/>
        <v>28655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46054</v>
      </c>
      <c r="J17" s="653">
        <v>12432</v>
      </c>
      <c r="K17" s="600">
        <v>0.7</v>
      </c>
      <c r="L17" s="646">
        <v>8702</v>
      </c>
      <c r="M17" s="654" t="str">
        <f>VLOOKUP(G:G,list!B:E,4,FALSE)</f>
        <v>-</v>
      </c>
      <c r="N17" s="655">
        <f t="shared" si="0"/>
        <v>0</v>
      </c>
      <c r="O17" s="655">
        <f t="shared" si="1"/>
        <v>8702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46054</v>
      </c>
      <c r="J18" s="653">
        <v>2593911.7000000002</v>
      </c>
      <c r="K18" s="603">
        <v>0.6</v>
      </c>
      <c r="L18" s="646">
        <v>1556347</v>
      </c>
      <c r="M18" s="654">
        <f>VLOOKUP(G:G,list!B:E,4,FALSE)</f>
        <v>0.1</v>
      </c>
      <c r="N18" s="655">
        <f t="shared" si="0"/>
        <v>155635</v>
      </c>
      <c r="O18" s="655">
        <f t="shared" si="1"/>
        <v>1400712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46054</v>
      </c>
      <c r="J19" s="653">
        <v>127678</v>
      </c>
      <c r="K19" s="603">
        <v>0.7</v>
      </c>
      <c r="L19" s="646">
        <v>89375</v>
      </c>
      <c r="M19" s="654">
        <f>VLOOKUP(G:G,list!B:E,4,FALSE)</f>
        <v>0.1</v>
      </c>
      <c r="N19" s="655">
        <f t="shared" si="0"/>
        <v>8938</v>
      </c>
      <c r="O19" s="655">
        <f t="shared" si="1"/>
        <v>80437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46054</v>
      </c>
      <c r="J20" s="653">
        <v>17532.900000000001</v>
      </c>
      <c r="K20" s="603">
        <v>0.6</v>
      </c>
      <c r="L20" s="646">
        <v>10520</v>
      </c>
      <c r="M20" s="654">
        <f>VLOOKUP(G:G,list!B:E,4,FALSE)</f>
        <v>0.1</v>
      </c>
      <c r="N20" s="655">
        <f t="shared" si="0"/>
        <v>1052</v>
      </c>
      <c r="O20" s="655">
        <f t="shared" si="1"/>
        <v>9468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46054</v>
      </c>
      <c r="J21" s="653">
        <v>4564</v>
      </c>
      <c r="K21" s="567">
        <v>0.6</v>
      </c>
      <c r="L21" s="646">
        <v>3195</v>
      </c>
      <c r="M21" s="654" t="str">
        <f>VLOOKUP(G:G,list!B:E,4,FALSE)</f>
        <v>-</v>
      </c>
      <c r="N21" s="655">
        <f t="shared" si="0"/>
        <v>0</v>
      </c>
      <c r="O21" s="655">
        <f t="shared" si="1"/>
        <v>3195</v>
      </c>
      <c r="P21" s="564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46054</v>
      </c>
      <c r="J22" s="653">
        <v>22268</v>
      </c>
      <c r="K22" s="567">
        <v>0.6</v>
      </c>
      <c r="L22" s="646">
        <v>13361</v>
      </c>
      <c r="M22" s="654">
        <f>VLOOKUP(G:G,list!B:E,4,FALSE)</f>
        <v>0.1</v>
      </c>
      <c r="N22" s="655">
        <f t="shared" si="0"/>
        <v>1336</v>
      </c>
      <c r="O22" s="655">
        <f t="shared" si="1"/>
        <v>12025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46054</v>
      </c>
      <c r="J23" s="653">
        <v>360</v>
      </c>
      <c r="K23" s="567">
        <v>0.6</v>
      </c>
      <c r="L23" s="646">
        <v>216</v>
      </c>
      <c r="M23" s="654" t="str">
        <f>VLOOKUP(G:G,list!B:E,4,FALSE)</f>
        <v>-</v>
      </c>
      <c r="N23" s="655">
        <f t="shared" si="0"/>
        <v>0</v>
      </c>
      <c r="O23" s="655">
        <f t="shared" si="1"/>
        <v>216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46054</v>
      </c>
      <c r="J24" s="653">
        <v>71045.600000000006</v>
      </c>
      <c r="K24" s="603">
        <v>0.6</v>
      </c>
      <c r="L24" s="646">
        <v>42628</v>
      </c>
      <c r="M24" s="654">
        <f>VLOOKUP(G:G,list!B:E,4,FALSE)</f>
        <v>0.1</v>
      </c>
      <c r="N24" s="655">
        <f t="shared" si="0"/>
        <v>4263</v>
      </c>
      <c r="O24" s="655">
        <f t="shared" si="1"/>
        <v>38365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46054</v>
      </c>
      <c r="J25" s="653">
        <v>7128</v>
      </c>
      <c r="K25" s="603">
        <v>0.6</v>
      </c>
      <c r="L25" s="646">
        <v>4277</v>
      </c>
      <c r="M25" s="654">
        <f>VLOOKUP(G:G,list!B:E,4,FALSE)</f>
        <v>0.1</v>
      </c>
      <c r="N25" s="655">
        <f t="shared" si="0"/>
        <v>428</v>
      </c>
      <c r="O25" s="655">
        <f t="shared" si="1"/>
        <v>3849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46054</v>
      </c>
      <c r="J26" s="653">
        <v>4302</v>
      </c>
      <c r="K26" s="567">
        <v>0.6</v>
      </c>
      <c r="L26" s="646">
        <v>2582</v>
      </c>
      <c r="M26" s="654">
        <f>VLOOKUP(G:G,list!B:E,4,FALSE)</f>
        <v>0.1</v>
      </c>
      <c r="N26" s="655">
        <f t="shared" si="0"/>
        <v>258</v>
      </c>
      <c r="O26" s="655">
        <f t="shared" si="1"/>
        <v>2324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46054</v>
      </c>
      <c r="J27" s="653">
        <v>10961</v>
      </c>
      <c r="K27" s="567">
        <v>0.6</v>
      </c>
      <c r="L27" s="646">
        <v>6577</v>
      </c>
      <c r="M27" s="654">
        <f>VLOOKUP(G:G,list!B:E,4,FALSE)</f>
        <v>0.1</v>
      </c>
      <c r="N27" s="655">
        <f t="shared" si="0"/>
        <v>658</v>
      </c>
      <c r="O27" s="655">
        <f t="shared" si="1"/>
        <v>5919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46054</v>
      </c>
      <c r="J28" s="653">
        <v>13956</v>
      </c>
      <c r="K28" s="567">
        <v>0.6</v>
      </c>
      <c r="L28" s="646">
        <v>8373</v>
      </c>
      <c r="M28" s="654" t="str">
        <f>VLOOKUP(G:G,list!B:E,4,FALSE)</f>
        <v>-</v>
      </c>
      <c r="N28" s="655">
        <f t="shared" si="0"/>
        <v>0</v>
      </c>
      <c r="O28" s="655">
        <f t="shared" si="1"/>
        <v>8373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46054</v>
      </c>
      <c r="J29" s="653">
        <v>45501</v>
      </c>
      <c r="K29" s="567">
        <v>0.6</v>
      </c>
      <c r="L29" s="646">
        <v>27301</v>
      </c>
      <c r="M29" s="654">
        <f>VLOOKUP(G:G,list!B:E,4,FALSE)</f>
        <v>0.11</v>
      </c>
      <c r="N29" s="655">
        <f t="shared" si="0"/>
        <v>3003</v>
      </c>
      <c r="O29" s="655">
        <f t="shared" si="1"/>
        <v>24298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46054</v>
      </c>
      <c r="J30" s="653">
        <v>-403</v>
      </c>
      <c r="K30" s="567">
        <v>0.6</v>
      </c>
      <c r="L30" s="646">
        <v>-242</v>
      </c>
      <c r="M30" s="654" t="str">
        <f>VLOOKUP(G:G,list!B:E,4,FALSE)</f>
        <v>-</v>
      </c>
      <c r="N30" s="655">
        <f t="shared" si="0"/>
        <v>0</v>
      </c>
      <c r="O30" s="655">
        <f t="shared" si="1"/>
        <v>-242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46054</v>
      </c>
      <c r="J31" s="653">
        <v>48945.9</v>
      </c>
      <c r="K31" s="567">
        <v>0.6</v>
      </c>
      <c r="L31" s="646">
        <v>29367</v>
      </c>
      <c r="M31" s="654" t="str">
        <f>VLOOKUP(G:G,list!B:E,4,FALSE)</f>
        <v>-</v>
      </c>
      <c r="N31" s="655">
        <f t="shared" si="0"/>
        <v>0</v>
      </c>
      <c r="O31" s="655">
        <f t="shared" si="1"/>
        <v>29367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46054</v>
      </c>
      <c r="J32" s="653">
        <v>783038.2</v>
      </c>
      <c r="K32" s="567">
        <v>0.6</v>
      </c>
      <c r="L32" s="646">
        <v>469823</v>
      </c>
      <c r="M32" s="654">
        <f>VLOOKUP(G:G,list!B:E,4,FALSE)</f>
        <v>0.1</v>
      </c>
      <c r="N32" s="655">
        <f t="shared" si="0"/>
        <v>46982</v>
      </c>
      <c r="O32" s="655">
        <f t="shared" si="1"/>
        <v>422841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46023</v>
      </c>
      <c r="J33" s="653">
        <v>9072</v>
      </c>
      <c r="K33" s="674">
        <v>0.224</v>
      </c>
      <c r="L33" s="646">
        <v>1836</v>
      </c>
      <c r="M33" s="654">
        <f>VLOOKUP(G:G,list!B:E,4,FALSE)</f>
        <v>0.1</v>
      </c>
      <c r="N33" s="655">
        <f t="shared" si="0"/>
        <v>184</v>
      </c>
      <c r="O33" s="655">
        <f t="shared" si="1"/>
        <v>1652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46023</v>
      </c>
      <c r="J34" s="653">
        <v>730297</v>
      </c>
      <c r="K34" s="674">
        <v>0.224</v>
      </c>
      <c r="L34" s="646">
        <v>147236</v>
      </c>
      <c r="M34" s="654">
        <f>VLOOKUP(G:G,list!B:E,4,FALSE)</f>
        <v>0.1</v>
      </c>
      <c r="N34" s="655">
        <f t="shared" si="0"/>
        <v>14724</v>
      </c>
      <c r="O34" s="655">
        <f t="shared" si="1"/>
        <v>132512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46023</v>
      </c>
      <c r="J35" s="653">
        <v>0</v>
      </c>
      <c r="K35" s="674">
        <v>0.224</v>
      </c>
      <c r="L35" s="646">
        <v>0</v>
      </c>
      <c r="M35" s="654" t="str">
        <f>VLOOKUP(G:G,list!B:E,4,FALSE)</f>
        <v>-</v>
      </c>
      <c r="N35" s="655">
        <f t="shared" si="0"/>
        <v>0</v>
      </c>
      <c r="O35" s="655">
        <f t="shared" si="1"/>
        <v>0</v>
      </c>
      <c r="P35" s="564" t="s">
        <v>366</v>
      </c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46023</v>
      </c>
      <c r="J36" s="653">
        <v>237006</v>
      </c>
      <c r="K36" s="674">
        <v>0.224</v>
      </c>
      <c r="L36" s="646">
        <v>47781</v>
      </c>
      <c r="M36" s="654">
        <f>VLOOKUP(G:G,list!B:E,4,FALSE)</f>
        <v>0.1</v>
      </c>
      <c r="N36" s="655">
        <f t="shared" si="0"/>
        <v>4778</v>
      </c>
      <c r="O36" s="655">
        <f t="shared" si="1"/>
        <v>43003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46023</v>
      </c>
      <c r="J37" s="653">
        <v>270459</v>
      </c>
      <c r="K37" s="674">
        <v>0.224</v>
      </c>
      <c r="L37" s="646">
        <v>54531</v>
      </c>
      <c r="M37" s="654">
        <f>VLOOKUP(G:G,list!B:E,4,FALSE)</f>
        <v>0.11</v>
      </c>
      <c r="N37" s="655">
        <f t="shared" si="0"/>
        <v>5998</v>
      </c>
      <c r="O37" s="655">
        <f t="shared" si="1"/>
        <v>48533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46023</v>
      </c>
      <c r="J38" s="653">
        <v>243810</v>
      </c>
      <c r="K38" s="674">
        <v>0.224</v>
      </c>
      <c r="L38" s="646">
        <v>49157</v>
      </c>
      <c r="M38" s="654">
        <f>VLOOKUP(G:G,list!B:E,4,FALSE)</f>
        <v>0.1</v>
      </c>
      <c r="N38" s="655">
        <f t="shared" si="0"/>
        <v>4916</v>
      </c>
      <c r="O38" s="655">
        <f t="shared" si="1"/>
        <v>44241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46023</v>
      </c>
      <c r="J39" s="653">
        <v>229635</v>
      </c>
      <c r="K39" s="674">
        <v>0.224</v>
      </c>
      <c r="L39" s="646">
        <v>46298</v>
      </c>
      <c r="M39" s="654" t="str">
        <f>VLOOKUP(G:G,list!B:E,4,FALSE)</f>
        <v>-</v>
      </c>
      <c r="N39" s="655">
        <f t="shared" si="0"/>
        <v>0</v>
      </c>
      <c r="O39" s="655">
        <f t="shared" si="1"/>
        <v>46298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46023</v>
      </c>
      <c r="J40" s="653">
        <v>2963714</v>
      </c>
      <c r="K40" s="674">
        <v>0.224</v>
      </c>
      <c r="L40" s="646">
        <v>597486</v>
      </c>
      <c r="M40" s="654">
        <f>VLOOKUP(G:G,list!B:E,4,FALSE)</f>
        <v>0.1</v>
      </c>
      <c r="N40" s="655">
        <f t="shared" si="0"/>
        <v>59749</v>
      </c>
      <c r="O40" s="655">
        <f t="shared" si="1"/>
        <v>537737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46023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46023</v>
      </c>
      <c r="J42" s="653">
        <v>79380</v>
      </c>
      <c r="K42" s="674">
        <v>0.224</v>
      </c>
      <c r="L42" s="646">
        <v>16005</v>
      </c>
      <c r="M42" s="654">
        <f>VLOOKUP(G:G,list!B:E,4,FALSE)</f>
        <v>0.1</v>
      </c>
      <c r="N42" s="655">
        <f t="shared" si="0"/>
        <v>1601</v>
      </c>
      <c r="O42" s="655">
        <f t="shared" si="1"/>
        <v>14404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46023</v>
      </c>
      <c r="J43" s="653">
        <v>1488944</v>
      </c>
      <c r="K43" s="674">
        <v>0.224</v>
      </c>
      <c r="L43" s="646">
        <v>300172</v>
      </c>
      <c r="M43" s="654">
        <f>VLOOKUP(G:G,list!B:E,4,FALSE)</f>
        <v>0.1</v>
      </c>
      <c r="N43" s="655">
        <f t="shared" si="0"/>
        <v>30017</v>
      </c>
      <c r="O43" s="655">
        <f t="shared" si="1"/>
        <v>270155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46023</v>
      </c>
      <c r="J44" s="653">
        <v>395766</v>
      </c>
      <c r="K44" s="674">
        <v>0.224</v>
      </c>
      <c r="L44" s="646">
        <v>79793</v>
      </c>
      <c r="M44" s="654" t="str">
        <f>VLOOKUP(G:G,list!B:E,4,FALSE)</f>
        <v>-</v>
      </c>
      <c r="N44" s="655">
        <f t="shared" si="0"/>
        <v>0</v>
      </c>
      <c r="O44" s="655">
        <f t="shared" si="1"/>
        <v>79793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32</v>
      </c>
      <c r="E45" s="564" t="s">
        <v>62</v>
      </c>
      <c r="F45" s="564" t="s">
        <v>126</v>
      </c>
      <c r="G45" s="564" t="s">
        <v>364</v>
      </c>
      <c r="H45" s="565">
        <v>45901</v>
      </c>
      <c r="I45" s="652">
        <v>46054</v>
      </c>
      <c r="J45" s="653">
        <v>0</v>
      </c>
      <c r="K45" s="674">
        <v>0.35</v>
      </c>
      <c r="L45" s="646">
        <v>0</v>
      </c>
      <c r="M45" s="654">
        <f>VLOOKUP(G:G,list!B:E,4,FALSE)</f>
        <v>0.1</v>
      </c>
      <c r="N45" s="655">
        <f t="shared" si="0"/>
        <v>0</v>
      </c>
      <c r="O45" s="655">
        <f t="shared" si="1"/>
        <v>0</v>
      </c>
      <c r="P45" s="564" t="s">
        <v>366</v>
      </c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46054</v>
      </c>
      <c r="J46" s="653">
        <v>50940</v>
      </c>
      <c r="K46" s="600" t="s">
        <v>532</v>
      </c>
      <c r="L46" s="646">
        <v>18207</v>
      </c>
      <c r="M46" s="654" t="str">
        <f>VLOOKUP(G:G,list!B:E,4,FALSE)</f>
        <v>-</v>
      </c>
      <c r="N46" s="655">
        <f t="shared" si="0"/>
        <v>0</v>
      </c>
      <c r="O46" s="655">
        <f t="shared" si="1"/>
        <v>18207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46054</v>
      </c>
      <c r="J47" s="653">
        <v>1620</v>
      </c>
      <c r="K47" s="600" t="s">
        <v>532</v>
      </c>
      <c r="L47" s="646">
        <v>567</v>
      </c>
      <c r="M47" s="654" t="str">
        <f>VLOOKUP(G:G,list!B:E,4,FALSE)</f>
        <v>-</v>
      </c>
      <c r="N47" s="655">
        <f t="shared" si="0"/>
        <v>0</v>
      </c>
      <c r="O47" s="655">
        <f t="shared" si="1"/>
        <v>567</v>
      </c>
      <c r="P47" s="564"/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52">
        <v>46023</v>
      </c>
      <c r="J48" s="653">
        <v>119514</v>
      </c>
      <c r="K48" s="600">
        <v>0.5</v>
      </c>
      <c r="L48" s="646">
        <v>59757</v>
      </c>
      <c r="M48" s="654" t="str">
        <f>VLOOKUP(G:G,list!B:E,4,FALSE)</f>
        <v>-</v>
      </c>
      <c r="N48" s="655">
        <f t="shared" si="0"/>
        <v>0</v>
      </c>
      <c r="O48" s="655">
        <f t="shared" si="1"/>
        <v>59757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52">
        <v>46023</v>
      </c>
      <c r="J49" s="653">
        <v>18453</v>
      </c>
      <c r="K49" s="600">
        <v>0.5</v>
      </c>
      <c r="L49" s="646">
        <v>9227</v>
      </c>
      <c r="M49" s="654" t="str">
        <f>VLOOKUP(G:G,list!B:E,4,FALSE)</f>
        <v>-</v>
      </c>
      <c r="N49" s="655">
        <f t="shared" si="0"/>
        <v>0</v>
      </c>
      <c r="O49" s="655">
        <f t="shared" si="1"/>
        <v>9227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46054</v>
      </c>
      <c r="J50" s="653">
        <v>80975</v>
      </c>
      <c r="K50" s="567">
        <v>0.4</v>
      </c>
      <c r="L50" s="646">
        <v>32390</v>
      </c>
      <c r="M50" s="654">
        <f>VLOOKUP(G:G,list!B:E,4,FALSE)</f>
        <v>0.1</v>
      </c>
      <c r="N50" s="655">
        <f t="shared" si="0"/>
        <v>3239</v>
      </c>
      <c r="O50" s="655">
        <f t="shared" si="1"/>
        <v>29151</v>
      </c>
      <c r="P50" s="564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46054</v>
      </c>
      <c r="J51" s="653">
        <v>120140</v>
      </c>
      <c r="K51" s="600">
        <v>0.4</v>
      </c>
      <c r="L51" s="646">
        <v>48056</v>
      </c>
      <c r="M51" s="654" t="str">
        <f>VLOOKUP(G:G,list!B:E,4,FALSE)</f>
        <v>-</v>
      </c>
      <c r="N51" s="655">
        <f t="shared" si="0"/>
        <v>0</v>
      </c>
      <c r="O51" s="655">
        <f t="shared" si="1"/>
        <v>48056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46054</v>
      </c>
      <c r="J52" s="653">
        <v>0</v>
      </c>
      <c r="K52" s="600">
        <v>0.4</v>
      </c>
      <c r="L52" s="646">
        <v>0</v>
      </c>
      <c r="M52" s="654" t="str">
        <f>VLOOKUP(G:G,list!B:E,4,FALSE)</f>
        <v>-</v>
      </c>
      <c r="N52" s="655">
        <f t="shared" si="0"/>
        <v>0</v>
      </c>
      <c r="O52" s="655">
        <f t="shared" si="1"/>
        <v>0</v>
      </c>
      <c r="P52" s="564" t="s">
        <v>366</v>
      </c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46054</v>
      </c>
      <c r="J53" s="653">
        <v>38358</v>
      </c>
      <c r="K53" s="600">
        <v>0.4</v>
      </c>
      <c r="L53" s="646">
        <v>15343</v>
      </c>
      <c r="M53" s="654" t="str">
        <f>VLOOKUP(G:G,list!B:E,4,FALSE)</f>
        <v>-</v>
      </c>
      <c r="N53" s="655">
        <f t="shared" si="0"/>
        <v>0</v>
      </c>
      <c r="O53" s="655">
        <f t="shared" si="1"/>
        <v>15343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46054</v>
      </c>
      <c r="J54" s="653">
        <v>40275</v>
      </c>
      <c r="K54" s="600">
        <v>0.4</v>
      </c>
      <c r="L54" s="646">
        <v>16110</v>
      </c>
      <c r="M54" s="654" t="str">
        <f>VLOOKUP(G:G,list!B:E,4,FALSE)</f>
        <v>-</v>
      </c>
      <c r="N54" s="655">
        <f t="shared" si="0"/>
        <v>0</v>
      </c>
      <c r="O54" s="655">
        <f t="shared" si="1"/>
        <v>16110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46054</v>
      </c>
      <c r="J55" s="653">
        <v>1150</v>
      </c>
      <c r="K55" s="600">
        <v>0.4</v>
      </c>
      <c r="L55" s="646">
        <v>460</v>
      </c>
      <c r="M55" s="654">
        <f>VLOOKUP(G:G,list!B:E,4,FALSE)</f>
        <v>0.1</v>
      </c>
      <c r="N55" s="655">
        <f t="shared" si="0"/>
        <v>46</v>
      </c>
      <c r="O55" s="655">
        <f t="shared" si="1"/>
        <v>414</v>
      </c>
      <c r="P55" s="564"/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46054</v>
      </c>
      <c r="J56" s="653">
        <v>0</v>
      </c>
      <c r="K56" s="603">
        <v>0.5</v>
      </c>
      <c r="L56" s="646">
        <v>0</v>
      </c>
      <c r="M56" s="654" t="str">
        <f>VLOOKUP(G:G,list!B:E,4,FALSE)</f>
        <v>-</v>
      </c>
      <c r="N56" s="655">
        <f t="shared" si="0"/>
        <v>0</v>
      </c>
      <c r="O56" s="655">
        <f t="shared" si="1"/>
        <v>0</v>
      </c>
      <c r="P56" s="564" t="s">
        <v>366</v>
      </c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46054</v>
      </c>
      <c r="J57" s="653">
        <v>50274</v>
      </c>
      <c r="K57" s="603">
        <v>0.5</v>
      </c>
      <c r="L57" s="646">
        <v>25137</v>
      </c>
      <c r="M57" s="654" t="str">
        <f>VLOOKUP(G:G,list!B:E,4,FALSE)</f>
        <v>-</v>
      </c>
      <c r="N57" s="655">
        <f t="shared" si="0"/>
        <v>0</v>
      </c>
      <c r="O57" s="655">
        <f t="shared" si="1"/>
        <v>25137</v>
      </c>
      <c r="P57" s="564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46023</v>
      </c>
      <c r="J58" s="653">
        <v>41227</v>
      </c>
      <c r="K58" s="603">
        <v>0.3</v>
      </c>
      <c r="L58" s="646">
        <v>12368</v>
      </c>
      <c r="M58" s="654" t="str">
        <f>VLOOKUP(G:G,list!B:E,4,FALSE)</f>
        <v>-</v>
      </c>
      <c r="N58" s="655">
        <f t="shared" si="0"/>
        <v>0</v>
      </c>
      <c r="O58" s="655">
        <f t="shared" si="1"/>
        <v>12368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46023</v>
      </c>
      <c r="J59" s="653">
        <v>19904</v>
      </c>
      <c r="K59" s="603">
        <v>0.5</v>
      </c>
      <c r="L59" s="646">
        <v>9952</v>
      </c>
      <c r="M59" s="654">
        <f>VLOOKUP(G:G,list!B:E,4,FALSE)</f>
        <v>0.1</v>
      </c>
      <c r="N59" s="655">
        <f t="shared" si="0"/>
        <v>995</v>
      </c>
      <c r="O59" s="655">
        <f t="shared" si="1"/>
        <v>8957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46023</v>
      </c>
      <c r="J60" s="653">
        <v>15316</v>
      </c>
      <c r="K60" s="603">
        <v>0.5</v>
      </c>
      <c r="L60" s="646">
        <v>7658</v>
      </c>
      <c r="M60" s="654" t="str">
        <f>VLOOKUP(G:G,list!B:E,4,FALSE)</f>
        <v>-</v>
      </c>
      <c r="N60" s="655">
        <f t="shared" si="0"/>
        <v>0</v>
      </c>
      <c r="O60" s="655">
        <f t="shared" si="1"/>
        <v>7658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46023</v>
      </c>
      <c r="J61" s="653">
        <v>43048</v>
      </c>
      <c r="K61" s="603">
        <v>0.5</v>
      </c>
      <c r="L61" s="646">
        <v>21524</v>
      </c>
      <c r="M61" s="654">
        <f>VLOOKUP(G:G,list!B:E,4,FALSE)</f>
        <v>0.1</v>
      </c>
      <c r="N61" s="655">
        <f t="shared" si="0"/>
        <v>2152</v>
      </c>
      <c r="O61" s="655">
        <f t="shared" si="1"/>
        <v>19372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46023</v>
      </c>
      <c r="J62" s="653">
        <v>20318</v>
      </c>
      <c r="K62" s="603">
        <v>0.5</v>
      </c>
      <c r="L62" s="646">
        <v>10159</v>
      </c>
      <c r="M62" s="654">
        <f>VLOOKUP(G:G,list!B:E,4,FALSE)</f>
        <v>0.11</v>
      </c>
      <c r="N62" s="655">
        <f t="shared" si="0"/>
        <v>1117</v>
      </c>
      <c r="O62" s="655">
        <f t="shared" si="1"/>
        <v>9042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46023</v>
      </c>
      <c r="J63" s="653">
        <v>392448</v>
      </c>
      <c r="K63" s="603">
        <v>0.7</v>
      </c>
      <c r="L63" s="646">
        <v>274949</v>
      </c>
      <c r="M63" s="654">
        <f>VLOOKUP(G:G,list!B:E,4,FALSE)</f>
        <v>0.1</v>
      </c>
      <c r="N63" s="655">
        <f t="shared" si="0"/>
        <v>27495</v>
      </c>
      <c r="O63" s="655">
        <f t="shared" si="1"/>
        <v>247454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46023</v>
      </c>
      <c r="J64" s="653">
        <v>342408.28068199998</v>
      </c>
      <c r="K64" s="603">
        <v>0.35</v>
      </c>
      <c r="L64" s="646">
        <v>119843</v>
      </c>
      <c r="M64" s="654">
        <f>VLOOKUP(G:G,list!B:E,4,FALSE)</f>
        <v>0.1</v>
      </c>
      <c r="N64" s="655">
        <f t="shared" si="0"/>
        <v>11984</v>
      </c>
      <c r="O64" s="655">
        <f t="shared" si="1"/>
        <v>107859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538</v>
      </c>
      <c r="E65" s="564" t="s">
        <v>9</v>
      </c>
      <c r="F65" s="564" t="s">
        <v>519</v>
      </c>
      <c r="G65" s="564" t="s">
        <v>316</v>
      </c>
      <c r="H65" s="565">
        <v>45446</v>
      </c>
      <c r="I65" s="652">
        <v>46054</v>
      </c>
      <c r="J65" s="653">
        <v>0</v>
      </c>
      <c r="K65" s="603">
        <v>0.7</v>
      </c>
      <c r="L65" s="646">
        <v>0</v>
      </c>
      <c r="M65" s="654">
        <f>VLOOKUP(G:G,list!B:E,4,FALSE)</f>
        <v>0.1</v>
      </c>
      <c r="N65" s="655">
        <f t="shared" si="0"/>
        <v>0</v>
      </c>
      <c r="O65" s="655">
        <f t="shared" si="1"/>
        <v>0</v>
      </c>
      <c r="P65" s="564" t="s">
        <v>366</v>
      </c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549</v>
      </c>
      <c r="E66" s="564" t="s">
        <v>9</v>
      </c>
      <c r="F66" s="564" t="s">
        <v>519</v>
      </c>
      <c r="G66" s="564" t="s">
        <v>316</v>
      </c>
      <c r="H66" s="565">
        <v>45524</v>
      </c>
      <c r="I66" s="652">
        <v>46054</v>
      </c>
      <c r="J66" s="653">
        <v>0</v>
      </c>
      <c r="K66" s="603">
        <v>0.7</v>
      </c>
      <c r="L66" s="646">
        <v>0</v>
      </c>
      <c r="M66" s="654">
        <f>VLOOKUP(G:G,list!B:E,4,FALSE)</f>
        <v>0.1</v>
      </c>
      <c r="N66" s="655">
        <f t="shared" si="0"/>
        <v>0</v>
      </c>
      <c r="O66" s="655">
        <f t="shared" si="1"/>
        <v>0</v>
      </c>
      <c r="P66" s="564" t="s">
        <v>366</v>
      </c>
      <c r="Q66" s="672" t="str">
        <f>VLOOKUP(G:G,list!B:F,5,FALSE)</f>
        <v>웹소설본부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123</v>
      </c>
      <c r="E67" s="564" t="s">
        <v>9</v>
      </c>
      <c r="F67" s="564" t="s">
        <v>519</v>
      </c>
      <c r="G67" s="564" t="s">
        <v>316</v>
      </c>
      <c r="H67" s="565">
        <v>45536</v>
      </c>
      <c r="I67" s="652">
        <v>46054</v>
      </c>
      <c r="J67" s="653">
        <v>1995.0000000000002</v>
      </c>
      <c r="K67" s="603">
        <v>0.7</v>
      </c>
      <c r="L67" s="646">
        <v>1396.5</v>
      </c>
      <c r="M67" s="654">
        <f>VLOOKUP(G:G,list!B:E,4,FALSE)</f>
        <v>0.1</v>
      </c>
      <c r="N67" s="655">
        <f t="shared" si="0"/>
        <v>140</v>
      </c>
      <c r="O67" s="655">
        <f t="shared" si="1"/>
        <v>1256.5</v>
      </c>
      <c r="P67" s="564"/>
      <c r="Q67" s="672" t="str">
        <f>VLOOKUP(G:G,list!B:F,5,FALSE)</f>
        <v>웹소설본부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132</v>
      </c>
      <c r="E68" s="564" t="s">
        <v>9</v>
      </c>
      <c r="F68" s="564" t="s">
        <v>519</v>
      </c>
      <c r="G68" s="564" t="s">
        <v>316</v>
      </c>
      <c r="H68" s="565">
        <v>44945</v>
      </c>
      <c r="I68" s="652">
        <v>46054</v>
      </c>
      <c r="J68" s="653">
        <v>0</v>
      </c>
      <c r="K68" s="603">
        <v>0.5</v>
      </c>
      <c r="L68" s="646">
        <v>0</v>
      </c>
      <c r="M68" s="654">
        <f>VLOOKUP(G:G,list!B:E,4,FALSE)</f>
        <v>0.1</v>
      </c>
      <c r="N68" s="655">
        <f t="shared" si="0"/>
        <v>0</v>
      </c>
      <c r="O68" s="655">
        <f t="shared" si="1"/>
        <v>0</v>
      </c>
      <c r="P68" s="564" t="s">
        <v>366</v>
      </c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183</v>
      </c>
      <c r="E69" s="564" t="s">
        <v>9</v>
      </c>
      <c r="F69" s="564" t="s">
        <v>519</v>
      </c>
      <c r="G69" s="564" t="s">
        <v>316</v>
      </c>
      <c r="H69" s="565">
        <v>45702</v>
      </c>
      <c r="I69" s="652">
        <v>46054</v>
      </c>
      <c r="J69" s="653">
        <v>0</v>
      </c>
      <c r="K69" s="603">
        <v>0.7</v>
      </c>
      <c r="L69" s="646">
        <v>0</v>
      </c>
      <c r="M69" s="654">
        <f>VLOOKUP(G:G,list!B:E,4,FALSE)</f>
        <v>0.1</v>
      </c>
      <c r="N69" s="655">
        <f t="shared" si="0"/>
        <v>0</v>
      </c>
      <c r="O69" s="655">
        <f t="shared" si="1"/>
        <v>0</v>
      </c>
      <c r="P69" s="564" t="s">
        <v>366</v>
      </c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617</v>
      </c>
      <c r="E70" s="564" t="s">
        <v>9</v>
      </c>
      <c r="F70" s="564" t="s">
        <v>519</v>
      </c>
      <c r="G70" s="564" t="s">
        <v>316</v>
      </c>
      <c r="H70" s="565">
        <v>45534</v>
      </c>
      <c r="I70" s="652">
        <v>46054</v>
      </c>
      <c r="J70" s="653">
        <v>0</v>
      </c>
      <c r="K70" s="603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132</v>
      </c>
      <c r="E71" s="564" t="s">
        <v>9</v>
      </c>
      <c r="F71" s="564" t="s">
        <v>519</v>
      </c>
      <c r="G71" s="564" t="s">
        <v>56</v>
      </c>
      <c r="H71" s="565">
        <v>44952</v>
      </c>
      <c r="I71" s="652">
        <v>46054</v>
      </c>
      <c r="J71" s="653">
        <v>0</v>
      </c>
      <c r="K71" s="567">
        <v>0.5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564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56</v>
      </c>
      <c r="H72" s="565">
        <v>45503</v>
      </c>
      <c r="I72" s="652">
        <v>46054</v>
      </c>
      <c r="J72" s="653">
        <v>0</v>
      </c>
      <c r="K72" s="567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56</v>
      </c>
      <c r="H73" s="565">
        <v>45547</v>
      </c>
      <c r="I73" s="652">
        <v>46054</v>
      </c>
      <c r="J73" s="653">
        <v>0</v>
      </c>
      <c r="K73" s="567">
        <v>0.5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30</v>
      </c>
      <c r="H74" s="565">
        <v>44953</v>
      </c>
      <c r="I74" s="652">
        <v>46054</v>
      </c>
      <c r="J74" s="653">
        <v>0</v>
      </c>
      <c r="K74" s="567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작가기획</v>
      </c>
      <c r="D75" s="564" t="s">
        <v>132</v>
      </c>
      <c r="E75" s="564" t="s">
        <v>9</v>
      </c>
      <c r="F75" s="564" t="s">
        <v>519</v>
      </c>
      <c r="G75" s="564" t="s">
        <v>308</v>
      </c>
      <c r="H75" s="565">
        <v>44992</v>
      </c>
      <c r="I75" s="652">
        <v>46054</v>
      </c>
      <c r="J75" s="653">
        <v>0</v>
      </c>
      <c r="K75" s="603">
        <v>0.5</v>
      </c>
      <c r="L75" s="646">
        <v>0</v>
      </c>
      <c r="M75" s="654" t="str">
        <f>VLOOKUP(G:G,list!B:E,4,FALSE)</f>
        <v>-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-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작가기획</v>
      </c>
      <c r="D76" s="564" t="s">
        <v>538</v>
      </c>
      <c r="E76" s="564" t="s">
        <v>9</v>
      </c>
      <c r="F76" s="564" t="s">
        <v>519</v>
      </c>
      <c r="G76" s="564" t="s">
        <v>308</v>
      </c>
      <c r="H76" s="565">
        <v>45610</v>
      </c>
      <c r="I76" s="652">
        <v>46054</v>
      </c>
      <c r="J76" s="653">
        <v>0</v>
      </c>
      <c r="K76" s="603">
        <v>0.5</v>
      </c>
      <c r="L76" s="646">
        <v>0</v>
      </c>
      <c r="M76" s="654" t="str">
        <f>VLOOKUP(G:G,list!B:E,4,FALSE)</f>
        <v>-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-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작가기획</v>
      </c>
      <c r="D77" s="564" t="s">
        <v>132</v>
      </c>
      <c r="E77" s="564" t="s">
        <v>9</v>
      </c>
      <c r="F77" s="564" t="s">
        <v>519</v>
      </c>
      <c r="G77" s="564" t="s">
        <v>36</v>
      </c>
      <c r="H77" s="565">
        <v>45198</v>
      </c>
      <c r="I77" s="652">
        <v>46054</v>
      </c>
      <c r="J77" s="653">
        <v>2793</v>
      </c>
      <c r="K77" s="603">
        <v>0.5</v>
      </c>
      <c r="L77" s="646">
        <v>1396.5</v>
      </c>
      <c r="M77" s="654" t="str">
        <f>VLOOKUP(G:G,list!B:E,4,FALSE)</f>
        <v>-</v>
      </c>
      <c r="N77" s="655">
        <f t="shared" si="0"/>
        <v>0</v>
      </c>
      <c r="O77" s="655">
        <f t="shared" si="1"/>
        <v>1396.5</v>
      </c>
      <c r="P77" s="564"/>
      <c r="Q77" s="672" t="str">
        <f>VLOOKUP(G:G,list!B:F,5,FALSE)</f>
        <v>-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작가기획</v>
      </c>
      <c r="D78" s="564" t="s">
        <v>538</v>
      </c>
      <c r="E78" s="564" t="s">
        <v>9</v>
      </c>
      <c r="F78" s="564" t="s">
        <v>519</v>
      </c>
      <c r="G78" s="564" t="s">
        <v>36</v>
      </c>
      <c r="H78" s="565">
        <v>45479</v>
      </c>
      <c r="I78" s="652">
        <v>46054</v>
      </c>
      <c r="J78" s="653">
        <v>0</v>
      </c>
      <c r="K78" s="603">
        <v>0.5</v>
      </c>
      <c r="L78" s="646">
        <v>0</v>
      </c>
      <c r="M78" s="654" t="str">
        <f>VLOOKUP(G:G,list!B:E,4,FALSE)</f>
        <v>-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549</v>
      </c>
      <c r="E79" s="564" t="s">
        <v>9</v>
      </c>
      <c r="F79" s="564" t="s">
        <v>519</v>
      </c>
      <c r="G79" s="564" t="s">
        <v>36</v>
      </c>
      <c r="H79" s="565">
        <v>45531</v>
      </c>
      <c r="I79" s="652">
        <v>46054</v>
      </c>
      <c r="J79" s="653">
        <v>0</v>
      </c>
      <c r="K79" s="603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123</v>
      </c>
      <c r="E80" s="564" t="s">
        <v>9</v>
      </c>
      <c r="F80" s="564" t="s">
        <v>519</v>
      </c>
      <c r="G80" s="564" t="s">
        <v>36</v>
      </c>
      <c r="H80" s="565">
        <v>45555</v>
      </c>
      <c r="I80" s="652">
        <v>46054</v>
      </c>
      <c r="J80" s="653">
        <v>0</v>
      </c>
      <c r="K80" s="603">
        <v>0.5</v>
      </c>
      <c r="L80" s="646">
        <v>0</v>
      </c>
      <c r="M80" s="654" t="str">
        <f>VLOOKUP(G:G,list!B:E,4,FALSE)</f>
        <v>-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139</v>
      </c>
      <c r="H81" s="565">
        <v>45276</v>
      </c>
      <c r="I81" s="652">
        <v>46054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139</v>
      </c>
      <c r="H82" s="565">
        <v>45534</v>
      </c>
      <c r="I82" s="652">
        <v>46054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123</v>
      </c>
      <c r="E83" s="564" t="s">
        <v>9</v>
      </c>
      <c r="F83" s="564" t="s">
        <v>519</v>
      </c>
      <c r="G83" s="564" t="s">
        <v>139</v>
      </c>
      <c r="H83" s="565">
        <v>45656</v>
      </c>
      <c r="I83" s="652">
        <v>46054</v>
      </c>
      <c r="J83" s="653">
        <v>0</v>
      </c>
      <c r="K83" s="603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외부제작</v>
      </c>
      <c r="D84" s="564" t="s">
        <v>123</v>
      </c>
      <c r="E84" s="564" t="s">
        <v>9</v>
      </c>
      <c r="F84" s="564" t="s">
        <v>519</v>
      </c>
      <c r="G84" s="564" t="s">
        <v>315</v>
      </c>
      <c r="H84" s="565">
        <v>45673</v>
      </c>
      <c r="I84" s="652">
        <v>46054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N</v>
      </c>
    </row>
    <row r="85" spans="2:18" ht="18" customHeight="1">
      <c r="B85" s="650">
        <v>80</v>
      </c>
      <c r="C85" s="651" t="str">
        <f>VLOOKUP(G:G,list!B:D,2,FALSE)</f>
        <v>원작료</v>
      </c>
      <c r="D85" s="564" t="s">
        <v>182</v>
      </c>
      <c r="E85" s="564" t="s">
        <v>115</v>
      </c>
      <c r="F85" s="564" t="s">
        <v>283</v>
      </c>
      <c r="G85" s="564" t="s">
        <v>30</v>
      </c>
      <c r="H85" s="565">
        <v>44358</v>
      </c>
      <c r="I85" s="652">
        <v>45992</v>
      </c>
      <c r="J85" s="653">
        <v>35511</v>
      </c>
      <c r="K85" s="603">
        <v>0.5</v>
      </c>
      <c r="L85" s="646">
        <v>17756</v>
      </c>
      <c r="M85" s="654">
        <f>VLOOKUP(G:G,list!B:E,4,FALSE)</f>
        <v>0.1</v>
      </c>
      <c r="N85" s="655">
        <f t="shared" si="0"/>
        <v>1776</v>
      </c>
      <c r="O85" s="655">
        <f t="shared" si="1"/>
        <v>15980</v>
      </c>
      <c r="P85" s="564"/>
      <c r="Q85" s="672" t="str">
        <f>VLOOKUP(G:G,list!B:F,5,FALSE)</f>
        <v>웹소설본부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원작료</v>
      </c>
      <c r="D86" s="564" t="s">
        <v>182</v>
      </c>
      <c r="E86" s="564" t="s">
        <v>115</v>
      </c>
      <c r="F86" s="564" t="s">
        <v>283</v>
      </c>
      <c r="G86" s="564" t="s">
        <v>56</v>
      </c>
      <c r="H86" s="565">
        <v>44391</v>
      </c>
      <c r="I86" s="652">
        <v>45992</v>
      </c>
      <c r="J86" s="653">
        <v>164049</v>
      </c>
      <c r="K86" s="603">
        <v>0.5</v>
      </c>
      <c r="L86" s="646">
        <v>82025</v>
      </c>
      <c r="M86" s="654">
        <f>VLOOKUP(G:G,list!B:E,4,FALSE)</f>
        <v>0.1</v>
      </c>
      <c r="N86" s="655">
        <f t="shared" si="0"/>
        <v>8203</v>
      </c>
      <c r="O86" s="655">
        <f t="shared" si="1"/>
        <v>73822</v>
      </c>
      <c r="P86" s="564"/>
      <c r="Q86" s="672" t="str">
        <f>VLOOKUP(G:G,list!B:F,5,FALSE)</f>
        <v>웹소설본부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원작료</v>
      </c>
      <c r="D87" s="564" t="s">
        <v>182</v>
      </c>
      <c r="E87" s="564" t="s">
        <v>115</v>
      </c>
      <c r="F87" s="564" t="s">
        <v>283</v>
      </c>
      <c r="G87" s="564" t="s">
        <v>316</v>
      </c>
      <c r="H87" s="565">
        <v>44969</v>
      </c>
      <c r="I87" s="652">
        <v>45992</v>
      </c>
      <c r="J87" s="653">
        <v>26698</v>
      </c>
      <c r="K87" s="603">
        <v>0.5</v>
      </c>
      <c r="L87" s="646">
        <v>13349</v>
      </c>
      <c r="M87" s="654">
        <f>VLOOKUP(G:G,list!B:E,4,FALSE)</f>
        <v>0.1</v>
      </c>
      <c r="N87" s="655">
        <f t="shared" si="0"/>
        <v>1335</v>
      </c>
      <c r="O87" s="655">
        <f t="shared" si="1"/>
        <v>12014</v>
      </c>
      <c r="P87" s="564"/>
      <c r="Q87" s="672" t="str">
        <f>VLOOKUP(G:G,list!B:F,5,FALSE)</f>
        <v>웹소설본부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182</v>
      </c>
      <c r="E88" s="564" t="s">
        <v>115</v>
      </c>
      <c r="F88" s="564" t="s">
        <v>550</v>
      </c>
      <c r="G88" s="564" t="s">
        <v>308</v>
      </c>
      <c r="H88" s="565">
        <v>45347</v>
      </c>
      <c r="I88" s="652">
        <v>45992</v>
      </c>
      <c r="J88" s="653">
        <v>0</v>
      </c>
      <c r="K88" s="603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564" t="s">
        <v>366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550</v>
      </c>
      <c r="G89" s="564" t="s">
        <v>316</v>
      </c>
      <c r="H89" s="565">
        <v>45359</v>
      </c>
      <c r="I89" s="652">
        <v>45992</v>
      </c>
      <c r="J89" s="653">
        <v>0</v>
      </c>
      <c r="K89" s="603">
        <v>0.5</v>
      </c>
      <c r="L89" s="646">
        <v>0</v>
      </c>
      <c r="M89" s="654">
        <f>VLOOKUP(G:G,list!B:E,4,FALSE)</f>
        <v>0.1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264</v>
      </c>
      <c r="G90" s="564" t="s">
        <v>56</v>
      </c>
      <c r="H90" s="565">
        <v>45941</v>
      </c>
      <c r="I90" s="652">
        <v>46023</v>
      </c>
      <c r="J90" s="653">
        <v>3214805</v>
      </c>
      <c r="K90" s="603">
        <v>0.5</v>
      </c>
      <c r="L90" s="646">
        <v>1607403</v>
      </c>
      <c r="M90" s="654">
        <f>VLOOKUP(G:G,list!B:E,4,FALSE)</f>
        <v>0.1</v>
      </c>
      <c r="N90" s="655">
        <f t="shared" si="0"/>
        <v>160740</v>
      </c>
      <c r="O90" s="655">
        <f t="shared" si="1"/>
        <v>1446663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264</v>
      </c>
      <c r="G91" s="564" t="s">
        <v>30</v>
      </c>
      <c r="H91" s="565">
        <v>45991</v>
      </c>
      <c r="I91" s="652">
        <v>46023</v>
      </c>
      <c r="J91" s="653">
        <v>906516</v>
      </c>
      <c r="K91" s="603">
        <v>0.5</v>
      </c>
      <c r="L91" s="646">
        <v>453258</v>
      </c>
      <c r="M91" s="654">
        <f>VLOOKUP(G:G,list!B:E,4,FALSE)</f>
        <v>0.1</v>
      </c>
      <c r="N91" s="655">
        <f t="shared" si="0"/>
        <v>45326</v>
      </c>
      <c r="O91" s="655">
        <f t="shared" si="1"/>
        <v>407932</v>
      </c>
      <c r="P91" s="564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264</v>
      </c>
      <c r="G92" s="564" t="s">
        <v>316</v>
      </c>
      <c r="H92" s="565">
        <v>46039</v>
      </c>
      <c r="I92" s="652">
        <v>46023</v>
      </c>
      <c r="J92" s="653">
        <v>1001291</v>
      </c>
      <c r="K92" s="603">
        <v>0.5</v>
      </c>
      <c r="L92" s="646">
        <v>500646</v>
      </c>
      <c r="M92" s="654">
        <f>VLOOKUP(G:G,list!B:E,4,FALSE)</f>
        <v>0.1</v>
      </c>
      <c r="N92" s="655">
        <f t="shared" ref="N92" si="2">ROUND(IF(M92="-",0,L92*M92),0)</f>
        <v>50065</v>
      </c>
      <c r="O92" s="655">
        <f t="shared" ref="O92" si="3">L92-N92</f>
        <v>450581</v>
      </c>
      <c r="P92" s="564" t="s">
        <v>270</v>
      </c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32</v>
      </c>
      <c r="E93" s="564" t="s">
        <v>9</v>
      </c>
      <c r="F93" s="564" t="s">
        <v>31</v>
      </c>
      <c r="G93" s="564" t="s">
        <v>30</v>
      </c>
      <c r="H93" s="565">
        <v>44239</v>
      </c>
      <c r="I93" s="652">
        <v>46023</v>
      </c>
      <c r="J93" s="653">
        <v>2665</v>
      </c>
      <c r="K93" s="603">
        <v>0.4</v>
      </c>
      <c r="L93" s="646">
        <v>1005</v>
      </c>
      <c r="M93" s="654">
        <f>VLOOKUP(G:G,list!B:E,4,FALSE)</f>
        <v>0.1</v>
      </c>
      <c r="N93" s="655">
        <f t="shared" si="0"/>
        <v>101</v>
      </c>
      <c r="O93" s="655">
        <f t="shared" si="1"/>
        <v>904</v>
      </c>
      <c r="P93" s="564"/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56</v>
      </c>
      <c r="H94" s="565">
        <v>44581</v>
      </c>
      <c r="I94" s="652">
        <v>46054</v>
      </c>
      <c r="J94" s="653">
        <v>414010</v>
      </c>
      <c r="K94" s="603">
        <v>0.3</v>
      </c>
      <c r="L94" s="568">
        <v>124203</v>
      </c>
      <c r="M94" s="654">
        <f>VLOOKUP(G:G,list!B:E,4,FALSE)</f>
        <v>0.1</v>
      </c>
      <c r="N94" s="655">
        <f t="shared" si="0"/>
        <v>12420</v>
      </c>
      <c r="O94" s="655">
        <f t="shared" si="1"/>
        <v>111783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183</v>
      </c>
      <c r="E95" s="564" t="s">
        <v>9</v>
      </c>
      <c r="F95" s="564" t="s">
        <v>213</v>
      </c>
      <c r="G95" s="564" t="s">
        <v>56</v>
      </c>
      <c r="H95" s="565">
        <v>44829</v>
      </c>
      <c r="I95" s="652">
        <v>46054</v>
      </c>
      <c r="J95" s="653">
        <v>845347</v>
      </c>
      <c r="K95" s="603">
        <v>0.3</v>
      </c>
      <c r="L95" s="568">
        <v>253604</v>
      </c>
      <c r="M95" s="654">
        <f>VLOOKUP(G:G,list!B:E,4,FALSE)</f>
        <v>0.1</v>
      </c>
      <c r="N95" s="655">
        <f t="shared" si="0"/>
        <v>25360</v>
      </c>
      <c r="O95" s="655">
        <f t="shared" si="1"/>
        <v>228244</v>
      </c>
      <c r="P95" s="564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454</v>
      </c>
      <c r="H96" s="565">
        <v>44854</v>
      </c>
      <c r="I96" s="652">
        <v>46054</v>
      </c>
      <c r="J96" s="653">
        <v>310033</v>
      </c>
      <c r="K96" s="603">
        <v>0.3</v>
      </c>
      <c r="L96" s="568">
        <v>93010</v>
      </c>
      <c r="M96" s="654">
        <f>VLOOKUP(G:G,list!B:E,4,FALSE)</f>
        <v>0.1</v>
      </c>
      <c r="N96" s="655">
        <f t="shared" si="0"/>
        <v>9301</v>
      </c>
      <c r="O96" s="655">
        <f t="shared" si="1"/>
        <v>83709</v>
      </c>
      <c r="P96" s="564" t="s">
        <v>186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481</v>
      </c>
      <c r="H97" s="565">
        <v>44981</v>
      </c>
      <c r="I97" s="652">
        <v>46054</v>
      </c>
      <c r="J97" s="653">
        <v>59443</v>
      </c>
      <c r="K97" s="603">
        <v>0.3</v>
      </c>
      <c r="L97" s="568">
        <v>17833</v>
      </c>
      <c r="M97" s="654">
        <f>VLOOKUP(G:G,list!B:E,4,FALSE)</f>
        <v>0.1</v>
      </c>
      <c r="N97" s="655">
        <f t="shared" si="0"/>
        <v>1783</v>
      </c>
      <c r="O97" s="655">
        <f t="shared" si="1"/>
        <v>16050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213</v>
      </c>
      <c r="G98" s="564" t="s">
        <v>352</v>
      </c>
      <c r="H98" s="565">
        <v>44984</v>
      </c>
      <c r="I98" s="652">
        <v>46054</v>
      </c>
      <c r="J98" s="653">
        <v>295207</v>
      </c>
      <c r="K98" s="603">
        <v>0.3</v>
      </c>
      <c r="L98" s="568">
        <v>88562</v>
      </c>
      <c r="M98" s="654">
        <f>VLOOKUP(G:G,list!B:E,4,FALSE)</f>
        <v>0.1</v>
      </c>
      <c r="N98" s="655">
        <f t="shared" si="0"/>
        <v>8856</v>
      </c>
      <c r="O98" s="655">
        <f t="shared" si="1"/>
        <v>79706</v>
      </c>
      <c r="P98" s="564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213</v>
      </c>
      <c r="G99" s="564" t="s">
        <v>454</v>
      </c>
      <c r="H99" s="565">
        <v>44902</v>
      </c>
      <c r="I99" s="652">
        <v>46023</v>
      </c>
      <c r="J99" s="653">
        <v>1053547</v>
      </c>
      <c r="K99" s="603">
        <v>0.3</v>
      </c>
      <c r="L99" s="568">
        <v>316064</v>
      </c>
      <c r="M99" s="654">
        <f>VLOOKUP(G:G,list!B:E,4,FALSE)</f>
        <v>0.1</v>
      </c>
      <c r="N99" s="655">
        <f t="shared" ref="N99:N112" si="4">ROUND(IF(M99="-",0,L99*M99),0)</f>
        <v>31606</v>
      </c>
      <c r="O99" s="655">
        <f t="shared" ref="O99:O112" si="5">L99-N99</f>
        <v>284458</v>
      </c>
      <c r="P99" s="564" t="s">
        <v>282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72</v>
      </c>
      <c r="E100" s="564" t="s">
        <v>9</v>
      </c>
      <c r="F100" s="564" t="s">
        <v>213</v>
      </c>
      <c r="G100" s="564" t="s">
        <v>454</v>
      </c>
      <c r="H100" s="565">
        <v>45257</v>
      </c>
      <c r="I100" s="652">
        <v>46023</v>
      </c>
      <c r="J100" s="653">
        <v>19350</v>
      </c>
      <c r="K100" s="603">
        <v>0.3</v>
      </c>
      <c r="L100" s="568">
        <v>5805</v>
      </c>
      <c r="M100" s="654">
        <f>VLOOKUP(G:G,list!B:E,4,FALSE)</f>
        <v>0.1</v>
      </c>
      <c r="N100" s="655">
        <f t="shared" si="4"/>
        <v>581</v>
      </c>
      <c r="O100" s="655">
        <f t="shared" si="5"/>
        <v>5224</v>
      </c>
      <c r="P100" s="564" t="s">
        <v>546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작가기획</v>
      </c>
      <c r="D101" s="564" t="s">
        <v>72</v>
      </c>
      <c r="E101" s="564" t="s">
        <v>9</v>
      </c>
      <c r="F101" s="564" t="s">
        <v>73</v>
      </c>
      <c r="G101" s="564" t="s">
        <v>308</v>
      </c>
      <c r="H101" s="565" t="s">
        <v>168</v>
      </c>
      <c r="I101" s="652">
        <v>45931</v>
      </c>
      <c r="J101" s="653">
        <v>10631</v>
      </c>
      <c r="K101" s="605">
        <v>0.78900000000000003</v>
      </c>
      <c r="L101" s="568">
        <v>7549</v>
      </c>
      <c r="M101" s="654" t="str">
        <f>VLOOKUP(G:G,list!B:E,4,FALSE)</f>
        <v>-</v>
      </c>
      <c r="N101" s="655">
        <f t="shared" si="4"/>
        <v>0</v>
      </c>
      <c r="O101" s="655">
        <f t="shared" si="5"/>
        <v>7549</v>
      </c>
      <c r="P101" s="564"/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작가기획</v>
      </c>
      <c r="D102" s="564" t="s">
        <v>72</v>
      </c>
      <c r="E102" s="564" t="s">
        <v>9</v>
      </c>
      <c r="F102" s="564" t="s">
        <v>73</v>
      </c>
      <c r="G102" s="564" t="s">
        <v>308</v>
      </c>
      <c r="H102" s="565" t="s">
        <v>168</v>
      </c>
      <c r="I102" s="652">
        <v>45962</v>
      </c>
      <c r="J102" s="653">
        <v>0</v>
      </c>
      <c r="K102" s="605">
        <v>0.78900000000000003</v>
      </c>
      <c r="L102" s="568">
        <v>0</v>
      </c>
      <c r="M102" s="654" t="str">
        <f>VLOOKUP(G:G,list!B:E,4,FALSE)</f>
        <v>-</v>
      </c>
      <c r="N102" s="655">
        <f t="shared" si="4"/>
        <v>0</v>
      </c>
      <c r="O102" s="655">
        <f t="shared" si="5"/>
        <v>0</v>
      </c>
      <c r="P102" s="564" t="s">
        <v>581</v>
      </c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작가기획</v>
      </c>
      <c r="D103" s="564" t="s">
        <v>72</v>
      </c>
      <c r="E103" s="564" t="s">
        <v>9</v>
      </c>
      <c r="F103" s="564" t="s">
        <v>73</v>
      </c>
      <c r="G103" s="564" t="s">
        <v>308</v>
      </c>
      <c r="H103" s="565" t="s">
        <v>168</v>
      </c>
      <c r="I103" s="652">
        <v>45992</v>
      </c>
      <c r="J103" s="653">
        <v>0</v>
      </c>
      <c r="K103" s="605">
        <v>0.78900000000000003</v>
      </c>
      <c r="L103" s="568">
        <v>0</v>
      </c>
      <c r="M103" s="654" t="str">
        <f>VLOOKUP(G:G,list!B:E,4,FALSE)</f>
        <v>-</v>
      </c>
      <c r="N103" s="655">
        <f t="shared" si="4"/>
        <v>0</v>
      </c>
      <c r="O103" s="655">
        <f t="shared" si="5"/>
        <v>0</v>
      </c>
      <c r="P103" s="564" t="s">
        <v>581</v>
      </c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79</v>
      </c>
      <c r="E104" s="564" t="s">
        <v>9</v>
      </c>
      <c r="F104" s="564" t="s">
        <v>235</v>
      </c>
      <c r="G104" s="564" t="s">
        <v>30</v>
      </c>
      <c r="H104" s="565">
        <v>44281</v>
      </c>
      <c r="I104" s="652">
        <v>45931</v>
      </c>
      <c r="J104" s="653">
        <v>6248</v>
      </c>
      <c r="K104" s="603">
        <v>0.5</v>
      </c>
      <c r="L104" s="568">
        <v>2632</v>
      </c>
      <c r="M104" s="654">
        <f>VLOOKUP(G:G,list!B:E,4,FALSE)</f>
        <v>0.1</v>
      </c>
      <c r="N104" s="655">
        <f t="shared" si="4"/>
        <v>263</v>
      </c>
      <c r="O104" s="655">
        <f t="shared" si="5"/>
        <v>2369</v>
      </c>
      <c r="P104" s="564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작가기획</v>
      </c>
      <c r="D105" s="564" t="s">
        <v>79</v>
      </c>
      <c r="E105" s="564" t="s">
        <v>9</v>
      </c>
      <c r="F105" s="564" t="s">
        <v>235</v>
      </c>
      <c r="G105" s="564" t="s">
        <v>36</v>
      </c>
      <c r="H105" s="565">
        <v>44293</v>
      </c>
      <c r="I105" s="652">
        <v>45931</v>
      </c>
      <c r="J105" s="653">
        <v>6676</v>
      </c>
      <c r="K105" s="603">
        <v>0.5</v>
      </c>
      <c r="L105" s="568">
        <v>2811</v>
      </c>
      <c r="M105" s="654" t="str">
        <f>VLOOKUP(G:G,list!B:E,4,FALSE)</f>
        <v>-</v>
      </c>
      <c r="N105" s="655">
        <f t="shared" si="4"/>
        <v>0</v>
      </c>
      <c r="O105" s="655">
        <f t="shared" si="5"/>
        <v>2811</v>
      </c>
      <c r="P105" s="564"/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79</v>
      </c>
      <c r="E106" s="564" t="s">
        <v>9</v>
      </c>
      <c r="F106" s="564" t="s">
        <v>235</v>
      </c>
      <c r="G106" s="564" t="s">
        <v>454</v>
      </c>
      <c r="H106" s="565">
        <v>44840</v>
      </c>
      <c r="I106" s="652">
        <v>45931</v>
      </c>
      <c r="J106" s="653">
        <v>147509</v>
      </c>
      <c r="K106" s="603">
        <v>0.5</v>
      </c>
      <c r="L106" s="568">
        <v>62624</v>
      </c>
      <c r="M106" s="654">
        <f>VLOOKUP(G:G,list!B:E,4,FALSE)</f>
        <v>0.1</v>
      </c>
      <c r="N106" s="655">
        <f t="shared" si="4"/>
        <v>6262</v>
      </c>
      <c r="O106" s="655">
        <f t="shared" si="5"/>
        <v>56362</v>
      </c>
      <c r="P106" s="564"/>
      <c r="Q106" s="672" t="str">
        <f>VLOOKUP(G:G,list!B:F,5,FALSE)</f>
        <v>-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79</v>
      </c>
      <c r="E107" s="564" t="s">
        <v>9</v>
      </c>
      <c r="F107" s="564" t="s">
        <v>235</v>
      </c>
      <c r="G107" s="564" t="s">
        <v>30</v>
      </c>
      <c r="H107" s="565">
        <v>44281</v>
      </c>
      <c r="I107" s="652">
        <v>45962</v>
      </c>
      <c r="J107" s="653">
        <v>8716</v>
      </c>
      <c r="K107" s="603">
        <v>0.5</v>
      </c>
      <c r="L107" s="568">
        <v>3671</v>
      </c>
      <c r="M107" s="654">
        <f>VLOOKUP(G:G,list!B:E,4,FALSE)</f>
        <v>0.1</v>
      </c>
      <c r="N107" s="655">
        <f t="shared" si="4"/>
        <v>367</v>
      </c>
      <c r="O107" s="655">
        <f t="shared" si="5"/>
        <v>3304</v>
      </c>
      <c r="P107" s="564"/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작가기획</v>
      </c>
      <c r="D108" s="564" t="s">
        <v>79</v>
      </c>
      <c r="E108" s="564" t="s">
        <v>9</v>
      </c>
      <c r="F108" s="564" t="s">
        <v>235</v>
      </c>
      <c r="G108" s="564" t="s">
        <v>36</v>
      </c>
      <c r="H108" s="565">
        <v>44293</v>
      </c>
      <c r="I108" s="652">
        <v>45962</v>
      </c>
      <c r="J108" s="653">
        <v>3758</v>
      </c>
      <c r="K108" s="603">
        <v>0.5</v>
      </c>
      <c r="L108" s="568">
        <v>1583</v>
      </c>
      <c r="M108" s="654" t="str">
        <f>VLOOKUP(G:G,list!B:E,4,FALSE)</f>
        <v>-</v>
      </c>
      <c r="N108" s="655">
        <f t="shared" si="4"/>
        <v>0</v>
      </c>
      <c r="O108" s="655">
        <f t="shared" si="5"/>
        <v>1583</v>
      </c>
      <c r="P108" s="564"/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79</v>
      </c>
      <c r="E109" s="564" t="s">
        <v>9</v>
      </c>
      <c r="F109" s="564" t="s">
        <v>235</v>
      </c>
      <c r="G109" s="564" t="s">
        <v>454</v>
      </c>
      <c r="H109" s="565">
        <v>44840</v>
      </c>
      <c r="I109" s="652">
        <v>45962</v>
      </c>
      <c r="J109" s="653">
        <v>95756</v>
      </c>
      <c r="K109" s="603">
        <v>0.5</v>
      </c>
      <c r="L109" s="568">
        <v>40649</v>
      </c>
      <c r="M109" s="654">
        <f>VLOOKUP(G:G,list!B:E,4,FALSE)</f>
        <v>0.1</v>
      </c>
      <c r="N109" s="655">
        <f t="shared" si="4"/>
        <v>4065</v>
      </c>
      <c r="O109" s="655">
        <f t="shared" si="5"/>
        <v>36584</v>
      </c>
      <c r="P109" s="564"/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79</v>
      </c>
      <c r="E110" s="564" t="s">
        <v>9</v>
      </c>
      <c r="F110" s="564" t="s">
        <v>235</v>
      </c>
      <c r="G110" s="564" t="s">
        <v>30</v>
      </c>
      <c r="H110" s="565">
        <v>44281</v>
      </c>
      <c r="I110" s="652">
        <v>45992</v>
      </c>
      <c r="J110" s="653">
        <v>1152</v>
      </c>
      <c r="K110" s="603">
        <v>0.5</v>
      </c>
      <c r="L110" s="568">
        <v>485</v>
      </c>
      <c r="M110" s="654">
        <f>VLOOKUP(G:G,list!B:E,4,FALSE)</f>
        <v>0.1</v>
      </c>
      <c r="N110" s="655">
        <f t="shared" si="4"/>
        <v>49</v>
      </c>
      <c r="O110" s="655">
        <f t="shared" si="5"/>
        <v>436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작가기획</v>
      </c>
      <c r="D111" s="564" t="s">
        <v>79</v>
      </c>
      <c r="E111" s="564" t="s">
        <v>9</v>
      </c>
      <c r="F111" s="564" t="s">
        <v>235</v>
      </c>
      <c r="G111" s="564" t="s">
        <v>36</v>
      </c>
      <c r="H111" s="565">
        <v>44293</v>
      </c>
      <c r="I111" s="652">
        <v>45992</v>
      </c>
      <c r="J111" s="653">
        <v>4794</v>
      </c>
      <c r="K111" s="603">
        <v>0.5</v>
      </c>
      <c r="L111" s="568">
        <v>2018</v>
      </c>
      <c r="M111" s="654" t="str">
        <f>VLOOKUP(G:G,list!B:E,4,FALSE)</f>
        <v>-</v>
      </c>
      <c r="N111" s="655">
        <f t="shared" si="4"/>
        <v>0</v>
      </c>
      <c r="O111" s="655">
        <f t="shared" si="5"/>
        <v>2018</v>
      </c>
      <c r="P111" s="564"/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79</v>
      </c>
      <c r="E112" s="564" t="s">
        <v>9</v>
      </c>
      <c r="F112" s="564" t="s">
        <v>235</v>
      </c>
      <c r="G112" s="564" t="s">
        <v>454</v>
      </c>
      <c r="H112" s="565">
        <v>44840</v>
      </c>
      <c r="I112" s="652">
        <v>45992</v>
      </c>
      <c r="J112" s="653">
        <v>393080</v>
      </c>
      <c r="K112" s="603">
        <v>0.5</v>
      </c>
      <c r="L112" s="568">
        <v>166872</v>
      </c>
      <c r="M112" s="654">
        <f>VLOOKUP(G:G,list!B:E,4,FALSE)</f>
        <v>0.1</v>
      </c>
      <c r="N112" s="655">
        <f t="shared" si="4"/>
        <v>16687</v>
      </c>
      <c r="O112" s="655">
        <f t="shared" si="5"/>
        <v>150185</v>
      </c>
      <c r="P112" s="564"/>
      <c r="Q112" s="672" t="str">
        <f>VLOOKUP(G:G,list!B:F,5,FALSE)</f>
        <v>-</v>
      </c>
      <c r="R112" s="656" t="str">
        <f>VLOOKUP(G:G,list!B:D,3,FALSE)</f>
        <v>Y</v>
      </c>
    </row>
    <row r="113" spans="2:18" ht="11.25" customHeight="1">
      <c r="B113" s="52"/>
      <c r="C113" s="551"/>
      <c r="D113" s="551"/>
      <c r="E113" s="551"/>
      <c r="F113" s="551"/>
      <c r="G113" s="551"/>
      <c r="H113" s="622"/>
      <c r="I113" s="551"/>
      <c r="J113" s="435"/>
      <c r="K113" s="623"/>
      <c r="L113"/>
      <c r="M113" s="438"/>
      <c r="N113" s="439"/>
      <c r="O113" s="440"/>
      <c r="P113" s="633"/>
      <c r="Q113" s="438"/>
      <c r="R113" s="486"/>
    </row>
    <row r="114" spans="2:18" s="7" customFormat="1" ht="16.5" customHeight="1">
      <c r="B114" s="624" t="s">
        <v>387</v>
      </c>
      <c r="C114" s="625"/>
      <c r="D114" s="625"/>
      <c r="E114" s="626"/>
      <c r="F114" s="625"/>
      <c r="G114" s="625"/>
      <c r="H114" s="625"/>
      <c r="I114" s="311"/>
      <c r="J114" s="311"/>
      <c r="K114" s="311"/>
      <c r="M114" s="424"/>
      <c r="N114"/>
      <c r="O114" s="333"/>
      <c r="P114" s="631"/>
      <c r="Q114" s="424"/>
      <c r="R114" s="484"/>
    </row>
    <row r="115" spans="2:18" s="7" customFormat="1" ht="16.5" customHeight="1">
      <c r="B115" s="629" t="s">
        <v>299</v>
      </c>
      <c r="C115" s="625"/>
      <c r="D115" s="625"/>
      <c r="E115" s="626"/>
      <c r="F115" s="625"/>
      <c r="G115" s="625"/>
      <c r="H115" s="625"/>
      <c r="I115" s="311"/>
      <c r="K115" s="311"/>
      <c r="L115" s="311"/>
      <c r="M115" s="424"/>
      <c r="N115"/>
      <c r="O115" s="333"/>
      <c r="P115" s="631"/>
      <c r="Q115" s="424"/>
      <c r="R115" s="484"/>
    </row>
    <row r="116" spans="2:18" s="7" customFormat="1" ht="16.5" customHeight="1">
      <c r="B116" s="628" t="s">
        <v>302</v>
      </c>
      <c r="C116" s="627"/>
      <c r="D116" s="625"/>
      <c r="E116" s="626"/>
      <c r="F116" s="625"/>
      <c r="G116" s="625"/>
      <c r="H116" s="625"/>
      <c r="I116" s="311"/>
      <c r="J116" s="311"/>
      <c r="L116" s="311"/>
      <c r="M116" s="424"/>
      <c r="N116"/>
      <c r="O116" s="333"/>
      <c r="P116" s="631"/>
      <c r="Q116" s="424"/>
      <c r="R116" s="484"/>
    </row>
    <row r="117" spans="2:18" s="7" customFormat="1" ht="16.5" customHeight="1">
      <c r="B117" s="630" t="s">
        <v>303</v>
      </c>
      <c r="C117" s="627"/>
      <c r="D117" s="625"/>
      <c r="E117" s="626"/>
      <c r="F117" s="625"/>
      <c r="G117" s="625"/>
      <c r="H117" s="625"/>
      <c r="I117" s="311"/>
      <c r="J117" s="311"/>
      <c r="K117" s="311"/>
      <c r="L117" s="311"/>
      <c r="M117" s="424"/>
      <c r="N117"/>
      <c r="O117" s="333"/>
      <c r="P117" s="631"/>
      <c r="Q117" s="424"/>
      <c r="R117" s="484"/>
    </row>
    <row r="118" spans="2:18" ht="16.5" customHeight="1">
      <c r="B118" s="629" t="s">
        <v>340</v>
      </c>
      <c r="C118" s="625"/>
      <c r="D118" s="625"/>
      <c r="E118" s="626"/>
      <c r="F118" s="625"/>
      <c r="G118" s="625"/>
      <c r="H118" s="625"/>
      <c r="I118" s="311"/>
      <c r="J118" s="311"/>
      <c r="K118" s="311"/>
    </row>
    <row r="119" spans="2:18" ht="16.5" customHeight="1">
      <c r="B119" s="629" t="s">
        <v>512</v>
      </c>
      <c r="C119" s="625"/>
      <c r="D119" s="625"/>
      <c r="E119" s="626"/>
      <c r="F119" s="625"/>
      <c r="G119" s="625"/>
      <c r="H119" s="625"/>
      <c r="I119" s="311"/>
      <c r="J119" s="311"/>
      <c r="K119" s="311"/>
    </row>
    <row r="120" spans="2:18" ht="16.5" customHeight="1">
      <c r="B120" s="629" t="s">
        <v>522</v>
      </c>
      <c r="C120" s="625"/>
      <c r="D120" s="625"/>
      <c r="E120" s="626"/>
      <c r="F120" s="625"/>
      <c r="G120" s="625"/>
      <c r="H120" s="625"/>
      <c r="I120" s="311"/>
      <c r="J120" s="311"/>
      <c r="K120" s="311"/>
    </row>
    <row r="121" spans="2:18" ht="16.5" customHeight="1">
      <c r="B121" s="629" t="s">
        <v>520</v>
      </c>
      <c r="C121" s="625"/>
      <c r="D121" s="625"/>
      <c r="E121" s="626"/>
      <c r="F121" s="625"/>
      <c r="G121" s="625"/>
      <c r="H121" s="625"/>
      <c r="I121" s="311"/>
      <c r="J121" s="311"/>
      <c r="K121" s="311"/>
    </row>
    <row r="122" spans="2:18" ht="16.5" customHeight="1">
      <c r="B122" s="629" t="s">
        <v>521</v>
      </c>
      <c r="C122" s="625"/>
      <c r="D122" s="625"/>
      <c r="E122" s="626"/>
      <c r="F122" s="625"/>
      <c r="G122" s="625"/>
      <c r="H122" s="625"/>
      <c r="I122" s="311"/>
      <c r="J122" s="311"/>
      <c r="K122" s="311"/>
    </row>
    <row r="123" spans="2:18" s="311" customFormat="1" ht="16.5" customHeight="1">
      <c r="B123" s="629" t="s">
        <v>529</v>
      </c>
      <c r="C123" s="625"/>
      <c r="D123" s="625"/>
      <c r="E123" s="626"/>
      <c r="F123" s="625"/>
      <c r="G123" s="625"/>
      <c r="H123" s="625"/>
      <c r="M123" s="424"/>
      <c r="N123"/>
      <c r="O123" s="333"/>
      <c r="P123" s="631"/>
      <c r="Q123" s="424"/>
      <c r="R123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99AD-C248-4BC4-9B16-F41299967FA4}">
  <dimension ref="B1:R141"/>
  <sheetViews>
    <sheetView showGridLines="0" zoomScaleNormal="100" workbookViewId="0">
      <pane xSplit="1" ySplit="5" topLeftCell="B101" activePane="bottomRight" state="frozen"/>
      <selection pane="topRight" activeCell="B1" sqref="B1"/>
      <selection pane="bottomLeft" activeCell="A6" sqref="A6"/>
      <selection pane="bottomRight" activeCell="B100" sqref="A100:XFD130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621</v>
      </c>
      <c r="C2" s="539"/>
      <c r="D2" s="539"/>
      <c r="E2" s="539"/>
      <c r="F2" s="539"/>
      <c r="G2" s="540"/>
      <c r="H2" s="643" t="s">
        <v>625</v>
      </c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622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27046454.911193997</v>
      </c>
      <c r="K4" s="52"/>
      <c r="L4" s="648">
        <f>SUBTOTAL(109,L6:L1048576)</f>
        <v>13953195</v>
      </c>
      <c r="M4" s="543"/>
      <c r="N4" s="649">
        <f>SUBTOTAL(109,N6:N1048576)</f>
        <v>1318090</v>
      </c>
      <c r="O4" s="649">
        <f>SUBTOTAL(109,O6:O1048576)</f>
        <v>12635105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46023</v>
      </c>
      <c r="J6" s="653">
        <v>377984.8</v>
      </c>
      <c r="K6" s="567">
        <v>0.6</v>
      </c>
      <c r="L6" s="646">
        <v>226791</v>
      </c>
      <c r="M6" s="654" t="str">
        <f>VLOOKUP(G:G,list!B:E,4,FALSE)</f>
        <v>-</v>
      </c>
      <c r="N6" s="655">
        <f t="shared" ref="N6:N97" si="0">ROUND(IF(M6="-",0,L6*M6),0)</f>
        <v>0</v>
      </c>
      <c r="O6" s="655">
        <f t="shared" ref="O6:O97" si="1">L6-N6</f>
        <v>226791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46023</v>
      </c>
      <c r="J7" s="653">
        <v>72947</v>
      </c>
      <c r="K7" s="600">
        <v>0.6</v>
      </c>
      <c r="L7" s="646">
        <v>43769</v>
      </c>
      <c r="M7" s="654" t="str">
        <f>VLOOKUP(G:G,list!B:E,4,FALSE)</f>
        <v>-</v>
      </c>
      <c r="N7" s="655">
        <f t="shared" si="0"/>
        <v>0</v>
      </c>
      <c r="O7" s="655">
        <f t="shared" si="1"/>
        <v>43769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46023</v>
      </c>
      <c r="J8" s="653">
        <v>202970.2</v>
      </c>
      <c r="K8" s="567">
        <v>0.6</v>
      </c>
      <c r="L8" s="646">
        <v>121783</v>
      </c>
      <c r="M8" s="654" t="str">
        <f>VLOOKUP(G:G,list!B:E,4,FALSE)</f>
        <v>-</v>
      </c>
      <c r="N8" s="655">
        <f t="shared" si="0"/>
        <v>0</v>
      </c>
      <c r="O8" s="655">
        <f t="shared" si="1"/>
        <v>121783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46023</v>
      </c>
      <c r="J9" s="653">
        <v>28707</v>
      </c>
      <c r="K9" s="606">
        <v>0.6</v>
      </c>
      <c r="L9" s="646">
        <v>17224</v>
      </c>
      <c r="M9" s="654">
        <f>VLOOKUP(G:G,list!B:E,4,FALSE)</f>
        <v>0.1</v>
      </c>
      <c r="N9" s="655">
        <f t="shared" si="0"/>
        <v>1722</v>
      </c>
      <c r="O9" s="655">
        <f t="shared" si="1"/>
        <v>15502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46023</v>
      </c>
      <c r="J10" s="653">
        <v>162066</v>
      </c>
      <c r="K10" s="600">
        <v>0.6</v>
      </c>
      <c r="L10" s="646">
        <v>97240</v>
      </c>
      <c r="M10" s="654">
        <f>VLOOKUP(G:G,list!B:E,4,FALSE)</f>
        <v>0.1</v>
      </c>
      <c r="N10" s="655">
        <f t="shared" si="0"/>
        <v>9724</v>
      </c>
      <c r="O10" s="655">
        <f t="shared" si="1"/>
        <v>87516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46023</v>
      </c>
      <c r="J11" s="653">
        <v>782</v>
      </c>
      <c r="K11" s="603">
        <v>0.6</v>
      </c>
      <c r="L11" s="646">
        <v>470</v>
      </c>
      <c r="M11" s="654" t="str">
        <f>VLOOKUP(G:G,list!B:E,4,FALSE)</f>
        <v>-</v>
      </c>
      <c r="N11" s="655">
        <f t="shared" si="0"/>
        <v>0</v>
      </c>
      <c r="O11" s="655">
        <f t="shared" si="1"/>
        <v>470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46023</v>
      </c>
      <c r="J12" s="653">
        <v>337281.9</v>
      </c>
      <c r="K12" s="603">
        <v>0.6</v>
      </c>
      <c r="L12" s="646">
        <v>202370</v>
      </c>
      <c r="M12" s="654">
        <f>VLOOKUP(G:G,list!B:E,4,FALSE)</f>
        <v>0.1</v>
      </c>
      <c r="N12" s="655">
        <f t="shared" si="0"/>
        <v>20237</v>
      </c>
      <c r="O12" s="655">
        <f t="shared" si="1"/>
        <v>182133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46023</v>
      </c>
      <c r="J13" s="653">
        <v>59843.6</v>
      </c>
      <c r="K13" s="600">
        <v>0.6</v>
      </c>
      <c r="L13" s="646">
        <v>35907</v>
      </c>
      <c r="M13" s="654">
        <f>VLOOKUP(G:G,list!B:E,4,FALSE)</f>
        <v>0.1</v>
      </c>
      <c r="N13" s="655">
        <f t="shared" si="0"/>
        <v>3591</v>
      </c>
      <c r="O13" s="655">
        <f t="shared" si="1"/>
        <v>32316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46023</v>
      </c>
      <c r="J14" s="653">
        <v>184372</v>
      </c>
      <c r="K14" s="606">
        <v>0.6</v>
      </c>
      <c r="L14" s="646">
        <v>110623</v>
      </c>
      <c r="M14" s="654">
        <f>VLOOKUP(G:G,list!B:E,4,FALSE)</f>
        <v>0.11</v>
      </c>
      <c r="N14" s="655">
        <f t="shared" si="0"/>
        <v>12169</v>
      </c>
      <c r="O14" s="655">
        <f t="shared" si="1"/>
        <v>98454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46023</v>
      </c>
      <c r="J15" s="653">
        <v>192671.2</v>
      </c>
      <c r="K15" s="567">
        <v>0.6</v>
      </c>
      <c r="L15" s="646">
        <v>115602</v>
      </c>
      <c r="M15" s="654">
        <f>VLOOKUP(G:G,list!B:E,4,FALSE)</f>
        <v>0.1</v>
      </c>
      <c r="N15" s="655">
        <f t="shared" si="0"/>
        <v>11560</v>
      </c>
      <c r="O15" s="655">
        <f t="shared" si="1"/>
        <v>104042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46023</v>
      </c>
      <c r="J16" s="653">
        <v>24010</v>
      </c>
      <c r="K16" s="567">
        <v>0.6</v>
      </c>
      <c r="L16" s="646">
        <v>14406</v>
      </c>
      <c r="M16" s="654">
        <f>VLOOKUP(G:G,list!B:E,4,FALSE)</f>
        <v>0.1</v>
      </c>
      <c r="N16" s="655">
        <f t="shared" si="0"/>
        <v>1441</v>
      </c>
      <c r="O16" s="655">
        <f t="shared" si="1"/>
        <v>12965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46023</v>
      </c>
      <c r="J17" s="653">
        <v>396</v>
      </c>
      <c r="K17" s="600">
        <v>0.7</v>
      </c>
      <c r="L17" s="646">
        <v>277</v>
      </c>
      <c r="M17" s="654" t="str">
        <f>VLOOKUP(G:G,list!B:E,4,FALSE)</f>
        <v>-</v>
      </c>
      <c r="N17" s="655">
        <f t="shared" si="0"/>
        <v>0</v>
      </c>
      <c r="O17" s="655">
        <f t="shared" si="1"/>
        <v>277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46023</v>
      </c>
      <c r="J18" s="653">
        <v>1670705.9</v>
      </c>
      <c r="K18" s="603">
        <v>0.6</v>
      </c>
      <c r="L18" s="646">
        <v>1002426</v>
      </c>
      <c r="M18" s="654">
        <f>VLOOKUP(G:G,list!B:E,4,FALSE)</f>
        <v>0.1</v>
      </c>
      <c r="N18" s="655">
        <f t="shared" si="0"/>
        <v>100243</v>
      </c>
      <c r="O18" s="655">
        <f t="shared" si="1"/>
        <v>902183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46023</v>
      </c>
      <c r="J19" s="653">
        <v>168751</v>
      </c>
      <c r="K19" s="603">
        <v>0.7</v>
      </c>
      <c r="L19" s="646">
        <v>118125</v>
      </c>
      <c r="M19" s="654">
        <f>VLOOKUP(G:G,list!B:E,4,FALSE)</f>
        <v>0.1</v>
      </c>
      <c r="N19" s="655">
        <f t="shared" si="0"/>
        <v>11813</v>
      </c>
      <c r="O19" s="655">
        <f t="shared" si="1"/>
        <v>106312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46023</v>
      </c>
      <c r="J20" s="653">
        <v>900</v>
      </c>
      <c r="K20" s="603">
        <v>0.6</v>
      </c>
      <c r="L20" s="646">
        <v>540</v>
      </c>
      <c r="M20" s="654">
        <f>VLOOKUP(G:G,list!B:E,4,FALSE)</f>
        <v>0.1</v>
      </c>
      <c r="N20" s="655">
        <f t="shared" si="0"/>
        <v>54</v>
      </c>
      <c r="O20" s="655">
        <f t="shared" si="1"/>
        <v>486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46023</v>
      </c>
      <c r="J21" s="653">
        <v>180</v>
      </c>
      <c r="K21" s="567">
        <v>0.6</v>
      </c>
      <c r="L21" s="646">
        <v>126</v>
      </c>
      <c r="M21" s="654" t="str">
        <f>VLOOKUP(G:G,list!B:E,4,FALSE)</f>
        <v>-</v>
      </c>
      <c r="N21" s="655">
        <f t="shared" si="0"/>
        <v>0</v>
      </c>
      <c r="O21" s="655">
        <f t="shared" si="1"/>
        <v>126</v>
      </c>
      <c r="P21" s="564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46023</v>
      </c>
      <c r="J22" s="653">
        <v>46760.9</v>
      </c>
      <c r="K22" s="567">
        <v>0.6</v>
      </c>
      <c r="L22" s="646">
        <v>28056</v>
      </c>
      <c r="M22" s="654">
        <f>VLOOKUP(G:G,list!B:E,4,FALSE)</f>
        <v>0.1</v>
      </c>
      <c r="N22" s="655">
        <f t="shared" si="0"/>
        <v>2806</v>
      </c>
      <c r="O22" s="655">
        <f t="shared" si="1"/>
        <v>25250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46023</v>
      </c>
      <c r="J23" s="653">
        <v>180</v>
      </c>
      <c r="K23" s="567">
        <v>0.6</v>
      </c>
      <c r="L23" s="646">
        <v>108</v>
      </c>
      <c r="M23" s="654" t="str">
        <f>VLOOKUP(G:G,list!B:E,4,FALSE)</f>
        <v>-</v>
      </c>
      <c r="N23" s="655">
        <f t="shared" si="0"/>
        <v>0</v>
      </c>
      <c r="O23" s="655">
        <f t="shared" si="1"/>
        <v>108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46023</v>
      </c>
      <c r="J24" s="653">
        <v>62555.8</v>
      </c>
      <c r="K24" s="603">
        <v>0.6</v>
      </c>
      <c r="L24" s="646">
        <v>37534</v>
      </c>
      <c r="M24" s="654">
        <f>VLOOKUP(G:G,list!B:E,4,FALSE)</f>
        <v>0.1</v>
      </c>
      <c r="N24" s="655">
        <f t="shared" si="0"/>
        <v>3753</v>
      </c>
      <c r="O24" s="655">
        <f t="shared" si="1"/>
        <v>33781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46023</v>
      </c>
      <c r="J25" s="653">
        <v>180</v>
      </c>
      <c r="K25" s="603">
        <v>0.6</v>
      </c>
      <c r="L25" s="646">
        <v>108</v>
      </c>
      <c r="M25" s="654">
        <f>VLOOKUP(G:G,list!B:E,4,FALSE)</f>
        <v>0.1</v>
      </c>
      <c r="N25" s="655">
        <f t="shared" si="0"/>
        <v>11</v>
      </c>
      <c r="O25" s="655">
        <f t="shared" si="1"/>
        <v>97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46023</v>
      </c>
      <c r="J26" s="653">
        <v>45314.9</v>
      </c>
      <c r="K26" s="567">
        <v>0.6</v>
      </c>
      <c r="L26" s="646">
        <v>27189</v>
      </c>
      <c r="M26" s="654">
        <f>VLOOKUP(G:G,list!B:E,4,FALSE)</f>
        <v>0.1</v>
      </c>
      <c r="N26" s="655">
        <f t="shared" si="0"/>
        <v>2719</v>
      </c>
      <c r="O26" s="655">
        <f t="shared" si="1"/>
        <v>24470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46023</v>
      </c>
      <c r="J27" s="653">
        <v>31276.9</v>
      </c>
      <c r="K27" s="567">
        <v>0.6</v>
      </c>
      <c r="L27" s="646">
        <v>18766</v>
      </c>
      <c r="M27" s="654">
        <f>VLOOKUP(G:G,list!B:E,4,FALSE)</f>
        <v>0.1</v>
      </c>
      <c r="N27" s="655">
        <f t="shared" si="0"/>
        <v>1877</v>
      </c>
      <c r="O27" s="655">
        <f t="shared" si="1"/>
        <v>16889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46023</v>
      </c>
      <c r="J28" s="653">
        <v>11216</v>
      </c>
      <c r="K28" s="567">
        <v>0.6</v>
      </c>
      <c r="L28" s="646">
        <v>6730</v>
      </c>
      <c r="M28" s="654" t="str">
        <f>VLOOKUP(G:G,list!B:E,4,FALSE)</f>
        <v>-</v>
      </c>
      <c r="N28" s="655">
        <f t="shared" si="0"/>
        <v>0</v>
      </c>
      <c r="O28" s="655">
        <f t="shared" si="1"/>
        <v>6730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46023</v>
      </c>
      <c r="J29" s="653">
        <v>37242.9</v>
      </c>
      <c r="K29" s="567">
        <v>0.6</v>
      </c>
      <c r="L29" s="646">
        <v>22346</v>
      </c>
      <c r="M29" s="654">
        <f>VLOOKUP(G:G,list!B:E,4,FALSE)</f>
        <v>0.11</v>
      </c>
      <c r="N29" s="655">
        <f t="shared" si="0"/>
        <v>2458</v>
      </c>
      <c r="O29" s="655">
        <f t="shared" si="1"/>
        <v>19888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46023</v>
      </c>
      <c r="J30" s="653">
        <v>48924.9</v>
      </c>
      <c r="K30" s="567">
        <v>0.6</v>
      </c>
      <c r="L30" s="646">
        <v>29354</v>
      </c>
      <c r="M30" s="654" t="str">
        <f>VLOOKUP(G:G,list!B:E,4,FALSE)</f>
        <v>-</v>
      </c>
      <c r="N30" s="655">
        <f t="shared" si="0"/>
        <v>0</v>
      </c>
      <c r="O30" s="655">
        <f t="shared" si="1"/>
        <v>29354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46023</v>
      </c>
      <c r="J31" s="653">
        <v>56047.8</v>
      </c>
      <c r="K31" s="567">
        <v>0.6</v>
      </c>
      <c r="L31" s="646">
        <v>33629</v>
      </c>
      <c r="M31" s="654" t="str">
        <f>VLOOKUP(G:G,list!B:E,4,FALSE)</f>
        <v>-</v>
      </c>
      <c r="N31" s="655">
        <f t="shared" si="0"/>
        <v>0</v>
      </c>
      <c r="O31" s="655">
        <f t="shared" si="1"/>
        <v>33629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46023</v>
      </c>
      <c r="J32" s="653">
        <v>145196.6</v>
      </c>
      <c r="K32" s="567">
        <v>0.6</v>
      </c>
      <c r="L32" s="646">
        <v>87118</v>
      </c>
      <c r="M32" s="654">
        <f>VLOOKUP(G:G,list!B:E,4,FALSE)</f>
        <v>0.1</v>
      </c>
      <c r="N32" s="655">
        <f t="shared" si="0"/>
        <v>8712</v>
      </c>
      <c r="O32" s="655">
        <f t="shared" si="1"/>
        <v>78406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45992</v>
      </c>
      <c r="J33" s="653">
        <v>8613</v>
      </c>
      <c r="K33" s="674">
        <v>0.224</v>
      </c>
      <c r="L33" s="646">
        <v>1741</v>
      </c>
      <c r="M33" s="654">
        <f>VLOOKUP(G:G,list!B:E,4,FALSE)</f>
        <v>0.1</v>
      </c>
      <c r="N33" s="655">
        <f t="shared" si="0"/>
        <v>174</v>
      </c>
      <c r="O33" s="655">
        <f t="shared" si="1"/>
        <v>1567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45992</v>
      </c>
      <c r="J34" s="653">
        <v>925113</v>
      </c>
      <c r="K34" s="674">
        <v>0.224</v>
      </c>
      <c r="L34" s="646">
        <v>186505</v>
      </c>
      <c r="M34" s="654">
        <f>VLOOKUP(G:G,list!B:E,4,FALSE)</f>
        <v>0.1</v>
      </c>
      <c r="N34" s="655">
        <f t="shared" si="0"/>
        <v>18651</v>
      </c>
      <c r="O34" s="655">
        <f t="shared" si="1"/>
        <v>167854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45992</v>
      </c>
      <c r="J35" s="653">
        <v>3445</v>
      </c>
      <c r="K35" s="674">
        <v>0.224</v>
      </c>
      <c r="L35" s="646">
        <v>708</v>
      </c>
      <c r="M35" s="654" t="str">
        <f>VLOOKUP(G:G,list!B:E,4,FALSE)</f>
        <v>-</v>
      </c>
      <c r="N35" s="655">
        <f t="shared" si="0"/>
        <v>0</v>
      </c>
      <c r="O35" s="655">
        <f t="shared" si="1"/>
        <v>708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45992</v>
      </c>
      <c r="J36" s="653">
        <v>111978</v>
      </c>
      <c r="K36" s="674">
        <v>0.224</v>
      </c>
      <c r="L36" s="646">
        <v>22579</v>
      </c>
      <c r="M36" s="654">
        <f>VLOOKUP(G:G,list!B:E,4,FALSE)</f>
        <v>0.1</v>
      </c>
      <c r="N36" s="655">
        <f t="shared" si="0"/>
        <v>2258</v>
      </c>
      <c r="O36" s="655">
        <f t="shared" si="1"/>
        <v>20321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45992</v>
      </c>
      <c r="J37" s="653">
        <v>167106</v>
      </c>
      <c r="K37" s="674">
        <v>0.224</v>
      </c>
      <c r="L37" s="646">
        <v>33694</v>
      </c>
      <c r="M37" s="654">
        <f>VLOOKUP(G:G,list!B:E,4,FALSE)</f>
        <v>0.11</v>
      </c>
      <c r="N37" s="655">
        <f t="shared" si="0"/>
        <v>3706</v>
      </c>
      <c r="O37" s="655">
        <f t="shared" si="1"/>
        <v>29988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45992</v>
      </c>
      <c r="J38" s="653">
        <v>182610</v>
      </c>
      <c r="K38" s="674">
        <v>0.224</v>
      </c>
      <c r="L38" s="646">
        <v>36819</v>
      </c>
      <c r="M38" s="654">
        <f>VLOOKUP(G:G,list!B:E,4,FALSE)</f>
        <v>0.1</v>
      </c>
      <c r="N38" s="655">
        <f t="shared" si="0"/>
        <v>3682</v>
      </c>
      <c r="O38" s="655">
        <f t="shared" si="1"/>
        <v>33137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45992</v>
      </c>
      <c r="J39" s="653">
        <v>149304</v>
      </c>
      <c r="K39" s="674">
        <v>0.224</v>
      </c>
      <c r="L39" s="646">
        <v>30102</v>
      </c>
      <c r="M39" s="654" t="str">
        <f>VLOOKUP(G:G,list!B:E,4,FALSE)</f>
        <v>-</v>
      </c>
      <c r="N39" s="655">
        <f t="shared" si="0"/>
        <v>0</v>
      </c>
      <c r="O39" s="655">
        <f t="shared" si="1"/>
        <v>30102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45992</v>
      </c>
      <c r="J40" s="653">
        <v>2305031</v>
      </c>
      <c r="K40" s="674">
        <v>0.224</v>
      </c>
      <c r="L40" s="646">
        <v>464701</v>
      </c>
      <c r="M40" s="654">
        <f>VLOOKUP(G:G,list!B:E,4,FALSE)</f>
        <v>0.1</v>
      </c>
      <c r="N40" s="655">
        <f t="shared" si="0"/>
        <v>46470</v>
      </c>
      <c r="O40" s="655">
        <f t="shared" si="1"/>
        <v>418231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45992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45992</v>
      </c>
      <c r="J42" s="653">
        <v>39623</v>
      </c>
      <c r="K42" s="674">
        <v>0.224</v>
      </c>
      <c r="L42" s="646">
        <v>7990</v>
      </c>
      <c r="M42" s="654">
        <f>VLOOKUP(G:G,list!B:E,4,FALSE)</f>
        <v>0.1</v>
      </c>
      <c r="N42" s="655">
        <f t="shared" si="0"/>
        <v>799</v>
      </c>
      <c r="O42" s="655">
        <f t="shared" si="1"/>
        <v>7191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45992</v>
      </c>
      <c r="J43" s="653">
        <v>1798544</v>
      </c>
      <c r="K43" s="674">
        <v>0.224</v>
      </c>
      <c r="L43" s="646">
        <v>362591</v>
      </c>
      <c r="M43" s="654">
        <f>VLOOKUP(G:G,list!B:E,4,FALSE)</f>
        <v>0.1</v>
      </c>
      <c r="N43" s="655">
        <f t="shared" si="0"/>
        <v>36259</v>
      </c>
      <c r="O43" s="655">
        <f t="shared" si="1"/>
        <v>326332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45992</v>
      </c>
      <c r="J44" s="653">
        <v>455378</v>
      </c>
      <c r="K44" s="674">
        <v>0.224</v>
      </c>
      <c r="L44" s="646">
        <v>91809</v>
      </c>
      <c r="M44" s="654" t="str">
        <f>VLOOKUP(G:G,list!B:E,4,FALSE)</f>
        <v>-</v>
      </c>
      <c r="N44" s="655">
        <f t="shared" si="0"/>
        <v>0</v>
      </c>
      <c r="O44" s="655">
        <f t="shared" si="1"/>
        <v>91809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32</v>
      </c>
      <c r="E45" s="564" t="s">
        <v>62</v>
      </c>
      <c r="F45" s="564" t="s">
        <v>126</v>
      </c>
      <c r="G45" s="564" t="s">
        <v>364</v>
      </c>
      <c r="H45" s="565">
        <v>45901</v>
      </c>
      <c r="I45" s="652">
        <v>46023</v>
      </c>
      <c r="J45" s="653">
        <v>2015</v>
      </c>
      <c r="K45" s="674">
        <v>0.35</v>
      </c>
      <c r="L45" s="646">
        <v>705</v>
      </c>
      <c r="M45" s="654">
        <f>VLOOKUP(G:G,list!B:E,4,FALSE)</f>
        <v>0.1</v>
      </c>
      <c r="N45" s="655">
        <f t="shared" si="0"/>
        <v>71</v>
      </c>
      <c r="O45" s="655">
        <f t="shared" si="1"/>
        <v>634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46023</v>
      </c>
      <c r="J46" s="653">
        <v>1620</v>
      </c>
      <c r="K46" s="600" t="s">
        <v>532</v>
      </c>
      <c r="L46" s="646">
        <v>675</v>
      </c>
      <c r="M46" s="654" t="str">
        <f>VLOOKUP(G:G,list!B:E,4,FALSE)</f>
        <v>-</v>
      </c>
      <c r="N46" s="655">
        <f t="shared" si="0"/>
        <v>0</v>
      </c>
      <c r="O46" s="655">
        <f t="shared" si="1"/>
        <v>675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46023</v>
      </c>
      <c r="J47" s="653">
        <v>0</v>
      </c>
      <c r="K47" s="600" t="s">
        <v>532</v>
      </c>
      <c r="L47" s="646">
        <v>0</v>
      </c>
      <c r="M47" s="654" t="str">
        <f>VLOOKUP(G:G,list!B:E,4,FALSE)</f>
        <v>-</v>
      </c>
      <c r="N47" s="655">
        <f t="shared" si="0"/>
        <v>0</v>
      </c>
      <c r="O47" s="655">
        <f t="shared" si="1"/>
        <v>0</v>
      </c>
      <c r="P47" s="564" t="s">
        <v>366</v>
      </c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80">
        <v>45992</v>
      </c>
      <c r="J48" s="653">
        <v>98894</v>
      </c>
      <c r="K48" s="600">
        <v>0.5</v>
      </c>
      <c r="L48" s="646">
        <v>49447</v>
      </c>
      <c r="M48" s="654" t="str">
        <f>VLOOKUP(G:G,list!B:E,4,FALSE)</f>
        <v>-</v>
      </c>
      <c r="N48" s="655">
        <f t="shared" si="0"/>
        <v>0</v>
      </c>
      <c r="O48" s="655">
        <f t="shared" si="1"/>
        <v>49447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80">
        <v>45992</v>
      </c>
      <c r="J49" s="653">
        <v>10759</v>
      </c>
      <c r="K49" s="600">
        <v>0.5</v>
      </c>
      <c r="L49" s="646">
        <v>5380</v>
      </c>
      <c r="M49" s="654" t="str">
        <f>VLOOKUP(G:G,list!B:E,4,FALSE)</f>
        <v>-</v>
      </c>
      <c r="N49" s="655">
        <f t="shared" si="0"/>
        <v>0</v>
      </c>
      <c r="O49" s="655">
        <f t="shared" si="1"/>
        <v>5380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46023</v>
      </c>
      <c r="J50" s="653">
        <v>75560</v>
      </c>
      <c r="K50" s="567">
        <v>0.4</v>
      </c>
      <c r="L50" s="646">
        <v>30224</v>
      </c>
      <c r="M50" s="654">
        <f>VLOOKUP(G:G,list!B:E,4,FALSE)</f>
        <v>0.1</v>
      </c>
      <c r="N50" s="655">
        <f t="shared" si="0"/>
        <v>3022</v>
      </c>
      <c r="O50" s="655">
        <f t="shared" si="1"/>
        <v>27202</v>
      </c>
      <c r="P50" s="564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46023</v>
      </c>
      <c r="J51" s="653">
        <v>90510</v>
      </c>
      <c r="K51" s="600">
        <v>0.4</v>
      </c>
      <c r="L51" s="646">
        <v>36204</v>
      </c>
      <c r="M51" s="654" t="str">
        <f>VLOOKUP(G:G,list!B:E,4,FALSE)</f>
        <v>-</v>
      </c>
      <c r="N51" s="655">
        <f t="shared" si="0"/>
        <v>0</v>
      </c>
      <c r="O51" s="655">
        <f t="shared" si="1"/>
        <v>36204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46023</v>
      </c>
      <c r="J52" s="653">
        <v>858</v>
      </c>
      <c r="K52" s="600">
        <v>0.4</v>
      </c>
      <c r="L52" s="646">
        <v>343</v>
      </c>
      <c r="M52" s="654" t="str">
        <f>VLOOKUP(G:G,list!B:E,4,FALSE)</f>
        <v>-</v>
      </c>
      <c r="N52" s="655">
        <f t="shared" si="0"/>
        <v>0</v>
      </c>
      <c r="O52" s="655">
        <f t="shared" si="1"/>
        <v>343</v>
      </c>
      <c r="P52" s="564"/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46023</v>
      </c>
      <c r="J53" s="653">
        <v>0</v>
      </c>
      <c r="K53" s="600">
        <v>0.4</v>
      </c>
      <c r="L53" s="646">
        <v>0</v>
      </c>
      <c r="M53" s="654" t="str">
        <f>VLOOKUP(G:G,list!B:E,4,FALSE)</f>
        <v>-</v>
      </c>
      <c r="N53" s="655">
        <f t="shared" si="0"/>
        <v>0</v>
      </c>
      <c r="O53" s="655">
        <f t="shared" si="1"/>
        <v>0</v>
      </c>
      <c r="P53" s="564" t="s">
        <v>366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46023</v>
      </c>
      <c r="J54" s="653">
        <v>9595</v>
      </c>
      <c r="K54" s="600">
        <v>0.4</v>
      </c>
      <c r="L54" s="646">
        <v>3838</v>
      </c>
      <c r="M54" s="654" t="str">
        <f>VLOOKUP(G:G,list!B:E,4,FALSE)</f>
        <v>-</v>
      </c>
      <c r="N54" s="655">
        <f t="shared" si="0"/>
        <v>0</v>
      </c>
      <c r="O54" s="655">
        <f t="shared" si="1"/>
        <v>3838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46023</v>
      </c>
      <c r="J55" s="653">
        <v>0</v>
      </c>
      <c r="K55" s="600">
        <v>0.4</v>
      </c>
      <c r="L55" s="646">
        <v>0</v>
      </c>
      <c r="M55" s="654">
        <f>VLOOKUP(G:G,list!B:E,4,FALSE)</f>
        <v>0.1</v>
      </c>
      <c r="N55" s="655">
        <f t="shared" si="0"/>
        <v>0</v>
      </c>
      <c r="O55" s="655">
        <f t="shared" si="1"/>
        <v>0</v>
      </c>
      <c r="P55" s="564" t="s">
        <v>366</v>
      </c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46023</v>
      </c>
      <c r="J56" s="653">
        <v>840</v>
      </c>
      <c r="K56" s="603">
        <v>0.5</v>
      </c>
      <c r="L56" s="646">
        <v>420</v>
      </c>
      <c r="M56" s="654" t="str">
        <f>VLOOKUP(G:G,list!B:E,4,FALSE)</f>
        <v>-</v>
      </c>
      <c r="N56" s="655">
        <f t="shared" si="0"/>
        <v>0</v>
      </c>
      <c r="O56" s="655">
        <f t="shared" si="1"/>
        <v>420</v>
      </c>
      <c r="P56" s="564"/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46023</v>
      </c>
      <c r="J57" s="653">
        <v>32886</v>
      </c>
      <c r="K57" s="603">
        <v>0.5</v>
      </c>
      <c r="L57" s="646">
        <v>16443</v>
      </c>
      <c r="M57" s="654" t="str">
        <f>VLOOKUP(G:G,list!B:E,4,FALSE)</f>
        <v>-</v>
      </c>
      <c r="N57" s="655">
        <f t="shared" si="0"/>
        <v>0</v>
      </c>
      <c r="O57" s="655">
        <f t="shared" si="1"/>
        <v>16443</v>
      </c>
      <c r="P57" s="564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45992</v>
      </c>
      <c r="J58" s="653">
        <v>51153</v>
      </c>
      <c r="K58" s="603">
        <v>0.3</v>
      </c>
      <c r="L58" s="646">
        <v>15346</v>
      </c>
      <c r="M58" s="654" t="str">
        <f>VLOOKUP(G:G,list!B:E,4,FALSE)</f>
        <v>-</v>
      </c>
      <c r="N58" s="655">
        <f t="shared" si="0"/>
        <v>0</v>
      </c>
      <c r="O58" s="655">
        <f t="shared" si="1"/>
        <v>15346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45992</v>
      </c>
      <c r="J59" s="653">
        <v>14008</v>
      </c>
      <c r="K59" s="603">
        <v>0.5</v>
      </c>
      <c r="L59" s="646">
        <v>7004</v>
      </c>
      <c r="M59" s="654">
        <f>VLOOKUP(G:G,list!B:E,4,FALSE)</f>
        <v>0.1</v>
      </c>
      <c r="N59" s="655">
        <f t="shared" si="0"/>
        <v>700</v>
      </c>
      <c r="O59" s="655">
        <f t="shared" si="1"/>
        <v>6304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45992</v>
      </c>
      <c r="J60" s="653">
        <v>13658</v>
      </c>
      <c r="K60" s="603">
        <v>0.5</v>
      </c>
      <c r="L60" s="646">
        <v>6829</v>
      </c>
      <c r="M60" s="654" t="str">
        <f>VLOOKUP(G:G,list!B:E,4,FALSE)</f>
        <v>-</v>
      </c>
      <c r="N60" s="655">
        <f t="shared" si="0"/>
        <v>0</v>
      </c>
      <c r="O60" s="655">
        <f t="shared" si="1"/>
        <v>6829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45992</v>
      </c>
      <c r="J61" s="653">
        <v>45588</v>
      </c>
      <c r="K61" s="603">
        <v>0.5</v>
      </c>
      <c r="L61" s="646">
        <v>22794</v>
      </c>
      <c r="M61" s="654">
        <f>VLOOKUP(G:G,list!B:E,4,FALSE)</f>
        <v>0.1</v>
      </c>
      <c r="N61" s="655">
        <f t="shared" si="0"/>
        <v>2279</v>
      </c>
      <c r="O61" s="655">
        <f t="shared" si="1"/>
        <v>20515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45992</v>
      </c>
      <c r="J62" s="653">
        <v>21420</v>
      </c>
      <c r="K62" s="603">
        <v>0.5</v>
      </c>
      <c r="L62" s="646">
        <v>10710</v>
      </c>
      <c r="M62" s="654">
        <f>VLOOKUP(G:G,list!B:E,4,FALSE)</f>
        <v>0.11</v>
      </c>
      <c r="N62" s="655">
        <f t="shared" si="0"/>
        <v>1178</v>
      </c>
      <c r="O62" s="655">
        <f t="shared" si="1"/>
        <v>9532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45992</v>
      </c>
      <c r="J63" s="653">
        <v>665518</v>
      </c>
      <c r="K63" s="603">
        <v>0.7</v>
      </c>
      <c r="L63" s="646">
        <v>466001</v>
      </c>
      <c r="M63" s="654">
        <f>VLOOKUP(G:G,list!B:E,4,FALSE)</f>
        <v>0.1</v>
      </c>
      <c r="N63" s="655">
        <f t="shared" si="0"/>
        <v>46600</v>
      </c>
      <c r="O63" s="655">
        <f t="shared" si="1"/>
        <v>419401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45992</v>
      </c>
      <c r="J64" s="653">
        <v>488699.01619400003</v>
      </c>
      <c r="K64" s="603">
        <v>0.35</v>
      </c>
      <c r="L64" s="646">
        <v>171045</v>
      </c>
      <c r="M64" s="654">
        <f>VLOOKUP(G:G,list!B:E,4,FALSE)</f>
        <v>0.1</v>
      </c>
      <c r="N64" s="655">
        <f t="shared" si="0"/>
        <v>17105</v>
      </c>
      <c r="O64" s="655">
        <f t="shared" si="1"/>
        <v>153940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538</v>
      </c>
      <c r="E65" s="564" t="s">
        <v>9</v>
      </c>
      <c r="F65" s="564" t="s">
        <v>519</v>
      </c>
      <c r="G65" s="564" t="s">
        <v>316</v>
      </c>
      <c r="H65" s="565">
        <v>45446</v>
      </c>
      <c r="I65" s="652">
        <v>46023</v>
      </c>
      <c r="J65" s="653">
        <v>0</v>
      </c>
      <c r="K65" s="603">
        <v>0.7</v>
      </c>
      <c r="L65" s="646">
        <v>0</v>
      </c>
      <c r="M65" s="654">
        <f>VLOOKUP(G:G,list!B:E,4,FALSE)</f>
        <v>0.1</v>
      </c>
      <c r="N65" s="655">
        <f t="shared" si="0"/>
        <v>0</v>
      </c>
      <c r="O65" s="655">
        <f t="shared" si="1"/>
        <v>0</v>
      </c>
      <c r="P65" s="564" t="s">
        <v>366</v>
      </c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549</v>
      </c>
      <c r="E66" s="564" t="s">
        <v>9</v>
      </c>
      <c r="F66" s="564" t="s">
        <v>519</v>
      </c>
      <c r="G66" s="564" t="s">
        <v>316</v>
      </c>
      <c r="H66" s="565">
        <v>45524</v>
      </c>
      <c r="I66" s="652">
        <v>46023</v>
      </c>
      <c r="J66" s="653">
        <v>0</v>
      </c>
      <c r="K66" s="603">
        <v>0.7</v>
      </c>
      <c r="L66" s="646">
        <v>0</v>
      </c>
      <c r="M66" s="654">
        <f>VLOOKUP(G:G,list!B:E,4,FALSE)</f>
        <v>0.1</v>
      </c>
      <c r="N66" s="655">
        <f t="shared" si="0"/>
        <v>0</v>
      </c>
      <c r="O66" s="655">
        <f t="shared" si="1"/>
        <v>0</v>
      </c>
      <c r="P66" s="564" t="s">
        <v>366</v>
      </c>
      <c r="Q66" s="672" t="str">
        <f>VLOOKUP(G:G,list!B:F,5,FALSE)</f>
        <v>웹소설본부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123</v>
      </c>
      <c r="E67" s="564" t="s">
        <v>9</v>
      </c>
      <c r="F67" s="564" t="s">
        <v>519</v>
      </c>
      <c r="G67" s="564" t="s">
        <v>316</v>
      </c>
      <c r="H67" s="565">
        <v>45536</v>
      </c>
      <c r="I67" s="652">
        <v>46023</v>
      </c>
      <c r="J67" s="653">
        <v>0</v>
      </c>
      <c r="K67" s="603">
        <v>0.7</v>
      </c>
      <c r="L67" s="646">
        <v>0</v>
      </c>
      <c r="M67" s="654">
        <f>VLOOKUP(G:G,list!B:E,4,FALSE)</f>
        <v>0.1</v>
      </c>
      <c r="N67" s="655">
        <f t="shared" si="0"/>
        <v>0</v>
      </c>
      <c r="O67" s="655">
        <f t="shared" si="1"/>
        <v>0</v>
      </c>
      <c r="P67" s="564" t="s">
        <v>366</v>
      </c>
      <c r="Q67" s="672" t="str">
        <f>VLOOKUP(G:G,list!B:F,5,FALSE)</f>
        <v>웹소설본부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132</v>
      </c>
      <c r="E68" s="564" t="s">
        <v>9</v>
      </c>
      <c r="F68" s="564" t="s">
        <v>519</v>
      </c>
      <c r="G68" s="564" t="s">
        <v>316</v>
      </c>
      <c r="H68" s="565">
        <v>44945</v>
      </c>
      <c r="I68" s="652">
        <v>46023</v>
      </c>
      <c r="J68" s="653">
        <v>0</v>
      </c>
      <c r="K68" s="603">
        <v>0.5</v>
      </c>
      <c r="L68" s="646">
        <v>0</v>
      </c>
      <c r="M68" s="654">
        <f>VLOOKUP(G:G,list!B:E,4,FALSE)</f>
        <v>0.1</v>
      </c>
      <c r="N68" s="655">
        <f t="shared" si="0"/>
        <v>0</v>
      </c>
      <c r="O68" s="655">
        <f t="shared" si="1"/>
        <v>0</v>
      </c>
      <c r="P68" s="564" t="s">
        <v>366</v>
      </c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183</v>
      </c>
      <c r="E69" s="564" t="s">
        <v>9</v>
      </c>
      <c r="F69" s="564" t="s">
        <v>519</v>
      </c>
      <c r="G69" s="564" t="s">
        <v>316</v>
      </c>
      <c r="H69" s="565">
        <v>45702</v>
      </c>
      <c r="I69" s="652">
        <v>46023</v>
      </c>
      <c r="J69" s="653">
        <v>0</v>
      </c>
      <c r="K69" s="603">
        <v>0.7</v>
      </c>
      <c r="L69" s="646">
        <v>0</v>
      </c>
      <c r="M69" s="654">
        <f>VLOOKUP(G:G,list!B:E,4,FALSE)</f>
        <v>0.1</v>
      </c>
      <c r="N69" s="655">
        <f t="shared" si="0"/>
        <v>0</v>
      </c>
      <c r="O69" s="655">
        <f t="shared" si="1"/>
        <v>0</v>
      </c>
      <c r="P69" s="564" t="s">
        <v>366</v>
      </c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617</v>
      </c>
      <c r="E70" s="564" t="s">
        <v>9</v>
      </c>
      <c r="F70" s="564" t="s">
        <v>519</v>
      </c>
      <c r="G70" s="564" t="s">
        <v>316</v>
      </c>
      <c r="H70" s="565">
        <v>45534</v>
      </c>
      <c r="I70" s="652">
        <v>46023</v>
      </c>
      <c r="J70" s="653">
        <v>0</v>
      </c>
      <c r="K70" s="603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132</v>
      </c>
      <c r="E71" s="564" t="s">
        <v>9</v>
      </c>
      <c r="F71" s="564" t="s">
        <v>519</v>
      </c>
      <c r="G71" s="564" t="s">
        <v>56</v>
      </c>
      <c r="H71" s="565">
        <v>44952</v>
      </c>
      <c r="I71" s="652">
        <v>46023</v>
      </c>
      <c r="J71" s="653">
        <v>0</v>
      </c>
      <c r="K71" s="567">
        <v>0.5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564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56</v>
      </c>
      <c r="H72" s="565">
        <v>45503</v>
      </c>
      <c r="I72" s="652">
        <v>46023</v>
      </c>
      <c r="J72" s="653">
        <v>0</v>
      </c>
      <c r="K72" s="567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56</v>
      </c>
      <c r="H73" s="565">
        <v>45547</v>
      </c>
      <c r="I73" s="652">
        <v>46023</v>
      </c>
      <c r="J73" s="653">
        <v>0</v>
      </c>
      <c r="K73" s="567">
        <v>0.5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30</v>
      </c>
      <c r="H74" s="565">
        <v>44953</v>
      </c>
      <c r="I74" s="652">
        <v>46023</v>
      </c>
      <c r="J74" s="653">
        <v>0</v>
      </c>
      <c r="K74" s="567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작가기획</v>
      </c>
      <c r="D75" s="564" t="s">
        <v>132</v>
      </c>
      <c r="E75" s="564" t="s">
        <v>9</v>
      </c>
      <c r="F75" s="564" t="s">
        <v>519</v>
      </c>
      <c r="G75" s="564" t="s">
        <v>308</v>
      </c>
      <c r="H75" s="565">
        <v>44992</v>
      </c>
      <c r="I75" s="652">
        <v>46023</v>
      </c>
      <c r="J75" s="653">
        <v>0</v>
      </c>
      <c r="K75" s="603">
        <v>0.5</v>
      </c>
      <c r="L75" s="646">
        <v>0</v>
      </c>
      <c r="M75" s="654" t="str">
        <f>VLOOKUP(G:G,list!B:E,4,FALSE)</f>
        <v>-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-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작가기획</v>
      </c>
      <c r="D76" s="564" t="s">
        <v>538</v>
      </c>
      <c r="E76" s="564" t="s">
        <v>9</v>
      </c>
      <c r="F76" s="564" t="s">
        <v>519</v>
      </c>
      <c r="G76" s="564" t="s">
        <v>308</v>
      </c>
      <c r="H76" s="565">
        <v>45610</v>
      </c>
      <c r="I76" s="652">
        <v>46023</v>
      </c>
      <c r="J76" s="653">
        <v>0</v>
      </c>
      <c r="K76" s="603">
        <v>0.5</v>
      </c>
      <c r="L76" s="646">
        <v>0</v>
      </c>
      <c r="M76" s="654" t="str">
        <f>VLOOKUP(G:G,list!B:E,4,FALSE)</f>
        <v>-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-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작가기획</v>
      </c>
      <c r="D77" s="564" t="s">
        <v>132</v>
      </c>
      <c r="E77" s="564" t="s">
        <v>9</v>
      </c>
      <c r="F77" s="564" t="s">
        <v>519</v>
      </c>
      <c r="G77" s="564" t="s">
        <v>36</v>
      </c>
      <c r="H77" s="565">
        <v>45198</v>
      </c>
      <c r="I77" s="652">
        <v>46023</v>
      </c>
      <c r="J77" s="653">
        <v>7182</v>
      </c>
      <c r="K77" s="603">
        <v>0.5</v>
      </c>
      <c r="L77" s="646">
        <v>3591</v>
      </c>
      <c r="M77" s="654" t="str">
        <f>VLOOKUP(G:G,list!B:E,4,FALSE)</f>
        <v>-</v>
      </c>
      <c r="N77" s="655">
        <f t="shared" si="0"/>
        <v>0</v>
      </c>
      <c r="O77" s="655">
        <f t="shared" si="1"/>
        <v>3591</v>
      </c>
      <c r="P77" s="564"/>
      <c r="Q77" s="672" t="str">
        <f>VLOOKUP(G:G,list!B:F,5,FALSE)</f>
        <v>-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작가기획</v>
      </c>
      <c r="D78" s="564" t="s">
        <v>538</v>
      </c>
      <c r="E78" s="564" t="s">
        <v>9</v>
      </c>
      <c r="F78" s="564" t="s">
        <v>519</v>
      </c>
      <c r="G78" s="564" t="s">
        <v>36</v>
      </c>
      <c r="H78" s="565">
        <v>45479</v>
      </c>
      <c r="I78" s="652">
        <v>46023</v>
      </c>
      <c r="J78" s="653">
        <v>0</v>
      </c>
      <c r="K78" s="603">
        <v>0.5</v>
      </c>
      <c r="L78" s="646">
        <v>0</v>
      </c>
      <c r="M78" s="654" t="str">
        <f>VLOOKUP(G:G,list!B:E,4,FALSE)</f>
        <v>-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549</v>
      </c>
      <c r="E79" s="564" t="s">
        <v>9</v>
      </c>
      <c r="F79" s="564" t="s">
        <v>519</v>
      </c>
      <c r="G79" s="564" t="s">
        <v>36</v>
      </c>
      <c r="H79" s="565">
        <v>45531</v>
      </c>
      <c r="I79" s="652">
        <v>46023</v>
      </c>
      <c r="J79" s="653">
        <v>0</v>
      </c>
      <c r="K79" s="603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123</v>
      </c>
      <c r="E80" s="564" t="s">
        <v>9</v>
      </c>
      <c r="F80" s="564" t="s">
        <v>519</v>
      </c>
      <c r="G80" s="564" t="s">
        <v>36</v>
      </c>
      <c r="H80" s="565">
        <v>45555</v>
      </c>
      <c r="I80" s="652">
        <v>46023</v>
      </c>
      <c r="J80" s="653">
        <v>0</v>
      </c>
      <c r="K80" s="603">
        <v>0.5</v>
      </c>
      <c r="L80" s="646">
        <v>0</v>
      </c>
      <c r="M80" s="654" t="str">
        <f>VLOOKUP(G:G,list!B:E,4,FALSE)</f>
        <v>-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139</v>
      </c>
      <c r="H81" s="565">
        <v>45276</v>
      </c>
      <c r="I81" s="652">
        <v>46023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139</v>
      </c>
      <c r="H82" s="565">
        <v>45534</v>
      </c>
      <c r="I82" s="652">
        <v>46023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123</v>
      </c>
      <c r="E83" s="564" t="s">
        <v>9</v>
      </c>
      <c r="F83" s="564" t="s">
        <v>519</v>
      </c>
      <c r="G83" s="564" t="s">
        <v>139</v>
      </c>
      <c r="H83" s="565">
        <v>45656</v>
      </c>
      <c r="I83" s="652">
        <v>46023</v>
      </c>
      <c r="J83" s="653">
        <v>0</v>
      </c>
      <c r="K83" s="603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외부제작</v>
      </c>
      <c r="D84" s="564" t="s">
        <v>123</v>
      </c>
      <c r="E84" s="564" t="s">
        <v>9</v>
      </c>
      <c r="F84" s="564" t="s">
        <v>519</v>
      </c>
      <c r="G84" s="564" t="s">
        <v>315</v>
      </c>
      <c r="H84" s="565">
        <v>45673</v>
      </c>
      <c r="I84" s="652">
        <v>46023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N</v>
      </c>
    </row>
    <row r="85" spans="2:18" ht="18" customHeight="1">
      <c r="B85" s="650">
        <v>80</v>
      </c>
      <c r="C85" s="651" t="str">
        <f>VLOOKUP(G:G,list!B:D,2,FALSE)</f>
        <v>원작료</v>
      </c>
      <c r="D85" s="564" t="s">
        <v>182</v>
      </c>
      <c r="E85" s="564" t="s">
        <v>115</v>
      </c>
      <c r="F85" s="564" t="s">
        <v>283</v>
      </c>
      <c r="G85" s="564" t="s">
        <v>30</v>
      </c>
      <c r="H85" s="565">
        <v>44358</v>
      </c>
      <c r="I85" s="652">
        <v>45962</v>
      </c>
      <c r="J85" s="653">
        <v>39873</v>
      </c>
      <c r="K85" s="603">
        <v>0.5</v>
      </c>
      <c r="L85" s="646">
        <v>19937</v>
      </c>
      <c r="M85" s="654">
        <f>VLOOKUP(G:G,list!B:E,4,FALSE)</f>
        <v>0.1</v>
      </c>
      <c r="N85" s="655">
        <f t="shared" si="0"/>
        <v>1994</v>
      </c>
      <c r="O85" s="655">
        <f t="shared" si="1"/>
        <v>17943</v>
      </c>
      <c r="P85" s="564"/>
      <c r="Q85" s="672" t="str">
        <f>VLOOKUP(G:G,list!B:F,5,FALSE)</f>
        <v>웹소설본부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원작료</v>
      </c>
      <c r="D86" s="564" t="s">
        <v>182</v>
      </c>
      <c r="E86" s="564" t="s">
        <v>115</v>
      </c>
      <c r="F86" s="564" t="s">
        <v>283</v>
      </c>
      <c r="G86" s="564" t="s">
        <v>56</v>
      </c>
      <c r="H86" s="565">
        <v>44391</v>
      </c>
      <c r="I86" s="652">
        <v>45962</v>
      </c>
      <c r="J86" s="653">
        <v>194009</v>
      </c>
      <c r="K86" s="603">
        <v>0.5</v>
      </c>
      <c r="L86" s="646">
        <v>97005</v>
      </c>
      <c r="M86" s="654">
        <f>VLOOKUP(G:G,list!B:E,4,FALSE)</f>
        <v>0.1</v>
      </c>
      <c r="N86" s="655">
        <f t="shared" si="0"/>
        <v>9701</v>
      </c>
      <c r="O86" s="655">
        <f t="shared" si="1"/>
        <v>87304</v>
      </c>
      <c r="P86" s="564"/>
      <c r="Q86" s="672" t="str">
        <f>VLOOKUP(G:G,list!B:F,5,FALSE)</f>
        <v>웹소설본부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원작료</v>
      </c>
      <c r="D87" s="564" t="s">
        <v>182</v>
      </c>
      <c r="E87" s="564" t="s">
        <v>115</v>
      </c>
      <c r="F87" s="564" t="s">
        <v>283</v>
      </c>
      <c r="G87" s="564" t="s">
        <v>316</v>
      </c>
      <c r="H87" s="565">
        <v>44969</v>
      </c>
      <c r="I87" s="652">
        <v>45962</v>
      </c>
      <c r="J87" s="653">
        <v>9391</v>
      </c>
      <c r="K87" s="603">
        <v>0.5</v>
      </c>
      <c r="L87" s="646">
        <v>4696</v>
      </c>
      <c r="M87" s="654">
        <f>VLOOKUP(G:G,list!B:E,4,FALSE)</f>
        <v>0.1</v>
      </c>
      <c r="N87" s="655">
        <f t="shared" si="0"/>
        <v>470</v>
      </c>
      <c r="O87" s="655">
        <f t="shared" si="1"/>
        <v>4226</v>
      </c>
      <c r="P87" s="564"/>
      <c r="Q87" s="672" t="str">
        <f>VLOOKUP(G:G,list!B:F,5,FALSE)</f>
        <v>웹소설본부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182</v>
      </c>
      <c r="E88" s="564" t="s">
        <v>115</v>
      </c>
      <c r="F88" s="564" t="s">
        <v>550</v>
      </c>
      <c r="G88" s="564" t="s">
        <v>308</v>
      </c>
      <c r="H88" s="565">
        <v>45347</v>
      </c>
      <c r="I88" s="652">
        <v>45962</v>
      </c>
      <c r="J88" s="653">
        <v>0</v>
      </c>
      <c r="K88" s="603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564" t="s">
        <v>366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550</v>
      </c>
      <c r="G89" s="564" t="s">
        <v>316</v>
      </c>
      <c r="H89" s="565">
        <v>45359</v>
      </c>
      <c r="I89" s="652">
        <v>45962</v>
      </c>
      <c r="J89" s="653">
        <v>0</v>
      </c>
      <c r="K89" s="603">
        <v>0.5</v>
      </c>
      <c r="L89" s="646">
        <v>0</v>
      </c>
      <c r="M89" s="654">
        <f>VLOOKUP(G:G,list!B:E,4,FALSE)</f>
        <v>0.1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264</v>
      </c>
      <c r="G90" s="564" t="s">
        <v>56</v>
      </c>
      <c r="H90" s="565">
        <v>45941</v>
      </c>
      <c r="I90" s="652">
        <v>45992</v>
      </c>
      <c r="J90" s="653">
        <v>4661522</v>
      </c>
      <c r="K90" s="603">
        <v>0.5</v>
      </c>
      <c r="L90" s="646">
        <v>2330761</v>
      </c>
      <c r="M90" s="654">
        <f>VLOOKUP(G:G,list!B:E,4,FALSE)</f>
        <v>0.1</v>
      </c>
      <c r="N90" s="655">
        <f t="shared" si="0"/>
        <v>233076</v>
      </c>
      <c r="O90" s="655">
        <f t="shared" si="1"/>
        <v>2097685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264</v>
      </c>
      <c r="G91" s="564" t="s">
        <v>30</v>
      </c>
      <c r="H91" s="565">
        <v>45991</v>
      </c>
      <c r="I91" s="652">
        <v>45992</v>
      </c>
      <c r="J91" s="653">
        <v>1226421</v>
      </c>
      <c r="K91" s="603">
        <v>0.5</v>
      </c>
      <c r="L91" s="646">
        <v>613211</v>
      </c>
      <c r="M91" s="654">
        <f>VLOOKUP(G:G,list!B:E,4,FALSE)</f>
        <v>0.1</v>
      </c>
      <c r="N91" s="655">
        <f t="shared" si="0"/>
        <v>61321</v>
      </c>
      <c r="O91" s="655">
        <f t="shared" si="1"/>
        <v>551890</v>
      </c>
      <c r="P91" s="564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32</v>
      </c>
      <c r="E92" s="564" t="s">
        <v>9</v>
      </c>
      <c r="F92" s="564" t="s">
        <v>31</v>
      </c>
      <c r="G92" s="564" t="s">
        <v>30</v>
      </c>
      <c r="H92" s="565">
        <v>44239</v>
      </c>
      <c r="I92" s="652">
        <v>45992</v>
      </c>
      <c r="J92" s="653">
        <v>528</v>
      </c>
      <c r="K92" s="603">
        <v>0.4</v>
      </c>
      <c r="L92" s="646">
        <v>205</v>
      </c>
      <c r="M92" s="654">
        <f>VLOOKUP(G:G,list!B:E,4,FALSE)</f>
        <v>0.1</v>
      </c>
      <c r="N92" s="655">
        <f t="shared" si="0"/>
        <v>21</v>
      </c>
      <c r="O92" s="655">
        <f t="shared" si="1"/>
        <v>184</v>
      </c>
      <c r="P92" s="564"/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123</v>
      </c>
      <c r="E93" s="564" t="s">
        <v>9</v>
      </c>
      <c r="F93" s="564" t="s">
        <v>213</v>
      </c>
      <c r="G93" s="564" t="s">
        <v>56</v>
      </c>
      <c r="H93" s="565">
        <v>44581</v>
      </c>
      <c r="I93" s="652">
        <v>46023</v>
      </c>
      <c r="J93" s="653">
        <v>490430</v>
      </c>
      <c r="K93" s="603">
        <v>0.3</v>
      </c>
      <c r="L93" s="568">
        <v>147129</v>
      </c>
      <c r="M93" s="654">
        <f>VLOOKUP(G:G,list!B:E,4,FALSE)</f>
        <v>0.1</v>
      </c>
      <c r="N93" s="655">
        <f t="shared" si="0"/>
        <v>14713</v>
      </c>
      <c r="O93" s="655">
        <f t="shared" si="1"/>
        <v>132416</v>
      </c>
      <c r="P93" s="564" t="s">
        <v>186</v>
      </c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183</v>
      </c>
      <c r="E94" s="564" t="s">
        <v>9</v>
      </c>
      <c r="F94" s="564" t="s">
        <v>213</v>
      </c>
      <c r="G94" s="564" t="s">
        <v>56</v>
      </c>
      <c r="H94" s="565">
        <v>44829</v>
      </c>
      <c r="I94" s="652">
        <v>46023</v>
      </c>
      <c r="J94" s="653">
        <v>744283</v>
      </c>
      <c r="K94" s="603">
        <v>0.3</v>
      </c>
      <c r="L94" s="568">
        <v>223285</v>
      </c>
      <c r="M94" s="654">
        <f>VLOOKUP(G:G,list!B:E,4,FALSE)</f>
        <v>0.1</v>
      </c>
      <c r="N94" s="655">
        <f t="shared" si="0"/>
        <v>22329</v>
      </c>
      <c r="O94" s="655">
        <f t="shared" si="1"/>
        <v>200956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123</v>
      </c>
      <c r="E95" s="564" t="s">
        <v>9</v>
      </c>
      <c r="F95" s="564" t="s">
        <v>213</v>
      </c>
      <c r="G95" s="564" t="s">
        <v>454</v>
      </c>
      <c r="H95" s="565">
        <v>44854</v>
      </c>
      <c r="I95" s="652">
        <v>46023</v>
      </c>
      <c r="J95" s="653">
        <v>350433</v>
      </c>
      <c r="K95" s="603">
        <v>0.3</v>
      </c>
      <c r="L95" s="568">
        <v>105130</v>
      </c>
      <c r="M95" s="654">
        <f>VLOOKUP(G:G,list!B:E,4,FALSE)</f>
        <v>0.1</v>
      </c>
      <c r="N95" s="655">
        <f t="shared" si="0"/>
        <v>10513</v>
      </c>
      <c r="O95" s="655">
        <f t="shared" si="1"/>
        <v>94617</v>
      </c>
      <c r="P95" s="564" t="s">
        <v>186</v>
      </c>
      <c r="Q95" s="672" t="str">
        <f>VLOOKUP(G:G,list!B:F,5,FALSE)</f>
        <v>-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481</v>
      </c>
      <c r="H96" s="565">
        <v>44981</v>
      </c>
      <c r="I96" s="652">
        <v>46023</v>
      </c>
      <c r="J96" s="653">
        <v>74760</v>
      </c>
      <c r="K96" s="603">
        <v>0.3</v>
      </c>
      <c r="L96" s="568">
        <v>22428</v>
      </c>
      <c r="M96" s="654">
        <f>VLOOKUP(G:G,list!B:E,4,FALSE)</f>
        <v>0.1</v>
      </c>
      <c r="N96" s="655">
        <f t="shared" si="0"/>
        <v>2243</v>
      </c>
      <c r="O96" s="655">
        <f t="shared" si="1"/>
        <v>20185</v>
      </c>
      <c r="P96" s="564" t="s">
        <v>186</v>
      </c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352</v>
      </c>
      <c r="H97" s="565">
        <v>44984</v>
      </c>
      <c r="I97" s="652">
        <v>46023</v>
      </c>
      <c r="J97" s="653">
        <v>149740</v>
      </c>
      <c r="K97" s="603">
        <v>0.3</v>
      </c>
      <c r="L97" s="568">
        <v>44922</v>
      </c>
      <c r="M97" s="654">
        <f>VLOOKUP(G:G,list!B:E,4,FALSE)</f>
        <v>0.1</v>
      </c>
      <c r="N97" s="655">
        <f t="shared" si="0"/>
        <v>4492</v>
      </c>
      <c r="O97" s="655">
        <f t="shared" si="1"/>
        <v>40430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72</v>
      </c>
      <c r="E98" s="564" t="s">
        <v>9</v>
      </c>
      <c r="F98" s="564" t="s">
        <v>213</v>
      </c>
      <c r="G98" s="564" t="s">
        <v>454</v>
      </c>
      <c r="H98" s="565">
        <v>44902</v>
      </c>
      <c r="I98" s="652">
        <v>45992</v>
      </c>
      <c r="J98" s="653">
        <v>316623</v>
      </c>
      <c r="K98" s="603">
        <v>0.3</v>
      </c>
      <c r="L98" s="568">
        <v>94987</v>
      </c>
      <c r="M98" s="654">
        <f>VLOOKUP(G:G,list!B:E,4,FALSE)</f>
        <v>0.1</v>
      </c>
      <c r="N98" s="655">
        <f t="shared" ref="N98:N129" si="2">ROUND(IF(M98="-",0,L98*M98),0)</f>
        <v>9499</v>
      </c>
      <c r="O98" s="655">
        <f t="shared" ref="O98:O129" si="3">L98-N98</f>
        <v>85488</v>
      </c>
      <c r="P98" s="564" t="s">
        <v>282</v>
      </c>
      <c r="Q98" s="672" t="str">
        <f>VLOOKUP(G:G,list!B:F,5,FALSE)</f>
        <v>-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213</v>
      </c>
      <c r="G99" s="564" t="s">
        <v>454</v>
      </c>
      <c r="H99" s="565">
        <v>45257</v>
      </c>
      <c r="I99" s="652">
        <v>45992</v>
      </c>
      <c r="J99" s="653">
        <v>59987</v>
      </c>
      <c r="K99" s="603">
        <v>0.3</v>
      </c>
      <c r="L99" s="568">
        <v>17996</v>
      </c>
      <c r="M99" s="654">
        <f>VLOOKUP(G:G,list!B:E,4,FALSE)</f>
        <v>0.1</v>
      </c>
      <c r="N99" s="655">
        <f t="shared" si="2"/>
        <v>1800</v>
      </c>
      <c r="O99" s="655">
        <f t="shared" si="3"/>
        <v>16196</v>
      </c>
      <c r="P99" s="564" t="s">
        <v>546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229</v>
      </c>
      <c r="E100" s="564" t="s">
        <v>9</v>
      </c>
      <c r="F100" s="564" t="s">
        <v>230</v>
      </c>
      <c r="G100" s="564" t="s">
        <v>353</v>
      </c>
      <c r="H100" s="565">
        <v>44916</v>
      </c>
      <c r="I100" s="652">
        <v>45931</v>
      </c>
      <c r="J100" s="653">
        <v>196139</v>
      </c>
      <c r="K100" s="603">
        <v>0.35</v>
      </c>
      <c r="L100" s="568">
        <v>61783</v>
      </c>
      <c r="M100" s="654">
        <f>VLOOKUP(G:G,list!B:E,4,FALSE)</f>
        <v>0.11</v>
      </c>
      <c r="N100" s="655">
        <f t="shared" si="2"/>
        <v>6796</v>
      </c>
      <c r="O100" s="655">
        <f t="shared" si="3"/>
        <v>54987</v>
      </c>
      <c r="P100" s="564"/>
      <c r="Q100" s="672" t="str">
        <f>VLOOKUP(G:G,list!B:F,5,FALSE)</f>
        <v>-</v>
      </c>
      <c r="R100" s="656" t="str">
        <f>VLOOKUP(G:G,list!B:D,3,FALSE)</f>
        <v>N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229</v>
      </c>
      <c r="E101" s="564" t="s">
        <v>9</v>
      </c>
      <c r="F101" s="564" t="s">
        <v>230</v>
      </c>
      <c r="G101" s="564" t="s">
        <v>352</v>
      </c>
      <c r="H101" s="565">
        <v>45106</v>
      </c>
      <c r="I101" s="652">
        <v>45931</v>
      </c>
      <c r="J101" s="653">
        <v>44778</v>
      </c>
      <c r="K101" s="603">
        <v>0.35</v>
      </c>
      <c r="L101" s="568">
        <v>14105</v>
      </c>
      <c r="M101" s="654">
        <f>VLOOKUP(G:G,list!B:E,4,FALSE)</f>
        <v>0.1</v>
      </c>
      <c r="N101" s="655">
        <f t="shared" si="2"/>
        <v>1411</v>
      </c>
      <c r="O101" s="655">
        <f t="shared" si="3"/>
        <v>12694</v>
      </c>
      <c r="P101" s="564"/>
      <c r="Q101" s="672" t="str">
        <f>VLOOKUP(G:G,list!B:F,5,FALSE)</f>
        <v>웹소설본부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229</v>
      </c>
      <c r="E102" s="564" t="s">
        <v>9</v>
      </c>
      <c r="F102" s="564" t="s">
        <v>230</v>
      </c>
      <c r="G102" s="564" t="s">
        <v>353</v>
      </c>
      <c r="H102" s="565">
        <v>44916</v>
      </c>
      <c r="I102" s="652">
        <v>45962</v>
      </c>
      <c r="J102" s="653">
        <v>328581</v>
      </c>
      <c r="K102" s="603">
        <v>0.35</v>
      </c>
      <c r="L102" s="568">
        <v>103503</v>
      </c>
      <c r="M102" s="654">
        <f>VLOOKUP(G:G,list!B:E,4,FALSE)</f>
        <v>0.11</v>
      </c>
      <c r="N102" s="655">
        <f t="shared" si="2"/>
        <v>11385</v>
      </c>
      <c r="O102" s="655">
        <f t="shared" si="3"/>
        <v>92118</v>
      </c>
      <c r="P102" s="564"/>
      <c r="Q102" s="672" t="str">
        <f>VLOOKUP(G:G,list!B:F,5,FALSE)</f>
        <v>-</v>
      </c>
      <c r="R102" s="656" t="str">
        <f>VLOOKUP(G:G,list!B:D,3,FALSE)</f>
        <v>N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229</v>
      </c>
      <c r="E103" s="564" t="s">
        <v>9</v>
      </c>
      <c r="F103" s="564" t="s">
        <v>230</v>
      </c>
      <c r="G103" s="564" t="s">
        <v>352</v>
      </c>
      <c r="H103" s="565">
        <v>45106</v>
      </c>
      <c r="I103" s="652">
        <v>45962</v>
      </c>
      <c r="J103" s="653">
        <v>95177</v>
      </c>
      <c r="K103" s="603">
        <v>0.35</v>
      </c>
      <c r="L103" s="568">
        <v>29981</v>
      </c>
      <c r="M103" s="654">
        <f>VLOOKUP(G:G,list!B:E,4,FALSE)</f>
        <v>0.1</v>
      </c>
      <c r="N103" s="655">
        <f t="shared" si="2"/>
        <v>2998</v>
      </c>
      <c r="O103" s="655">
        <f t="shared" si="3"/>
        <v>26983</v>
      </c>
      <c r="P103" s="564"/>
      <c r="Q103" s="672" t="str">
        <f>VLOOKUP(G:G,list!B:F,5,FALSE)</f>
        <v>웹소설본부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229</v>
      </c>
      <c r="E104" s="564" t="s">
        <v>9</v>
      </c>
      <c r="F104" s="564" t="s">
        <v>230</v>
      </c>
      <c r="G104" s="564" t="s">
        <v>353</v>
      </c>
      <c r="H104" s="565">
        <v>44916</v>
      </c>
      <c r="I104" s="652">
        <v>45992</v>
      </c>
      <c r="J104" s="653">
        <v>431782</v>
      </c>
      <c r="K104" s="603">
        <v>0.35</v>
      </c>
      <c r="L104" s="568">
        <v>136011</v>
      </c>
      <c r="M104" s="654">
        <f>VLOOKUP(G:G,list!B:E,4,FALSE)</f>
        <v>0.11</v>
      </c>
      <c r="N104" s="655">
        <f t="shared" si="2"/>
        <v>14961</v>
      </c>
      <c r="O104" s="655">
        <f t="shared" si="3"/>
        <v>121050</v>
      </c>
      <c r="P104" s="564"/>
      <c r="Q104" s="672" t="str">
        <f>VLOOKUP(G:G,list!B:F,5,FALSE)</f>
        <v>-</v>
      </c>
      <c r="R104" s="656" t="str">
        <f>VLOOKUP(G:G,list!B:D,3,FALSE)</f>
        <v>N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229</v>
      </c>
      <c r="E105" s="564" t="s">
        <v>9</v>
      </c>
      <c r="F105" s="564" t="s">
        <v>230</v>
      </c>
      <c r="G105" s="564" t="s">
        <v>352</v>
      </c>
      <c r="H105" s="565">
        <v>45106</v>
      </c>
      <c r="I105" s="652">
        <v>45992</v>
      </c>
      <c r="J105" s="653">
        <v>167943</v>
      </c>
      <c r="K105" s="603">
        <v>0.35</v>
      </c>
      <c r="L105" s="568">
        <v>52902</v>
      </c>
      <c r="M105" s="654">
        <f>VLOOKUP(G:G,list!B:E,4,FALSE)</f>
        <v>0.1</v>
      </c>
      <c r="N105" s="655">
        <f t="shared" si="2"/>
        <v>5290</v>
      </c>
      <c r="O105" s="655">
        <f t="shared" si="3"/>
        <v>47612</v>
      </c>
      <c r="P105" s="564"/>
      <c r="Q105" s="672" t="str">
        <f>VLOOKUP(G:G,list!B:F,5,FALSE)</f>
        <v>웹소설본부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작가기획</v>
      </c>
      <c r="D106" s="564" t="s">
        <v>177</v>
      </c>
      <c r="E106" s="564" t="s">
        <v>9</v>
      </c>
      <c r="F106" s="564" t="s">
        <v>246</v>
      </c>
      <c r="G106" s="564" t="s">
        <v>36</v>
      </c>
      <c r="H106" s="565">
        <v>44505</v>
      </c>
      <c r="I106" s="652">
        <v>45931</v>
      </c>
      <c r="J106" s="653">
        <v>7024</v>
      </c>
      <c r="K106" s="603">
        <v>0.4</v>
      </c>
      <c r="L106" s="568">
        <v>2810</v>
      </c>
      <c r="M106" s="654" t="str">
        <f>VLOOKUP(G:G,list!B:E,4,FALSE)</f>
        <v>-</v>
      </c>
      <c r="N106" s="655">
        <f t="shared" si="2"/>
        <v>0</v>
      </c>
      <c r="O106" s="655">
        <f t="shared" si="3"/>
        <v>2810</v>
      </c>
      <c r="P106" s="564"/>
      <c r="Q106" s="672" t="str">
        <f>VLOOKUP(G:G,list!B:F,5,FALSE)</f>
        <v>-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작가기획</v>
      </c>
      <c r="D107" s="564" t="s">
        <v>177</v>
      </c>
      <c r="E107" s="564" t="s">
        <v>9</v>
      </c>
      <c r="F107" s="564" t="s">
        <v>246</v>
      </c>
      <c r="G107" s="564" t="s">
        <v>36</v>
      </c>
      <c r="H107" s="565">
        <v>44505</v>
      </c>
      <c r="I107" s="652">
        <v>45962</v>
      </c>
      <c r="J107" s="653">
        <v>19833</v>
      </c>
      <c r="K107" s="603">
        <v>0.4</v>
      </c>
      <c r="L107" s="568">
        <v>7933</v>
      </c>
      <c r="M107" s="654" t="str">
        <f>VLOOKUP(G:G,list!B:E,4,FALSE)</f>
        <v>-</v>
      </c>
      <c r="N107" s="655">
        <f t="shared" si="2"/>
        <v>0</v>
      </c>
      <c r="O107" s="655">
        <f t="shared" si="3"/>
        <v>7933</v>
      </c>
      <c r="P107" s="564"/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작가기획</v>
      </c>
      <c r="D108" s="564" t="s">
        <v>177</v>
      </c>
      <c r="E108" s="564" t="s">
        <v>9</v>
      </c>
      <c r="F108" s="564" t="s">
        <v>246</v>
      </c>
      <c r="G108" s="564" t="s">
        <v>36</v>
      </c>
      <c r="H108" s="565">
        <v>44505</v>
      </c>
      <c r="I108" s="652">
        <v>45992</v>
      </c>
      <c r="J108" s="653">
        <v>17561</v>
      </c>
      <c r="K108" s="603">
        <v>0.4</v>
      </c>
      <c r="L108" s="568">
        <v>7024</v>
      </c>
      <c r="M108" s="654" t="str">
        <f>VLOOKUP(G:G,list!B:E,4,FALSE)</f>
        <v>-</v>
      </c>
      <c r="N108" s="655">
        <f t="shared" si="2"/>
        <v>0</v>
      </c>
      <c r="O108" s="655">
        <f t="shared" si="3"/>
        <v>7024</v>
      </c>
      <c r="P108" s="564"/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작가기획</v>
      </c>
      <c r="D109" s="564" t="s">
        <v>72</v>
      </c>
      <c r="E109" s="564" t="s">
        <v>9</v>
      </c>
      <c r="F109" s="564" t="s">
        <v>332</v>
      </c>
      <c r="G109" s="564" t="s">
        <v>36</v>
      </c>
      <c r="H109" s="565">
        <v>44556</v>
      </c>
      <c r="I109" s="652" t="s">
        <v>623</v>
      </c>
      <c r="J109" s="653">
        <v>0</v>
      </c>
      <c r="K109" s="603">
        <v>0.5</v>
      </c>
      <c r="L109" s="568">
        <v>0</v>
      </c>
      <c r="M109" s="654" t="str">
        <f>VLOOKUP(G:G,list!B:E,4,FALSE)</f>
        <v>-</v>
      </c>
      <c r="N109" s="655">
        <f t="shared" si="2"/>
        <v>0</v>
      </c>
      <c r="O109" s="655">
        <f t="shared" si="3"/>
        <v>0</v>
      </c>
      <c r="P109" s="564" t="s">
        <v>366</v>
      </c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작가기획</v>
      </c>
      <c r="D110" s="564" t="s">
        <v>72</v>
      </c>
      <c r="E110" s="564" t="s">
        <v>9</v>
      </c>
      <c r="F110" s="564" t="s">
        <v>569</v>
      </c>
      <c r="G110" s="564" t="s">
        <v>36</v>
      </c>
      <c r="H110" s="565">
        <v>44753</v>
      </c>
      <c r="I110" s="652" t="s">
        <v>623</v>
      </c>
      <c r="J110" s="653">
        <v>6057</v>
      </c>
      <c r="K110" s="603">
        <v>0.5</v>
      </c>
      <c r="L110" s="568">
        <v>3029</v>
      </c>
      <c r="M110" s="654" t="str">
        <f>VLOOKUP(G:G,list!B:E,4,FALSE)</f>
        <v>-</v>
      </c>
      <c r="N110" s="655">
        <f t="shared" si="2"/>
        <v>0</v>
      </c>
      <c r="O110" s="655">
        <f t="shared" si="3"/>
        <v>3029</v>
      </c>
      <c r="P110" s="564"/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작가기획</v>
      </c>
      <c r="D111" s="564" t="s">
        <v>72</v>
      </c>
      <c r="E111" s="564" t="s">
        <v>9</v>
      </c>
      <c r="F111" s="564" t="s">
        <v>598</v>
      </c>
      <c r="G111" s="564" t="s">
        <v>180</v>
      </c>
      <c r="H111" s="565" t="s">
        <v>203</v>
      </c>
      <c r="I111" s="652" t="s">
        <v>623</v>
      </c>
      <c r="J111" s="653">
        <v>46265.595000000001</v>
      </c>
      <c r="K111" s="603">
        <v>0.5</v>
      </c>
      <c r="L111" s="568">
        <v>23132</v>
      </c>
      <c r="M111" s="654" t="str">
        <f>VLOOKUP(G:G,list!B:E,4,FALSE)</f>
        <v>-</v>
      </c>
      <c r="N111" s="655">
        <f>ROUND(IF(M111="-",0,L111*M111),0)</f>
        <v>0</v>
      </c>
      <c r="O111" s="655">
        <f>L111-N111</f>
        <v>23132</v>
      </c>
      <c r="P111" s="564"/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작가기획</v>
      </c>
      <c r="D112" s="564" t="s">
        <v>32</v>
      </c>
      <c r="E112" s="564" t="s">
        <v>9</v>
      </c>
      <c r="F112" s="564" t="s">
        <v>593</v>
      </c>
      <c r="G112" s="564" t="s">
        <v>36</v>
      </c>
      <c r="H112" s="565">
        <v>45888</v>
      </c>
      <c r="I112" s="652">
        <v>45931</v>
      </c>
      <c r="J112" s="653">
        <v>1453</v>
      </c>
      <c r="K112" s="603">
        <v>0.4</v>
      </c>
      <c r="L112" s="568">
        <v>581</v>
      </c>
      <c r="M112" s="654" t="str">
        <f>VLOOKUP(G:G,list!B:E,4,FALSE)</f>
        <v>-</v>
      </c>
      <c r="N112" s="655">
        <f t="shared" si="2"/>
        <v>0</v>
      </c>
      <c r="O112" s="655">
        <f t="shared" si="3"/>
        <v>581</v>
      </c>
      <c r="P112" s="564" t="s">
        <v>614</v>
      </c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작가기획</v>
      </c>
      <c r="D113" s="564" t="s">
        <v>32</v>
      </c>
      <c r="E113" s="564" t="s">
        <v>9</v>
      </c>
      <c r="F113" s="564" t="s">
        <v>593</v>
      </c>
      <c r="G113" s="564" t="s">
        <v>36</v>
      </c>
      <c r="H113" s="565">
        <v>45888</v>
      </c>
      <c r="I113" s="652">
        <v>45962</v>
      </c>
      <c r="J113" s="653">
        <v>4360</v>
      </c>
      <c r="K113" s="603">
        <v>0.4</v>
      </c>
      <c r="L113" s="568">
        <v>1744</v>
      </c>
      <c r="M113" s="654" t="str">
        <f>VLOOKUP(G:G,list!B:E,4,FALSE)</f>
        <v>-</v>
      </c>
      <c r="N113" s="655">
        <f t="shared" si="2"/>
        <v>0</v>
      </c>
      <c r="O113" s="655">
        <f t="shared" si="3"/>
        <v>1744</v>
      </c>
      <c r="P113" s="564" t="s">
        <v>614</v>
      </c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작가기획</v>
      </c>
      <c r="D114" s="564" t="s">
        <v>32</v>
      </c>
      <c r="E114" s="564" t="s">
        <v>9</v>
      </c>
      <c r="F114" s="564" t="s">
        <v>593</v>
      </c>
      <c r="G114" s="564" t="s">
        <v>36</v>
      </c>
      <c r="H114" s="565">
        <v>45888</v>
      </c>
      <c r="I114" s="652">
        <v>45992</v>
      </c>
      <c r="J114" s="653">
        <v>20106</v>
      </c>
      <c r="K114" s="603">
        <v>0.4</v>
      </c>
      <c r="L114" s="568">
        <v>8042</v>
      </c>
      <c r="M114" s="654" t="str">
        <f>VLOOKUP(G:G,list!B:E,4,FALSE)</f>
        <v>-</v>
      </c>
      <c r="N114" s="655">
        <f t="shared" ref="N114:N120" si="4">ROUND(IF(M114="-",0,L114*M114),0)</f>
        <v>0</v>
      </c>
      <c r="O114" s="655">
        <f t="shared" ref="O114:O120" si="5">L114-N114</f>
        <v>8042</v>
      </c>
      <c r="P114" s="564" t="s">
        <v>614</v>
      </c>
      <c r="Q114" s="672" t="str">
        <f>VLOOKUP(G:G,list!B:F,5,FALSE)</f>
        <v>-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작가기획</v>
      </c>
      <c r="D115" s="564" t="s">
        <v>32</v>
      </c>
      <c r="E115" s="564" t="s">
        <v>9</v>
      </c>
      <c r="F115" s="564" t="s">
        <v>593</v>
      </c>
      <c r="G115" s="564" t="s">
        <v>37</v>
      </c>
      <c r="H115" s="565">
        <v>45888</v>
      </c>
      <c r="I115" s="652">
        <v>45931</v>
      </c>
      <c r="J115" s="653">
        <v>9124</v>
      </c>
      <c r="K115" s="603">
        <v>0.4</v>
      </c>
      <c r="L115" s="568">
        <v>3650</v>
      </c>
      <c r="M115" s="654" t="str">
        <f>VLOOKUP(G:G,list!B:E,4,FALSE)</f>
        <v>-</v>
      </c>
      <c r="N115" s="655">
        <f t="shared" si="4"/>
        <v>0</v>
      </c>
      <c r="O115" s="655">
        <f t="shared" si="5"/>
        <v>3650</v>
      </c>
      <c r="P115" s="564" t="s">
        <v>614</v>
      </c>
      <c r="Q115" s="672" t="str">
        <f>VLOOKUP(G:G,list!B:F,5,FALSE)</f>
        <v>-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작가기획</v>
      </c>
      <c r="D116" s="564" t="s">
        <v>32</v>
      </c>
      <c r="E116" s="564" t="s">
        <v>9</v>
      </c>
      <c r="F116" s="564" t="s">
        <v>593</v>
      </c>
      <c r="G116" s="564" t="s">
        <v>37</v>
      </c>
      <c r="H116" s="565">
        <v>45888</v>
      </c>
      <c r="I116" s="652">
        <v>45962</v>
      </c>
      <c r="J116" s="653">
        <v>4710</v>
      </c>
      <c r="K116" s="603">
        <v>0.4</v>
      </c>
      <c r="L116" s="568">
        <v>1884</v>
      </c>
      <c r="M116" s="654" t="str">
        <f>VLOOKUP(G:G,list!B:E,4,FALSE)</f>
        <v>-</v>
      </c>
      <c r="N116" s="655">
        <f t="shared" si="4"/>
        <v>0</v>
      </c>
      <c r="O116" s="655">
        <f t="shared" si="5"/>
        <v>1884</v>
      </c>
      <c r="P116" s="564" t="s">
        <v>614</v>
      </c>
      <c r="Q116" s="672" t="str">
        <f>VLOOKUP(G:G,list!B:F,5,FALSE)</f>
        <v>-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작가기획</v>
      </c>
      <c r="D117" s="564" t="s">
        <v>32</v>
      </c>
      <c r="E117" s="564" t="s">
        <v>9</v>
      </c>
      <c r="F117" s="564" t="s">
        <v>593</v>
      </c>
      <c r="G117" s="564" t="s">
        <v>37</v>
      </c>
      <c r="H117" s="565">
        <v>45888</v>
      </c>
      <c r="I117" s="652">
        <v>45992</v>
      </c>
      <c r="J117" s="653">
        <v>2449</v>
      </c>
      <c r="K117" s="603">
        <v>0.4</v>
      </c>
      <c r="L117" s="568">
        <v>980</v>
      </c>
      <c r="M117" s="654" t="str">
        <f>VLOOKUP(G:G,list!B:E,4,FALSE)</f>
        <v>-</v>
      </c>
      <c r="N117" s="655">
        <f t="shared" si="4"/>
        <v>0</v>
      </c>
      <c r="O117" s="655">
        <f t="shared" si="5"/>
        <v>980</v>
      </c>
      <c r="P117" s="564" t="s">
        <v>614</v>
      </c>
      <c r="Q117" s="672" t="str">
        <f>VLOOKUP(G:G,list!B:F,5,FALSE)</f>
        <v>-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원작료</v>
      </c>
      <c r="D118" s="564" t="s">
        <v>32</v>
      </c>
      <c r="E118" s="564" t="s">
        <v>9</v>
      </c>
      <c r="F118" s="564" t="s">
        <v>593</v>
      </c>
      <c r="G118" s="564" t="s">
        <v>454</v>
      </c>
      <c r="H118" s="565">
        <v>45888</v>
      </c>
      <c r="I118" s="652">
        <v>45931</v>
      </c>
      <c r="J118" s="653">
        <v>754</v>
      </c>
      <c r="K118" s="603">
        <v>0.4</v>
      </c>
      <c r="L118" s="568">
        <v>302</v>
      </c>
      <c r="M118" s="654">
        <f>VLOOKUP(G:G,list!B:E,4,FALSE)</f>
        <v>0.1</v>
      </c>
      <c r="N118" s="655">
        <f t="shared" si="4"/>
        <v>30</v>
      </c>
      <c r="O118" s="655">
        <f t="shared" si="5"/>
        <v>272</v>
      </c>
      <c r="P118" s="564" t="s">
        <v>614</v>
      </c>
      <c r="Q118" s="672" t="str">
        <f>VLOOKUP(G:G,list!B:F,5,FALSE)</f>
        <v>-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원작료</v>
      </c>
      <c r="D119" s="564" t="s">
        <v>32</v>
      </c>
      <c r="E119" s="564" t="s">
        <v>9</v>
      </c>
      <c r="F119" s="564" t="s">
        <v>593</v>
      </c>
      <c r="G119" s="564" t="s">
        <v>454</v>
      </c>
      <c r="H119" s="565">
        <v>45888</v>
      </c>
      <c r="I119" s="652">
        <v>45962</v>
      </c>
      <c r="J119" s="653">
        <v>0</v>
      </c>
      <c r="K119" s="603">
        <v>0.4</v>
      </c>
      <c r="L119" s="568">
        <v>0</v>
      </c>
      <c r="M119" s="654">
        <f>VLOOKUP(G:G,list!B:E,4,FALSE)</f>
        <v>0.1</v>
      </c>
      <c r="N119" s="655">
        <f t="shared" si="4"/>
        <v>0</v>
      </c>
      <c r="O119" s="655">
        <f t="shared" si="5"/>
        <v>0</v>
      </c>
      <c r="P119" s="564" t="s">
        <v>366</v>
      </c>
      <c r="Q119" s="672" t="str">
        <f>VLOOKUP(G:G,list!B:F,5,FALSE)</f>
        <v>-</v>
      </c>
      <c r="R119" s="656" t="str">
        <f>VLOOKUP(G:G,list!B:D,3,FALSE)</f>
        <v>Y</v>
      </c>
    </row>
    <row r="120" spans="2:18" ht="18" customHeight="1">
      <c r="B120" s="563">
        <v>115</v>
      </c>
      <c r="C120" s="651" t="str">
        <f>VLOOKUP(G:G,list!B:D,2,FALSE)</f>
        <v>원작료</v>
      </c>
      <c r="D120" s="564" t="s">
        <v>32</v>
      </c>
      <c r="E120" s="564" t="s">
        <v>9</v>
      </c>
      <c r="F120" s="564" t="s">
        <v>593</v>
      </c>
      <c r="G120" s="564" t="s">
        <v>454</v>
      </c>
      <c r="H120" s="565">
        <v>45888</v>
      </c>
      <c r="I120" s="652">
        <v>45992</v>
      </c>
      <c r="J120" s="653">
        <v>14427</v>
      </c>
      <c r="K120" s="603">
        <v>0.4</v>
      </c>
      <c r="L120" s="568">
        <v>5771</v>
      </c>
      <c r="M120" s="654">
        <f>VLOOKUP(G:G,list!B:E,4,FALSE)</f>
        <v>0.1</v>
      </c>
      <c r="N120" s="655">
        <f t="shared" si="4"/>
        <v>577</v>
      </c>
      <c r="O120" s="655">
        <f t="shared" si="5"/>
        <v>5194</v>
      </c>
      <c r="P120" s="564" t="s">
        <v>614</v>
      </c>
      <c r="Q120" s="672" t="str">
        <f>VLOOKUP(G:G,list!B:F,5,FALSE)</f>
        <v>-</v>
      </c>
      <c r="R120" s="656" t="str">
        <f>VLOOKUP(G:G,list!B:D,3,FALSE)</f>
        <v>Y</v>
      </c>
    </row>
    <row r="121" spans="2:18" ht="18" customHeight="1">
      <c r="B121" s="650">
        <v>116</v>
      </c>
      <c r="C121" s="651" t="str">
        <f>VLOOKUP(G:G,list!B:D,2,FALSE)</f>
        <v>원작료</v>
      </c>
      <c r="D121" s="564" t="s">
        <v>182</v>
      </c>
      <c r="E121" s="564" t="s">
        <v>115</v>
      </c>
      <c r="F121" s="564" t="s">
        <v>230</v>
      </c>
      <c r="G121" s="564" t="s">
        <v>30</v>
      </c>
      <c r="H121" s="565">
        <v>45248</v>
      </c>
      <c r="I121" s="652">
        <v>45931</v>
      </c>
      <c r="J121" s="653">
        <v>78139</v>
      </c>
      <c r="K121" s="603">
        <v>0.5</v>
      </c>
      <c r="L121" s="568">
        <v>39070</v>
      </c>
      <c r="M121" s="654">
        <f>VLOOKUP(G:G,list!B:E,4,FALSE)</f>
        <v>0.1</v>
      </c>
      <c r="N121" s="655">
        <f t="shared" si="2"/>
        <v>3907</v>
      </c>
      <c r="O121" s="655">
        <f t="shared" si="3"/>
        <v>35163</v>
      </c>
      <c r="P121" s="564"/>
      <c r="Q121" s="672" t="str">
        <f>VLOOKUP(G:G,list!B:F,5,FALSE)</f>
        <v>웹소설본부</v>
      </c>
      <c r="R121" s="656" t="str">
        <f>VLOOKUP(G:G,list!B:D,3,FALSE)</f>
        <v>Y</v>
      </c>
    </row>
    <row r="122" spans="2:18" ht="18" customHeight="1">
      <c r="B122" s="563">
        <v>117</v>
      </c>
      <c r="C122" s="651" t="str">
        <f>VLOOKUP(G:G,list!B:D,2,FALSE)</f>
        <v>원작료</v>
      </c>
      <c r="D122" s="564" t="s">
        <v>182</v>
      </c>
      <c r="E122" s="564" t="s">
        <v>115</v>
      </c>
      <c r="F122" s="564" t="s">
        <v>230</v>
      </c>
      <c r="G122" s="564" t="s">
        <v>30</v>
      </c>
      <c r="H122" s="565">
        <v>45248</v>
      </c>
      <c r="I122" s="652">
        <v>45962</v>
      </c>
      <c r="J122" s="653">
        <v>36919</v>
      </c>
      <c r="K122" s="603">
        <v>0.5</v>
      </c>
      <c r="L122" s="568">
        <v>18460</v>
      </c>
      <c r="M122" s="654">
        <f>VLOOKUP(G:G,list!B:E,4,FALSE)</f>
        <v>0.1</v>
      </c>
      <c r="N122" s="655">
        <f t="shared" si="2"/>
        <v>1846</v>
      </c>
      <c r="O122" s="655">
        <f t="shared" si="3"/>
        <v>16614</v>
      </c>
      <c r="P122" s="564"/>
      <c r="Q122" s="672" t="str">
        <f>VLOOKUP(G:G,list!B:F,5,FALSE)</f>
        <v>웹소설본부</v>
      </c>
      <c r="R122" s="656" t="str">
        <f>VLOOKUP(G:G,list!B:D,3,FALSE)</f>
        <v>Y</v>
      </c>
    </row>
    <row r="123" spans="2:18" ht="18" customHeight="1">
      <c r="B123" s="650">
        <v>118</v>
      </c>
      <c r="C123" s="651" t="str">
        <f>VLOOKUP(G:G,list!B:D,2,FALSE)</f>
        <v>원작료</v>
      </c>
      <c r="D123" s="564" t="s">
        <v>182</v>
      </c>
      <c r="E123" s="564" t="s">
        <v>115</v>
      </c>
      <c r="F123" s="564" t="s">
        <v>230</v>
      </c>
      <c r="G123" s="564" t="s">
        <v>30</v>
      </c>
      <c r="H123" s="565">
        <v>45248</v>
      </c>
      <c r="I123" s="652">
        <v>45992</v>
      </c>
      <c r="J123" s="653">
        <v>36983</v>
      </c>
      <c r="K123" s="603">
        <v>0.5</v>
      </c>
      <c r="L123" s="568">
        <v>18492</v>
      </c>
      <c r="M123" s="654">
        <f>VLOOKUP(G:G,list!B:E,4,FALSE)</f>
        <v>0.1</v>
      </c>
      <c r="N123" s="655">
        <f t="shared" si="2"/>
        <v>1849</v>
      </c>
      <c r="O123" s="655">
        <f t="shared" si="3"/>
        <v>16643</v>
      </c>
      <c r="P123" s="564"/>
      <c r="Q123" s="672" t="str">
        <f>VLOOKUP(G:G,list!B:F,5,FALSE)</f>
        <v>웹소설본부</v>
      </c>
      <c r="R123" s="656" t="str">
        <f>VLOOKUP(G:G,list!B:D,3,FALSE)</f>
        <v>Y</v>
      </c>
    </row>
    <row r="124" spans="2:18" ht="18" customHeight="1">
      <c r="B124" s="563">
        <v>119</v>
      </c>
      <c r="C124" s="651" t="str">
        <f>VLOOKUP(G:G,list!B:D,2,FALSE)</f>
        <v>원작료</v>
      </c>
      <c r="D124" s="564" t="s">
        <v>182</v>
      </c>
      <c r="E124" s="564" t="s">
        <v>115</v>
      </c>
      <c r="F124" s="564" t="s">
        <v>230</v>
      </c>
      <c r="G124" s="564" t="s">
        <v>56</v>
      </c>
      <c r="H124" s="565">
        <v>45414</v>
      </c>
      <c r="I124" s="652">
        <v>45931</v>
      </c>
      <c r="J124" s="653">
        <v>149599</v>
      </c>
      <c r="K124" s="603">
        <v>0.5</v>
      </c>
      <c r="L124" s="568">
        <v>74800</v>
      </c>
      <c r="M124" s="654">
        <f>VLOOKUP(G:G,list!B:E,4,FALSE)</f>
        <v>0.1</v>
      </c>
      <c r="N124" s="655">
        <f t="shared" si="2"/>
        <v>7480</v>
      </c>
      <c r="O124" s="655">
        <f t="shared" si="3"/>
        <v>67320</v>
      </c>
      <c r="P124" s="564"/>
      <c r="Q124" s="672" t="str">
        <f>VLOOKUP(G:G,list!B:F,5,FALSE)</f>
        <v>웹소설본부</v>
      </c>
      <c r="R124" s="656" t="str">
        <f>VLOOKUP(G:G,list!B:D,3,FALSE)</f>
        <v>Y</v>
      </c>
    </row>
    <row r="125" spans="2:18" ht="18" customHeight="1">
      <c r="B125" s="650">
        <v>120</v>
      </c>
      <c r="C125" s="651" t="str">
        <f>VLOOKUP(G:G,list!B:D,2,FALSE)</f>
        <v>원작료</v>
      </c>
      <c r="D125" s="564" t="s">
        <v>182</v>
      </c>
      <c r="E125" s="564" t="s">
        <v>115</v>
      </c>
      <c r="F125" s="564" t="s">
        <v>230</v>
      </c>
      <c r="G125" s="564" t="s">
        <v>56</v>
      </c>
      <c r="H125" s="565">
        <v>45414</v>
      </c>
      <c r="I125" s="652">
        <v>45962</v>
      </c>
      <c r="J125" s="653">
        <v>110896</v>
      </c>
      <c r="K125" s="603">
        <v>0.5</v>
      </c>
      <c r="L125" s="568">
        <v>55448</v>
      </c>
      <c r="M125" s="654">
        <f>VLOOKUP(G:G,list!B:E,4,FALSE)</f>
        <v>0.1</v>
      </c>
      <c r="N125" s="655">
        <f t="shared" si="2"/>
        <v>5545</v>
      </c>
      <c r="O125" s="655">
        <f t="shared" si="3"/>
        <v>49903</v>
      </c>
      <c r="P125" s="564"/>
      <c r="Q125" s="672" t="str">
        <f>VLOOKUP(G:G,list!B:F,5,FALSE)</f>
        <v>웹소설본부</v>
      </c>
      <c r="R125" s="656" t="str">
        <f>VLOOKUP(G:G,list!B:D,3,FALSE)</f>
        <v>Y</v>
      </c>
    </row>
    <row r="126" spans="2:18" ht="18" customHeight="1">
      <c r="B126" s="563">
        <v>121</v>
      </c>
      <c r="C126" s="651" t="str">
        <f>VLOOKUP(G:G,list!B:D,2,FALSE)</f>
        <v>원작료</v>
      </c>
      <c r="D126" s="564" t="s">
        <v>182</v>
      </c>
      <c r="E126" s="564" t="s">
        <v>115</v>
      </c>
      <c r="F126" s="564" t="s">
        <v>230</v>
      </c>
      <c r="G126" s="564" t="s">
        <v>56</v>
      </c>
      <c r="H126" s="565">
        <v>45414</v>
      </c>
      <c r="I126" s="652">
        <v>45992</v>
      </c>
      <c r="J126" s="653">
        <v>79970</v>
      </c>
      <c r="K126" s="603">
        <v>0.5</v>
      </c>
      <c r="L126" s="568">
        <v>39985</v>
      </c>
      <c r="M126" s="654">
        <f>VLOOKUP(G:G,list!B:E,4,FALSE)</f>
        <v>0.1</v>
      </c>
      <c r="N126" s="655">
        <f t="shared" si="2"/>
        <v>3999</v>
      </c>
      <c r="O126" s="655">
        <f t="shared" si="3"/>
        <v>35986</v>
      </c>
      <c r="P126" s="564"/>
      <c r="Q126" s="672" t="str">
        <f>VLOOKUP(G:G,list!B:F,5,FALSE)</f>
        <v>웹소설본부</v>
      </c>
      <c r="R126" s="656" t="str">
        <f>VLOOKUP(G:G,list!B:D,3,FALSE)</f>
        <v>Y</v>
      </c>
    </row>
    <row r="127" spans="2:18" ht="18" customHeight="1">
      <c r="B127" s="650">
        <v>122</v>
      </c>
      <c r="C127" s="651" t="str">
        <f>VLOOKUP(G:G,list!B:D,2,FALSE)</f>
        <v>작가기획</v>
      </c>
      <c r="D127" s="564" t="s">
        <v>182</v>
      </c>
      <c r="E127" s="564" t="s">
        <v>115</v>
      </c>
      <c r="F127" s="564" t="s">
        <v>230</v>
      </c>
      <c r="G127" s="564" t="s">
        <v>308</v>
      </c>
      <c r="H127" s="565">
        <v>45569</v>
      </c>
      <c r="I127" s="652">
        <v>45931</v>
      </c>
      <c r="J127" s="653">
        <v>21884</v>
      </c>
      <c r="K127" s="603">
        <v>0.5</v>
      </c>
      <c r="L127" s="568">
        <v>10942</v>
      </c>
      <c r="M127" s="654" t="str">
        <f>VLOOKUP(G:G,list!B:E,4,FALSE)</f>
        <v>-</v>
      </c>
      <c r="N127" s="655">
        <f t="shared" si="2"/>
        <v>0</v>
      </c>
      <c r="O127" s="655">
        <f t="shared" si="3"/>
        <v>10942</v>
      </c>
      <c r="P127" s="564"/>
      <c r="Q127" s="672" t="str">
        <f>VLOOKUP(G:G,list!B:F,5,FALSE)</f>
        <v>-</v>
      </c>
      <c r="R127" s="656" t="str">
        <f>VLOOKUP(G:G,list!B:D,3,FALSE)</f>
        <v>Y</v>
      </c>
    </row>
    <row r="128" spans="2:18" ht="18" customHeight="1">
      <c r="B128" s="563">
        <v>123</v>
      </c>
      <c r="C128" s="651" t="str">
        <f>VLOOKUP(G:G,list!B:D,2,FALSE)</f>
        <v>작가기획</v>
      </c>
      <c r="D128" s="564" t="s">
        <v>182</v>
      </c>
      <c r="E128" s="564" t="s">
        <v>115</v>
      </c>
      <c r="F128" s="564" t="s">
        <v>230</v>
      </c>
      <c r="G128" s="564" t="s">
        <v>308</v>
      </c>
      <c r="H128" s="565">
        <v>45569</v>
      </c>
      <c r="I128" s="652">
        <v>45962</v>
      </c>
      <c r="J128" s="653">
        <v>30352</v>
      </c>
      <c r="K128" s="603">
        <v>0.5</v>
      </c>
      <c r="L128" s="568">
        <v>15176</v>
      </c>
      <c r="M128" s="654" t="str">
        <f>VLOOKUP(G:G,list!B:E,4,FALSE)</f>
        <v>-</v>
      </c>
      <c r="N128" s="655">
        <f t="shared" si="2"/>
        <v>0</v>
      </c>
      <c r="O128" s="655">
        <f t="shared" si="3"/>
        <v>15176</v>
      </c>
      <c r="P128" s="564"/>
      <c r="Q128" s="672" t="str">
        <f>VLOOKUP(G:G,list!B:F,5,FALSE)</f>
        <v>-</v>
      </c>
      <c r="R128" s="656" t="str">
        <f>VLOOKUP(G:G,list!B:D,3,FALSE)</f>
        <v>Y</v>
      </c>
    </row>
    <row r="129" spans="2:18" ht="18" customHeight="1">
      <c r="B129" s="650">
        <v>124</v>
      </c>
      <c r="C129" s="651" t="str">
        <f>VLOOKUP(G:G,list!B:D,2,FALSE)</f>
        <v>작가기획</v>
      </c>
      <c r="D129" s="564" t="s">
        <v>182</v>
      </c>
      <c r="E129" s="564" t="s">
        <v>115</v>
      </c>
      <c r="F129" s="564" t="s">
        <v>230</v>
      </c>
      <c r="G129" s="564" t="s">
        <v>308</v>
      </c>
      <c r="H129" s="565">
        <v>45569</v>
      </c>
      <c r="I129" s="652">
        <v>45992</v>
      </c>
      <c r="J129" s="653">
        <v>18216</v>
      </c>
      <c r="K129" s="603">
        <v>0.5</v>
      </c>
      <c r="L129" s="568">
        <v>9108</v>
      </c>
      <c r="M129" s="654" t="str">
        <f>VLOOKUP(G:G,list!B:E,4,FALSE)</f>
        <v>-</v>
      </c>
      <c r="N129" s="655">
        <f t="shared" si="2"/>
        <v>0</v>
      </c>
      <c r="O129" s="655">
        <f t="shared" si="3"/>
        <v>9108</v>
      </c>
      <c r="P129" s="564"/>
      <c r="Q129" s="672" t="str">
        <f>VLOOKUP(G:G,list!B:F,5,FALSE)</f>
        <v>-</v>
      </c>
      <c r="R129" s="656" t="str">
        <f>VLOOKUP(G:G,list!B:D,3,FALSE)</f>
        <v>Y</v>
      </c>
    </row>
    <row r="130" spans="2:18" ht="18" customHeight="1">
      <c r="B130" s="563">
        <v>125</v>
      </c>
      <c r="C130" s="651" t="str">
        <f>VLOOKUP(G:G,list!B:D,2,FALSE)</f>
        <v>원작료</v>
      </c>
      <c r="D130" s="564" t="s">
        <v>182</v>
      </c>
      <c r="E130" s="564" t="s">
        <v>62</v>
      </c>
      <c r="F130" s="564" t="s">
        <v>264</v>
      </c>
      <c r="G130" s="564" t="s">
        <v>454</v>
      </c>
      <c r="H130" s="565" t="s">
        <v>203</v>
      </c>
      <c r="I130" s="652" t="s">
        <v>203</v>
      </c>
      <c r="J130" s="653">
        <v>5000000</v>
      </c>
      <c r="K130" s="567" t="s">
        <v>203</v>
      </c>
      <c r="L130" s="646">
        <v>5000000</v>
      </c>
      <c r="M130" s="654">
        <f>VLOOKUP(G:G,list!B:E,4,FALSE)</f>
        <v>0.1</v>
      </c>
      <c r="N130" s="655">
        <f>ROUND(IF(M130="-",0,L130*M130),0)</f>
        <v>500000</v>
      </c>
      <c r="O130" s="655">
        <f>L130-N130</f>
        <v>4500000</v>
      </c>
      <c r="P130" s="564" t="s">
        <v>624</v>
      </c>
      <c r="Q130" s="672" t="str">
        <f>VLOOKUP(G:G,list!B:F,5,FALSE)</f>
        <v>-</v>
      </c>
      <c r="R130" s="656" t="str">
        <f>VLOOKUP(G:G,list!B:D,3,FALSE)</f>
        <v>Y</v>
      </c>
    </row>
    <row r="131" spans="2:18" ht="11.25" customHeight="1">
      <c r="B131" s="52"/>
      <c r="C131" s="551"/>
      <c r="D131" s="551"/>
      <c r="E131" s="551"/>
      <c r="F131" s="551"/>
      <c r="G131" s="551"/>
      <c r="H131" s="622"/>
      <c r="I131" s="551"/>
      <c r="J131" s="435"/>
      <c r="K131" s="623"/>
      <c r="L131"/>
      <c r="M131" s="438"/>
      <c r="N131" s="439"/>
      <c r="O131" s="440"/>
      <c r="P131" s="633"/>
      <c r="Q131" s="438"/>
      <c r="R131" s="486"/>
    </row>
    <row r="132" spans="2:18" s="7" customFormat="1" ht="16.5" customHeight="1">
      <c r="B132" s="624" t="s">
        <v>387</v>
      </c>
      <c r="C132" s="625"/>
      <c r="D132" s="625"/>
      <c r="E132" s="626"/>
      <c r="F132" s="625"/>
      <c r="G132" s="625"/>
      <c r="H132" s="625"/>
      <c r="I132" s="311"/>
      <c r="J132" s="311"/>
      <c r="K132" s="311"/>
      <c r="M132" s="424"/>
      <c r="N132"/>
      <c r="O132" s="333"/>
      <c r="P132" s="631"/>
      <c r="Q132" s="424"/>
      <c r="R132" s="484"/>
    </row>
    <row r="133" spans="2:18" s="7" customFormat="1" ht="16.5" customHeight="1">
      <c r="B133" s="629" t="s">
        <v>299</v>
      </c>
      <c r="C133" s="625"/>
      <c r="D133" s="625"/>
      <c r="E133" s="626"/>
      <c r="F133" s="625"/>
      <c r="G133" s="625"/>
      <c r="H133" s="625"/>
      <c r="I133" s="311"/>
      <c r="K133" s="311"/>
      <c r="L133" s="311"/>
      <c r="M133" s="424"/>
      <c r="N133"/>
      <c r="O133" s="333"/>
      <c r="P133" s="631"/>
      <c r="Q133" s="424"/>
      <c r="R133" s="484"/>
    </row>
    <row r="134" spans="2:18" s="7" customFormat="1" ht="16.5" customHeight="1">
      <c r="B134" s="628" t="s">
        <v>302</v>
      </c>
      <c r="C134" s="627"/>
      <c r="D134" s="625"/>
      <c r="E134" s="626"/>
      <c r="F134" s="625"/>
      <c r="G134" s="625"/>
      <c r="H134" s="625"/>
      <c r="I134" s="311"/>
      <c r="J134" s="311"/>
      <c r="L134" s="311"/>
      <c r="M134" s="424"/>
      <c r="N134"/>
      <c r="O134" s="333"/>
      <c r="P134" s="631"/>
      <c r="Q134" s="424"/>
      <c r="R134" s="484"/>
    </row>
    <row r="135" spans="2:18" s="7" customFormat="1" ht="16.5" customHeight="1">
      <c r="B135" s="630" t="s">
        <v>303</v>
      </c>
      <c r="C135" s="627"/>
      <c r="D135" s="625"/>
      <c r="E135" s="626"/>
      <c r="F135" s="625"/>
      <c r="G135" s="625"/>
      <c r="H135" s="625"/>
      <c r="I135" s="311"/>
      <c r="J135" s="311"/>
      <c r="K135" s="311"/>
      <c r="L135" s="311"/>
      <c r="M135" s="424"/>
      <c r="N135"/>
      <c r="O135" s="333"/>
      <c r="P135" s="631"/>
      <c r="Q135" s="424"/>
      <c r="R135" s="484"/>
    </row>
    <row r="136" spans="2:18" ht="16.5" customHeight="1">
      <c r="B136" s="629" t="s">
        <v>340</v>
      </c>
      <c r="C136" s="625"/>
      <c r="D136" s="625"/>
      <c r="E136" s="626"/>
      <c r="F136" s="625"/>
      <c r="G136" s="625"/>
      <c r="H136" s="625"/>
      <c r="I136" s="311"/>
      <c r="J136" s="311"/>
      <c r="K136" s="311"/>
    </row>
    <row r="137" spans="2:18" ht="16.5" customHeight="1">
      <c r="B137" s="629" t="s">
        <v>512</v>
      </c>
      <c r="C137" s="625"/>
      <c r="D137" s="625"/>
      <c r="E137" s="626"/>
      <c r="F137" s="625"/>
      <c r="G137" s="625"/>
      <c r="H137" s="625"/>
      <c r="I137" s="311"/>
      <c r="J137" s="311"/>
      <c r="K137" s="311"/>
    </row>
    <row r="138" spans="2:18" ht="16.5" customHeight="1">
      <c r="B138" s="629" t="s">
        <v>522</v>
      </c>
      <c r="C138" s="625"/>
      <c r="D138" s="625"/>
      <c r="E138" s="626"/>
      <c r="F138" s="625"/>
      <c r="G138" s="625"/>
      <c r="H138" s="625"/>
      <c r="I138" s="311"/>
      <c r="J138" s="311"/>
      <c r="K138" s="311"/>
    </row>
    <row r="139" spans="2:18" ht="16.5" customHeight="1">
      <c r="B139" s="629" t="s">
        <v>520</v>
      </c>
      <c r="C139" s="625"/>
      <c r="D139" s="625"/>
      <c r="E139" s="626"/>
      <c r="F139" s="625"/>
      <c r="G139" s="625"/>
      <c r="H139" s="625"/>
      <c r="I139" s="311"/>
      <c r="J139" s="311"/>
      <c r="K139" s="311"/>
    </row>
    <row r="140" spans="2:18" ht="16.5" customHeight="1">
      <c r="B140" s="629" t="s">
        <v>521</v>
      </c>
      <c r="C140" s="625"/>
      <c r="D140" s="625"/>
      <c r="E140" s="626"/>
      <c r="F140" s="625"/>
      <c r="G140" s="625"/>
      <c r="H140" s="625"/>
      <c r="I140" s="311"/>
      <c r="J140" s="311"/>
      <c r="K140" s="311"/>
    </row>
    <row r="141" spans="2:18" s="311" customFormat="1" ht="16.5" customHeight="1">
      <c r="B141" s="629" t="s">
        <v>529</v>
      </c>
      <c r="C141" s="625"/>
      <c r="D141" s="625"/>
      <c r="E141" s="626"/>
      <c r="F141" s="625"/>
      <c r="G141" s="625"/>
      <c r="H141" s="625"/>
      <c r="M141" s="424"/>
      <c r="N141"/>
      <c r="O141" s="333"/>
      <c r="P141" s="631"/>
      <c r="Q141" s="424"/>
      <c r="R141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ED5A-784E-43B9-A23C-6260F9A319C8}">
  <dimension ref="B1:R132"/>
  <sheetViews>
    <sheetView showGridLines="0" zoomScaleNormal="100" workbookViewId="0">
      <pane xSplit="1" ySplit="5" topLeftCell="B102" activePane="bottomRight" state="frozen"/>
      <selection pane="topRight" activeCell="B1" sqref="B1"/>
      <selection pane="bottomLeft" activeCell="A6" sqref="A6"/>
      <selection pane="bottomRight" activeCell="F104" sqref="A104:XFD121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619</v>
      </c>
      <c r="C2" s="539"/>
      <c r="D2" s="539"/>
      <c r="E2" s="539"/>
      <c r="F2" s="539"/>
      <c r="G2" s="540"/>
      <c r="H2" s="643" t="s">
        <v>608</v>
      </c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618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20057297.876240004</v>
      </c>
      <c r="K4" s="52"/>
      <c r="L4" s="648">
        <f>SUBTOTAL(109,L6:L1048576)</f>
        <v>7506904</v>
      </c>
      <c r="M4" s="543"/>
      <c r="N4" s="649">
        <f>SUBTOTAL(109,N6:N1048576)</f>
        <v>643603</v>
      </c>
      <c r="O4" s="649">
        <f>SUBTOTAL(109,O6:O1048576)</f>
        <v>6863301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45992</v>
      </c>
      <c r="J6" s="653">
        <v>444214.5</v>
      </c>
      <c r="K6" s="567">
        <v>0.6</v>
      </c>
      <c r="L6" s="646">
        <v>266529</v>
      </c>
      <c r="M6" s="654" t="str">
        <f>VLOOKUP(G:G,list!B:E,4,FALSE)</f>
        <v>-</v>
      </c>
      <c r="N6" s="655">
        <f t="shared" ref="N6:N101" si="0">ROUND(IF(M6="-",0,L6*M6),0)</f>
        <v>0</v>
      </c>
      <c r="O6" s="655">
        <f t="shared" ref="O6:O101" si="1">L6-N6</f>
        <v>266529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45992</v>
      </c>
      <c r="J7" s="653">
        <v>94912</v>
      </c>
      <c r="K7" s="600">
        <v>0.6</v>
      </c>
      <c r="L7" s="646">
        <v>56946</v>
      </c>
      <c r="M7" s="654" t="str">
        <f>VLOOKUP(G:G,list!B:E,4,FALSE)</f>
        <v>-</v>
      </c>
      <c r="N7" s="655">
        <f t="shared" si="0"/>
        <v>0</v>
      </c>
      <c r="O7" s="655">
        <f t="shared" si="1"/>
        <v>56946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45992</v>
      </c>
      <c r="J8" s="653">
        <v>240902.5</v>
      </c>
      <c r="K8" s="567">
        <v>0.6</v>
      </c>
      <c r="L8" s="646">
        <v>144541</v>
      </c>
      <c r="M8" s="654" t="str">
        <f>VLOOKUP(G:G,list!B:E,4,FALSE)</f>
        <v>-</v>
      </c>
      <c r="N8" s="655">
        <f t="shared" si="0"/>
        <v>0</v>
      </c>
      <c r="O8" s="655">
        <f t="shared" si="1"/>
        <v>144541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45992</v>
      </c>
      <c r="J9" s="653">
        <v>71584</v>
      </c>
      <c r="K9" s="606">
        <v>0.6</v>
      </c>
      <c r="L9" s="646">
        <v>42951</v>
      </c>
      <c r="M9" s="654">
        <f>VLOOKUP(G:G,list!B:E,4,FALSE)</f>
        <v>0.1</v>
      </c>
      <c r="N9" s="655">
        <f t="shared" si="0"/>
        <v>4295</v>
      </c>
      <c r="O9" s="655">
        <f t="shared" si="1"/>
        <v>38656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45992</v>
      </c>
      <c r="J10" s="653">
        <v>377718.2</v>
      </c>
      <c r="K10" s="600">
        <v>0.6</v>
      </c>
      <c r="L10" s="646">
        <v>226632</v>
      </c>
      <c r="M10" s="654">
        <f>VLOOKUP(G:G,list!B:E,4,FALSE)</f>
        <v>0.1</v>
      </c>
      <c r="N10" s="655">
        <f t="shared" si="0"/>
        <v>22663</v>
      </c>
      <c r="O10" s="655">
        <f t="shared" si="1"/>
        <v>203969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45992</v>
      </c>
      <c r="J11" s="653">
        <v>7830</v>
      </c>
      <c r="K11" s="603">
        <v>0.6</v>
      </c>
      <c r="L11" s="646">
        <v>4698</v>
      </c>
      <c r="M11" s="654" t="str">
        <f>VLOOKUP(G:G,list!B:E,4,FALSE)</f>
        <v>-</v>
      </c>
      <c r="N11" s="655">
        <f t="shared" si="0"/>
        <v>0</v>
      </c>
      <c r="O11" s="655">
        <f t="shared" si="1"/>
        <v>4698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45992</v>
      </c>
      <c r="J12" s="653">
        <v>156136</v>
      </c>
      <c r="K12" s="603">
        <v>0.6</v>
      </c>
      <c r="L12" s="646">
        <v>93680</v>
      </c>
      <c r="M12" s="654">
        <f>VLOOKUP(G:G,list!B:E,4,FALSE)</f>
        <v>0.1</v>
      </c>
      <c r="N12" s="655">
        <f t="shared" si="0"/>
        <v>9368</v>
      </c>
      <c r="O12" s="655">
        <f t="shared" si="1"/>
        <v>84312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45992</v>
      </c>
      <c r="J13" s="653">
        <v>8125</v>
      </c>
      <c r="K13" s="600">
        <v>0.6</v>
      </c>
      <c r="L13" s="646">
        <v>4875</v>
      </c>
      <c r="M13" s="654">
        <f>VLOOKUP(G:G,list!B:E,4,FALSE)</f>
        <v>0.1</v>
      </c>
      <c r="N13" s="655">
        <f t="shared" si="0"/>
        <v>488</v>
      </c>
      <c r="O13" s="655">
        <f t="shared" si="1"/>
        <v>4387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45992</v>
      </c>
      <c r="J14" s="653">
        <v>140375</v>
      </c>
      <c r="K14" s="606">
        <v>0.6</v>
      </c>
      <c r="L14" s="646">
        <v>84225</v>
      </c>
      <c r="M14" s="654">
        <f>VLOOKUP(G:G,list!B:E,4,FALSE)</f>
        <v>0.11</v>
      </c>
      <c r="N14" s="655">
        <f t="shared" si="0"/>
        <v>9265</v>
      </c>
      <c r="O14" s="655">
        <f t="shared" si="1"/>
        <v>74960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45992</v>
      </c>
      <c r="J15" s="653">
        <v>226348.5</v>
      </c>
      <c r="K15" s="567">
        <v>0.6</v>
      </c>
      <c r="L15" s="646">
        <v>135810</v>
      </c>
      <c r="M15" s="654">
        <f>VLOOKUP(G:G,list!B:E,4,FALSE)</f>
        <v>0.1</v>
      </c>
      <c r="N15" s="655">
        <f t="shared" si="0"/>
        <v>13581</v>
      </c>
      <c r="O15" s="655">
        <f t="shared" si="1"/>
        <v>122229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45992</v>
      </c>
      <c r="J16" s="653">
        <v>53968.9</v>
      </c>
      <c r="K16" s="567">
        <v>0.6</v>
      </c>
      <c r="L16" s="646">
        <v>32382</v>
      </c>
      <c r="M16" s="654">
        <f>VLOOKUP(G:G,list!B:E,4,FALSE)</f>
        <v>0.1</v>
      </c>
      <c r="N16" s="655">
        <f t="shared" si="0"/>
        <v>3238</v>
      </c>
      <c r="O16" s="655">
        <f t="shared" si="1"/>
        <v>29144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45992</v>
      </c>
      <c r="J17" s="653">
        <v>5646</v>
      </c>
      <c r="K17" s="600">
        <v>0.7</v>
      </c>
      <c r="L17" s="646">
        <v>3952</v>
      </c>
      <c r="M17" s="654" t="str">
        <f>VLOOKUP(G:G,list!B:E,4,FALSE)</f>
        <v>-</v>
      </c>
      <c r="N17" s="655">
        <f t="shared" si="0"/>
        <v>0</v>
      </c>
      <c r="O17" s="655">
        <f t="shared" si="1"/>
        <v>3952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45992</v>
      </c>
      <c r="J18" s="653">
        <v>843567.8</v>
      </c>
      <c r="K18" s="603">
        <v>0.6</v>
      </c>
      <c r="L18" s="646">
        <v>506142</v>
      </c>
      <c r="M18" s="654">
        <f>VLOOKUP(G:G,list!B:E,4,FALSE)</f>
        <v>0.1</v>
      </c>
      <c r="N18" s="655">
        <f t="shared" si="0"/>
        <v>50614</v>
      </c>
      <c r="O18" s="655">
        <f t="shared" si="1"/>
        <v>455528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45992</v>
      </c>
      <c r="J19" s="653">
        <v>130786</v>
      </c>
      <c r="K19" s="603">
        <v>0.7</v>
      </c>
      <c r="L19" s="646">
        <v>91551</v>
      </c>
      <c r="M19" s="654">
        <f>VLOOKUP(G:G,list!B:E,4,FALSE)</f>
        <v>0.1</v>
      </c>
      <c r="N19" s="655">
        <f t="shared" si="0"/>
        <v>9155</v>
      </c>
      <c r="O19" s="655">
        <f t="shared" si="1"/>
        <v>82396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45992</v>
      </c>
      <c r="J20" s="653">
        <v>45812.7</v>
      </c>
      <c r="K20" s="603">
        <v>0.6</v>
      </c>
      <c r="L20" s="646">
        <v>27488</v>
      </c>
      <c r="M20" s="654">
        <f>VLOOKUP(G:G,list!B:E,4,FALSE)</f>
        <v>0.1</v>
      </c>
      <c r="N20" s="655">
        <f t="shared" si="0"/>
        <v>2749</v>
      </c>
      <c r="O20" s="655">
        <f t="shared" si="1"/>
        <v>24739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45992</v>
      </c>
      <c r="J21" s="653">
        <v>10350</v>
      </c>
      <c r="K21" s="567">
        <v>0.6</v>
      </c>
      <c r="L21" s="646">
        <v>7245</v>
      </c>
      <c r="M21" s="654" t="str">
        <f>VLOOKUP(G:G,list!B:E,4,FALSE)</f>
        <v>-</v>
      </c>
      <c r="N21" s="655">
        <f t="shared" si="0"/>
        <v>0</v>
      </c>
      <c r="O21" s="655">
        <f t="shared" si="1"/>
        <v>7245</v>
      </c>
      <c r="P21" s="564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45992</v>
      </c>
      <c r="J22" s="653">
        <v>37494.9</v>
      </c>
      <c r="K22" s="567">
        <v>0.6</v>
      </c>
      <c r="L22" s="646">
        <v>22497</v>
      </c>
      <c r="M22" s="654">
        <f>VLOOKUP(G:G,list!B:E,4,FALSE)</f>
        <v>0.1</v>
      </c>
      <c r="N22" s="655">
        <f t="shared" si="0"/>
        <v>2250</v>
      </c>
      <c r="O22" s="655">
        <f t="shared" si="1"/>
        <v>20247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45992</v>
      </c>
      <c r="J23" s="653">
        <v>1260</v>
      </c>
      <c r="K23" s="567">
        <v>0.6</v>
      </c>
      <c r="L23" s="646">
        <v>756</v>
      </c>
      <c r="M23" s="654" t="str">
        <f>VLOOKUP(G:G,list!B:E,4,FALSE)</f>
        <v>-</v>
      </c>
      <c r="N23" s="655">
        <f t="shared" si="0"/>
        <v>0</v>
      </c>
      <c r="O23" s="655">
        <f t="shared" si="1"/>
        <v>756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45992</v>
      </c>
      <c r="J24" s="653">
        <v>36922.699999999997</v>
      </c>
      <c r="K24" s="603">
        <v>0.6</v>
      </c>
      <c r="L24" s="646">
        <v>22154</v>
      </c>
      <c r="M24" s="654">
        <f>VLOOKUP(G:G,list!B:E,4,FALSE)</f>
        <v>0.1</v>
      </c>
      <c r="N24" s="655">
        <f t="shared" si="0"/>
        <v>2215</v>
      </c>
      <c r="O24" s="655">
        <f t="shared" si="1"/>
        <v>19939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45992</v>
      </c>
      <c r="J25" s="653">
        <v>7056</v>
      </c>
      <c r="K25" s="603">
        <v>0.6</v>
      </c>
      <c r="L25" s="646">
        <v>4234</v>
      </c>
      <c r="M25" s="654">
        <f>VLOOKUP(G:G,list!B:E,4,FALSE)</f>
        <v>0.1</v>
      </c>
      <c r="N25" s="655">
        <f t="shared" si="0"/>
        <v>423</v>
      </c>
      <c r="O25" s="655">
        <f t="shared" si="1"/>
        <v>3811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45992</v>
      </c>
      <c r="J26" s="653">
        <v>21308.9</v>
      </c>
      <c r="K26" s="567">
        <v>0.6</v>
      </c>
      <c r="L26" s="646">
        <v>12785</v>
      </c>
      <c r="M26" s="654">
        <f>VLOOKUP(G:G,list!B:E,4,FALSE)</f>
        <v>0.1</v>
      </c>
      <c r="N26" s="655">
        <f t="shared" si="0"/>
        <v>1279</v>
      </c>
      <c r="O26" s="655">
        <f t="shared" si="1"/>
        <v>11506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45992</v>
      </c>
      <c r="J27" s="653">
        <v>4320</v>
      </c>
      <c r="K27" s="567">
        <v>0.6</v>
      </c>
      <c r="L27" s="646">
        <v>2592</v>
      </c>
      <c r="M27" s="654">
        <f>VLOOKUP(G:G,list!B:E,4,FALSE)</f>
        <v>0.1</v>
      </c>
      <c r="N27" s="655">
        <f t="shared" si="0"/>
        <v>259</v>
      </c>
      <c r="O27" s="655">
        <f t="shared" si="1"/>
        <v>2333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45992</v>
      </c>
      <c r="J28" s="653">
        <v>12204</v>
      </c>
      <c r="K28" s="567">
        <v>0.6</v>
      </c>
      <c r="L28" s="646">
        <v>7322</v>
      </c>
      <c r="M28" s="654" t="str">
        <f>VLOOKUP(G:G,list!B:E,4,FALSE)</f>
        <v>-</v>
      </c>
      <c r="N28" s="655">
        <f t="shared" si="0"/>
        <v>0</v>
      </c>
      <c r="O28" s="655">
        <f t="shared" si="1"/>
        <v>7322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45992</v>
      </c>
      <c r="J29" s="653">
        <v>81024.399999999994</v>
      </c>
      <c r="K29" s="567">
        <v>0.6</v>
      </c>
      <c r="L29" s="646">
        <v>48615</v>
      </c>
      <c r="M29" s="654">
        <f>VLOOKUP(G:G,list!B:E,4,FALSE)</f>
        <v>0.11</v>
      </c>
      <c r="N29" s="655">
        <f t="shared" si="0"/>
        <v>5348</v>
      </c>
      <c r="O29" s="655">
        <f t="shared" si="1"/>
        <v>43267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45992</v>
      </c>
      <c r="J30" s="653">
        <v>44032.800000000003</v>
      </c>
      <c r="K30" s="567">
        <v>0.6</v>
      </c>
      <c r="L30" s="646">
        <v>26420</v>
      </c>
      <c r="M30" s="654" t="str">
        <f>VLOOKUP(G:G,list!B:E,4,FALSE)</f>
        <v>-</v>
      </c>
      <c r="N30" s="655">
        <f t="shared" si="0"/>
        <v>0</v>
      </c>
      <c r="O30" s="655">
        <f t="shared" si="1"/>
        <v>26420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45992</v>
      </c>
      <c r="J31" s="653">
        <v>56019.8</v>
      </c>
      <c r="K31" s="567">
        <v>0.6</v>
      </c>
      <c r="L31" s="646">
        <v>33612</v>
      </c>
      <c r="M31" s="654" t="str">
        <f>VLOOKUP(G:G,list!B:E,4,FALSE)</f>
        <v>-</v>
      </c>
      <c r="N31" s="655">
        <f t="shared" si="0"/>
        <v>0</v>
      </c>
      <c r="O31" s="655">
        <f t="shared" si="1"/>
        <v>33612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45992</v>
      </c>
      <c r="J32" s="653">
        <v>175593.7</v>
      </c>
      <c r="K32" s="567">
        <v>0.6</v>
      </c>
      <c r="L32" s="646">
        <v>105357</v>
      </c>
      <c r="M32" s="654">
        <f>VLOOKUP(G:G,list!B:E,4,FALSE)</f>
        <v>0.1</v>
      </c>
      <c r="N32" s="655">
        <f t="shared" si="0"/>
        <v>10536</v>
      </c>
      <c r="O32" s="655">
        <f t="shared" si="1"/>
        <v>94821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45962</v>
      </c>
      <c r="J33" s="653">
        <v>263143</v>
      </c>
      <c r="K33" s="674">
        <v>0.224</v>
      </c>
      <c r="L33" s="646">
        <v>53051</v>
      </c>
      <c r="M33" s="654">
        <f>VLOOKUP(G:G,list!B:E,4,FALSE)</f>
        <v>0.1</v>
      </c>
      <c r="N33" s="655">
        <f t="shared" si="0"/>
        <v>5305</v>
      </c>
      <c r="O33" s="655">
        <f t="shared" si="1"/>
        <v>47746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45962</v>
      </c>
      <c r="J34" s="653">
        <v>1329474</v>
      </c>
      <c r="K34" s="674">
        <v>0.224</v>
      </c>
      <c r="L34" s="646">
        <v>268028</v>
      </c>
      <c r="M34" s="654">
        <f>VLOOKUP(G:G,list!B:E,4,FALSE)</f>
        <v>0.1</v>
      </c>
      <c r="N34" s="655">
        <f t="shared" si="0"/>
        <v>26803</v>
      </c>
      <c r="O34" s="655">
        <f t="shared" si="1"/>
        <v>241225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45962</v>
      </c>
      <c r="J35" s="653">
        <v>4013</v>
      </c>
      <c r="K35" s="674">
        <v>0.224</v>
      </c>
      <c r="L35" s="646">
        <v>829</v>
      </c>
      <c r="M35" s="654" t="str">
        <f>VLOOKUP(G:G,list!B:E,4,FALSE)</f>
        <v>-</v>
      </c>
      <c r="N35" s="655">
        <f t="shared" si="0"/>
        <v>0</v>
      </c>
      <c r="O35" s="655">
        <f t="shared" si="1"/>
        <v>829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45962</v>
      </c>
      <c r="J36" s="653">
        <v>123258</v>
      </c>
      <c r="K36" s="674">
        <v>0.224</v>
      </c>
      <c r="L36" s="646">
        <v>24856</v>
      </c>
      <c r="M36" s="654">
        <f>VLOOKUP(G:G,list!B:E,4,FALSE)</f>
        <v>0.1</v>
      </c>
      <c r="N36" s="655">
        <f t="shared" si="0"/>
        <v>2486</v>
      </c>
      <c r="O36" s="655">
        <f t="shared" si="1"/>
        <v>22370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45962</v>
      </c>
      <c r="J37" s="653">
        <v>319326</v>
      </c>
      <c r="K37" s="674">
        <v>0.224</v>
      </c>
      <c r="L37" s="646">
        <v>64376</v>
      </c>
      <c r="M37" s="654">
        <f>VLOOKUP(G:G,list!B:E,4,FALSE)</f>
        <v>0.11</v>
      </c>
      <c r="N37" s="655">
        <f t="shared" si="0"/>
        <v>7081</v>
      </c>
      <c r="O37" s="655">
        <f t="shared" si="1"/>
        <v>57295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45962</v>
      </c>
      <c r="J38" s="653">
        <v>63635</v>
      </c>
      <c r="K38" s="674">
        <v>0.224</v>
      </c>
      <c r="L38" s="646">
        <v>12835</v>
      </c>
      <c r="M38" s="654">
        <f>VLOOKUP(G:G,list!B:E,4,FALSE)</f>
        <v>0.1</v>
      </c>
      <c r="N38" s="655">
        <f t="shared" si="0"/>
        <v>1284</v>
      </c>
      <c r="O38" s="655">
        <f t="shared" si="1"/>
        <v>11551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45962</v>
      </c>
      <c r="J39" s="653">
        <v>92300</v>
      </c>
      <c r="K39" s="674">
        <v>0.224</v>
      </c>
      <c r="L39" s="646">
        <v>18617</v>
      </c>
      <c r="M39" s="654" t="str">
        <f>VLOOKUP(G:G,list!B:E,4,FALSE)</f>
        <v>-</v>
      </c>
      <c r="N39" s="655">
        <f t="shared" si="0"/>
        <v>0</v>
      </c>
      <c r="O39" s="655">
        <f t="shared" si="1"/>
        <v>18617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45962</v>
      </c>
      <c r="J40" s="653">
        <v>3114145</v>
      </c>
      <c r="K40" s="674">
        <v>0.224</v>
      </c>
      <c r="L40" s="646">
        <v>627814</v>
      </c>
      <c r="M40" s="654">
        <f>VLOOKUP(G:G,list!B:E,4,FALSE)</f>
        <v>0.1</v>
      </c>
      <c r="N40" s="655">
        <f t="shared" si="0"/>
        <v>62781</v>
      </c>
      <c r="O40" s="655">
        <f t="shared" si="1"/>
        <v>565033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45962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45962</v>
      </c>
      <c r="J42" s="653">
        <v>135297</v>
      </c>
      <c r="K42" s="674">
        <v>0.224</v>
      </c>
      <c r="L42" s="646">
        <v>27280</v>
      </c>
      <c r="M42" s="654">
        <f>VLOOKUP(G:G,list!B:E,4,FALSE)</f>
        <v>0.1</v>
      </c>
      <c r="N42" s="655">
        <f t="shared" si="0"/>
        <v>2728</v>
      </c>
      <c r="O42" s="655">
        <f t="shared" si="1"/>
        <v>24552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45962</v>
      </c>
      <c r="J43" s="653">
        <v>1592043</v>
      </c>
      <c r="K43" s="674">
        <v>0.224</v>
      </c>
      <c r="L43" s="646">
        <v>320960</v>
      </c>
      <c r="M43" s="654">
        <f>VLOOKUP(G:G,list!B:E,4,FALSE)</f>
        <v>0.1</v>
      </c>
      <c r="N43" s="655">
        <f t="shared" si="0"/>
        <v>32096</v>
      </c>
      <c r="O43" s="655">
        <f t="shared" si="1"/>
        <v>288864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45962</v>
      </c>
      <c r="J44" s="653">
        <v>561257</v>
      </c>
      <c r="K44" s="674">
        <v>0.224</v>
      </c>
      <c r="L44" s="646">
        <v>113156</v>
      </c>
      <c r="M44" s="654" t="str">
        <f>VLOOKUP(G:G,list!B:E,4,FALSE)</f>
        <v>-</v>
      </c>
      <c r="N44" s="655">
        <f t="shared" si="0"/>
        <v>0</v>
      </c>
      <c r="O44" s="655">
        <f t="shared" si="1"/>
        <v>113156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32</v>
      </c>
      <c r="E45" s="564" t="s">
        <v>62</v>
      </c>
      <c r="F45" s="564" t="s">
        <v>126</v>
      </c>
      <c r="G45" s="564" t="s">
        <v>364</v>
      </c>
      <c r="H45" s="565">
        <v>45901</v>
      </c>
      <c r="I45" s="652">
        <v>45992</v>
      </c>
      <c r="J45" s="653">
        <v>0</v>
      </c>
      <c r="K45" s="674">
        <v>0.35</v>
      </c>
      <c r="L45" s="646">
        <v>0</v>
      </c>
      <c r="M45" s="654">
        <f>VLOOKUP(G:G,list!B:E,4,FALSE)</f>
        <v>0.1</v>
      </c>
      <c r="N45" s="655">
        <f t="shared" si="0"/>
        <v>0</v>
      </c>
      <c r="O45" s="655">
        <f t="shared" si="1"/>
        <v>0</v>
      </c>
      <c r="P45" s="564" t="s">
        <v>366</v>
      </c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45992</v>
      </c>
      <c r="J46" s="653">
        <v>58500</v>
      </c>
      <c r="K46" s="600" t="s">
        <v>532</v>
      </c>
      <c r="L46" s="646">
        <v>23661</v>
      </c>
      <c r="M46" s="654" t="str">
        <f>VLOOKUP(G:G,list!B:E,4,FALSE)</f>
        <v>-</v>
      </c>
      <c r="N46" s="655">
        <f t="shared" si="0"/>
        <v>0</v>
      </c>
      <c r="O46" s="655">
        <f t="shared" si="1"/>
        <v>23661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45992</v>
      </c>
      <c r="J47" s="653">
        <v>0</v>
      </c>
      <c r="K47" s="600" t="s">
        <v>532</v>
      </c>
      <c r="L47" s="646">
        <v>0</v>
      </c>
      <c r="M47" s="654" t="str">
        <f>VLOOKUP(G:G,list!B:E,4,FALSE)</f>
        <v>-</v>
      </c>
      <c r="N47" s="655">
        <f t="shared" si="0"/>
        <v>0</v>
      </c>
      <c r="O47" s="655">
        <f t="shared" si="1"/>
        <v>0</v>
      </c>
      <c r="P47" s="564" t="s">
        <v>366</v>
      </c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52">
        <v>45962</v>
      </c>
      <c r="J48" s="653">
        <v>432684.2</v>
      </c>
      <c r="K48" s="600">
        <v>0.5</v>
      </c>
      <c r="L48" s="646">
        <v>216343</v>
      </c>
      <c r="M48" s="654" t="str">
        <f>VLOOKUP(G:G,list!B:E,4,FALSE)</f>
        <v>-</v>
      </c>
      <c r="N48" s="655">
        <f t="shared" si="0"/>
        <v>0</v>
      </c>
      <c r="O48" s="655">
        <f t="shared" si="1"/>
        <v>216343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52">
        <v>45962</v>
      </c>
      <c r="J49" s="653">
        <v>9702</v>
      </c>
      <c r="K49" s="600">
        <v>0.5</v>
      </c>
      <c r="L49" s="646">
        <v>4851</v>
      </c>
      <c r="M49" s="654" t="str">
        <f>VLOOKUP(G:G,list!B:E,4,FALSE)</f>
        <v>-</v>
      </c>
      <c r="N49" s="655">
        <f t="shared" si="0"/>
        <v>0</v>
      </c>
      <c r="O49" s="655">
        <f t="shared" si="1"/>
        <v>4851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45992</v>
      </c>
      <c r="J50" s="653">
        <v>286655</v>
      </c>
      <c r="K50" s="567">
        <v>0.4</v>
      </c>
      <c r="L50" s="646">
        <v>114662</v>
      </c>
      <c r="M50" s="654">
        <f>VLOOKUP(G:G,list!B:E,4,FALSE)</f>
        <v>0.1</v>
      </c>
      <c r="N50" s="655">
        <f t="shared" si="0"/>
        <v>11466</v>
      </c>
      <c r="O50" s="655">
        <f t="shared" si="1"/>
        <v>103196</v>
      </c>
      <c r="P50" s="564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45992</v>
      </c>
      <c r="J51" s="653">
        <v>106765</v>
      </c>
      <c r="K51" s="600">
        <v>0.4</v>
      </c>
      <c r="L51" s="646">
        <v>42706</v>
      </c>
      <c r="M51" s="654" t="str">
        <f>VLOOKUP(G:G,list!B:E,4,FALSE)</f>
        <v>-</v>
      </c>
      <c r="N51" s="655">
        <f t="shared" si="0"/>
        <v>0</v>
      </c>
      <c r="O51" s="655">
        <f t="shared" si="1"/>
        <v>42706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45992</v>
      </c>
      <c r="J52" s="653">
        <v>29123</v>
      </c>
      <c r="K52" s="600">
        <v>0.4</v>
      </c>
      <c r="L52" s="646">
        <v>11649</v>
      </c>
      <c r="M52" s="654" t="str">
        <f>VLOOKUP(G:G,list!B:E,4,FALSE)</f>
        <v>-</v>
      </c>
      <c r="N52" s="655">
        <f t="shared" si="0"/>
        <v>0</v>
      </c>
      <c r="O52" s="655">
        <f t="shared" si="1"/>
        <v>11649</v>
      </c>
      <c r="P52" s="564"/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45992</v>
      </c>
      <c r="J53" s="653">
        <v>0</v>
      </c>
      <c r="K53" s="600">
        <v>0.4</v>
      </c>
      <c r="L53" s="646">
        <v>0</v>
      </c>
      <c r="M53" s="654" t="str">
        <f>VLOOKUP(G:G,list!B:E,4,FALSE)</f>
        <v>-</v>
      </c>
      <c r="N53" s="655">
        <f t="shared" si="0"/>
        <v>0</v>
      </c>
      <c r="O53" s="655">
        <f t="shared" si="1"/>
        <v>0</v>
      </c>
      <c r="P53" s="564" t="s">
        <v>366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45992</v>
      </c>
      <c r="J54" s="653">
        <v>5248</v>
      </c>
      <c r="K54" s="600">
        <v>0.4</v>
      </c>
      <c r="L54" s="646">
        <v>2099</v>
      </c>
      <c r="M54" s="654" t="str">
        <f>VLOOKUP(G:G,list!B:E,4,FALSE)</f>
        <v>-</v>
      </c>
      <c r="N54" s="655">
        <f t="shared" si="0"/>
        <v>0</v>
      </c>
      <c r="O54" s="655">
        <f t="shared" si="1"/>
        <v>2099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45992</v>
      </c>
      <c r="J55" s="653">
        <v>5765</v>
      </c>
      <c r="K55" s="600">
        <v>0.4</v>
      </c>
      <c r="L55" s="646">
        <v>2306</v>
      </c>
      <c r="M55" s="654">
        <f>VLOOKUP(G:G,list!B:E,4,FALSE)</f>
        <v>0.1</v>
      </c>
      <c r="N55" s="655">
        <f t="shared" si="0"/>
        <v>231</v>
      </c>
      <c r="O55" s="655">
        <f t="shared" si="1"/>
        <v>2075</v>
      </c>
      <c r="P55" s="564"/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45992</v>
      </c>
      <c r="J56" s="653">
        <v>80</v>
      </c>
      <c r="K56" s="603">
        <v>0.5</v>
      </c>
      <c r="L56" s="646">
        <v>40</v>
      </c>
      <c r="M56" s="654" t="str">
        <f>VLOOKUP(G:G,list!B:E,4,FALSE)</f>
        <v>-</v>
      </c>
      <c r="N56" s="655">
        <f t="shared" si="0"/>
        <v>0</v>
      </c>
      <c r="O56" s="655">
        <f t="shared" si="1"/>
        <v>40</v>
      </c>
      <c r="P56" s="564"/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45992</v>
      </c>
      <c r="J57" s="653">
        <v>27090</v>
      </c>
      <c r="K57" s="603">
        <v>0.5</v>
      </c>
      <c r="L57" s="646">
        <v>13545</v>
      </c>
      <c r="M57" s="654" t="str">
        <f>VLOOKUP(G:G,list!B:E,4,FALSE)</f>
        <v>-</v>
      </c>
      <c r="N57" s="655">
        <f t="shared" si="0"/>
        <v>0</v>
      </c>
      <c r="O57" s="655">
        <f t="shared" si="1"/>
        <v>13545</v>
      </c>
      <c r="P57" s="564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45962</v>
      </c>
      <c r="J58" s="653">
        <v>54777</v>
      </c>
      <c r="K58" s="603">
        <v>0.3</v>
      </c>
      <c r="L58" s="646">
        <v>16433</v>
      </c>
      <c r="M58" s="654" t="str">
        <f>VLOOKUP(G:G,list!B:E,4,FALSE)</f>
        <v>-</v>
      </c>
      <c r="N58" s="655">
        <f t="shared" si="0"/>
        <v>0</v>
      </c>
      <c r="O58" s="655">
        <f t="shared" si="1"/>
        <v>16433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45962</v>
      </c>
      <c r="J59" s="653">
        <v>15964</v>
      </c>
      <c r="K59" s="603">
        <v>0.5</v>
      </c>
      <c r="L59" s="646">
        <v>7982</v>
      </c>
      <c r="M59" s="654">
        <f>VLOOKUP(G:G,list!B:E,4,FALSE)</f>
        <v>0.1</v>
      </c>
      <c r="N59" s="655">
        <f t="shared" si="0"/>
        <v>798</v>
      </c>
      <c r="O59" s="655">
        <f t="shared" si="1"/>
        <v>7184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45962</v>
      </c>
      <c r="J60" s="653">
        <v>12734</v>
      </c>
      <c r="K60" s="603">
        <v>0.5</v>
      </c>
      <c r="L60" s="646">
        <v>6367</v>
      </c>
      <c r="M60" s="654" t="str">
        <f>VLOOKUP(G:G,list!B:E,4,FALSE)</f>
        <v>-</v>
      </c>
      <c r="N60" s="655">
        <f t="shared" si="0"/>
        <v>0</v>
      </c>
      <c r="O60" s="655">
        <f t="shared" si="1"/>
        <v>6367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45962</v>
      </c>
      <c r="J61" s="653">
        <v>34750</v>
      </c>
      <c r="K61" s="603">
        <v>0.5</v>
      </c>
      <c r="L61" s="646">
        <v>17375</v>
      </c>
      <c r="M61" s="654">
        <f>VLOOKUP(G:G,list!B:E,4,FALSE)</f>
        <v>0.1</v>
      </c>
      <c r="N61" s="655">
        <f t="shared" si="0"/>
        <v>1738</v>
      </c>
      <c r="O61" s="655">
        <f t="shared" si="1"/>
        <v>15637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45962</v>
      </c>
      <c r="J62" s="653">
        <v>22784</v>
      </c>
      <c r="K62" s="603">
        <v>0.5</v>
      </c>
      <c r="L62" s="646">
        <v>11392</v>
      </c>
      <c r="M62" s="654">
        <f>VLOOKUP(G:G,list!B:E,4,FALSE)</f>
        <v>0.11</v>
      </c>
      <c r="N62" s="655">
        <f t="shared" si="0"/>
        <v>1253</v>
      </c>
      <c r="O62" s="655">
        <f t="shared" si="1"/>
        <v>10139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45962</v>
      </c>
      <c r="J63" s="653">
        <v>512382</v>
      </c>
      <c r="K63" s="603">
        <v>0.7</v>
      </c>
      <c r="L63" s="646">
        <v>358709</v>
      </c>
      <c r="M63" s="654">
        <f>VLOOKUP(G:G,list!B:E,4,FALSE)</f>
        <v>0.1</v>
      </c>
      <c r="N63" s="655">
        <f t="shared" si="0"/>
        <v>35871</v>
      </c>
      <c r="O63" s="655">
        <f t="shared" si="1"/>
        <v>322838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45962</v>
      </c>
      <c r="J64" s="653">
        <v>638008.37624000001</v>
      </c>
      <c r="K64" s="603">
        <v>0.35</v>
      </c>
      <c r="L64" s="646">
        <v>223303</v>
      </c>
      <c r="M64" s="654">
        <f>VLOOKUP(G:G,list!B:E,4,FALSE)</f>
        <v>0.1</v>
      </c>
      <c r="N64" s="655">
        <f t="shared" si="0"/>
        <v>22330</v>
      </c>
      <c r="O64" s="655">
        <f t="shared" si="1"/>
        <v>200973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182</v>
      </c>
      <c r="E65" s="564" t="s">
        <v>115</v>
      </c>
      <c r="F65" s="564" t="s">
        <v>386</v>
      </c>
      <c r="G65" s="564" t="s">
        <v>30</v>
      </c>
      <c r="H65" s="565">
        <v>44591</v>
      </c>
      <c r="I65" s="652">
        <v>45931</v>
      </c>
      <c r="J65" s="653">
        <v>0</v>
      </c>
      <c r="K65" s="603">
        <v>0.5</v>
      </c>
      <c r="L65" s="646">
        <v>0</v>
      </c>
      <c r="M65" s="654">
        <f>VLOOKUP(G:G,list!B:E,4,FALSE)</f>
        <v>0.1</v>
      </c>
      <c r="N65" s="655">
        <f t="shared" si="0"/>
        <v>0</v>
      </c>
      <c r="O65" s="655">
        <f t="shared" si="1"/>
        <v>0</v>
      </c>
      <c r="P65" s="564" t="s">
        <v>620</v>
      </c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182</v>
      </c>
      <c r="E66" s="564" t="s">
        <v>115</v>
      </c>
      <c r="F66" s="564" t="s">
        <v>386</v>
      </c>
      <c r="G66" s="564" t="s">
        <v>36</v>
      </c>
      <c r="H66" s="565">
        <v>44643</v>
      </c>
      <c r="I66" s="652">
        <v>45931</v>
      </c>
      <c r="J66" s="653">
        <v>6382</v>
      </c>
      <c r="K66" s="603">
        <v>0.5</v>
      </c>
      <c r="L66" s="646">
        <v>3191</v>
      </c>
      <c r="M66" s="654" t="str">
        <f>VLOOKUP(G:G,list!B:E,4,FALSE)</f>
        <v>-</v>
      </c>
      <c r="N66" s="655">
        <f t="shared" si="0"/>
        <v>0</v>
      </c>
      <c r="O66" s="655">
        <f t="shared" si="1"/>
        <v>3191</v>
      </c>
      <c r="P66" s="564" t="s">
        <v>620</v>
      </c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작가기획</v>
      </c>
      <c r="D67" s="564" t="s">
        <v>182</v>
      </c>
      <c r="E67" s="564" t="s">
        <v>115</v>
      </c>
      <c r="F67" s="564" t="s">
        <v>386</v>
      </c>
      <c r="G67" s="564" t="s">
        <v>37</v>
      </c>
      <c r="H67" s="565">
        <v>44643</v>
      </c>
      <c r="I67" s="652">
        <v>45931</v>
      </c>
      <c r="J67" s="653">
        <v>0</v>
      </c>
      <c r="K67" s="603">
        <v>0.5</v>
      </c>
      <c r="L67" s="646">
        <v>0</v>
      </c>
      <c r="M67" s="654" t="str">
        <f>VLOOKUP(G:G,list!B:E,4,FALSE)</f>
        <v>-</v>
      </c>
      <c r="N67" s="655">
        <f t="shared" si="0"/>
        <v>0</v>
      </c>
      <c r="O67" s="655">
        <f t="shared" si="1"/>
        <v>0</v>
      </c>
      <c r="P67" s="564" t="s">
        <v>620</v>
      </c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182</v>
      </c>
      <c r="E68" s="564" t="s">
        <v>115</v>
      </c>
      <c r="F68" s="564" t="s">
        <v>386</v>
      </c>
      <c r="G68" s="564" t="s">
        <v>56</v>
      </c>
      <c r="H68" s="565">
        <v>44599</v>
      </c>
      <c r="I68" s="652">
        <v>45931</v>
      </c>
      <c r="J68" s="653">
        <v>4680</v>
      </c>
      <c r="K68" s="603">
        <v>0.5</v>
      </c>
      <c r="L68" s="646">
        <v>2340</v>
      </c>
      <c r="M68" s="654">
        <f>VLOOKUP(G:G,list!B:E,4,FALSE)</f>
        <v>0.1</v>
      </c>
      <c r="N68" s="655">
        <f t="shared" si="0"/>
        <v>234</v>
      </c>
      <c r="O68" s="655">
        <f t="shared" si="1"/>
        <v>2106</v>
      </c>
      <c r="P68" s="564" t="s">
        <v>620</v>
      </c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538</v>
      </c>
      <c r="E69" s="564" t="s">
        <v>9</v>
      </c>
      <c r="F69" s="564" t="s">
        <v>519</v>
      </c>
      <c r="G69" s="564" t="s">
        <v>316</v>
      </c>
      <c r="H69" s="565">
        <v>45446</v>
      </c>
      <c r="I69" s="652">
        <v>45992</v>
      </c>
      <c r="J69" s="653">
        <v>0</v>
      </c>
      <c r="K69" s="603">
        <v>0.7</v>
      </c>
      <c r="L69" s="646">
        <v>0</v>
      </c>
      <c r="M69" s="654">
        <f>VLOOKUP(G:G,list!B:E,4,FALSE)</f>
        <v>0.1</v>
      </c>
      <c r="N69" s="655">
        <f t="shared" si="0"/>
        <v>0</v>
      </c>
      <c r="O69" s="655">
        <f t="shared" si="1"/>
        <v>0</v>
      </c>
      <c r="P69" s="564" t="s">
        <v>366</v>
      </c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549</v>
      </c>
      <c r="E70" s="564" t="s">
        <v>9</v>
      </c>
      <c r="F70" s="564" t="s">
        <v>519</v>
      </c>
      <c r="G70" s="564" t="s">
        <v>316</v>
      </c>
      <c r="H70" s="565">
        <v>45524</v>
      </c>
      <c r="I70" s="652">
        <v>45992</v>
      </c>
      <c r="J70" s="653">
        <v>0</v>
      </c>
      <c r="K70" s="603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123</v>
      </c>
      <c r="E71" s="564" t="s">
        <v>9</v>
      </c>
      <c r="F71" s="564" t="s">
        <v>519</v>
      </c>
      <c r="G71" s="564" t="s">
        <v>316</v>
      </c>
      <c r="H71" s="565">
        <v>45536</v>
      </c>
      <c r="I71" s="652">
        <v>45992</v>
      </c>
      <c r="J71" s="653">
        <v>0</v>
      </c>
      <c r="K71" s="603">
        <v>0.7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564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132</v>
      </c>
      <c r="E72" s="564" t="s">
        <v>9</v>
      </c>
      <c r="F72" s="564" t="s">
        <v>519</v>
      </c>
      <c r="G72" s="564" t="s">
        <v>316</v>
      </c>
      <c r="H72" s="565">
        <v>44945</v>
      </c>
      <c r="I72" s="652">
        <v>45992</v>
      </c>
      <c r="J72" s="653">
        <v>0</v>
      </c>
      <c r="K72" s="603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183</v>
      </c>
      <c r="E73" s="564" t="s">
        <v>9</v>
      </c>
      <c r="F73" s="564" t="s">
        <v>519</v>
      </c>
      <c r="G73" s="564" t="s">
        <v>316</v>
      </c>
      <c r="H73" s="565">
        <v>45702</v>
      </c>
      <c r="I73" s="652">
        <v>45992</v>
      </c>
      <c r="J73" s="653">
        <v>0</v>
      </c>
      <c r="K73" s="603">
        <v>0.7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617</v>
      </c>
      <c r="E74" s="564" t="s">
        <v>9</v>
      </c>
      <c r="F74" s="564" t="s">
        <v>519</v>
      </c>
      <c r="G74" s="564" t="s">
        <v>316</v>
      </c>
      <c r="H74" s="565">
        <v>45534</v>
      </c>
      <c r="I74" s="652">
        <v>45992</v>
      </c>
      <c r="J74" s="653">
        <v>0</v>
      </c>
      <c r="K74" s="603">
        <v>0.7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132</v>
      </c>
      <c r="E75" s="564" t="s">
        <v>9</v>
      </c>
      <c r="F75" s="564" t="s">
        <v>519</v>
      </c>
      <c r="G75" s="564" t="s">
        <v>56</v>
      </c>
      <c r="H75" s="565">
        <v>44952</v>
      </c>
      <c r="I75" s="652">
        <v>45992</v>
      </c>
      <c r="J75" s="653">
        <v>0</v>
      </c>
      <c r="K75" s="567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538</v>
      </c>
      <c r="E76" s="564" t="s">
        <v>9</v>
      </c>
      <c r="F76" s="564" t="s">
        <v>519</v>
      </c>
      <c r="G76" s="564" t="s">
        <v>56</v>
      </c>
      <c r="H76" s="565">
        <v>45503</v>
      </c>
      <c r="I76" s="652">
        <v>45992</v>
      </c>
      <c r="J76" s="653">
        <v>0</v>
      </c>
      <c r="K76" s="567">
        <v>0.5</v>
      </c>
      <c r="L76" s="646">
        <v>0</v>
      </c>
      <c r="M76" s="654">
        <f>VLOOKUP(G:G,list!B:E,4,FALSE)</f>
        <v>0.1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549</v>
      </c>
      <c r="E77" s="564" t="s">
        <v>9</v>
      </c>
      <c r="F77" s="564" t="s">
        <v>519</v>
      </c>
      <c r="G77" s="564" t="s">
        <v>56</v>
      </c>
      <c r="H77" s="565">
        <v>45547</v>
      </c>
      <c r="I77" s="652">
        <v>45992</v>
      </c>
      <c r="J77" s="653">
        <v>0</v>
      </c>
      <c r="K77" s="567">
        <v>0.5</v>
      </c>
      <c r="L77" s="646">
        <v>0</v>
      </c>
      <c r="M77" s="654">
        <f>VLOOKUP(G:G,list!B:E,4,FALSE)</f>
        <v>0.1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132</v>
      </c>
      <c r="E78" s="564" t="s">
        <v>9</v>
      </c>
      <c r="F78" s="564" t="s">
        <v>519</v>
      </c>
      <c r="G78" s="564" t="s">
        <v>30</v>
      </c>
      <c r="H78" s="565">
        <v>44953</v>
      </c>
      <c r="I78" s="652">
        <v>45992</v>
      </c>
      <c r="J78" s="653">
        <v>0</v>
      </c>
      <c r="K78" s="567">
        <v>0.5</v>
      </c>
      <c r="L78" s="646">
        <v>0</v>
      </c>
      <c r="M78" s="654">
        <f>VLOOKUP(G:G,list!B:E,4,FALSE)</f>
        <v>0.1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132</v>
      </c>
      <c r="E79" s="564" t="s">
        <v>9</v>
      </c>
      <c r="F79" s="564" t="s">
        <v>519</v>
      </c>
      <c r="G79" s="564" t="s">
        <v>308</v>
      </c>
      <c r="H79" s="565">
        <v>44992</v>
      </c>
      <c r="I79" s="652">
        <v>45992</v>
      </c>
      <c r="J79" s="653">
        <v>0</v>
      </c>
      <c r="K79" s="603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538</v>
      </c>
      <c r="E80" s="564" t="s">
        <v>9</v>
      </c>
      <c r="F80" s="564" t="s">
        <v>519</v>
      </c>
      <c r="G80" s="564" t="s">
        <v>308</v>
      </c>
      <c r="H80" s="565">
        <v>45610</v>
      </c>
      <c r="I80" s="652">
        <v>45992</v>
      </c>
      <c r="J80" s="653">
        <v>0</v>
      </c>
      <c r="K80" s="603">
        <v>0.5</v>
      </c>
      <c r="L80" s="646">
        <v>0</v>
      </c>
      <c r="M80" s="654" t="str">
        <f>VLOOKUP(G:G,list!B:E,4,FALSE)</f>
        <v>-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36</v>
      </c>
      <c r="H81" s="565">
        <v>45198</v>
      </c>
      <c r="I81" s="652">
        <v>45992</v>
      </c>
      <c r="J81" s="653">
        <v>35378</v>
      </c>
      <c r="K81" s="603">
        <v>0.5</v>
      </c>
      <c r="L81" s="646">
        <v>17689</v>
      </c>
      <c r="M81" s="654" t="str">
        <f>VLOOKUP(G:G,list!B:E,4,FALSE)</f>
        <v>-</v>
      </c>
      <c r="N81" s="655">
        <f t="shared" si="0"/>
        <v>0</v>
      </c>
      <c r="O81" s="655">
        <f t="shared" si="1"/>
        <v>17689</v>
      </c>
      <c r="P81" s="564"/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36</v>
      </c>
      <c r="H82" s="565">
        <v>45479</v>
      </c>
      <c r="I82" s="652">
        <v>45992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549</v>
      </c>
      <c r="E83" s="564" t="s">
        <v>9</v>
      </c>
      <c r="F83" s="564" t="s">
        <v>519</v>
      </c>
      <c r="G83" s="564" t="s">
        <v>36</v>
      </c>
      <c r="H83" s="565">
        <v>45531</v>
      </c>
      <c r="I83" s="652">
        <v>45992</v>
      </c>
      <c r="J83" s="653">
        <v>0</v>
      </c>
      <c r="K83" s="603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123</v>
      </c>
      <c r="E84" s="564" t="s">
        <v>9</v>
      </c>
      <c r="F84" s="564" t="s">
        <v>519</v>
      </c>
      <c r="G84" s="564" t="s">
        <v>36</v>
      </c>
      <c r="H84" s="565">
        <v>45555</v>
      </c>
      <c r="I84" s="652">
        <v>45992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132</v>
      </c>
      <c r="E85" s="564" t="s">
        <v>9</v>
      </c>
      <c r="F85" s="564" t="s">
        <v>519</v>
      </c>
      <c r="G85" s="564" t="s">
        <v>139</v>
      </c>
      <c r="H85" s="565">
        <v>45276</v>
      </c>
      <c r="I85" s="652">
        <v>45992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538</v>
      </c>
      <c r="E86" s="564" t="s">
        <v>9</v>
      </c>
      <c r="F86" s="564" t="s">
        <v>519</v>
      </c>
      <c r="G86" s="564" t="s">
        <v>139</v>
      </c>
      <c r="H86" s="565">
        <v>45534</v>
      </c>
      <c r="I86" s="652">
        <v>45992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123</v>
      </c>
      <c r="E87" s="564" t="s">
        <v>9</v>
      </c>
      <c r="F87" s="564" t="s">
        <v>519</v>
      </c>
      <c r="G87" s="564" t="s">
        <v>139</v>
      </c>
      <c r="H87" s="565">
        <v>45656</v>
      </c>
      <c r="I87" s="652">
        <v>45992</v>
      </c>
      <c r="J87" s="653">
        <v>0</v>
      </c>
      <c r="K87" s="603">
        <v>0.5</v>
      </c>
      <c r="L87" s="646">
        <v>0</v>
      </c>
      <c r="M87" s="654" t="str">
        <f>VLOOKUP(G:G,list!B:E,4,FALSE)</f>
        <v>-</v>
      </c>
      <c r="N87" s="655">
        <f t="shared" si="0"/>
        <v>0</v>
      </c>
      <c r="O87" s="655">
        <f t="shared" si="1"/>
        <v>0</v>
      </c>
      <c r="P87" s="564" t="s">
        <v>366</v>
      </c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외부제작</v>
      </c>
      <c r="D88" s="564" t="s">
        <v>123</v>
      </c>
      <c r="E88" s="564" t="s">
        <v>9</v>
      </c>
      <c r="F88" s="564" t="s">
        <v>519</v>
      </c>
      <c r="G88" s="564" t="s">
        <v>315</v>
      </c>
      <c r="H88" s="565">
        <v>45673</v>
      </c>
      <c r="I88" s="652">
        <v>45992</v>
      </c>
      <c r="J88" s="653">
        <v>0</v>
      </c>
      <c r="K88" s="603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564" t="s">
        <v>366</v>
      </c>
      <c r="Q88" s="672" t="str">
        <f>VLOOKUP(G:G,list!B:F,5,FALSE)</f>
        <v>-</v>
      </c>
      <c r="R88" s="656" t="str">
        <f>VLOOKUP(G:G,list!B:D,3,FALSE)</f>
        <v>N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283</v>
      </c>
      <c r="G89" s="564" t="s">
        <v>30</v>
      </c>
      <c r="H89" s="565">
        <v>44358</v>
      </c>
      <c r="I89" s="652">
        <v>45931</v>
      </c>
      <c r="J89" s="653">
        <v>114927</v>
      </c>
      <c r="K89" s="603">
        <v>0.5</v>
      </c>
      <c r="L89" s="646">
        <v>57464</v>
      </c>
      <c r="M89" s="654">
        <f>VLOOKUP(G:G,list!B:E,4,FALSE)</f>
        <v>0.1</v>
      </c>
      <c r="N89" s="655">
        <f t="shared" si="0"/>
        <v>5746</v>
      </c>
      <c r="O89" s="655">
        <f t="shared" si="1"/>
        <v>51718</v>
      </c>
      <c r="P89" s="564"/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283</v>
      </c>
      <c r="G90" s="564" t="s">
        <v>56</v>
      </c>
      <c r="H90" s="565">
        <v>44391</v>
      </c>
      <c r="I90" s="652">
        <v>45931</v>
      </c>
      <c r="J90" s="653">
        <v>264084</v>
      </c>
      <c r="K90" s="603">
        <v>0.5</v>
      </c>
      <c r="L90" s="646">
        <v>132042</v>
      </c>
      <c r="M90" s="654">
        <f>VLOOKUP(G:G,list!B:E,4,FALSE)</f>
        <v>0.1</v>
      </c>
      <c r="N90" s="655">
        <f t="shared" si="0"/>
        <v>13204</v>
      </c>
      <c r="O90" s="655">
        <f t="shared" si="1"/>
        <v>118838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283</v>
      </c>
      <c r="G91" s="564" t="s">
        <v>316</v>
      </c>
      <c r="H91" s="565">
        <v>44969</v>
      </c>
      <c r="I91" s="652">
        <v>45931</v>
      </c>
      <c r="J91" s="653">
        <v>13440</v>
      </c>
      <c r="K91" s="603">
        <v>0.5</v>
      </c>
      <c r="L91" s="646">
        <v>6720</v>
      </c>
      <c r="M91" s="654">
        <f>VLOOKUP(G:G,list!B:E,4,FALSE)</f>
        <v>0.1</v>
      </c>
      <c r="N91" s="655">
        <f t="shared" si="0"/>
        <v>672</v>
      </c>
      <c r="O91" s="655">
        <f t="shared" si="1"/>
        <v>6048</v>
      </c>
      <c r="P91" s="564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작가기획</v>
      </c>
      <c r="D92" s="564" t="s">
        <v>182</v>
      </c>
      <c r="E92" s="564" t="s">
        <v>115</v>
      </c>
      <c r="F92" s="564" t="s">
        <v>550</v>
      </c>
      <c r="G92" s="564" t="s">
        <v>308</v>
      </c>
      <c r="H92" s="565">
        <v>45347</v>
      </c>
      <c r="I92" s="652">
        <v>45931</v>
      </c>
      <c r="J92" s="653">
        <v>0</v>
      </c>
      <c r="K92" s="603">
        <v>0.5</v>
      </c>
      <c r="L92" s="646">
        <v>0</v>
      </c>
      <c r="M92" s="654" t="str">
        <f>VLOOKUP(G:G,list!B:E,4,FALSE)</f>
        <v>-</v>
      </c>
      <c r="N92" s="655">
        <f t="shared" si="0"/>
        <v>0</v>
      </c>
      <c r="O92" s="655">
        <f t="shared" si="1"/>
        <v>0</v>
      </c>
      <c r="P92" s="564" t="s">
        <v>366</v>
      </c>
      <c r="Q92" s="672" t="str">
        <f>VLOOKUP(G:G,list!B:F,5,FALSE)</f>
        <v>-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182</v>
      </c>
      <c r="E93" s="564" t="s">
        <v>115</v>
      </c>
      <c r="F93" s="564" t="s">
        <v>550</v>
      </c>
      <c r="G93" s="564" t="s">
        <v>316</v>
      </c>
      <c r="H93" s="565">
        <v>45359</v>
      </c>
      <c r="I93" s="652">
        <v>45931</v>
      </c>
      <c r="J93" s="653">
        <v>0</v>
      </c>
      <c r="K93" s="603">
        <v>0.5</v>
      </c>
      <c r="L93" s="646">
        <v>0</v>
      </c>
      <c r="M93" s="654">
        <f>VLOOKUP(G:G,list!B:E,4,FALSE)</f>
        <v>0.1</v>
      </c>
      <c r="N93" s="655">
        <f t="shared" si="0"/>
        <v>0</v>
      </c>
      <c r="O93" s="655">
        <f t="shared" si="1"/>
        <v>0</v>
      </c>
      <c r="P93" s="564" t="s">
        <v>366</v>
      </c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182</v>
      </c>
      <c r="E94" s="564" t="s">
        <v>115</v>
      </c>
      <c r="F94" s="564" t="s">
        <v>264</v>
      </c>
      <c r="G94" s="564" t="s">
        <v>56</v>
      </c>
      <c r="H94" s="565">
        <v>45941</v>
      </c>
      <c r="I94" s="652">
        <v>45962</v>
      </c>
      <c r="J94" s="653">
        <v>3252368</v>
      </c>
      <c r="K94" s="603">
        <v>0.5</v>
      </c>
      <c r="L94" s="646">
        <v>1626184</v>
      </c>
      <c r="M94" s="654">
        <f>VLOOKUP(G:G,list!B:E,4,FALSE)</f>
        <v>0.1</v>
      </c>
      <c r="N94" s="655">
        <f t="shared" si="0"/>
        <v>162618</v>
      </c>
      <c r="O94" s="655">
        <f t="shared" si="1"/>
        <v>1463566</v>
      </c>
      <c r="P94" s="564"/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182</v>
      </c>
      <c r="E95" s="564" t="s">
        <v>115</v>
      </c>
      <c r="F95" s="564" t="s">
        <v>264</v>
      </c>
      <c r="G95" s="564" t="s">
        <v>151</v>
      </c>
      <c r="H95" s="565">
        <v>45991</v>
      </c>
      <c r="I95" s="652">
        <v>45962</v>
      </c>
      <c r="J95" s="653">
        <v>28547</v>
      </c>
      <c r="K95" s="603">
        <v>0.5</v>
      </c>
      <c r="L95" s="646">
        <v>14274</v>
      </c>
      <c r="M95" s="654">
        <f>VLOOKUP(G:G,list!B:E,4,FALSE)</f>
        <v>0.1</v>
      </c>
      <c r="N95" s="655">
        <f t="shared" ref="N95" si="2">ROUND(IF(M95="-",0,L95*M95),0)</f>
        <v>1427</v>
      </c>
      <c r="O95" s="655">
        <f t="shared" ref="O95" si="3">L95-N95</f>
        <v>12847</v>
      </c>
      <c r="P95" s="564" t="s">
        <v>270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32</v>
      </c>
      <c r="E96" s="564" t="s">
        <v>9</v>
      </c>
      <c r="F96" s="564" t="s">
        <v>31</v>
      </c>
      <c r="G96" s="564" t="s">
        <v>30</v>
      </c>
      <c r="H96" s="565">
        <v>44239</v>
      </c>
      <c r="I96" s="652">
        <v>45962</v>
      </c>
      <c r="J96" s="653">
        <v>47902</v>
      </c>
      <c r="K96" s="603">
        <v>0.4</v>
      </c>
      <c r="L96" s="646">
        <v>18193</v>
      </c>
      <c r="M96" s="654">
        <f>VLOOKUP(G:G,list!B:E,4,FALSE)</f>
        <v>0.1</v>
      </c>
      <c r="N96" s="655">
        <f t="shared" si="0"/>
        <v>1819</v>
      </c>
      <c r="O96" s="655">
        <f t="shared" si="1"/>
        <v>16374</v>
      </c>
      <c r="P96" s="564"/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56</v>
      </c>
      <c r="H97" s="565">
        <v>44581</v>
      </c>
      <c r="I97" s="652">
        <v>45992</v>
      </c>
      <c r="J97" s="653">
        <v>669907</v>
      </c>
      <c r="K97" s="603">
        <v>0.3</v>
      </c>
      <c r="L97" s="568">
        <v>200972</v>
      </c>
      <c r="M97" s="654">
        <f>VLOOKUP(G:G,list!B:E,4,FALSE)</f>
        <v>0.1</v>
      </c>
      <c r="N97" s="655">
        <f t="shared" si="0"/>
        <v>20097</v>
      </c>
      <c r="O97" s="655">
        <f t="shared" si="1"/>
        <v>180875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183</v>
      </c>
      <c r="E98" s="564" t="s">
        <v>9</v>
      </c>
      <c r="F98" s="564" t="s">
        <v>213</v>
      </c>
      <c r="G98" s="564" t="s">
        <v>56</v>
      </c>
      <c r="H98" s="565">
        <v>44829</v>
      </c>
      <c r="I98" s="652">
        <v>45992</v>
      </c>
      <c r="J98" s="653">
        <v>969083</v>
      </c>
      <c r="K98" s="603">
        <v>0.3</v>
      </c>
      <c r="L98" s="568">
        <v>290725</v>
      </c>
      <c r="M98" s="654">
        <f>VLOOKUP(G:G,list!B:E,4,FALSE)</f>
        <v>0.1</v>
      </c>
      <c r="N98" s="655">
        <f t="shared" si="0"/>
        <v>29073</v>
      </c>
      <c r="O98" s="655">
        <f t="shared" si="1"/>
        <v>261652</v>
      </c>
      <c r="P98" s="564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123</v>
      </c>
      <c r="E99" s="564" t="s">
        <v>9</v>
      </c>
      <c r="F99" s="564" t="s">
        <v>213</v>
      </c>
      <c r="G99" s="564" t="s">
        <v>454</v>
      </c>
      <c r="H99" s="565">
        <v>44854</v>
      </c>
      <c r="I99" s="652">
        <v>45992</v>
      </c>
      <c r="J99" s="653">
        <v>384747</v>
      </c>
      <c r="K99" s="603">
        <v>0.3</v>
      </c>
      <c r="L99" s="568">
        <v>115424</v>
      </c>
      <c r="M99" s="654">
        <f>VLOOKUP(G:G,list!B:E,4,FALSE)</f>
        <v>0.1</v>
      </c>
      <c r="N99" s="655">
        <f t="shared" si="0"/>
        <v>11542</v>
      </c>
      <c r="O99" s="655">
        <f t="shared" si="1"/>
        <v>103882</v>
      </c>
      <c r="P99" s="564" t="s">
        <v>186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123</v>
      </c>
      <c r="E100" s="564" t="s">
        <v>9</v>
      </c>
      <c r="F100" s="564" t="s">
        <v>213</v>
      </c>
      <c r="G100" s="564" t="s">
        <v>481</v>
      </c>
      <c r="H100" s="565">
        <v>44981</v>
      </c>
      <c r="I100" s="652">
        <v>45992</v>
      </c>
      <c r="J100" s="653">
        <v>118593</v>
      </c>
      <c r="K100" s="603">
        <v>0.3</v>
      </c>
      <c r="L100" s="568">
        <v>35578</v>
      </c>
      <c r="M100" s="654">
        <f>VLOOKUP(G:G,list!B:E,4,FALSE)</f>
        <v>0.1</v>
      </c>
      <c r="N100" s="655">
        <f t="shared" si="0"/>
        <v>3558</v>
      </c>
      <c r="O100" s="655">
        <f t="shared" si="1"/>
        <v>32020</v>
      </c>
      <c r="P100" s="564" t="s">
        <v>186</v>
      </c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123</v>
      </c>
      <c r="E101" s="564" t="s">
        <v>9</v>
      </c>
      <c r="F101" s="564" t="s">
        <v>213</v>
      </c>
      <c r="G101" s="564" t="s">
        <v>352</v>
      </c>
      <c r="H101" s="565">
        <v>44984</v>
      </c>
      <c r="I101" s="652">
        <v>45992</v>
      </c>
      <c r="J101" s="653">
        <v>227217</v>
      </c>
      <c r="K101" s="603">
        <v>0.3</v>
      </c>
      <c r="L101" s="568">
        <v>68165</v>
      </c>
      <c r="M101" s="654">
        <f>VLOOKUP(G:G,list!B:E,4,FALSE)</f>
        <v>0.1</v>
      </c>
      <c r="N101" s="655">
        <f t="shared" si="0"/>
        <v>6817</v>
      </c>
      <c r="O101" s="655">
        <f t="shared" si="1"/>
        <v>61348</v>
      </c>
      <c r="P101" s="564" t="s">
        <v>186</v>
      </c>
      <c r="Q101" s="672" t="str">
        <f>VLOOKUP(G:G,list!B:F,5,FALSE)</f>
        <v>웹소설본부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72</v>
      </c>
      <c r="E102" s="564" t="s">
        <v>9</v>
      </c>
      <c r="F102" s="564" t="s">
        <v>213</v>
      </c>
      <c r="G102" s="564" t="s">
        <v>454</v>
      </c>
      <c r="H102" s="565">
        <v>44902</v>
      </c>
      <c r="I102" s="652">
        <v>45962</v>
      </c>
      <c r="J102" s="653">
        <v>346187</v>
      </c>
      <c r="K102" s="603">
        <v>0.3</v>
      </c>
      <c r="L102" s="568">
        <v>103856</v>
      </c>
      <c r="M102" s="654">
        <f>VLOOKUP(G:G,list!B:E,4,FALSE)</f>
        <v>0.1</v>
      </c>
      <c r="N102" s="655">
        <f t="shared" ref="N102:N121" si="4">ROUND(IF(M102="-",0,L102*M102),0)</f>
        <v>10386</v>
      </c>
      <c r="O102" s="655">
        <f t="shared" ref="O102:O121" si="5">L102-N102</f>
        <v>93470</v>
      </c>
      <c r="P102" s="564" t="s">
        <v>282</v>
      </c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72</v>
      </c>
      <c r="E103" s="564" t="s">
        <v>9</v>
      </c>
      <c r="F103" s="564" t="s">
        <v>213</v>
      </c>
      <c r="G103" s="564" t="s">
        <v>454</v>
      </c>
      <c r="H103" s="565">
        <v>45257</v>
      </c>
      <c r="I103" s="652">
        <v>45962</v>
      </c>
      <c r="J103" s="653">
        <v>4237</v>
      </c>
      <c r="K103" s="603">
        <v>0.3</v>
      </c>
      <c r="L103" s="568">
        <v>1271</v>
      </c>
      <c r="M103" s="654">
        <f>VLOOKUP(G:G,list!B:E,4,FALSE)</f>
        <v>0.1</v>
      </c>
      <c r="N103" s="655">
        <f t="shared" si="4"/>
        <v>127</v>
      </c>
      <c r="O103" s="655">
        <f t="shared" si="5"/>
        <v>1144</v>
      </c>
      <c r="P103" s="564" t="s">
        <v>546</v>
      </c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작가기획</v>
      </c>
      <c r="D104" s="564" t="s">
        <v>182</v>
      </c>
      <c r="E104" s="564" t="s">
        <v>115</v>
      </c>
      <c r="F104" s="564" t="s">
        <v>565</v>
      </c>
      <c r="G104" s="564" t="s">
        <v>36</v>
      </c>
      <c r="H104" s="565">
        <v>45364</v>
      </c>
      <c r="I104" s="652">
        <v>45839</v>
      </c>
      <c r="J104" s="653">
        <v>42672.369599999998</v>
      </c>
      <c r="K104" s="603">
        <v>0.5</v>
      </c>
      <c r="L104" s="568">
        <v>21336</v>
      </c>
      <c r="M104" s="654" t="str">
        <f>VLOOKUP(G:G,list!B:E,4,FALSE)</f>
        <v>-</v>
      </c>
      <c r="N104" s="655">
        <f t="shared" si="4"/>
        <v>0</v>
      </c>
      <c r="O104" s="655">
        <f t="shared" si="5"/>
        <v>21336</v>
      </c>
      <c r="P104" s="564"/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작가기획</v>
      </c>
      <c r="D105" s="564" t="s">
        <v>182</v>
      </c>
      <c r="E105" s="564" t="s">
        <v>115</v>
      </c>
      <c r="F105" s="564" t="s">
        <v>565</v>
      </c>
      <c r="G105" s="564" t="s">
        <v>36</v>
      </c>
      <c r="H105" s="565">
        <v>45364</v>
      </c>
      <c r="I105" s="652">
        <v>45870</v>
      </c>
      <c r="J105" s="653">
        <v>27995.660661818183</v>
      </c>
      <c r="K105" s="603">
        <v>0.5</v>
      </c>
      <c r="L105" s="568">
        <v>13998</v>
      </c>
      <c r="M105" s="654" t="str">
        <f>VLOOKUP(G:G,list!B:E,4,FALSE)</f>
        <v>-</v>
      </c>
      <c r="N105" s="655">
        <f t="shared" si="4"/>
        <v>0</v>
      </c>
      <c r="O105" s="655">
        <f t="shared" si="5"/>
        <v>13998</v>
      </c>
      <c r="P105" s="564"/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작가기획</v>
      </c>
      <c r="D106" s="564" t="s">
        <v>182</v>
      </c>
      <c r="E106" s="564" t="s">
        <v>115</v>
      </c>
      <c r="F106" s="564" t="s">
        <v>565</v>
      </c>
      <c r="G106" s="564" t="s">
        <v>36</v>
      </c>
      <c r="H106" s="565">
        <v>45364</v>
      </c>
      <c r="I106" s="652">
        <v>45901</v>
      </c>
      <c r="J106" s="653">
        <v>18232.739738181819</v>
      </c>
      <c r="K106" s="603">
        <v>0.5</v>
      </c>
      <c r="L106" s="568">
        <v>9116</v>
      </c>
      <c r="M106" s="654" t="str">
        <f>VLOOKUP(G:G,list!B:E,4,FALSE)</f>
        <v>-</v>
      </c>
      <c r="N106" s="655">
        <f t="shared" ref="N106" si="6">ROUND(IF(M106="-",0,L106*M106),0)</f>
        <v>0</v>
      </c>
      <c r="O106" s="655">
        <f t="shared" ref="O106" si="7">L106-N106</f>
        <v>9116</v>
      </c>
      <c r="P106" s="564"/>
      <c r="Q106" s="672" t="str">
        <f>VLOOKUP(G:G,list!B:F,5,FALSE)</f>
        <v>-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작가기획</v>
      </c>
      <c r="D107" s="564" t="s">
        <v>182</v>
      </c>
      <c r="E107" s="564" t="s">
        <v>115</v>
      </c>
      <c r="F107" s="564" t="s">
        <v>565</v>
      </c>
      <c r="G107" s="564" t="s">
        <v>37</v>
      </c>
      <c r="H107" s="565">
        <v>45362</v>
      </c>
      <c r="I107" s="652">
        <v>45839</v>
      </c>
      <c r="J107" s="653">
        <v>0</v>
      </c>
      <c r="K107" s="603">
        <v>0.5</v>
      </c>
      <c r="L107" s="568">
        <v>0</v>
      </c>
      <c r="M107" s="654" t="str">
        <f>VLOOKUP(G:G,list!B:E,4,FALSE)</f>
        <v>-</v>
      </c>
      <c r="N107" s="655">
        <f t="shared" si="4"/>
        <v>0</v>
      </c>
      <c r="O107" s="655">
        <f t="shared" si="5"/>
        <v>0</v>
      </c>
      <c r="P107" s="564" t="s">
        <v>366</v>
      </c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작가기획</v>
      </c>
      <c r="D108" s="564" t="s">
        <v>182</v>
      </c>
      <c r="E108" s="564" t="s">
        <v>115</v>
      </c>
      <c r="F108" s="564" t="s">
        <v>565</v>
      </c>
      <c r="G108" s="564" t="s">
        <v>37</v>
      </c>
      <c r="H108" s="565">
        <v>45362</v>
      </c>
      <c r="I108" s="652">
        <v>45870</v>
      </c>
      <c r="J108" s="653">
        <v>0</v>
      </c>
      <c r="K108" s="603">
        <v>0.5</v>
      </c>
      <c r="L108" s="568">
        <v>0</v>
      </c>
      <c r="M108" s="654" t="str">
        <f>VLOOKUP(G:G,list!B:E,4,FALSE)</f>
        <v>-</v>
      </c>
      <c r="N108" s="655">
        <f t="shared" si="4"/>
        <v>0</v>
      </c>
      <c r="O108" s="655">
        <f t="shared" si="5"/>
        <v>0</v>
      </c>
      <c r="P108" s="564" t="s">
        <v>366</v>
      </c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작가기획</v>
      </c>
      <c r="D109" s="564" t="s">
        <v>182</v>
      </c>
      <c r="E109" s="564" t="s">
        <v>115</v>
      </c>
      <c r="F109" s="564" t="s">
        <v>565</v>
      </c>
      <c r="G109" s="564" t="s">
        <v>37</v>
      </c>
      <c r="H109" s="565">
        <v>45362</v>
      </c>
      <c r="I109" s="652">
        <v>45901</v>
      </c>
      <c r="J109" s="653">
        <v>0</v>
      </c>
      <c r="K109" s="603">
        <v>0.5</v>
      </c>
      <c r="L109" s="568">
        <v>0</v>
      </c>
      <c r="M109" s="654" t="str">
        <f>VLOOKUP(G:G,list!B:E,4,FALSE)</f>
        <v>-</v>
      </c>
      <c r="N109" s="655">
        <f t="shared" si="4"/>
        <v>0</v>
      </c>
      <c r="O109" s="655">
        <f t="shared" si="5"/>
        <v>0</v>
      </c>
      <c r="P109" s="564" t="s">
        <v>366</v>
      </c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182</v>
      </c>
      <c r="E110" s="564" t="s">
        <v>115</v>
      </c>
      <c r="F110" s="564" t="s">
        <v>565</v>
      </c>
      <c r="G110" s="564" t="s">
        <v>30</v>
      </c>
      <c r="H110" s="565">
        <v>45379</v>
      </c>
      <c r="I110" s="652">
        <v>45839</v>
      </c>
      <c r="J110" s="653">
        <v>10560.409470752089</v>
      </c>
      <c r="K110" s="603">
        <v>0.5</v>
      </c>
      <c r="L110" s="568">
        <v>5280</v>
      </c>
      <c r="M110" s="654">
        <f>VLOOKUP(G:G,list!B:E,4,FALSE)</f>
        <v>0.1</v>
      </c>
      <c r="N110" s="655">
        <f t="shared" si="4"/>
        <v>528</v>
      </c>
      <c r="O110" s="655">
        <f t="shared" si="5"/>
        <v>4752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182</v>
      </c>
      <c r="E111" s="564" t="s">
        <v>115</v>
      </c>
      <c r="F111" s="564" t="s">
        <v>565</v>
      </c>
      <c r="G111" s="564" t="s">
        <v>30</v>
      </c>
      <c r="H111" s="565">
        <v>45379</v>
      </c>
      <c r="I111" s="652">
        <v>45870</v>
      </c>
      <c r="J111" s="653">
        <v>496.96044568245122</v>
      </c>
      <c r="K111" s="603">
        <v>0.5</v>
      </c>
      <c r="L111" s="568">
        <v>248</v>
      </c>
      <c r="M111" s="654">
        <f>VLOOKUP(G:G,list!B:E,4,FALSE)</f>
        <v>0.1</v>
      </c>
      <c r="N111" s="655">
        <f t="shared" si="4"/>
        <v>25</v>
      </c>
      <c r="O111" s="655">
        <f t="shared" si="5"/>
        <v>223</v>
      </c>
      <c r="P111" s="564"/>
      <c r="Q111" s="672" t="str">
        <f>VLOOKUP(G:G,list!B:F,5,FALSE)</f>
        <v>웹소설본부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182</v>
      </c>
      <c r="E112" s="564" t="s">
        <v>115</v>
      </c>
      <c r="F112" s="564" t="s">
        <v>565</v>
      </c>
      <c r="G112" s="564" t="s">
        <v>30</v>
      </c>
      <c r="H112" s="565">
        <v>45379</v>
      </c>
      <c r="I112" s="652">
        <v>45901</v>
      </c>
      <c r="J112" s="653">
        <v>93.180083565459611</v>
      </c>
      <c r="K112" s="603">
        <v>0.5</v>
      </c>
      <c r="L112" s="568">
        <v>47</v>
      </c>
      <c r="M112" s="654">
        <f>VLOOKUP(G:G,list!B:E,4,FALSE)</f>
        <v>0.1</v>
      </c>
      <c r="N112" s="655">
        <f t="shared" si="4"/>
        <v>5</v>
      </c>
      <c r="O112" s="655">
        <f t="shared" si="5"/>
        <v>42</v>
      </c>
      <c r="P112" s="564"/>
      <c r="Q112" s="672" t="str">
        <f>VLOOKUP(G:G,list!B:F,5,FALSE)</f>
        <v>웹소설본부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작가기획</v>
      </c>
      <c r="D113" s="564" t="s">
        <v>182</v>
      </c>
      <c r="E113" s="564" t="s">
        <v>115</v>
      </c>
      <c r="F113" s="564" t="s">
        <v>565</v>
      </c>
      <c r="G113" s="564" t="s">
        <v>308</v>
      </c>
      <c r="H113" s="565">
        <v>45382</v>
      </c>
      <c r="I113" s="652">
        <v>45839</v>
      </c>
      <c r="J113" s="653">
        <v>3015.2360946745562</v>
      </c>
      <c r="K113" s="603">
        <v>0.5</v>
      </c>
      <c r="L113" s="568">
        <v>1508</v>
      </c>
      <c r="M113" s="654" t="str">
        <f>VLOOKUP(G:G,list!B:E,4,FALSE)</f>
        <v>-</v>
      </c>
      <c r="N113" s="655">
        <f t="shared" si="4"/>
        <v>0</v>
      </c>
      <c r="O113" s="655">
        <f t="shared" si="5"/>
        <v>1508</v>
      </c>
      <c r="P113" s="564"/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작가기획</v>
      </c>
      <c r="D114" s="564" t="s">
        <v>182</v>
      </c>
      <c r="E114" s="564" t="s">
        <v>115</v>
      </c>
      <c r="F114" s="564" t="s">
        <v>565</v>
      </c>
      <c r="G114" s="564" t="s">
        <v>308</v>
      </c>
      <c r="H114" s="565">
        <v>45382</v>
      </c>
      <c r="I114" s="652">
        <v>45870</v>
      </c>
      <c r="J114" s="653">
        <v>121.58210059171599</v>
      </c>
      <c r="K114" s="603">
        <v>0.5</v>
      </c>
      <c r="L114" s="568">
        <v>61</v>
      </c>
      <c r="M114" s="654" t="str">
        <f>VLOOKUP(G:G,list!B:E,4,FALSE)</f>
        <v>-</v>
      </c>
      <c r="N114" s="655">
        <f t="shared" si="4"/>
        <v>0</v>
      </c>
      <c r="O114" s="655">
        <f t="shared" si="5"/>
        <v>61</v>
      </c>
      <c r="P114" s="564"/>
      <c r="Q114" s="672" t="str">
        <f>VLOOKUP(G:G,list!B:F,5,FALSE)</f>
        <v>-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작가기획</v>
      </c>
      <c r="D115" s="564" t="s">
        <v>182</v>
      </c>
      <c r="E115" s="564" t="s">
        <v>115</v>
      </c>
      <c r="F115" s="564" t="s">
        <v>565</v>
      </c>
      <c r="G115" s="564" t="s">
        <v>308</v>
      </c>
      <c r="H115" s="565">
        <v>45382</v>
      </c>
      <c r="I115" s="652">
        <v>45901</v>
      </c>
      <c r="J115" s="653">
        <v>5082.131804733729</v>
      </c>
      <c r="K115" s="603">
        <v>0.5</v>
      </c>
      <c r="L115" s="568">
        <v>2541</v>
      </c>
      <c r="M115" s="654" t="str">
        <f>VLOOKUP(G:G,list!B:E,4,FALSE)</f>
        <v>-</v>
      </c>
      <c r="N115" s="655">
        <f t="shared" si="4"/>
        <v>0</v>
      </c>
      <c r="O115" s="655">
        <f t="shared" si="5"/>
        <v>2541</v>
      </c>
      <c r="P115" s="564"/>
      <c r="Q115" s="672" t="str">
        <f>VLOOKUP(G:G,list!B:F,5,FALSE)</f>
        <v>-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182</v>
      </c>
      <c r="E116" s="564" t="s">
        <v>115</v>
      </c>
      <c r="F116" s="564" t="s">
        <v>565</v>
      </c>
      <c r="G116" s="564" t="s">
        <v>316</v>
      </c>
      <c r="H116" s="565">
        <v>45390</v>
      </c>
      <c r="I116" s="652">
        <v>45839</v>
      </c>
      <c r="J116" s="653">
        <v>40679.799264705878</v>
      </c>
      <c r="K116" s="603">
        <v>0.5</v>
      </c>
      <c r="L116" s="568">
        <v>20340</v>
      </c>
      <c r="M116" s="654">
        <f>VLOOKUP(G:G,list!B:E,4,FALSE)</f>
        <v>0.1</v>
      </c>
      <c r="N116" s="655">
        <f t="shared" si="4"/>
        <v>2034</v>
      </c>
      <c r="O116" s="655">
        <f t="shared" si="5"/>
        <v>18306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182</v>
      </c>
      <c r="E117" s="564" t="s">
        <v>115</v>
      </c>
      <c r="F117" s="564" t="s">
        <v>565</v>
      </c>
      <c r="G117" s="564" t="s">
        <v>316</v>
      </c>
      <c r="H117" s="565">
        <v>45390</v>
      </c>
      <c r="I117" s="652">
        <v>45870</v>
      </c>
      <c r="J117" s="653">
        <v>2412.279201680672</v>
      </c>
      <c r="K117" s="603">
        <v>0.5</v>
      </c>
      <c r="L117" s="568">
        <v>1206</v>
      </c>
      <c r="M117" s="654">
        <f>VLOOKUP(G:G,list!B:E,4,FALSE)</f>
        <v>0.1</v>
      </c>
      <c r="N117" s="655">
        <f t="shared" si="4"/>
        <v>121</v>
      </c>
      <c r="O117" s="655">
        <f t="shared" si="5"/>
        <v>1085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원작료</v>
      </c>
      <c r="D118" s="564" t="s">
        <v>182</v>
      </c>
      <c r="E118" s="564" t="s">
        <v>115</v>
      </c>
      <c r="F118" s="564" t="s">
        <v>565</v>
      </c>
      <c r="G118" s="564" t="s">
        <v>316</v>
      </c>
      <c r="H118" s="565">
        <v>45390</v>
      </c>
      <c r="I118" s="652">
        <v>45901</v>
      </c>
      <c r="J118" s="653">
        <v>9100.8715336134446</v>
      </c>
      <c r="K118" s="603">
        <v>0.5</v>
      </c>
      <c r="L118" s="568">
        <v>4550</v>
      </c>
      <c r="M118" s="654">
        <f>VLOOKUP(G:G,list!B:E,4,FALSE)</f>
        <v>0.1</v>
      </c>
      <c r="N118" s="655">
        <f t="shared" si="4"/>
        <v>455</v>
      </c>
      <c r="O118" s="655">
        <f t="shared" si="5"/>
        <v>4095</v>
      </c>
      <c r="P118" s="564"/>
      <c r="Q118" s="672" t="str">
        <f>VLOOKUP(G:G,list!B:F,5,FALSE)</f>
        <v>웹소설본부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원작료</v>
      </c>
      <c r="D119" s="564" t="s">
        <v>182</v>
      </c>
      <c r="E119" s="564" t="s">
        <v>115</v>
      </c>
      <c r="F119" s="564" t="s">
        <v>565</v>
      </c>
      <c r="G119" s="564" t="s">
        <v>56</v>
      </c>
      <c r="H119" s="565">
        <v>45391</v>
      </c>
      <c r="I119" s="652">
        <v>45839</v>
      </c>
      <c r="J119" s="653">
        <v>178669.62450590363</v>
      </c>
      <c r="K119" s="603">
        <v>0.5</v>
      </c>
      <c r="L119" s="568">
        <v>89335</v>
      </c>
      <c r="M119" s="654">
        <f>VLOOKUP(G:G,list!B:E,4,FALSE)</f>
        <v>0.1</v>
      </c>
      <c r="N119" s="655">
        <f t="shared" si="4"/>
        <v>8934</v>
      </c>
      <c r="O119" s="655">
        <f t="shared" si="5"/>
        <v>80401</v>
      </c>
      <c r="P119" s="564"/>
      <c r="Q119" s="672" t="str">
        <f>VLOOKUP(G:G,list!B:F,5,FALSE)</f>
        <v>웹소설본부</v>
      </c>
      <c r="R119" s="656" t="str">
        <f>VLOOKUP(G:G,list!B:D,3,FALSE)</f>
        <v>Y</v>
      </c>
    </row>
    <row r="120" spans="2:18" ht="18" customHeight="1">
      <c r="B120" s="563">
        <v>115</v>
      </c>
      <c r="C120" s="651" t="str">
        <f>VLOOKUP(G:G,list!B:D,2,FALSE)</f>
        <v>원작료</v>
      </c>
      <c r="D120" s="564" t="s">
        <v>182</v>
      </c>
      <c r="E120" s="564" t="s">
        <v>115</v>
      </c>
      <c r="F120" s="564" t="s">
        <v>565</v>
      </c>
      <c r="G120" s="564" t="s">
        <v>56</v>
      </c>
      <c r="H120" s="565">
        <v>45391</v>
      </c>
      <c r="I120" s="652">
        <v>45870</v>
      </c>
      <c r="J120" s="653">
        <v>28810.802731624291</v>
      </c>
      <c r="K120" s="603">
        <v>0.5</v>
      </c>
      <c r="L120" s="568">
        <v>14405</v>
      </c>
      <c r="M120" s="654">
        <f>VLOOKUP(G:G,list!B:E,4,FALSE)</f>
        <v>0.1</v>
      </c>
      <c r="N120" s="655">
        <f t="shared" si="4"/>
        <v>1441</v>
      </c>
      <c r="O120" s="655">
        <f t="shared" si="5"/>
        <v>12964</v>
      </c>
      <c r="P120" s="564"/>
      <c r="Q120" s="672" t="str">
        <f>VLOOKUP(G:G,list!B:F,5,FALSE)</f>
        <v>웹소설본부</v>
      </c>
      <c r="R120" s="656" t="str">
        <f>VLOOKUP(G:G,list!B:D,3,FALSE)</f>
        <v>Y</v>
      </c>
    </row>
    <row r="121" spans="2:18" ht="18" customHeight="1">
      <c r="B121" s="650">
        <v>116</v>
      </c>
      <c r="C121" s="651" t="str">
        <f>VLOOKUP(G:G,list!B:D,2,FALSE)</f>
        <v>원작료</v>
      </c>
      <c r="D121" s="564" t="s">
        <v>182</v>
      </c>
      <c r="E121" s="564" t="s">
        <v>115</v>
      </c>
      <c r="F121" s="564" t="s">
        <v>565</v>
      </c>
      <c r="G121" s="564" t="s">
        <v>56</v>
      </c>
      <c r="H121" s="565">
        <v>45391</v>
      </c>
      <c r="I121" s="652">
        <v>45901</v>
      </c>
      <c r="J121" s="653">
        <v>15258.352762472077</v>
      </c>
      <c r="K121" s="603">
        <v>0.5</v>
      </c>
      <c r="L121" s="568">
        <v>7629</v>
      </c>
      <c r="M121" s="654">
        <f>VLOOKUP(G:G,list!B:E,4,FALSE)</f>
        <v>0.1</v>
      </c>
      <c r="N121" s="655">
        <f t="shared" si="4"/>
        <v>763</v>
      </c>
      <c r="O121" s="655">
        <f t="shared" si="5"/>
        <v>6866</v>
      </c>
      <c r="P121" s="564"/>
      <c r="Q121" s="672" t="str">
        <f>VLOOKUP(G:G,list!B:F,5,FALSE)</f>
        <v>웹소설본부</v>
      </c>
      <c r="R121" s="656" t="str">
        <f>VLOOKUP(G:G,list!B:D,3,FALSE)</f>
        <v>Y</v>
      </c>
    </row>
    <row r="122" spans="2:18" ht="11.25" customHeight="1">
      <c r="B122" s="52"/>
      <c r="C122" s="551"/>
      <c r="D122" s="551"/>
      <c r="E122" s="551"/>
      <c r="F122" s="551"/>
      <c r="G122" s="551"/>
      <c r="H122" s="622"/>
      <c r="I122" s="551"/>
      <c r="J122" s="435"/>
      <c r="K122" s="623"/>
      <c r="L122"/>
      <c r="M122" s="438"/>
      <c r="N122" s="439"/>
      <c r="O122" s="440"/>
      <c r="P122" s="633"/>
      <c r="Q122" s="438"/>
      <c r="R122" s="486"/>
    </row>
    <row r="123" spans="2:18" s="7" customFormat="1" ht="16.5" customHeight="1">
      <c r="B123" s="624" t="s">
        <v>387</v>
      </c>
      <c r="C123" s="625"/>
      <c r="D123" s="625"/>
      <c r="E123" s="626"/>
      <c r="F123" s="625"/>
      <c r="G123" s="625"/>
      <c r="H123" s="625"/>
      <c r="I123" s="311"/>
      <c r="J123" s="311"/>
      <c r="K123" s="311"/>
      <c r="M123" s="424"/>
      <c r="N123"/>
      <c r="O123" s="333"/>
      <c r="P123" s="631"/>
      <c r="Q123" s="424"/>
      <c r="R123" s="484"/>
    </row>
    <row r="124" spans="2:18" s="7" customFormat="1" ht="16.5" customHeight="1">
      <c r="B124" s="629" t="s">
        <v>299</v>
      </c>
      <c r="C124" s="625"/>
      <c r="D124" s="625"/>
      <c r="E124" s="626"/>
      <c r="F124" s="625"/>
      <c r="G124" s="625"/>
      <c r="H124" s="625"/>
      <c r="I124" s="311"/>
      <c r="K124" s="311"/>
      <c r="L124" s="311"/>
      <c r="M124" s="424"/>
      <c r="N124"/>
      <c r="O124" s="333"/>
      <c r="P124" s="631"/>
      <c r="Q124" s="424"/>
      <c r="R124" s="484"/>
    </row>
    <row r="125" spans="2:18" s="7" customFormat="1" ht="16.5" customHeight="1">
      <c r="B125" s="628" t="s">
        <v>302</v>
      </c>
      <c r="C125" s="627"/>
      <c r="D125" s="625"/>
      <c r="E125" s="626"/>
      <c r="F125" s="625"/>
      <c r="G125" s="625"/>
      <c r="H125" s="625"/>
      <c r="I125" s="311"/>
      <c r="J125" s="311"/>
      <c r="L125" s="311"/>
      <c r="M125" s="424"/>
      <c r="N125"/>
      <c r="O125" s="333"/>
      <c r="P125" s="631"/>
      <c r="Q125" s="424"/>
      <c r="R125" s="484"/>
    </row>
    <row r="126" spans="2:18" s="7" customFormat="1" ht="16.5" customHeight="1">
      <c r="B126" s="630" t="s">
        <v>303</v>
      </c>
      <c r="C126" s="627"/>
      <c r="D126" s="625"/>
      <c r="E126" s="626"/>
      <c r="F126" s="625"/>
      <c r="G126" s="625"/>
      <c r="H126" s="625"/>
      <c r="I126" s="311"/>
      <c r="J126" s="311"/>
      <c r="K126" s="311"/>
      <c r="L126" s="311"/>
      <c r="M126" s="424"/>
      <c r="N126"/>
      <c r="O126" s="333"/>
      <c r="P126" s="631"/>
      <c r="Q126" s="424"/>
      <c r="R126" s="484"/>
    </row>
    <row r="127" spans="2:18" ht="16.5" customHeight="1">
      <c r="B127" s="629" t="s">
        <v>340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512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8" ht="16.5" customHeight="1">
      <c r="B129" s="629" t="s">
        <v>522</v>
      </c>
      <c r="C129" s="625"/>
      <c r="D129" s="625"/>
      <c r="E129" s="626"/>
      <c r="F129" s="625"/>
      <c r="G129" s="625"/>
      <c r="H129" s="625"/>
      <c r="I129" s="311"/>
      <c r="J129" s="311"/>
      <c r="K129" s="311"/>
    </row>
    <row r="130" spans="2:18" ht="16.5" customHeight="1">
      <c r="B130" s="629" t="s">
        <v>520</v>
      </c>
      <c r="C130" s="625"/>
      <c r="D130" s="625"/>
      <c r="E130" s="626"/>
      <c r="F130" s="625"/>
      <c r="G130" s="625"/>
      <c r="H130" s="625"/>
      <c r="I130" s="311"/>
      <c r="J130" s="311"/>
      <c r="K130" s="311"/>
    </row>
    <row r="131" spans="2:18" ht="16.5" customHeight="1">
      <c r="B131" s="629" t="s">
        <v>521</v>
      </c>
      <c r="C131" s="625"/>
      <c r="D131" s="625"/>
      <c r="E131" s="626"/>
      <c r="F131" s="625"/>
      <c r="G131" s="625"/>
      <c r="H131" s="625"/>
      <c r="I131" s="311"/>
      <c r="J131" s="311"/>
      <c r="K131" s="311"/>
    </row>
    <row r="132" spans="2:18" s="311" customFormat="1" ht="16.5" customHeight="1">
      <c r="B132" s="629" t="s">
        <v>529</v>
      </c>
      <c r="C132" s="625"/>
      <c r="D132" s="625"/>
      <c r="E132" s="626"/>
      <c r="F132" s="625"/>
      <c r="G132" s="625"/>
      <c r="H132" s="625"/>
      <c r="M132" s="424"/>
      <c r="N132"/>
      <c r="O132" s="333"/>
      <c r="P132" s="631"/>
      <c r="Q132" s="424"/>
      <c r="R132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07EA-D797-4BE3-B09F-2CA459E43062}">
  <dimension ref="B1:R122"/>
  <sheetViews>
    <sheetView showGridLines="0" zoomScaleNormal="100" workbookViewId="0">
      <pane xSplit="1" ySplit="5" topLeftCell="B96" activePane="bottomRight" state="frozen"/>
      <selection pane="topRight" activeCell="B1" sqref="B1"/>
      <selection pane="bottomLeft" activeCell="A6" sqref="A6"/>
      <selection pane="bottomRight" activeCell="I106" sqref="I10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615</v>
      </c>
      <c r="C2" s="539"/>
      <c r="D2" s="539"/>
      <c r="E2" s="539"/>
      <c r="F2" s="539"/>
      <c r="G2" s="540"/>
      <c r="H2" s="643" t="s">
        <v>608</v>
      </c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616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27519630.596923001</v>
      </c>
      <c r="K4" s="52"/>
      <c r="L4" s="648">
        <f>SUBTOTAL(109,L6:L1048576)</f>
        <v>10732598.199999999</v>
      </c>
      <c r="M4" s="543"/>
      <c r="N4" s="649">
        <f>SUBTOTAL(109,N6:N1048576)</f>
        <v>872596</v>
      </c>
      <c r="O4" s="649">
        <f>SUBTOTAL(109,O6:O1048576)</f>
        <v>9860002.1999999993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45962</v>
      </c>
      <c r="J6" s="653">
        <v>351052.9</v>
      </c>
      <c r="K6" s="567">
        <v>0.6</v>
      </c>
      <c r="L6" s="646">
        <v>210632</v>
      </c>
      <c r="M6" s="654" t="str">
        <f>VLOOKUP(G:G,list!B:E,4,FALSE)</f>
        <v>-</v>
      </c>
      <c r="N6" s="655">
        <f t="shared" ref="N6:N100" si="0">ROUND(IF(M6="-",0,L6*M6),0)</f>
        <v>0</v>
      </c>
      <c r="O6" s="655">
        <f t="shared" ref="O6:O100" si="1">L6-N6</f>
        <v>210632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45962</v>
      </c>
      <c r="J7" s="653">
        <v>128758</v>
      </c>
      <c r="K7" s="600">
        <v>0.6</v>
      </c>
      <c r="L7" s="646">
        <v>77253</v>
      </c>
      <c r="M7" s="654" t="str">
        <f>VLOOKUP(G:G,list!B:E,4,FALSE)</f>
        <v>-</v>
      </c>
      <c r="N7" s="655">
        <f t="shared" si="0"/>
        <v>0</v>
      </c>
      <c r="O7" s="655">
        <f t="shared" si="1"/>
        <v>77253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45962</v>
      </c>
      <c r="J8" s="653">
        <v>413919</v>
      </c>
      <c r="K8" s="567">
        <v>0.6</v>
      </c>
      <c r="L8" s="646">
        <v>248351</v>
      </c>
      <c r="M8" s="654" t="str">
        <f>VLOOKUP(G:G,list!B:E,4,FALSE)</f>
        <v>-</v>
      </c>
      <c r="N8" s="655">
        <f t="shared" si="0"/>
        <v>0</v>
      </c>
      <c r="O8" s="655">
        <f t="shared" si="1"/>
        <v>248351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45962</v>
      </c>
      <c r="J9" s="653">
        <v>34437</v>
      </c>
      <c r="K9" s="606">
        <v>0.6</v>
      </c>
      <c r="L9" s="646">
        <v>20662</v>
      </c>
      <c r="M9" s="654">
        <f>VLOOKUP(G:G,list!B:E,4,FALSE)</f>
        <v>0.1</v>
      </c>
      <c r="N9" s="655">
        <f t="shared" si="0"/>
        <v>2066</v>
      </c>
      <c r="O9" s="655">
        <f t="shared" si="1"/>
        <v>18596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45962</v>
      </c>
      <c r="J10" s="653">
        <v>374444.79999999999</v>
      </c>
      <c r="K10" s="600">
        <v>0.6</v>
      </c>
      <c r="L10" s="646">
        <v>224667</v>
      </c>
      <c r="M10" s="654">
        <f>VLOOKUP(G:G,list!B:E,4,FALSE)</f>
        <v>0.1</v>
      </c>
      <c r="N10" s="655">
        <f t="shared" si="0"/>
        <v>22467</v>
      </c>
      <c r="O10" s="655">
        <f t="shared" si="1"/>
        <v>202200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45962</v>
      </c>
      <c r="J11" s="653">
        <v>5119</v>
      </c>
      <c r="K11" s="603">
        <v>0.6</v>
      </c>
      <c r="L11" s="646">
        <v>3072</v>
      </c>
      <c r="M11" s="654" t="str">
        <f>VLOOKUP(G:G,list!B:E,4,FALSE)</f>
        <v>-</v>
      </c>
      <c r="N11" s="655">
        <f t="shared" si="0"/>
        <v>0</v>
      </c>
      <c r="O11" s="655">
        <f t="shared" si="1"/>
        <v>3072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45962</v>
      </c>
      <c r="J12" s="653">
        <v>136021.5</v>
      </c>
      <c r="K12" s="603">
        <v>0.6</v>
      </c>
      <c r="L12" s="646">
        <v>81612</v>
      </c>
      <c r="M12" s="654">
        <f>VLOOKUP(G:G,list!B:E,4,FALSE)</f>
        <v>0.1</v>
      </c>
      <c r="N12" s="655">
        <f t="shared" si="0"/>
        <v>8161</v>
      </c>
      <c r="O12" s="655">
        <f t="shared" si="1"/>
        <v>73451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45962</v>
      </c>
      <c r="J13" s="653">
        <v>43560.5</v>
      </c>
      <c r="K13" s="600">
        <v>0.6</v>
      </c>
      <c r="L13" s="646">
        <v>26137</v>
      </c>
      <c r="M13" s="654">
        <f>VLOOKUP(G:G,list!B:E,4,FALSE)</f>
        <v>0.1</v>
      </c>
      <c r="N13" s="655">
        <f t="shared" si="0"/>
        <v>2614</v>
      </c>
      <c r="O13" s="655">
        <f t="shared" si="1"/>
        <v>23523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45962</v>
      </c>
      <c r="J14" s="653">
        <v>179803</v>
      </c>
      <c r="K14" s="606">
        <v>0.6</v>
      </c>
      <c r="L14" s="646">
        <v>107884</v>
      </c>
      <c r="M14" s="654">
        <f>VLOOKUP(G:G,list!B:E,4,FALSE)</f>
        <v>0.11</v>
      </c>
      <c r="N14" s="655">
        <f t="shared" si="0"/>
        <v>11867</v>
      </c>
      <c r="O14" s="655">
        <f t="shared" si="1"/>
        <v>96017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45962</v>
      </c>
      <c r="J15" s="653">
        <v>321220</v>
      </c>
      <c r="K15" s="567">
        <v>0.6</v>
      </c>
      <c r="L15" s="646">
        <v>192732</v>
      </c>
      <c r="M15" s="654">
        <f>VLOOKUP(G:G,list!B:E,4,FALSE)</f>
        <v>0.1</v>
      </c>
      <c r="N15" s="655">
        <f t="shared" si="0"/>
        <v>19273</v>
      </c>
      <c r="O15" s="655">
        <f t="shared" si="1"/>
        <v>173459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45962</v>
      </c>
      <c r="J16" s="653">
        <v>35020.400000000001</v>
      </c>
      <c r="K16" s="567">
        <v>0.6</v>
      </c>
      <c r="L16" s="646">
        <v>21012</v>
      </c>
      <c r="M16" s="654">
        <f>VLOOKUP(G:G,list!B:E,4,FALSE)</f>
        <v>0.1</v>
      </c>
      <c r="N16" s="655">
        <f t="shared" si="0"/>
        <v>2101</v>
      </c>
      <c r="O16" s="655">
        <f t="shared" si="1"/>
        <v>18911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45962</v>
      </c>
      <c r="J17" s="653">
        <v>2160</v>
      </c>
      <c r="K17" s="600">
        <v>0.7</v>
      </c>
      <c r="L17" s="646">
        <v>1512</v>
      </c>
      <c r="M17" s="654" t="str">
        <f>VLOOKUP(G:G,list!B:E,4,FALSE)</f>
        <v>-</v>
      </c>
      <c r="N17" s="655">
        <f t="shared" si="0"/>
        <v>0</v>
      </c>
      <c r="O17" s="655">
        <f t="shared" si="1"/>
        <v>1512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45962</v>
      </c>
      <c r="J18" s="653">
        <v>1081621.1000000001</v>
      </c>
      <c r="K18" s="603">
        <v>0.6</v>
      </c>
      <c r="L18" s="646">
        <v>648972</v>
      </c>
      <c r="M18" s="654">
        <f>VLOOKUP(G:G,list!B:E,4,FALSE)</f>
        <v>0.1</v>
      </c>
      <c r="N18" s="655">
        <f t="shared" si="0"/>
        <v>64897</v>
      </c>
      <c r="O18" s="655">
        <f t="shared" si="1"/>
        <v>584075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45962</v>
      </c>
      <c r="J19" s="653">
        <v>99803</v>
      </c>
      <c r="K19" s="603">
        <v>0.7</v>
      </c>
      <c r="L19" s="646">
        <v>69863</v>
      </c>
      <c r="M19" s="654">
        <f>VLOOKUP(G:G,list!B:E,4,FALSE)</f>
        <v>0.1</v>
      </c>
      <c r="N19" s="655">
        <f t="shared" si="0"/>
        <v>6986</v>
      </c>
      <c r="O19" s="655">
        <f t="shared" si="1"/>
        <v>62877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45962</v>
      </c>
      <c r="J20" s="653">
        <v>14058.9</v>
      </c>
      <c r="K20" s="603">
        <v>0.6</v>
      </c>
      <c r="L20" s="646">
        <v>8435</v>
      </c>
      <c r="M20" s="654">
        <f>VLOOKUP(G:G,list!B:E,4,FALSE)</f>
        <v>0.1</v>
      </c>
      <c r="N20" s="655">
        <f t="shared" si="0"/>
        <v>844</v>
      </c>
      <c r="O20" s="655">
        <f t="shared" si="1"/>
        <v>7591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45962</v>
      </c>
      <c r="J21" s="653">
        <v>0</v>
      </c>
      <c r="K21" s="567">
        <v>0.6</v>
      </c>
      <c r="L21" s="646">
        <v>0</v>
      </c>
      <c r="M21" s="654" t="str">
        <f>VLOOKUP(G:G,list!B:E,4,FALSE)</f>
        <v>-</v>
      </c>
      <c r="N21" s="655">
        <f t="shared" si="0"/>
        <v>0</v>
      </c>
      <c r="O21" s="655">
        <f t="shared" si="1"/>
        <v>0</v>
      </c>
      <c r="P21" s="564" t="s">
        <v>366</v>
      </c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45962</v>
      </c>
      <c r="J22" s="653">
        <v>38484.9</v>
      </c>
      <c r="K22" s="567">
        <v>0.6</v>
      </c>
      <c r="L22" s="646">
        <v>23091</v>
      </c>
      <c r="M22" s="654">
        <f>VLOOKUP(G:G,list!B:E,4,FALSE)</f>
        <v>0.1</v>
      </c>
      <c r="N22" s="655">
        <f t="shared" si="0"/>
        <v>2309</v>
      </c>
      <c r="O22" s="655">
        <f t="shared" si="1"/>
        <v>20782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45962</v>
      </c>
      <c r="J23" s="653">
        <v>540</v>
      </c>
      <c r="K23" s="567">
        <v>0.6</v>
      </c>
      <c r="L23" s="646">
        <v>324</v>
      </c>
      <c r="M23" s="654" t="str">
        <f>VLOOKUP(G:G,list!B:E,4,FALSE)</f>
        <v>-</v>
      </c>
      <c r="N23" s="655">
        <f t="shared" si="0"/>
        <v>0</v>
      </c>
      <c r="O23" s="655">
        <f t="shared" si="1"/>
        <v>324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45962</v>
      </c>
      <c r="J24" s="653">
        <v>63360.5</v>
      </c>
      <c r="K24" s="603">
        <v>0.6</v>
      </c>
      <c r="L24" s="646">
        <v>38016</v>
      </c>
      <c r="M24" s="654">
        <f>VLOOKUP(G:G,list!B:E,4,FALSE)</f>
        <v>0.1</v>
      </c>
      <c r="N24" s="655">
        <f t="shared" si="0"/>
        <v>3802</v>
      </c>
      <c r="O24" s="655">
        <f t="shared" si="1"/>
        <v>34214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45962</v>
      </c>
      <c r="J25" s="653">
        <v>2340</v>
      </c>
      <c r="K25" s="603">
        <v>0.6</v>
      </c>
      <c r="L25" s="646">
        <v>1404</v>
      </c>
      <c r="M25" s="654">
        <f>VLOOKUP(G:G,list!B:E,4,FALSE)</f>
        <v>0.1</v>
      </c>
      <c r="N25" s="655">
        <f t="shared" si="0"/>
        <v>140</v>
      </c>
      <c r="O25" s="655">
        <f t="shared" si="1"/>
        <v>1264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45962</v>
      </c>
      <c r="J26" s="653">
        <v>27266</v>
      </c>
      <c r="K26" s="567">
        <v>0.6</v>
      </c>
      <c r="L26" s="646">
        <v>16359</v>
      </c>
      <c r="M26" s="654">
        <f>VLOOKUP(G:G,list!B:E,4,FALSE)</f>
        <v>0.1</v>
      </c>
      <c r="N26" s="655">
        <f t="shared" si="0"/>
        <v>1636</v>
      </c>
      <c r="O26" s="655">
        <f t="shared" si="1"/>
        <v>14723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45962</v>
      </c>
      <c r="J27" s="653">
        <v>20197.7</v>
      </c>
      <c r="K27" s="567">
        <v>0.6</v>
      </c>
      <c r="L27" s="646">
        <v>12118</v>
      </c>
      <c r="M27" s="654">
        <f>VLOOKUP(G:G,list!B:E,4,FALSE)</f>
        <v>0.1</v>
      </c>
      <c r="N27" s="655">
        <f t="shared" si="0"/>
        <v>1212</v>
      </c>
      <c r="O27" s="655">
        <f t="shared" si="1"/>
        <v>10906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45962</v>
      </c>
      <c r="J28" s="653">
        <v>12761</v>
      </c>
      <c r="K28" s="567">
        <v>0.6</v>
      </c>
      <c r="L28" s="646">
        <v>7656</v>
      </c>
      <c r="M28" s="654" t="str">
        <f>VLOOKUP(G:G,list!B:E,4,FALSE)</f>
        <v>-</v>
      </c>
      <c r="N28" s="655">
        <f t="shared" si="0"/>
        <v>0</v>
      </c>
      <c r="O28" s="655">
        <f t="shared" si="1"/>
        <v>7656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45962</v>
      </c>
      <c r="J29" s="653">
        <v>12708</v>
      </c>
      <c r="K29" s="567">
        <v>0.6</v>
      </c>
      <c r="L29" s="646">
        <v>7624</v>
      </c>
      <c r="M29" s="654">
        <f>VLOOKUP(G:G,list!B:E,4,FALSE)</f>
        <v>0.11</v>
      </c>
      <c r="N29" s="655">
        <f t="shared" si="0"/>
        <v>839</v>
      </c>
      <c r="O29" s="655">
        <f t="shared" si="1"/>
        <v>6785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45962</v>
      </c>
      <c r="J30" s="653">
        <v>25233.8</v>
      </c>
      <c r="K30" s="567">
        <v>0.6</v>
      </c>
      <c r="L30" s="646">
        <v>15141</v>
      </c>
      <c r="M30" s="654" t="str">
        <f>VLOOKUP(G:G,list!B:E,4,FALSE)</f>
        <v>-</v>
      </c>
      <c r="N30" s="655">
        <f t="shared" si="0"/>
        <v>0</v>
      </c>
      <c r="O30" s="655">
        <f t="shared" si="1"/>
        <v>15141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45962</v>
      </c>
      <c r="J31" s="653">
        <v>55718.9</v>
      </c>
      <c r="K31" s="567">
        <v>0.6</v>
      </c>
      <c r="L31" s="646">
        <v>33432</v>
      </c>
      <c r="M31" s="654" t="str">
        <f>VLOOKUP(G:G,list!B:E,4,FALSE)</f>
        <v>-</v>
      </c>
      <c r="N31" s="655">
        <f t="shared" si="0"/>
        <v>0</v>
      </c>
      <c r="O31" s="655">
        <f t="shared" si="1"/>
        <v>33432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45962</v>
      </c>
      <c r="J32" s="653">
        <v>119705.7</v>
      </c>
      <c r="K32" s="567">
        <v>0.6</v>
      </c>
      <c r="L32" s="646">
        <v>71824</v>
      </c>
      <c r="M32" s="654">
        <f>VLOOKUP(G:G,list!B:E,4,FALSE)</f>
        <v>0.1</v>
      </c>
      <c r="N32" s="655">
        <f t="shared" si="0"/>
        <v>7182</v>
      </c>
      <c r="O32" s="655">
        <f t="shared" si="1"/>
        <v>64642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45931</v>
      </c>
      <c r="J33" s="653">
        <v>49841</v>
      </c>
      <c r="K33" s="674">
        <v>0.224</v>
      </c>
      <c r="L33" s="646">
        <v>10056</v>
      </c>
      <c r="M33" s="654">
        <f>VLOOKUP(G:G,list!B:E,4,FALSE)</f>
        <v>0.1</v>
      </c>
      <c r="N33" s="655">
        <f t="shared" si="0"/>
        <v>1006</v>
      </c>
      <c r="O33" s="655">
        <f t="shared" si="1"/>
        <v>9050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45931</v>
      </c>
      <c r="J34" s="653">
        <v>1311912</v>
      </c>
      <c r="K34" s="674">
        <v>0.224</v>
      </c>
      <c r="L34" s="646">
        <v>264482</v>
      </c>
      <c r="M34" s="654">
        <f>VLOOKUP(G:G,list!B:E,4,FALSE)</f>
        <v>0.1</v>
      </c>
      <c r="N34" s="655">
        <f t="shared" si="0"/>
        <v>26448</v>
      </c>
      <c r="O34" s="655">
        <f t="shared" si="1"/>
        <v>238034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45931</v>
      </c>
      <c r="J35" s="653">
        <v>1718</v>
      </c>
      <c r="K35" s="674">
        <v>0.224</v>
      </c>
      <c r="L35" s="646">
        <v>354</v>
      </c>
      <c r="M35" s="654" t="str">
        <f>VLOOKUP(G:G,list!B:E,4,FALSE)</f>
        <v>-</v>
      </c>
      <c r="N35" s="655">
        <f t="shared" si="0"/>
        <v>0</v>
      </c>
      <c r="O35" s="655">
        <f t="shared" si="1"/>
        <v>354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45931</v>
      </c>
      <c r="J36" s="653">
        <v>163845</v>
      </c>
      <c r="K36" s="674">
        <v>0.224</v>
      </c>
      <c r="L36" s="646">
        <v>33038</v>
      </c>
      <c r="M36" s="654">
        <f>VLOOKUP(G:G,list!B:E,4,FALSE)</f>
        <v>0.1</v>
      </c>
      <c r="N36" s="655">
        <f t="shared" si="0"/>
        <v>3304</v>
      </c>
      <c r="O36" s="655">
        <f t="shared" si="1"/>
        <v>29734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45931</v>
      </c>
      <c r="J37" s="653">
        <v>133482</v>
      </c>
      <c r="K37" s="674">
        <v>0.224</v>
      </c>
      <c r="L37" s="646">
        <v>26913</v>
      </c>
      <c r="M37" s="654">
        <f>VLOOKUP(G:G,list!B:E,4,FALSE)</f>
        <v>0.11</v>
      </c>
      <c r="N37" s="655">
        <f t="shared" si="0"/>
        <v>2960</v>
      </c>
      <c r="O37" s="655">
        <f t="shared" si="1"/>
        <v>23953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45931</v>
      </c>
      <c r="J38" s="653">
        <v>69319</v>
      </c>
      <c r="K38" s="674">
        <v>0.224</v>
      </c>
      <c r="L38" s="646">
        <v>13977</v>
      </c>
      <c r="M38" s="654">
        <f>VLOOKUP(G:G,list!B:E,4,FALSE)</f>
        <v>0.1</v>
      </c>
      <c r="N38" s="655">
        <f t="shared" si="0"/>
        <v>1398</v>
      </c>
      <c r="O38" s="655">
        <f t="shared" si="1"/>
        <v>12579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45931</v>
      </c>
      <c r="J39" s="653">
        <v>112858</v>
      </c>
      <c r="K39" s="674">
        <v>0.224</v>
      </c>
      <c r="L39" s="646">
        <v>22754</v>
      </c>
      <c r="M39" s="654" t="str">
        <f>VLOOKUP(G:G,list!B:E,4,FALSE)</f>
        <v>-</v>
      </c>
      <c r="N39" s="655">
        <f t="shared" si="0"/>
        <v>0</v>
      </c>
      <c r="O39" s="655">
        <f t="shared" si="1"/>
        <v>22754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45931</v>
      </c>
      <c r="J40" s="653">
        <v>3999901</v>
      </c>
      <c r="K40" s="674">
        <v>0.224</v>
      </c>
      <c r="L40" s="646">
        <v>806382</v>
      </c>
      <c r="M40" s="654">
        <f>VLOOKUP(G:G,list!B:E,4,FALSE)</f>
        <v>0.1</v>
      </c>
      <c r="N40" s="655">
        <f t="shared" si="0"/>
        <v>80638</v>
      </c>
      <c r="O40" s="655">
        <f t="shared" si="1"/>
        <v>725744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45931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45931</v>
      </c>
      <c r="J42" s="653">
        <v>31508</v>
      </c>
      <c r="K42" s="674">
        <v>0.224</v>
      </c>
      <c r="L42" s="646">
        <v>6353</v>
      </c>
      <c r="M42" s="654">
        <f>VLOOKUP(G:G,list!B:E,4,FALSE)</f>
        <v>0.1</v>
      </c>
      <c r="N42" s="655">
        <f t="shared" si="0"/>
        <v>635</v>
      </c>
      <c r="O42" s="655">
        <f t="shared" si="1"/>
        <v>5718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45931</v>
      </c>
      <c r="J43" s="653">
        <v>3444773</v>
      </c>
      <c r="K43" s="674">
        <v>0.224</v>
      </c>
      <c r="L43" s="646">
        <v>694467</v>
      </c>
      <c r="M43" s="654">
        <f>VLOOKUP(G:G,list!B:E,4,FALSE)</f>
        <v>0.1</v>
      </c>
      <c r="N43" s="655">
        <f t="shared" si="0"/>
        <v>69447</v>
      </c>
      <c r="O43" s="655">
        <f t="shared" si="1"/>
        <v>625020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45931</v>
      </c>
      <c r="J44" s="653">
        <v>284152</v>
      </c>
      <c r="K44" s="674">
        <v>0.224</v>
      </c>
      <c r="L44" s="646">
        <v>57291</v>
      </c>
      <c r="M44" s="654" t="str">
        <f>VLOOKUP(G:G,list!B:E,4,FALSE)</f>
        <v>-</v>
      </c>
      <c r="N44" s="655">
        <f t="shared" si="0"/>
        <v>0</v>
      </c>
      <c r="O44" s="655">
        <f t="shared" si="1"/>
        <v>57291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32</v>
      </c>
      <c r="E45" s="564" t="s">
        <v>62</v>
      </c>
      <c r="F45" s="564" t="s">
        <v>126</v>
      </c>
      <c r="G45" s="564" t="s">
        <v>364</v>
      </c>
      <c r="H45" s="565">
        <v>45901</v>
      </c>
      <c r="I45" s="652">
        <v>45962</v>
      </c>
      <c r="J45" s="653">
        <v>727</v>
      </c>
      <c r="K45" s="674">
        <v>0.35</v>
      </c>
      <c r="L45" s="646">
        <v>254</v>
      </c>
      <c r="M45" s="654">
        <f>VLOOKUP(G:G,list!B:E,4,FALSE)</f>
        <v>0.1</v>
      </c>
      <c r="N45" s="655">
        <f t="shared" si="0"/>
        <v>25</v>
      </c>
      <c r="O45" s="655">
        <f t="shared" si="1"/>
        <v>229</v>
      </c>
      <c r="P45" s="645" t="s">
        <v>611</v>
      </c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45962</v>
      </c>
      <c r="J46" s="653">
        <v>23400</v>
      </c>
      <c r="K46" s="600" t="s">
        <v>532</v>
      </c>
      <c r="L46" s="646">
        <v>10422</v>
      </c>
      <c r="M46" s="654" t="str">
        <f>VLOOKUP(G:G,list!B:E,4,FALSE)</f>
        <v>-</v>
      </c>
      <c r="N46" s="655">
        <f t="shared" si="0"/>
        <v>0</v>
      </c>
      <c r="O46" s="655">
        <f t="shared" si="1"/>
        <v>10422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45962</v>
      </c>
      <c r="J47" s="653">
        <v>5940</v>
      </c>
      <c r="K47" s="600" t="s">
        <v>532</v>
      </c>
      <c r="L47" s="646">
        <v>2673</v>
      </c>
      <c r="M47" s="654" t="str">
        <f>VLOOKUP(G:G,list!B:E,4,FALSE)</f>
        <v>-</v>
      </c>
      <c r="N47" s="655">
        <f t="shared" si="0"/>
        <v>0</v>
      </c>
      <c r="O47" s="655">
        <f t="shared" si="1"/>
        <v>2673</v>
      </c>
      <c r="P47" s="564"/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52">
        <v>45931</v>
      </c>
      <c r="J48" s="653">
        <v>1909737</v>
      </c>
      <c r="K48" s="600">
        <v>0.5</v>
      </c>
      <c r="L48" s="646">
        <v>954869</v>
      </c>
      <c r="M48" s="654" t="str">
        <f>VLOOKUP(G:G,list!B:E,4,FALSE)</f>
        <v>-</v>
      </c>
      <c r="N48" s="655">
        <f t="shared" si="0"/>
        <v>0</v>
      </c>
      <c r="O48" s="655">
        <f t="shared" si="1"/>
        <v>954869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52">
        <v>45931</v>
      </c>
      <c r="J49" s="653">
        <v>414451.68</v>
      </c>
      <c r="K49" s="600">
        <v>0.5</v>
      </c>
      <c r="L49" s="646">
        <v>207226</v>
      </c>
      <c r="M49" s="654" t="str">
        <f>VLOOKUP(G:G,list!B:E,4,FALSE)</f>
        <v>-</v>
      </c>
      <c r="N49" s="655">
        <f t="shared" si="0"/>
        <v>0</v>
      </c>
      <c r="O49" s="655">
        <f t="shared" si="1"/>
        <v>207226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45962</v>
      </c>
      <c r="J50" s="653">
        <v>605</v>
      </c>
      <c r="K50" s="567">
        <v>0.4</v>
      </c>
      <c r="L50" s="646">
        <v>242</v>
      </c>
      <c r="M50" s="654">
        <f>VLOOKUP(G:G,list!B:E,4,FALSE)</f>
        <v>0.1</v>
      </c>
      <c r="N50" s="655">
        <f t="shared" si="0"/>
        <v>24</v>
      </c>
      <c r="O50" s="655">
        <f t="shared" si="1"/>
        <v>218</v>
      </c>
      <c r="P50" s="564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45962</v>
      </c>
      <c r="J51" s="653">
        <v>82590</v>
      </c>
      <c r="K51" s="600">
        <v>0.4</v>
      </c>
      <c r="L51" s="646">
        <v>33036</v>
      </c>
      <c r="M51" s="654" t="str">
        <f>VLOOKUP(G:G,list!B:E,4,FALSE)</f>
        <v>-</v>
      </c>
      <c r="N51" s="655">
        <f t="shared" si="0"/>
        <v>0</v>
      </c>
      <c r="O51" s="655">
        <f t="shared" si="1"/>
        <v>33036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45962</v>
      </c>
      <c r="J52" s="653">
        <v>3545</v>
      </c>
      <c r="K52" s="600">
        <v>0.4</v>
      </c>
      <c r="L52" s="646">
        <v>1418</v>
      </c>
      <c r="M52" s="654" t="str">
        <f>VLOOKUP(G:G,list!B:E,4,FALSE)</f>
        <v>-</v>
      </c>
      <c r="N52" s="655">
        <f t="shared" si="0"/>
        <v>0</v>
      </c>
      <c r="O52" s="655">
        <f t="shared" si="1"/>
        <v>1418</v>
      </c>
      <c r="P52" s="564"/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45962</v>
      </c>
      <c r="J53" s="653">
        <v>0</v>
      </c>
      <c r="K53" s="600">
        <v>0.4</v>
      </c>
      <c r="L53" s="646">
        <v>0</v>
      </c>
      <c r="M53" s="654" t="str">
        <f>VLOOKUP(G:G,list!B:E,4,FALSE)</f>
        <v>-</v>
      </c>
      <c r="N53" s="655">
        <f t="shared" si="0"/>
        <v>0</v>
      </c>
      <c r="O53" s="655">
        <f t="shared" si="1"/>
        <v>0</v>
      </c>
      <c r="P53" s="564" t="s">
        <v>366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45962</v>
      </c>
      <c r="J54" s="653">
        <v>109343</v>
      </c>
      <c r="K54" s="600">
        <v>0.4</v>
      </c>
      <c r="L54" s="646">
        <v>43737</v>
      </c>
      <c r="M54" s="654" t="str">
        <f>VLOOKUP(G:G,list!B:E,4,FALSE)</f>
        <v>-</v>
      </c>
      <c r="N54" s="655">
        <f t="shared" si="0"/>
        <v>0</v>
      </c>
      <c r="O54" s="655">
        <f t="shared" si="1"/>
        <v>43737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45962</v>
      </c>
      <c r="J55" s="653">
        <v>0</v>
      </c>
      <c r="K55" s="600">
        <v>0.4</v>
      </c>
      <c r="L55" s="646">
        <v>0</v>
      </c>
      <c r="M55" s="654">
        <f>VLOOKUP(G:G,list!B:E,4,FALSE)</f>
        <v>0.1</v>
      </c>
      <c r="N55" s="655">
        <f t="shared" si="0"/>
        <v>0</v>
      </c>
      <c r="O55" s="655">
        <f t="shared" si="1"/>
        <v>0</v>
      </c>
      <c r="P55" s="564" t="s">
        <v>366</v>
      </c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45962</v>
      </c>
      <c r="J56" s="653">
        <v>0</v>
      </c>
      <c r="K56" s="603">
        <v>0.5</v>
      </c>
      <c r="L56" s="646">
        <v>0</v>
      </c>
      <c r="M56" s="654" t="str">
        <f>VLOOKUP(G:G,list!B:E,4,FALSE)</f>
        <v>-</v>
      </c>
      <c r="N56" s="655">
        <f t="shared" si="0"/>
        <v>0</v>
      </c>
      <c r="O56" s="655">
        <f t="shared" si="1"/>
        <v>0</v>
      </c>
      <c r="P56" s="564" t="s">
        <v>366</v>
      </c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45962</v>
      </c>
      <c r="J57" s="653">
        <v>39060</v>
      </c>
      <c r="K57" s="603">
        <v>0.5</v>
      </c>
      <c r="L57" s="646">
        <v>19530</v>
      </c>
      <c r="M57" s="654" t="str">
        <f>VLOOKUP(G:G,list!B:E,4,FALSE)</f>
        <v>-</v>
      </c>
      <c r="N57" s="655">
        <f t="shared" si="0"/>
        <v>0</v>
      </c>
      <c r="O57" s="655">
        <f t="shared" si="1"/>
        <v>19530</v>
      </c>
      <c r="P57" s="564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45931</v>
      </c>
      <c r="J58" s="653">
        <v>56327</v>
      </c>
      <c r="K58" s="603">
        <v>0.3</v>
      </c>
      <c r="L58" s="646">
        <v>16898</v>
      </c>
      <c r="M58" s="654" t="str">
        <f>VLOOKUP(G:G,list!B:E,4,FALSE)</f>
        <v>-</v>
      </c>
      <c r="N58" s="655">
        <f t="shared" si="0"/>
        <v>0</v>
      </c>
      <c r="O58" s="655">
        <f t="shared" si="1"/>
        <v>16898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45931</v>
      </c>
      <c r="J59" s="653">
        <v>18236</v>
      </c>
      <c r="K59" s="603">
        <v>0.5</v>
      </c>
      <c r="L59" s="646">
        <v>9118</v>
      </c>
      <c r="M59" s="654">
        <f>VLOOKUP(G:G,list!B:E,4,FALSE)</f>
        <v>0.1</v>
      </c>
      <c r="N59" s="655">
        <f t="shared" si="0"/>
        <v>912</v>
      </c>
      <c r="O59" s="655">
        <f t="shared" si="1"/>
        <v>8206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45931</v>
      </c>
      <c r="J60" s="653">
        <v>20646</v>
      </c>
      <c r="K60" s="603">
        <v>0.5</v>
      </c>
      <c r="L60" s="646">
        <v>10323</v>
      </c>
      <c r="M60" s="654" t="str">
        <f>VLOOKUP(G:G,list!B:E,4,FALSE)</f>
        <v>-</v>
      </c>
      <c r="N60" s="655">
        <f t="shared" si="0"/>
        <v>0</v>
      </c>
      <c r="O60" s="655">
        <f t="shared" si="1"/>
        <v>10323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45931</v>
      </c>
      <c r="J61" s="653">
        <v>34998</v>
      </c>
      <c r="K61" s="603">
        <v>0.5</v>
      </c>
      <c r="L61" s="646">
        <v>17499</v>
      </c>
      <c r="M61" s="654">
        <f>VLOOKUP(G:G,list!B:E,4,FALSE)</f>
        <v>0.1</v>
      </c>
      <c r="N61" s="655">
        <f t="shared" si="0"/>
        <v>1750</v>
      </c>
      <c r="O61" s="655">
        <f t="shared" si="1"/>
        <v>15749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45931</v>
      </c>
      <c r="J62" s="653">
        <v>23946</v>
      </c>
      <c r="K62" s="603">
        <v>0.5</v>
      </c>
      <c r="L62" s="646">
        <v>11973</v>
      </c>
      <c r="M62" s="654">
        <f>VLOOKUP(G:G,list!B:E,4,FALSE)</f>
        <v>0.11</v>
      </c>
      <c r="N62" s="655">
        <f t="shared" si="0"/>
        <v>1317</v>
      </c>
      <c r="O62" s="655">
        <f t="shared" si="1"/>
        <v>10656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45931</v>
      </c>
      <c r="J63" s="653">
        <v>418528</v>
      </c>
      <c r="K63" s="603">
        <v>0.7</v>
      </c>
      <c r="L63" s="646">
        <v>293287</v>
      </c>
      <c r="M63" s="654">
        <f>VLOOKUP(G:G,list!B:E,4,FALSE)</f>
        <v>0.1</v>
      </c>
      <c r="N63" s="655">
        <f t="shared" si="0"/>
        <v>29329</v>
      </c>
      <c r="O63" s="655">
        <f t="shared" si="1"/>
        <v>263958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45931</v>
      </c>
      <c r="J64" s="653">
        <v>244010.31692300001</v>
      </c>
      <c r="K64" s="603">
        <v>0.25</v>
      </c>
      <c r="L64" s="646">
        <v>61003</v>
      </c>
      <c r="M64" s="654">
        <f>VLOOKUP(G:G,list!B:E,4,FALSE)</f>
        <v>0.1</v>
      </c>
      <c r="N64" s="655">
        <f t="shared" si="0"/>
        <v>6100</v>
      </c>
      <c r="O64" s="655">
        <f t="shared" si="1"/>
        <v>54903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182</v>
      </c>
      <c r="E65" s="564" t="s">
        <v>115</v>
      </c>
      <c r="F65" s="564" t="s">
        <v>386</v>
      </c>
      <c r="G65" s="564" t="s">
        <v>30</v>
      </c>
      <c r="H65" s="565">
        <v>44591</v>
      </c>
      <c r="I65" s="652">
        <v>45901</v>
      </c>
      <c r="J65" s="653">
        <v>0</v>
      </c>
      <c r="K65" s="603">
        <v>0.5</v>
      </c>
      <c r="L65" s="646">
        <v>0</v>
      </c>
      <c r="M65" s="654">
        <f>VLOOKUP(G:G,list!B:E,4,FALSE)</f>
        <v>0.1</v>
      </c>
      <c r="N65" s="655">
        <f t="shared" si="0"/>
        <v>0</v>
      </c>
      <c r="O65" s="655">
        <f t="shared" si="1"/>
        <v>0</v>
      </c>
      <c r="P65" s="564" t="s">
        <v>366</v>
      </c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182</v>
      </c>
      <c r="E66" s="564" t="s">
        <v>115</v>
      </c>
      <c r="F66" s="564" t="s">
        <v>386</v>
      </c>
      <c r="G66" s="564" t="s">
        <v>36</v>
      </c>
      <c r="H66" s="565">
        <v>44643</v>
      </c>
      <c r="I66" s="652">
        <v>45901</v>
      </c>
      <c r="J66" s="653">
        <v>24001</v>
      </c>
      <c r="K66" s="603">
        <v>0.5</v>
      </c>
      <c r="L66" s="646">
        <v>12001</v>
      </c>
      <c r="M66" s="654" t="str">
        <f>VLOOKUP(G:G,list!B:E,4,FALSE)</f>
        <v>-</v>
      </c>
      <c r="N66" s="655">
        <f t="shared" si="0"/>
        <v>0</v>
      </c>
      <c r="O66" s="655">
        <f t="shared" si="1"/>
        <v>12001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작가기획</v>
      </c>
      <c r="D67" s="564" t="s">
        <v>182</v>
      </c>
      <c r="E67" s="564" t="s">
        <v>115</v>
      </c>
      <c r="F67" s="564" t="s">
        <v>386</v>
      </c>
      <c r="G67" s="564" t="s">
        <v>37</v>
      </c>
      <c r="H67" s="565">
        <v>44643</v>
      </c>
      <c r="I67" s="652">
        <v>45901</v>
      </c>
      <c r="J67" s="653">
        <v>0</v>
      </c>
      <c r="K67" s="603">
        <v>0.5</v>
      </c>
      <c r="L67" s="646">
        <v>0</v>
      </c>
      <c r="M67" s="654" t="str">
        <f>VLOOKUP(G:G,list!B:E,4,FALSE)</f>
        <v>-</v>
      </c>
      <c r="N67" s="655">
        <f t="shared" si="0"/>
        <v>0</v>
      </c>
      <c r="O67" s="655">
        <f t="shared" si="1"/>
        <v>0</v>
      </c>
      <c r="P67" s="564" t="s">
        <v>366</v>
      </c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182</v>
      </c>
      <c r="E68" s="564" t="s">
        <v>115</v>
      </c>
      <c r="F68" s="564" t="s">
        <v>386</v>
      </c>
      <c r="G68" s="564" t="s">
        <v>56</v>
      </c>
      <c r="H68" s="565">
        <v>44599</v>
      </c>
      <c r="I68" s="652">
        <v>45901</v>
      </c>
      <c r="J68" s="653">
        <v>3849</v>
      </c>
      <c r="K68" s="603">
        <v>0.5</v>
      </c>
      <c r="L68" s="646">
        <v>1925</v>
      </c>
      <c r="M68" s="654">
        <f>VLOOKUP(G:G,list!B:E,4,FALSE)</f>
        <v>0.1</v>
      </c>
      <c r="N68" s="655">
        <f t="shared" si="0"/>
        <v>193</v>
      </c>
      <c r="O68" s="655">
        <f t="shared" si="1"/>
        <v>1732</v>
      </c>
      <c r="P68" s="564"/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538</v>
      </c>
      <c r="E69" s="564" t="s">
        <v>9</v>
      </c>
      <c r="F69" s="564" t="s">
        <v>519</v>
      </c>
      <c r="G69" s="564" t="s">
        <v>316</v>
      </c>
      <c r="H69" s="565">
        <v>45446</v>
      </c>
      <c r="I69" s="652">
        <v>45962</v>
      </c>
      <c r="J69" s="653">
        <v>399.00000000000006</v>
      </c>
      <c r="K69" s="603">
        <v>0.7</v>
      </c>
      <c r="L69" s="646">
        <v>279.3</v>
      </c>
      <c r="M69" s="654">
        <f>VLOOKUP(G:G,list!B:E,4,FALSE)</f>
        <v>0.1</v>
      </c>
      <c r="N69" s="655">
        <f t="shared" si="0"/>
        <v>28</v>
      </c>
      <c r="O69" s="655">
        <f t="shared" si="1"/>
        <v>251.3</v>
      </c>
      <c r="P69" s="564"/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549</v>
      </c>
      <c r="E70" s="564" t="s">
        <v>9</v>
      </c>
      <c r="F70" s="564" t="s">
        <v>519</v>
      </c>
      <c r="G70" s="564" t="s">
        <v>316</v>
      </c>
      <c r="H70" s="565">
        <v>45524</v>
      </c>
      <c r="I70" s="652">
        <v>45962</v>
      </c>
      <c r="J70" s="653">
        <v>0</v>
      </c>
      <c r="K70" s="603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123</v>
      </c>
      <c r="E71" s="564" t="s">
        <v>9</v>
      </c>
      <c r="F71" s="564" t="s">
        <v>519</v>
      </c>
      <c r="G71" s="564" t="s">
        <v>316</v>
      </c>
      <c r="H71" s="565">
        <v>45536</v>
      </c>
      <c r="I71" s="652">
        <v>45962</v>
      </c>
      <c r="J71" s="653">
        <v>0</v>
      </c>
      <c r="K71" s="603">
        <v>0.7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564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132</v>
      </c>
      <c r="E72" s="564" t="s">
        <v>9</v>
      </c>
      <c r="F72" s="564" t="s">
        <v>519</v>
      </c>
      <c r="G72" s="564" t="s">
        <v>316</v>
      </c>
      <c r="H72" s="565">
        <v>44945</v>
      </c>
      <c r="I72" s="652">
        <v>45962</v>
      </c>
      <c r="J72" s="653">
        <v>0</v>
      </c>
      <c r="K72" s="603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183</v>
      </c>
      <c r="E73" s="564" t="s">
        <v>9</v>
      </c>
      <c r="F73" s="564" t="s">
        <v>519</v>
      </c>
      <c r="G73" s="564" t="s">
        <v>316</v>
      </c>
      <c r="H73" s="565">
        <v>45702</v>
      </c>
      <c r="I73" s="652">
        <v>45962</v>
      </c>
      <c r="J73" s="653">
        <v>665</v>
      </c>
      <c r="K73" s="603">
        <v>0.7</v>
      </c>
      <c r="L73" s="646">
        <v>465.5</v>
      </c>
      <c r="M73" s="654">
        <f>VLOOKUP(G:G,list!B:E,4,FALSE)</f>
        <v>0.1</v>
      </c>
      <c r="N73" s="655">
        <f t="shared" si="0"/>
        <v>47</v>
      </c>
      <c r="O73" s="655">
        <f t="shared" si="1"/>
        <v>418.5</v>
      </c>
      <c r="P73" s="564"/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617</v>
      </c>
      <c r="E74" s="564" t="s">
        <v>9</v>
      </c>
      <c r="F74" s="564" t="s">
        <v>519</v>
      </c>
      <c r="G74" s="564" t="s">
        <v>316</v>
      </c>
      <c r="H74" s="565">
        <v>45534</v>
      </c>
      <c r="I74" s="652">
        <v>45962</v>
      </c>
      <c r="J74" s="653">
        <v>15162</v>
      </c>
      <c r="K74" s="603">
        <v>0.7</v>
      </c>
      <c r="L74" s="646">
        <v>10613.4</v>
      </c>
      <c r="M74" s="654">
        <f>VLOOKUP(G:G,list!B:E,4,FALSE)</f>
        <v>0.1</v>
      </c>
      <c r="N74" s="655">
        <f t="shared" ref="N74" si="2">ROUND(IF(M74="-",0,L74*M74),0)</f>
        <v>1061</v>
      </c>
      <c r="O74" s="655">
        <f t="shared" ref="O74" si="3">L74-N74</f>
        <v>9552.4</v>
      </c>
      <c r="P74" s="564"/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132</v>
      </c>
      <c r="E75" s="564" t="s">
        <v>9</v>
      </c>
      <c r="F75" s="564" t="s">
        <v>519</v>
      </c>
      <c r="G75" s="564" t="s">
        <v>56</v>
      </c>
      <c r="H75" s="565">
        <v>44952</v>
      </c>
      <c r="I75" s="652">
        <v>45962</v>
      </c>
      <c r="J75" s="653">
        <v>0</v>
      </c>
      <c r="K75" s="567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538</v>
      </c>
      <c r="E76" s="564" t="s">
        <v>9</v>
      </c>
      <c r="F76" s="564" t="s">
        <v>519</v>
      </c>
      <c r="G76" s="564" t="s">
        <v>56</v>
      </c>
      <c r="H76" s="565">
        <v>45503</v>
      </c>
      <c r="I76" s="652">
        <v>45962</v>
      </c>
      <c r="J76" s="653">
        <v>0</v>
      </c>
      <c r="K76" s="567">
        <v>0.5</v>
      </c>
      <c r="L76" s="646">
        <v>0</v>
      </c>
      <c r="M76" s="654">
        <f>VLOOKUP(G:G,list!B:E,4,FALSE)</f>
        <v>0.1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549</v>
      </c>
      <c r="E77" s="564" t="s">
        <v>9</v>
      </c>
      <c r="F77" s="564" t="s">
        <v>519</v>
      </c>
      <c r="G77" s="564" t="s">
        <v>56</v>
      </c>
      <c r="H77" s="565">
        <v>45547</v>
      </c>
      <c r="I77" s="652">
        <v>45962</v>
      </c>
      <c r="J77" s="653">
        <v>0</v>
      </c>
      <c r="K77" s="567">
        <v>0.5</v>
      </c>
      <c r="L77" s="646">
        <v>0</v>
      </c>
      <c r="M77" s="654">
        <f>VLOOKUP(G:G,list!B:E,4,FALSE)</f>
        <v>0.1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132</v>
      </c>
      <c r="E78" s="564" t="s">
        <v>9</v>
      </c>
      <c r="F78" s="564" t="s">
        <v>519</v>
      </c>
      <c r="G78" s="564" t="s">
        <v>30</v>
      </c>
      <c r="H78" s="565">
        <v>44953</v>
      </c>
      <c r="I78" s="652">
        <v>45962</v>
      </c>
      <c r="J78" s="653">
        <v>0</v>
      </c>
      <c r="K78" s="567">
        <v>0.5</v>
      </c>
      <c r="L78" s="646">
        <v>0</v>
      </c>
      <c r="M78" s="654">
        <f>VLOOKUP(G:G,list!B:E,4,FALSE)</f>
        <v>0.1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132</v>
      </c>
      <c r="E79" s="564" t="s">
        <v>9</v>
      </c>
      <c r="F79" s="564" t="s">
        <v>519</v>
      </c>
      <c r="G79" s="564" t="s">
        <v>308</v>
      </c>
      <c r="H79" s="565">
        <v>44992</v>
      </c>
      <c r="I79" s="652">
        <v>45962</v>
      </c>
      <c r="J79" s="653">
        <v>0</v>
      </c>
      <c r="K79" s="603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538</v>
      </c>
      <c r="E80" s="564" t="s">
        <v>9</v>
      </c>
      <c r="F80" s="564" t="s">
        <v>519</v>
      </c>
      <c r="G80" s="564" t="s">
        <v>308</v>
      </c>
      <c r="H80" s="565">
        <v>45610</v>
      </c>
      <c r="I80" s="652">
        <v>45962</v>
      </c>
      <c r="J80" s="653">
        <v>0</v>
      </c>
      <c r="K80" s="603">
        <v>0.5</v>
      </c>
      <c r="L80" s="646">
        <v>0</v>
      </c>
      <c r="M80" s="654" t="str">
        <f>VLOOKUP(G:G,list!B:E,4,FALSE)</f>
        <v>-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36</v>
      </c>
      <c r="H81" s="565">
        <v>45198</v>
      </c>
      <c r="I81" s="652">
        <v>45962</v>
      </c>
      <c r="J81" s="653">
        <v>32053</v>
      </c>
      <c r="K81" s="603">
        <v>0.5</v>
      </c>
      <c r="L81" s="646">
        <v>16026.5</v>
      </c>
      <c r="M81" s="654" t="str">
        <f>VLOOKUP(G:G,list!B:E,4,FALSE)</f>
        <v>-</v>
      </c>
      <c r="N81" s="655">
        <f t="shared" si="0"/>
        <v>0</v>
      </c>
      <c r="O81" s="655">
        <f t="shared" si="1"/>
        <v>16026.5</v>
      </c>
      <c r="P81" s="564"/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36</v>
      </c>
      <c r="H82" s="565">
        <v>45479</v>
      </c>
      <c r="I82" s="652">
        <v>45962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549</v>
      </c>
      <c r="E83" s="564" t="s">
        <v>9</v>
      </c>
      <c r="F83" s="564" t="s">
        <v>519</v>
      </c>
      <c r="G83" s="564" t="s">
        <v>36</v>
      </c>
      <c r="H83" s="565">
        <v>45531</v>
      </c>
      <c r="I83" s="652">
        <v>45962</v>
      </c>
      <c r="J83" s="653">
        <v>0</v>
      </c>
      <c r="K83" s="603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123</v>
      </c>
      <c r="E84" s="564" t="s">
        <v>9</v>
      </c>
      <c r="F84" s="564" t="s">
        <v>519</v>
      </c>
      <c r="G84" s="564" t="s">
        <v>36</v>
      </c>
      <c r="H84" s="565">
        <v>45555</v>
      </c>
      <c r="I84" s="652">
        <v>45962</v>
      </c>
      <c r="J84" s="653">
        <v>1995</v>
      </c>
      <c r="K84" s="603">
        <v>0.5</v>
      </c>
      <c r="L84" s="646">
        <v>997.5</v>
      </c>
      <c r="M84" s="654" t="str">
        <f>VLOOKUP(G:G,list!B:E,4,FALSE)</f>
        <v>-</v>
      </c>
      <c r="N84" s="655">
        <f t="shared" si="0"/>
        <v>0</v>
      </c>
      <c r="O84" s="655">
        <f t="shared" si="1"/>
        <v>997.5</v>
      </c>
      <c r="P84" s="564"/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132</v>
      </c>
      <c r="E85" s="564" t="s">
        <v>9</v>
      </c>
      <c r="F85" s="564" t="s">
        <v>519</v>
      </c>
      <c r="G85" s="564" t="s">
        <v>139</v>
      </c>
      <c r="H85" s="565">
        <v>45276</v>
      </c>
      <c r="I85" s="652">
        <v>45962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538</v>
      </c>
      <c r="E86" s="564" t="s">
        <v>9</v>
      </c>
      <c r="F86" s="564" t="s">
        <v>519</v>
      </c>
      <c r="G86" s="564" t="s">
        <v>139</v>
      </c>
      <c r="H86" s="565">
        <v>45534</v>
      </c>
      <c r="I86" s="652">
        <v>45962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123</v>
      </c>
      <c r="E87" s="564" t="s">
        <v>9</v>
      </c>
      <c r="F87" s="564" t="s">
        <v>519</v>
      </c>
      <c r="G87" s="564" t="s">
        <v>139</v>
      </c>
      <c r="H87" s="565">
        <v>45656</v>
      </c>
      <c r="I87" s="652">
        <v>45962</v>
      </c>
      <c r="J87" s="653">
        <v>0</v>
      </c>
      <c r="K87" s="603">
        <v>0.5</v>
      </c>
      <c r="L87" s="646">
        <v>0</v>
      </c>
      <c r="M87" s="654" t="str">
        <f>VLOOKUP(G:G,list!B:E,4,FALSE)</f>
        <v>-</v>
      </c>
      <c r="N87" s="655">
        <f t="shared" si="0"/>
        <v>0</v>
      </c>
      <c r="O87" s="655">
        <f t="shared" si="1"/>
        <v>0</v>
      </c>
      <c r="P87" s="564" t="s">
        <v>366</v>
      </c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외부제작</v>
      </c>
      <c r="D88" s="564" t="s">
        <v>123</v>
      </c>
      <c r="E88" s="564" t="s">
        <v>9</v>
      </c>
      <c r="F88" s="564" t="s">
        <v>519</v>
      </c>
      <c r="G88" s="564" t="s">
        <v>315</v>
      </c>
      <c r="H88" s="565">
        <v>45673</v>
      </c>
      <c r="I88" s="652">
        <v>45962</v>
      </c>
      <c r="J88" s="653">
        <v>0</v>
      </c>
      <c r="K88" s="603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564" t="s">
        <v>366</v>
      </c>
      <c r="Q88" s="672" t="str">
        <f>VLOOKUP(G:G,list!B:F,5,FALSE)</f>
        <v>-</v>
      </c>
      <c r="R88" s="656" t="str">
        <f>VLOOKUP(G:G,list!B:D,3,FALSE)</f>
        <v>N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283</v>
      </c>
      <c r="G89" s="564" t="s">
        <v>30</v>
      </c>
      <c r="H89" s="565">
        <v>44358</v>
      </c>
      <c r="I89" s="652">
        <v>45901</v>
      </c>
      <c r="J89" s="653">
        <v>39300</v>
      </c>
      <c r="K89" s="603">
        <v>0.5</v>
      </c>
      <c r="L89" s="646">
        <v>19650</v>
      </c>
      <c r="M89" s="654">
        <f>VLOOKUP(G:G,list!B:E,4,FALSE)</f>
        <v>0.1</v>
      </c>
      <c r="N89" s="655">
        <f t="shared" si="0"/>
        <v>1965</v>
      </c>
      <c r="O89" s="655">
        <f t="shared" si="1"/>
        <v>17685</v>
      </c>
      <c r="P89" s="564"/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283</v>
      </c>
      <c r="G90" s="564" t="s">
        <v>56</v>
      </c>
      <c r="H90" s="565">
        <v>44391</v>
      </c>
      <c r="I90" s="652">
        <v>45901</v>
      </c>
      <c r="J90" s="653">
        <v>177621</v>
      </c>
      <c r="K90" s="603">
        <v>0.5</v>
      </c>
      <c r="L90" s="646">
        <v>88811</v>
      </c>
      <c r="M90" s="654">
        <f>VLOOKUP(G:G,list!B:E,4,FALSE)</f>
        <v>0.1</v>
      </c>
      <c r="N90" s="655">
        <f t="shared" si="0"/>
        <v>8881</v>
      </c>
      <c r="O90" s="655">
        <f t="shared" si="1"/>
        <v>79930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283</v>
      </c>
      <c r="G91" s="564" t="s">
        <v>316</v>
      </c>
      <c r="H91" s="565">
        <v>44969</v>
      </c>
      <c r="I91" s="652">
        <v>45901</v>
      </c>
      <c r="J91" s="653">
        <v>18182</v>
      </c>
      <c r="K91" s="603">
        <v>0.5</v>
      </c>
      <c r="L91" s="646">
        <v>9091</v>
      </c>
      <c r="M91" s="654">
        <f>VLOOKUP(G:G,list!B:E,4,FALSE)</f>
        <v>0.1</v>
      </c>
      <c r="N91" s="655">
        <f t="shared" si="0"/>
        <v>909</v>
      </c>
      <c r="O91" s="655">
        <f t="shared" si="1"/>
        <v>8182</v>
      </c>
      <c r="P91" s="564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작가기획</v>
      </c>
      <c r="D92" s="564" t="s">
        <v>182</v>
      </c>
      <c r="E92" s="564" t="s">
        <v>115</v>
      </c>
      <c r="F92" s="564" t="s">
        <v>550</v>
      </c>
      <c r="G92" s="564" t="s">
        <v>308</v>
      </c>
      <c r="H92" s="565">
        <v>45347</v>
      </c>
      <c r="I92" s="652">
        <v>45901</v>
      </c>
      <c r="J92" s="653">
        <v>0</v>
      </c>
      <c r="K92" s="603">
        <v>0.5</v>
      </c>
      <c r="L92" s="646">
        <v>0</v>
      </c>
      <c r="M92" s="654" t="str">
        <f>VLOOKUP(G:G,list!B:E,4,FALSE)</f>
        <v>-</v>
      </c>
      <c r="N92" s="655">
        <f t="shared" si="0"/>
        <v>0</v>
      </c>
      <c r="O92" s="655">
        <f t="shared" si="1"/>
        <v>0</v>
      </c>
      <c r="P92" s="564" t="s">
        <v>366</v>
      </c>
      <c r="Q92" s="672" t="str">
        <f>VLOOKUP(G:G,list!B:F,5,FALSE)</f>
        <v>-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182</v>
      </c>
      <c r="E93" s="564" t="s">
        <v>115</v>
      </c>
      <c r="F93" s="564" t="s">
        <v>550</v>
      </c>
      <c r="G93" s="564" t="s">
        <v>316</v>
      </c>
      <c r="H93" s="565">
        <v>45359</v>
      </c>
      <c r="I93" s="652">
        <v>45901</v>
      </c>
      <c r="J93" s="653">
        <v>0</v>
      </c>
      <c r="K93" s="603">
        <v>0.5</v>
      </c>
      <c r="L93" s="646">
        <v>0</v>
      </c>
      <c r="M93" s="654">
        <f>VLOOKUP(G:G,list!B:E,4,FALSE)</f>
        <v>0.1</v>
      </c>
      <c r="N93" s="655">
        <f t="shared" si="0"/>
        <v>0</v>
      </c>
      <c r="O93" s="655">
        <f t="shared" si="1"/>
        <v>0</v>
      </c>
      <c r="P93" s="564" t="s">
        <v>366</v>
      </c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182</v>
      </c>
      <c r="E94" s="564" t="s">
        <v>115</v>
      </c>
      <c r="F94" s="564" t="s">
        <v>264</v>
      </c>
      <c r="G94" s="564" t="s">
        <v>56</v>
      </c>
      <c r="H94" s="565">
        <v>45941</v>
      </c>
      <c r="I94" s="652">
        <v>45931</v>
      </c>
      <c r="J94" s="653">
        <v>7649392</v>
      </c>
      <c r="K94" s="603">
        <v>0.5</v>
      </c>
      <c r="L94" s="646">
        <v>3824696</v>
      </c>
      <c r="M94" s="654">
        <f>VLOOKUP(G:G,list!B:E,4,FALSE)</f>
        <v>0.1</v>
      </c>
      <c r="N94" s="655">
        <f t="shared" ref="N94" si="4">ROUND(IF(M94="-",0,L94*M94),0)</f>
        <v>382470</v>
      </c>
      <c r="O94" s="655">
        <f t="shared" ref="O94" si="5">L94-N94</f>
        <v>3442226</v>
      </c>
      <c r="P94" s="564"/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32</v>
      </c>
      <c r="E95" s="564" t="s">
        <v>9</v>
      </c>
      <c r="F95" s="564" t="s">
        <v>31</v>
      </c>
      <c r="G95" s="564" t="s">
        <v>30</v>
      </c>
      <c r="H95" s="565">
        <v>44239</v>
      </c>
      <c r="I95" s="652">
        <v>45931</v>
      </c>
      <c r="J95" s="653">
        <v>470</v>
      </c>
      <c r="K95" s="603">
        <v>0.4</v>
      </c>
      <c r="L95" s="646">
        <v>171</v>
      </c>
      <c r="M95" s="654">
        <f>VLOOKUP(G:G,list!B:E,4,FALSE)</f>
        <v>0.1</v>
      </c>
      <c r="N95" s="655">
        <f t="shared" si="0"/>
        <v>17</v>
      </c>
      <c r="O95" s="655">
        <f t="shared" si="1"/>
        <v>154</v>
      </c>
      <c r="P95" s="564"/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56</v>
      </c>
      <c r="H96" s="565">
        <v>44581</v>
      </c>
      <c r="I96" s="652">
        <v>45962</v>
      </c>
      <c r="J96" s="653">
        <v>318910</v>
      </c>
      <c r="K96" s="603">
        <v>0.3</v>
      </c>
      <c r="L96" s="568">
        <v>95673</v>
      </c>
      <c r="M96" s="654">
        <f>VLOOKUP(G:G,list!B:E,4,FALSE)</f>
        <v>0.1</v>
      </c>
      <c r="N96" s="655">
        <f t="shared" si="0"/>
        <v>9567</v>
      </c>
      <c r="O96" s="655">
        <f t="shared" si="1"/>
        <v>86106</v>
      </c>
      <c r="P96" s="564" t="s">
        <v>186</v>
      </c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183</v>
      </c>
      <c r="E97" s="564" t="s">
        <v>9</v>
      </c>
      <c r="F97" s="564" t="s">
        <v>213</v>
      </c>
      <c r="G97" s="564" t="s">
        <v>56</v>
      </c>
      <c r="H97" s="565">
        <v>44829</v>
      </c>
      <c r="I97" s="652">
        <v>45962</v>
      </c>
      <c r="J97" s="653">
        <v>900673</v>
      </c>
      <c r="K97" s="603">
        <v>0.3</v>
      </c>
      <c r="L97" s="568">
        <v>270202</v>
      </c>
      <c r="M97" s="654">
        <f>VLOOKUP(G:G,list!B:E,4,FALSE)</f>
        <v>0.1</v>
      </c>
      <c r="N97" s="655">
        <f t="shared" si="0"/>
        <v>27020</v>
      </c>
      <c r="O97" s="655">
        <f t="shared" si="1"/>
        <v>243182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213</v>
      </c>
      <c r="G98" s="564" t="s">
        <v>454</v>
      </c>
      <c r="H98" s="565">
        <v>44854</v>
      </c>
      <c r="I98" s="652">
        <v>45962</v>
      </c>
      <c r="J98" s="653">
        <v>512067</v>
      </c>
      <c r="K98" s="603">
        <v>0.3</v>
      </c>
      <c r="L98" s="568">
        <v>153620</v>
      </c>
      <c r="M98" s="654">
        <f>VLOOKUP(G:G,list!B:E,4,FALSE)</f>
        <v>0.1</v>
      </c>
      <c r="N98" s="655">
        <f t="shared" si="0"/>
        <v>15362</v>
      </c>
      <c r="O98" s="655">
        <f t="shared" si="1"/>
        <v>138258</v>
      </c>
      <c r="P98" s="564" t="s">
        <v>186</v>
      </c>
      <c r="Q98" s="672" t="str">
        <f>VLOOKUP(G:G,list!B:F,5,FALSE)</f>
        <v>-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123</v>
      </c>
      <c r="E99" s="564" t="s">
        <v>9</v>
      </c>
      <c r="F99" s="564" t="s">
        <v>213</v>
      </c>
      <c r="G99" s="564" t="s">
        <v>481</v>
      </c>
      <c r="H99" s="565">
        <v>44981</v>
      </c>
      <c r="I99" s="652">
        <v>45962</v>
      </c>
      <c r="J99" s="653">
        <v>96447</v>
      </c>
      <c r="K99" s="603">
        <v>0.3</v>
      </c>
      <c r="L99" s="568">
        <v>28934</v>
      </c>
      <c r="M99" s="654">
        <f>VLOOKUP(G:G,list!B:E,4,FALSE)</f>
        <v>0.1</v>
      </c>
      <c r="N99" s="655">
        <f t="shared" si="0"/>
        <v>2893</v>
      </c>
      <c r="O99" s="655">
        <f t="shared" si="1"/>
        <v>26041</v>
      </c>
      <c r="P99" s="564" t="s">
        <v>186</v>
      </c>
      <c r="Q99" s="672" t="str">
        <f>VLOOKUP(G:G,list!B:F,5,FALSE)</f>
        <v>웹소설본부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123</v>
      </c>
      <c r="E100" s="564" t="s">
        <v>9</v>
      </c>
      <c r="F100" s="564" t="s">
        <v>213</v>
      </c>
      <c r="G100" s="564" t="s">
        <v>352</v>
      </c>
      <c r="H100" s="565">
        <v>44984</v>
      </c>
      <c r="I100" s="652">
        <v>45962</v>
      </c>
      <c r="J100" s="653">
        <v>192627</v>
      </c>
      <c r="K100" s="603">
        <v>0.3</v>
      </c>
      <c r="L100" s="568">
        <v>57788</v>
      </c>
      <c r="M100" s="654">
        <f>VLOOKUP(G:G,list!B:E,4,FALSE)</f>
        <v>0.1</v>
      </c>
      <c r="N100" s="655">
        <f t="shared" si="0"/>
        <v>5779</v>
      </c>
      <c r="O100" s="655">
        <f t="shared" si="1"/>
        <v>52009</v>
      </c>
      <c r="P100" s="564" t="s">
        <v>186</v>
      </c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72</v>
      </c>
      <c r="E101" s="564" t="s">
        <v>9</v>
      </c>
      <c r="F101" s="564" t="s">
        <v>213</v>
      </c>
      <c r="G101" s="564" t="s">
        <v>454</v>
      </c>
      <c r="H101" s="565">
        <v>44902</v>
      </c>
      <c r="I101" s="652">
        <v>45931</v>
      </c>
      <c r="J101" s="653">
        <v>388790</v>
      </c>
      <c r="K101" s="603">
        <v>0.3</v>
      </c>
      <c r="L101" s="568">
        <v>116637</v>
      </c>
      <c r="M101" s="654">
        <f>VLOOKUP(G:G,list!B:E,4,FALSE)</f>
        <v>0.1</v>
      </c>
      <c r="N101" s="655">
        <f t="shared" ref="N101:N111" si="6">ROUND(IF(M101="-",0,L101*M101),0)</f>
        <v>11664</v>
      </c>
      <c r="O101" s="655">
        <f t="shared" ref="O101:O111" si="7">L101-N101</f>
        <v>104973</v>
      </c>
      <c r="P101" s="564" t="s">
        <v>282</v>
      </c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72</v>
      </c>
      <c r="E102" s="564" t="s">
        <v>9</v>
      </c>
      <c r="F102" s="564" t="s">
        <v>213</v>
      </c>
      <c r="G102" s="564" t="s">
        <v>454</v>
      </c>
      <c r="H102" s="565">
        <v>45257</v>
      </c>
      <c r="I102" s="652">
        <v>45931</v>
      </c>
      <c r="J102" s="653">
        <v>21193</v>
      </c>
      <c r="K102" s="603">
        <v>0.3</v>
      </c>
      <c r="L102" s="568">
        <v>6358</v>
      </c>
      <c r="M102" s="654">
        <f>VLOOKUP(G:G,list!B:E,4,FALSE)</f>
        <v>0.1</v>
      </c>
      <c r="N102" s="655">
        <f t="shared" si="6"/>
        <v>636</v>
      </c>
      <c r="O102" s="655">
        <f t="shared" si="7"/>
        <v>5722</v>
      </c>
      <c r="P102" s="564" t="s">
        <v>546</v>
      </c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79</v>
      </c>
      <c r="E103" s="564" t="s">
        <v>9</v>
      </c>
      <c r="F103" s="564" t="s">
        <v>235</v>
      </c>
      <c r="G103" s="564" t="s">
        <v>30</v>
      </c>
      <c r="H103" s="565">
        <v>44281</v>
      </c>
      <c r="I103" s="652">
        <v>45839</v>
      </c>
      <c r="J103" s="653">
        <v>21243</v>
      </c>
      <c r="K103" s="603">
        <v>0.5</v>
      </c>
      <c r="L103" s="568">
        <v>8946</v>
      </c>
      <c r="M103" s="654">
        <f>VLOOKUP(G:G,list!B:E,4,FALSE)</f>
        <v>0.1</v>
      </c>
      <c r="N103" s="655">
        <f t="shared" si="6"/>
        <v>895</v>
      </c>
      <c r="O103" s="655">
        <f t="shared" si="7"/>
        <v>8051</v>
      </c>
      <c r="P103" s="564"/>
      <c r="Q103" s="672" t="str">
        <f>VLOOKUP(G:G,list!B:F,5,FALSE)</f>
        <v>웹소설본부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작가기획</v>
      </c>
      <c r="D104" s="564" t="s">
        <v>79</v>
      </c>
      <c r="E104" s="564" t="s">
        <v>9</v>
      </c>
      <c r="F104" s="564" t="s">
        <v>235</v>
      </c>
      <c r="G104" s="564" t="s">
        <v>36</v>
      </c>
      <c r="H104" s="565">
        <v>44293</v>
      </c>
      <c r="I104" s="652">
        <v>45839</v>
      </c>
      <c r="J104" s="653">
        <v>16011</v>
      </c>
      <c r="K104" s="603">
        <v>0.5</v>
      </c>
      <c r="L104" s="568">
        <v>6743</v>
      </c>
      <c r="M104" s="654" t="str">
        <f>VLOOKUP(G:G,list!B:E,4,FALSE)</f>
        <v>-</v>
      </c>
      <c r="N104" s="655">
        <f t="shared" si="6"/>
        <v>0</v>
      </c>
      <c r="O104" s="655">
        <f t="shared" si="7"/>
        <v>6743</v>
      </c>
      <c r="P104" s="564"/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79</v>
      </c>
      <c r="E105" s="564" t="s">
        <v>9</v>
      </c>
      <c r="F105" s="564" t="s">
        <v>235</v>
      </c>
      <c r="G105" s="564" t="s">
        <v>454</v>
      </c>
      <c r="H105" s="565">
        <v>44840</v>
      </c>
      <c r="I105" s="652">
        <v>45839</v>
      </c>
      <c r="J105" s="653">
        <v>116443</v>
      </c>
      <c r="K105" s="603">
        <v>0.5</v>
      </c>
      <c r="L105" s="568">
        <v>49434</v>
      </c>
      <c r="M105" s="654">
        <f>VLOOKUP(G:G,list!B:E,4,FALSE)</f>
        <v>0.1</v>
      </c>
      <c r="N105" s="655">
        <f t="shared" si="6"/>
        <v>4943</v>
      </c>
      <c r="O105" s="655">
        <f t="shared" si="7"/>
        <v>44491</v>
      </c>
      <c r="P105" s="564"/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79</v>
      </c>
      <c r="E106" s="564" t="s">
        <v>9</v>
      </c>
      <c r="F106" s="564" t="s">
        <v>235</v>
      </c>
      <c r="G106" s="564" t="s">
        <v>30</v>
      </c>
      <c r="H106" s="565">
        <v>44281</v>
      </c>
      <c r="I106" s="652">
        <v>45870</v>
      </c>
      <c r="J106" s="653">
        <v>6941</v>
      </c>
      <c r="K106" s="603">
        <v>0.5</v>
      </c>
      <c r="L106" s="568">
        <v>2923</v>
      </c>
      <c r="M106" s="654">
        <f>VLOOKUP(G:G,list!B:E,4,FALSE)</f>
        <v>0.1</v>
      </c>
      <c r="N106" s="655">
        <f t="shared" si="6"/>
        <v>292</v>
      </c>
      <c r="O106" s="655">
        <f t="shared" si="7"/>
        <v>2631</v>
      </c>
      <c r="P106" s="564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작가기획</v>
      </c>
      <c r="D107" s="564" t="s">
        <v>79</v>
      </c>
      <c r="E107" s="564" t="s">
        <v>9</v>
      </c>
      <c r="F107" s="564" t="s">
        <v>235</v>
      </c>
      <c r="G107" s="564" t="s">
        <v>36</v>
      </c>
      <c r="H107" s="565">
        <v>44293</v>
      </c>
      <c r="I107" s="652">
        <v>45870</v>
      </c>
      <c r="J107" s="653">
        <v>18057</v>
      </c>
      <c r="K107" s="603">
        <v>0.5</v>
      </c>
      <c r="L107" s="568">
        <v>7605</v>
      </c>
      <c r="M107" s="654" t="str">
        <f>VLOOKUP(G:G,list!B:E,4,FALSE)</f>
        <v>-</v>
      </c>
      <c r="N107" s="655">
        <f t="shared" si="6"/>
        <v>0</v>
      </c>
      <c r="O107" s="655">
        <f t="shared" si="7"/>
        <v>7605</v>
      </c>
      <c r="P107" s="564"/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79</v>
      </c>
      <c r="E108" s="564" t="s">
        <v>9</v>
      </c>
      <c r="F108" s="564" t="s">
        <v>235</v>
      </c>
      <c r="G108" s="564" t="s">
        <v>454</v>
      </c>
      <c r="H108" s="565">
        <v>44840</v>
      </c>
      <c r="I108" s="652">
        <v>45870</v>
      </c>
      <c r="J108" s="653">
        <v>244189</v>
      </c>
      <c r="K108" s="603">
        <v>0.5</v>
      </c>
      <c r="L108" s="568">
        <v>103667</v>
      </c>
      <c r="M108" s="654">
        <f>VLOOKUP(G:G,list!B:E,4,FALSE)</f>
        <v>0.1</v>
      </c>
      <c r="N108" s="655">
        <f t="shared" si="6"/>
        <v>10367</v>
      </c>
      <c r="O108" s="655">
        <f t="shared" si="7"/>
        <v>93300</v>
      </c>
      <c r="P108" s="564"/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79</v>
      </c>
      <c r="E109" s="564" t="s">
        <v>9</v>
      </c>
      <c r="F109" s="564" t="s">
        <v>235</v>
      </c>
      <c r="G109" s="564" t="s">
        <v>30</v>
      </c>
      <c r="H109" s="565">
        <v>44281</v>
      </c>
      <c r="I109" s="652">
        <v>45901</v>
      </c>
      <c r="J109" s="653">
        <v>5228</v>
      </c>
      <c r="K109" s="603">
        <v>0.5</v>
      </c>
      <c r="L109" s="568">
        <v>2202</v>
      </c>
      <c r="M109" s="654">
        <f>VLOOKUP(G:G,list!B:E,4,FALSE)</f>
        <v>0.1</v>
      </c>
      <c r="N109" s="655">
        <f t="shared" si="6"/>
        <v>220</v>
      </c>
      <c r="O109" s="655">
        <f t="shared" si="7"/>
        <v>1982</v>
      </c>
      <c r="P109" s="564"/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작가기획</v>
      </c>
      <c r="D110" s="564" t="s">
        <v>79</v>
      </c>
      <c r="E110" s="564" t="s">
        <v>9</v>
      </c>
      <c r="F110" s="564" t="s">
        <v>235</v>
      </c>
      <c r="G110" s="564" t="s">
        <v>36</v>
      </c>
      <c r="H110" s="565">
        <v>44293</v>
      </c>
      <c r="I110" s="652">
        <v>45901</v>
      </c>
      <c r="J110" s="653">
        <v>1909</v>
      </c>
      <c r="K110" s="603">
        <v>0.5</v>
      </c>
      <c r="L110" s="568">
        <v>803</v>
      </c>
      <c r="M110" s="654" t="str">
        <f>VLOOKUP(G:G,list!B:E,4,FALSE)</f>
        <v>-</v>
      </c>
      <c r="N110" s="655">
        <f t="shared" si="6"/>
        <v>0</v>
      </c>
      <c r="O110" s="655">
        <f t="shared" si="7"/>
        <v>803</v>
      </c>
      <c r="P110" s="564"/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79</v>
      </c>
      <c r="E111" s="564" t="s">
        <v>9</v>
      </c>
      <c r="F111" s="564" t="s">
        <v>235</v>
      </c>
      <c r="G111" s="564" t="s">
        <v>454</v>
      </c>
      <c r="H111" s="565">
        <v>44840</v>
      </c>
      <c r="I111" s="652">
        <v>45901</v>
      </c>
      <c r="J111" s="653">
        <v>87099</v>
      </c>
      <c r="K111" s="603">
        <v>0.5</v>
      </c>
      <c r="L111" s="568">
        <v>36976</v>
      </c>
      <c r="M111" s="654">
        <f>VLOOKUP(G:G,list!B:E,4,FALSE)</f>
        <v>0.1</v>
      </c>
      <c r="N111" s="655">
        <f t="shared" si="6"/>
        <v>3698</v>
      </c>
      <c r="O111" s="655">
        <f t="shared" si="7"/>
        <v>33278</v>
      </c>
      <c r="P111" s="564"/>
      <c r="Q111" s="672" t="str">
        <f>VLOOKUP(G:G,list!B:F,5,FALSE)</f>
        <v>-</v>
      </c>
      <c r="R111" s="656" t="str">
        <f>VLOOKUP(G:G,list!B:D,3,FALSE)</f>
        <v>Y</v>
      </c>
    </row>
    <row r="112" spans="2:18" ht="11.25" customHeight="1">
      <c r="B112" s="52"/>
      <c r="C112" s="551"/>
      <c r="D112" s="551"/>
      <c r="E112" s="551"/>
      <c r="F112" s="551"/>
      <c r="G112" s="551"/>
      <c r="H112" s="622"/>
      <c r="I112" s="551"/>
      <c r="J112" s="435"/>
      <c r="K112" s="623"/>
      <c r="L112"/>
      <c r="M112" s="438"/>
      <c r="N112" s="439"/>
      <c r="O112" s="440"/>
      <c r="P112" s="633"/>
      <c r="Q112" s="438"/>
      <c r="R112" s="486"/>
    </row>
    <row r="113" spans="2:18" s="7" customFormat="1" ht="16.5" customHeight="1">
      <c r="B113" s="624" t="s">
        <v>387</v>
      </c>
      <c r="C113" s="625"/>
      <c r="D113" s="625"/>
      <c r="E113" s="626"/>
      <c r="F113" s="625"/>
      <c r="G113" s="625"/>
      <c r="H113" s="625"/>
      <c r="I113" s="311"/>
      <c r="J113" s="311"/>
      <c r="K113" s="311"/>
      <c r="M113" s="424"/>
      <c r="N113"/>
      <c r="O113" s="333"/>
      <c r="P113" s="631"/>
      <c r="Q113" s="424"/>
      <c r="R113" s="484"/>
    </row>
    <row r="114" spans="2:18" s="7" customFormat="1" ht="16.5" customHeight="1">
      <c r="B114" s="629" t="s">
        <v>299</v>
      </c>
      <c r="C114" s="625"/>
      <c r="D114" s="625"/>
      <c r="E114" s="626"/>
      <c r="F114" s="625"/>
      <c r="G114" s="625"/>
      <c r="H114" s="625"/>
      <c r="I114" s="311"/>
      <c r="K114" s="311"/>
      <c r="L114" s="311"/>
      <c r="M114" s="424"/>
      <c r="N114"/>
      <c r="O114" s="333"/>
      <c r="P114" s="631"/>
      <c r="Q114" s="424"/>
      <c r="R114" s="484"/>
    </row>
    <row r="115" spans="2:18" s="7" customFormat="1" ht="16.5" customHeight="1">
      <c r="B115" s="628" t="s">
        <v>302</v>
      </c>
      <c r="C115" s="627"/>
      <c r="D115" s="625"/>
      <c r="E115" s="626"/>
      <c r="F115" s="625"/>
      <c r="G115" s="625"/>
      <c r="H115" s="625"/>
      <c r="I115" s="311"/>
      <c r="J115" s="311"/>
      <c r="L115" s="311"/>
      <c r="M115" s="424"/>
      <c r="N115"/>
      <c r="O115" s="333"/>
      <c r="P115" s="631"/>
      <c r="Q115" s="424"/>
      <c r="R115" s="484"/>
    </row>
    <row r="116" spans="2:18" s="7" customFormat="1" ht="16.5" customHeight="1">
      <c r="B116" s="630" t="s">
        <v>303</v>
      </c>
      <c r="C116" s="627"/>
      <c r="D116" s="625"/>
      <c r="E116" s="626"/>
      <c r="F116" s="625"/>
      <c r="G116" s="625"/>
      <c r="H116" s="625"/>
      <c r="I116" s="311"/>
      <c r="J116" s="311"/>
      <c r="K116" s="311"/>
      <c r="L116" s="311"/>
      <c r="M116" s="424"/>
      <c r="N116"/>
      <c r="O116" s="333"/>
      <c r="P116" s="631"/>
      <c r="Q116" s="424"/>
      <c r="R116" s="484"/>
    </row>
    <row r="117" spans="2:18" ht="16.5" customHeight="1">
      <c r="B117" s="629" t="s">
        <v>340</v>
      </c>
      <c r="C117" s="625"/>
      <c r="D117" s="625"/>
      <c r="E117" s="626"/>
      <c r="F117" s="625"/>
      <c r="G117" s="625"/>
      <c r="H117" s="625"/>
      <c r="I117" s="311"/>
      <c r="J117" s="311"/>
      <c r="K117" s="311"/>
    </row>
    <row r="118" spans="2:18" ht="16.5" customHeight="1">
      <c r="B118" s="629" t="s">
        <v>512</v>
      </c>
      <c r="C118" s="625"/>
      <c r="D118" s="625"/>
      <c r="E118" s="626"/>
      <c r="F118" s="625"/>
      <c r="G118" s="625"/>
      <c r="H118" s="625"/>
      <c r="I118" s="311"/>
      <c r="J118" s="311"/>
      <c r="K118" s="311"/>
    </row>
    <row r="119" spans="2:18" ht="16.5" customHeight="1">
      <c r="B119" s="629" t="s">
        <v>522</v>
      </c>
      <c r="C119" s="625"/>
      <c r="D119" s="625"/>
      <c r="E119" s="626"/>
      <c r="F119" s="625"/>
      <c r="G119" s="625"/>
      <c r="H119" s="625"/>
      <c r="I119" s="311"/>
      <c r="J119" s="311"/>
      <c r="K119" s="311"/>
    </row>
    <row r="120" spans="2:18" ht="16.5" customHeight="1">
      <c r="B120" s="629" t="s">
        <v>520</v>
      </c>
      <c r="C120" s="625"/>
      <c r="D120" s="625"/>
      <c r="E120" s="626"/>
      <c r="F120" s="625"/>
      <c r="G120" s="625"/>
      <c r="H120" s="625"/>
      <c r="I120" s="311"/>
      <c r="J120" s="311"/>
      <c r="K120" s="311"/>
    </row>
    <row r="121" spans="2:18" ht="16.5" customHeight="1">
      <c r="B121" s="629" t="s">
        <v>521</v>
      </c>
      <c r="C121" s="625"/>
      <c r="D121" s="625"/>
      <c r="E121" s="626"/>
      <c r="F121" s="625"/>
      <c r="G121" s="625"/>
      <c r="H121" s="625"/>
      <c r="I121" s="311"/>
      <c r="J121" s="311"/>
      <c r="K121" s="311"/>
    </row>
    <row r="122" spans="2:18" s="311" customFormat="1" ht="16.5" customHeight="1">
      <c r="B122" s="629" t="s">
        <v>529</v>
      </c>
      <c r="C122" s="625"/>
      <c r="D122" s="625"/>
      <c r="E122" s="626"/>
      <c r="F122" s="625"/>
      <c r="G122" s="625"/>
      <c r="H122" s="625"/>
      <c r="M122" s="424"/>
      <c r="N122"/>
      <c r="O122" s="333"/>
      <c r="P122" s="631"/>
      <c r="Q122" s="424"/>
      <c r="R122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814E-3F8D-4B69-975A-5DF01F61B0BA}">
  <dimension ref="B2:F22"/>
  <sheetViews>
    <sheetView showGridLines="0" workbookViewId="0">
      <pane xSplit="1" ySplit="3" topLeftCell="B10" activePane="bottomRight" state="frozen"/>
      <selection activeCell="H16" sqref="H16"/>
      <selection pane="topRight" activeCell="H16" sqref="H16"/>
      <selection pane="bottomLeft" activeCell="H16" sqref="H16"/>
      <selection pane="bottomRight" activeCell="B3" sqref="B3"/>
    </sheetView>
  </sheetViews>
  <sheetFormatPr defaultRowHeight="17.399999999999999"/>
  <cols>
    <col min="1" max="1" width="1.09765625" customWidth="1"/>
    <col min="2" max="2" width="31.19921875" customWidth="1"/>
    <col min="3" max="3" width="25" customWidth="1"/>
    <col min="4" max="4" width="30.59765625" bestFit="1" customWidth="1"/>
    <col min="5" max="5" width="16.5" bestFit="1" customWidth="1"/>
    <col min="6" max="6" width="26.69921875" bestFit="1" customWidth="1"/>
    <col min="7" max="7" width="9.8984375" customWidth="1"/>
    <col min="8" max="9" width="9" customWidth="1"/>
  </cols>
  <sheetData>
    <row r="2" spans="2:6" ht="18" thickBot="1">
      <c r="B2" s="444" t="s">
        <v>346</v>
      </c>
      <c r="C2" t="s">
        <v>524</v>
      </c>
      <c r="D2" s="489" t="s">
        <v>403</v>
      </c>
      <c r="F2" s="488">
        <v>45595</v>
      </c>
    </row>
    <row r="3" spans="2:6">
      <c r="B3" s="279" t="s">
        <v>347</v>
      </c>
      <c r="C3" s="443" t="s">
        <v>380</v>
      </c>
      <c r="D3" s="281" t="s">
        <v>473</v>
      </c>
      <c r="E3" s="281" t="s">
        <v>517</v>
      </c>
      <c r="F3" s="487" t="s">
        <v>401</v>
      </c>
    </row>
    <row r="4" spans="2:6">
      <c r="B4" s="666" t="s">
        <v>533</v>
      </c>
      <c r="C4" s="667" t="s">
        <v>318</v>
      </c>
      <c r="D4" s="667" t="s">
        <v>398</v>
      </c>
      <c r="E4" s="668" t="s">
        <v>203</v>
      </c>
      <c r="F4" s="673" t="s">
        <v>203</v>
      </c>
    </row>
    <row r="5" spans="2:6">
      <c r="B5" s="669" t="s">
        <v>525</v>
      </c>
      <c r="C5" s="669" t="s">
        <v>237</v>
      </c>
      <c r="D5" s="669" t="s">
        <v>400</v>
      </c>
      <c r="E5" s="670">
        <v>0.1</v>
      </c>
      <c r="F5" s="673" t="s">
        <v>203</v>
      </c>
    </row>
    <row r="6" spans="2:6">
      <c r="B6" s="669" t="s">
        <v>526</v>
      </c>
      <c r="C6" s="669" t="s">
        <v>318</v>
      </c>
      <c r="D6" s="669" t="s">
        <v>398</v>
      </c>
      <c r="E6" s="670" t="s">
        <v>203</v>
      </c>
      <c r="F6" s="673" t="s">
        <v>203</v>
      </c>
    </row>
    <row r="7" spans="2:6">
      <c r="B7" s="669" t="s">
        <v>487</v>
      </c>
      <c r="C7" s="669" t="s">
        <v>237</v>
      </c>
      <c r="D7" s="669" t="s">
        <v>400</v>
      </c>
      <c r="E7" s="670">
        <v>0.1</v>
      </c>
      <c r="F7" s="673" t="s">
        <v>535</v>
      </c>
    </row>
    <row r="8" spans="2:6">
      <c r="B8" s="669" t="s">
        <v>60</v>
      </c>
      <c r="C8" s="669" t="s">
        <v>310</v>
      </c>
      <c r="D8" s="669" t="s">
        <v>398</v>
      </c>
      <c r="E8" s="670" t="s">
        <v>203</v>
      </c>
      <c r="F8" s="673" t="s">
        <v>203</v>
      </c>
    </row>
    <row r="9" spans="2:6">
      <c r="B9" s="669" t="s">
        <v>510</v>
      </c>
      <c r="C9" s="669" t="s">
        <v>310</v>
      </c>
      <c r="D9" s="669" t="s">
        <v>398</v>
      </c>
      <c r="E9" s="670" t="s">
        <v>203</v>
      </c>
      <c r="F9" s="673" t="s">
        <v>203</v>
      </c>
    </row>
    <row r="10" spans="2:6">
      <c r="B10" s="669" t="s">
        <v>36</v>
      </c>
      <c r="C10" s="669" t="s">
        <v>310</v>
      </c>
      <c r="D10" s="669" t="s">
        <v>400</v>
      </c>
      <c r="E10" s="670" t="s">
        <v>203</v>
      </c>
      <c r="F10" s="673" t="s">
        <v>203</v>
      </c>
    </row>
    <row r="11" spans="2:6">
      <c r="B11" s="669" t="s">
        <v>139</v>
      </c>
      <c r="C11" s="669" t="s">
        <v>310</v>
      </c>
      <c r="D11" s="669" t="s">
        <v>400</v>
      </c>
      <c r="E11" s="670" t="s">
        <v>203</v>
      </c>
      <c r="F11" s="673" t="s">
        <v>203</v>
      </c>
    </row>
    <row r="12" spans="2:6">
      <c r="B12" s="669" t="s">
        <v>151</v>
      </c>
      <c r="C12" s="669" t="s">
        <v>237</v>
      </c>
      <c r="D12" s="669" t="s">
        <v>400</v>
      </c>
      <c r="E12" s="670">
        <v>0.1</v>
      </c>
      <c r="F12" s="673" t="s">
        <v>535</v>
      </c>
    </row>
    <row r="13" spans="2:6">
      <c r="B13" s="669" t="s">
        <v>363</v>
      </c>
      <c r="C13" s="669" t="s">
        <v>237</v>
      </c>
      <c r="D13" s="669" t="s">
        <v>398</v>
      </c>
      <c r="E13" s="670">
        <v>0.11</v>
      </c>
      <c r="F13" s="671" t="s">
        <v>203</v>
      </c>
    </row>
    <row r="14" spans="2:6">
      <c r="B14" s="669" t="s">
        <v>460</v>
      </c>
      <c r="C14" s="669" t="s">
        <v>237</v>
      </c>
      <c r="D14" s="669" t="s">
        <v>399</v>
      </c>
      <c r="E14" s="670">
        <v>0.1</v>
      </c>
      <c r="F14" s="671" t="s">
        <v>203</v>
      </c>
    </row>
    <row r="15" spans="2:6">
      <c r="B15" s="669" t="s">
        <v>275</v>
      </c>
      <c r="C15" s="669" t="s">
        <v>310</v>
      </c>
      <c r="D15" s="669" t="s">
        <v>400</v>
      </c>
      <c r="E15" s="670" t="s">
        <v>203</v>
      </c>
      <c r="F15" s="673" t="s">
        <v>203</v>
      </c>
    </row>
    <row r="16" spans="2:6">
      <c r="B16" s="669" t="s">
        <v>277</v>
      </c>
      <c r="C16" s="669" t="s">
        <v>318</v>
      </c>
      <c r="D16" s="669" t="s">
        <v>398</v>
      </c>
      <c r="E16" s="670" t="s">
        <v>203</v>
      </c>
      <c r="F16" s="673" t="s">
        <v>203</v>
      </c>
    </row>
    <row r="17" spans="2:6">
      <c r="B17" s="669" t="s">
        <v>518</v>
      </c>
      <c r="C17" s="669" t="s">
        <v>310</v>
      </c>
      <c r="D17" s="669" t="s">
        <v>398</v>
      </c>
      <c r="E17" s="670" t="s">
        <v>203</v>
      </c>
      <c r="F17" s="671" t="s">
        <v>203</v>
      </c>
    </row>
    <row r="18" spans="2:6">
      <c r="B18" s="669" t="s">
        <v>364</v>
      </c>
      <c r="C18" s="669" t="s">
        <v>237</v>
      </c>
      <c r="D18" s="669" t="s">
        <v>399</v>
      </c>
      <c r="E18" s="670">
        <v>0.1</v>
      </c>
      <c r="F18" s="671" t="s">
        <v>535</v>
      </c>
    </row>
    <row r="19" spans="2:6">
      <c r="B19" s="669" t="s">
        <v>536</v>
      </c>
      <c r="C19" s="669" t="s">
        <v>237</v>
      </c>
      <c r="D19" s="669" t="s">
        <v>398</v>
      </c>
      <c r="E19" s="670">
        <v>0.1</v>
      </c>
      <c r="F19" s="673" t="s">
        <v>203</v>
      </c>
    </row>
    <row r="20" spans="2:6">
      <c r="B20" s="669" t="s">
        <v>146</v>
      </c>
      <c r="C20" s="669" t="s">
        <v>237</v>
      </c>
      <c r="D20" s="669" t="s">
        <v>400</v>
      </c>
      <c r="E20" s="670">
        <v>0.1</v>
      </c>
      <c r="F20" s="673" t="s">
        <v>535</v>
      </c>
    </row>
    <row r="21" spans="2:6">
      <c r="B21" s="669" t="s">
        <v>278</v>
      </c>
      <c r="C21" s="669" t="s">
        <v>237</v>
      </c>
      <c r="D21" s="669" t="s">
        <v>400</v>
      </c>
      <c r="E21" s="670">
        <v>0.1</v>
      </c>
      <c r="F21" s="673" t="s">
        <v>535</v>
      </c>
    </row>
    <row r="22" spans="2:6">
      <c r="B22" s="669" t="s">
        <v>459</v>
      </c>
      <c r="C22" s="669" t="s">
        <v>237</v>
      </c>
      <c r="D22" s="669" t="s">
        <v>400</v>
      </c>
      <c r="E22" s="670">
        <v>0.1</v>
      </c>
      <c r="F22" s="673" t="s">
        <v>203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F7F7-F4B8-468F-9403-D36597AA336F}">
  <dimension ref="B1:R144"/>
  <sheetViews>
    <sheetView showGridLines="0" zoomScaleNormal="100" workbookViewId="0">
      <pane xSplit="1" ySplit="5" topLeftCell="B104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612</v>
      </c>
      <c r="C2" s="539"/>
      <c r="D2" s="539"/>
      <c r="E2" s="539"/>
      <c r="F2" s="539"/>
      <c r="G2" s="540"/>
      <c r="H2" s="643" t="s">
        <v>608</v>
      </c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613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17837355.727719001</v>
      </c>
      <c r="K4" s="52"/>
      <c r="L4" s="648">
        <f>SUBTOTAL(109,L6:L1048576)</f>
        <v>6761858.8999999994</v>
      </c>
      <c r="M4" s="543"/>
      <c r="N4" s="649">
        <f>SUBTOTAL(109,N6:N1048576)</f>
        <v>496575</v>
      </c>
      <c r="O4" s="649">
        <f>SUBTOTAL(109,O6:O1048576)</f>
        <v>6265283.8999999994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45931</v>
      </c>
      <c r="J6" s="653">
        <v>379153.7</v>
      </c>
      <c r="K6" s="567">
        <v>0.6</v>
      </c>
      <c r="L6" s="646">
        <v>227493</v>
      </c>
      <c r="M6" s="654" t="str">
        <f>VLOOKUP(G:G,list!B:E,4,FALSE)</f>
        <v>-</v>
      </c>
      <c r="N6" s="655">
        <f t="shared" ref="N6:N98" si="0">ROUND(IF(M6="-",0,L6*M6),0)</f>
        <v>0</v>
      </c>
      <c r="O6" s="655">
        <f t="shared" ref="O6:O98" si="1">L6-N6</f>
        <v>227493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45931</v>
      </c>
      <c r="J7" s="653">
        <v>117279.4</v>
      </c>
      <c r="K7" s="600">
        <v>0.6</v>
      </c>
      <c r="L7" s="646">
        <v>70367</v>
      </c>
      <c r="M7" s="654" t="str">
        <f>VLOOKUP(G:G,list!B:E,4,FALSE)</f>
        <v>-</v>
      </c>
      <c r="N7" s="655">
        <f t="shared" si="0"/>
        <v>0</v>
      </c>
      <c r="O7" s="655">
        <f t="shared" si="1"/>
        <v>70367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45931</v>
      </c>
      <c r="J8" s="653">
        <v>289690.2</v>
      </c>
      <c r="K8" s="567">
        <v>0.6</v>
      </c>
      <c r="L8" s="646">
        <v>173815</v>
      </c>
      <c r="M8" s="654" t="str">
        <f>VLOOKUP(G:G,list!B:E,4,FALSE)</f>
        <v>-</v>
      </c>
      <c r="N8" s="655">
        <f t="shared" si="0"/>
        <v>0</v>
      </c>
      <c r="O8" s="655">
        <f t="shared" si="1"/>
        <v>173815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45931</v>
      </c>
      <c r="J9" s="653">
        <v>159299.9</v>
      </c>
      <c r="K9" s="606">
        <v>0.6</v>
      </c>
      <c r="L9" s="646">
        <v>95580</v>
      </c>
      <c r="M9" s="654">
        <f>VLOOKUP(G:G,list!B:E,4,FALSE)</f>
        <v>0.1</v>
      </c>
      <c r="N9" s="655">
        <f t="shared" si="0"/>
        <v>9558</v>
      </c>
      <c r="O9" s="655">
        <f t="shared" si="1"/>
        <v>86022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45931</v>
      </c>
      <c r="J10" s="653">
        <v>292461</v>
      </c>
      <c r="K10" s="600">
        <v>0.6</v>
      </c>
      <c r="L10" s="646">
        <v>175477</v>
      </c>
      <c r="M10" s="654">
        <f>VLOOKUP(G:G,list!B:E,4,FALSE)</f>
        <v>0.1</v>
      </c>
      <c r="N10" s="655">
        <f t="shared" si="0"/>
        <v>17548</v>
      </c>
      <c r="O10" s="655">
        <f t="shared" si="1"/>
        <v>157929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45931</v>
      </c>
      <c r="J11" s="653">
        <v>21551</v>
      </c>
      <c r="K11" s="603">
        <v>0.6</v>
      </c>
      <c r="L11" s="646">
        <v>12930</v>
      </c>
      <c r="M11" s="654" t="str">
        <f>VLOOKUP(G:G,list!B:E,4,FALSE)</f>
        <v>-</v>
      </c>
      <c r="N11" s="655">
        <f t="shared" si="0"/>
        <v>0</v>
      </c>
      <c r="O11" s="655">
        <f t="shared" si="1"/>
        <v>12930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45931</v>
      </c>
      <c r="J12" s="653">
        <v>251388</v>
      </c>
      <c r="K12" s="603">
        <v>0.6</v>
      </c>
      <c r="L12" s="646">
        <v>150834</v>
      </c>
      <c r="M12" s="654">
        <f>VLOOKUP(G:G,list!B:E,4,FALSE)</f>
        <v>0.1</v>
      </c>
      <c r="N12" s="655">
        <f t="shared" si="0"/>
        <v>15083</v>
      </c>
      <c r="O12" s="655">
        <f t="shared" si="1"/>
        <v>135751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45931</v>
      </c>
      <c r="J13" s="653">
        <v>8132</v>
      </c>
      <c r="K13" s="600">
        <v>0.6</v>
      </c>
      <c r="L13" s="646">
        <v>4879</v>
      </c>
      <c r="M13" s="654">
        <f>VLOOKUP(G:G,list!B:E,4,FALSE)</f>
        <v>0.1</v>
      </c>
      <c r="N13" s="655">
        <f t="shared" si="0"/>
        <v>488</v>
      </c>
      <c r="O13" s="655">
        <f t="shared" si="1"/>
        <v>4391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45931</v>
      </c>
      <c r="J14" s="653">
        <v>108277</v>
      </c>
      <c r="K14" s="606">
        <v>0.6</v>
      </c>
      <c r="L14" s="646">
        <v>64967</v>
      </c>
      <c r="M14" s="654">
        <f>VLOOKUP(G:G,list!B:E,4,FALSE)</f>
        <v>0.11</v>
      </c>
      <c r="N14" s="655">
        <f t="shared" si="0"/>
        <v>7146</v>
      </c>
      <c r="O14" s="655">
        <f t="shared" si="1"/>
        <v>57821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45931</v>
      </c>
      <c r="J15" s="653">
        <v>515081</v>
      </c>
      <c r="K15" s="567">
        <v>0.6</v>
      </c>
      <c r="L15" s="646">
        <v>309048</v>
      </c>
      <c r="M15" s="654">
        <f>VLOOKUP(G:G,list!B:E,4,FALSE)</f>
        <v>0.1</v>
      </c>
      <c r="N15" s="655">
        <f t="shared" si="0"/>
        <v>30905</v>
      </c>
      <c r="O15" s="655">
        <f t="shared" si="1"/>
        <v>278143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45931</v>
      </c>
      <c r="J16" s="653">
        <v>70627</v>
      </c>
      <c r="K16" s="567">
        <v>0.6</v>
      </c>
      <c r="L16" s="646">
        <v>42376</v>
      </c>
      <c r="M16" s="654">
        <f>VLOOKUP(G:G,list!B:E,4,FALSE)</f>
        <v>0.1</v>
      </c>
      <c r="N16" s="655">
        <f t="shared" si="0"/>
        <v>4238</v>
      </c>
      <c r="O16" s="655">
        <f t="shared" si="1"/>
        <v>38138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45931</v>
      </c>
      <c r="J17" s="653">
        <v>13092</v>
      </c>
      <c r="K17" s="600">
        <v>0.7</v>
      </c>
      <c r="L17" s="646">
        <v>9164</v>
      </c>
      <c r="M17" s="654" t="str">
        <f>VLOOKUP(G:G,list!B:E,4,FALSE)</f>
        <v>-</v>
      </c>
      <c r="N17" s="655">
        <f t="shared" si="0"/>
        <v>0</v>
      </c>
      <c r="O17" s="655">
        <f t="shared" si="1"/>
        <v>9164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45931</v>
      </c>
      <c r="J18" s="653">
        <v>1044755</v>
      </c>
      <c r="K18" s="603">
        <v>0.6</v>
      </c>
      <c r="L18" s="646">
        <v>626853</v>
      </c>
      <c r="M18" s="654">
        <f>VLOOKUP(G:G,list!B:E,4,FALSE)</f>
        <v>0.1</v>
      </c>
      <c r="N18" s="655">
        <f t="shared" si="0"/>
        <v>62685</v>
      </c>
      <c r="O18" s="655">
        <f t="shared" si="1"/>
        <v>564168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45931</v>
      </c>
      <c r="J19" s="653">
        <v>188354</v>
      </c>
      <c r="K19" s="603">
        <v>0.7</v>
      </c>
      <c r="L19" s="646">
        <v>131848</v>
      </c>
      <c r="M19" s="654">
        <f>VLOOKUP(G:G,list!B:E,4,FALSE)</f>
        <v>0.1</v>
      </c>
      <c r="N19" s="655">
        <f t="shared" si="0"/>
        <v>13185</v>
      </c>
      <c r="O19" s="655">
        <f t="shared" si="1"/>
        <v>118663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45931</v>
      </c>
      <c r="J20" s="653">
        <v>13562</v>
      </c>
      <c r="K20" s="603">
        <v>0.6</v>
      </c>
      <c r="L20" s="646">
        <v>8137</v>
      </c>
      <c r="M20" s="654">
        <f>VLOOKUP(G:G,list!B:E,4,FALSE)</f>
        <v>0.1</v>
      </c>
      <c r="N20" s="655">
        <f t="shared" si="0"/>
        <v>814</v>
      </c>
      <c r="O20" s="655">
        <f t="shared" si="1"/>
        <v>7323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45931</v>
      </c>
      <c r="J21" s="653">
        <v>194</v>
      </c>
      <c r="K21" s="567">
        <v>0.6</v>
      </c>
      <c r="L21" s="646">
        <v>136</v>
      </c>
      <c r="M21" s="654" t="str">
        <f>VLOOKUP(G:G,list!B:E,4,FALSE)</f>
        <v>-</v>
      </c>
      <c r="N21" s="655">
        <f t="shared" si="0"/>
        <v>0</v>
      </c>
      <c r="O21" s="655">
        <f t="shared" si="1"/>
        <v>136</v>
      </c>
      <c r="P21" s="564" t="s">
        <v>366</v>
      </c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45931</v>
      </c>
      <c r="J22" s="653">
        <v>53711.6</v>
      </c>
      <c r="K22" s="567">
        <v>0.6</v>
      </c>
      <c r="L22" s="646">
        <v>32227</v>
      </c>
      <c r="M22" s="654">
        <f>VLOOKUP(G:G,list!B:E,4,FALSE)</f>
        <v>0.1</v>
      </c>
      <c r="N22" s="655">
        <f t="shared" si="0"/>
        <v>3223</v>
      </c>
      <c r="O22" s="655">
        <f t="shared" si="1"/>
        <v>29004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45931</v>
      </c>
      <c r="J23" s="653">
        <v>540</v>
      </c>
      <c r="K23" s="567">
        <v>0.6</v>
      </c>
      <c r="L23" s="646">
        <v>324</v>
      </c>
      <c r="M23" s="654" t="str">
        <f>VLOOKUP(G:G,list!B:E,4,FALSE)</f>
        <v>-</v>
      </c>
      <c r="N23" s="655">
        <f t="shared" si="0"/>
        <v>0</v>
      </c>
      <c r="O23" s="655">
        <f t="shared" si="1"/>
        <v>324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45931</v>
      </c>
      <c r="J24" s="653">
        <v>90293.5</v>
      </c>
      <c r="K24" s="603">
        <v>0.6</v>
      </c>
      <c r="L24" s="646">
        <v>54176</v>
      </c>
      <c r="M24" s="654">
        <f>VLOOKUP(G:G,list!B:E,4,FALSE)</f>
        <v>0.1</v>
      </c>
      <c r="N24" s="655">
        <f t="shared" si="0"/>
        <v>5418</v>
      </c>
      <c r="O24" s="655">
        <f t="shared" si="1"/>
        <v>48758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45931</v>
      </c>
      <c r="J25" s="653">
        <v>17496</v>
      </c>
      <c r="K25" s="603">
        <v>0.6</v>
      </c>
      <c r="L25" s="646">
        <v>10498</v>
      </c>
      <c r="M25" s="654">
        <f>VLOOKUP(G:G,list!B:E,4,FALSE)</f>
        <v>0.1</v>
      </c>
      <c r="N25" s="655">
        <f t="shared" si="0"/>
        <v>1050</v>
      </c>
      <c r="O25" s="655">
        <f t="shared" si="1"/>
        <v>9448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45931</v>
      </c>
      <c r="J26" s="653">
        <v>59166</v>
      </c>
      <c r="K26" s="567">
        <v>0.6</v>
      </c>
      <c r="L26" s="646">
        <v>35500</v>
      </c>
      <c r="M26" s="654">
        <f>VLOOKUP(G:G,list!B:E,4,FALSE)</f>
        <v>0.1</v>
      </c>
      <c r="N26" s="655">
        <f t="shared" si="0"/>
        <v>3550</v>
      </c>
      <c r="O26" s="655">
        <f t="shared" si="1"/>
        <v>31950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45931</v>
      </c>
      <c r="J27" s="653">
        <v>43469.7</v>
      </c>
      <c r="K27" s="567">
        <v>0.6</v>
      </c>
      <c r="L27" s="646">
        <v>26082</v>
      </c>
      <c r="M27" s="654">
        <f>VLOOKUP(G:G,list!B:E,4,FALSE)</f>
        <v>0.1</v>
      </c>
      <c r="N27" s="655">
        <f t="shared" si="0"/>
        <v>2608</v>
      </c>
      <c r="O27" s="655">
        <f t="shared" si="1"/>
        <v>23474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45931</v>
      </c>
      <c r="J28" s="653">
        <v>14760</v>
      </c>
      <c r="K28" s="567">
        <v>0.6</v>
      </c>
      <c r="L28" s="646">
        <v>8857</v>
      </c>
      <c r="M28" s="654" t="str">
        <f>VLOOKUP(G:G,list!B:E,4,FALSE)</f>
        <v>-</v>
      </c>
      <c r="N28" s="655">
        <f t="shared" si="0"/>
        <v>0</v>
      </c>
      <c r="O28" s="655">
        <f t="shared" si="1"/>
        <v>8857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45931</v>
      </c>
      <c r="J29" s="653">
        <v>44145.9</v>
      </c>
      <c r="K29" s="567">
        <v>0.6</v>
      </c>
      <c r="L29" s="646">
        <v>26488</v>
      </c>
      <c r="M29" s="654">
        <f>VLOOKUP(G:G,list!B:E,4,FALSE)</f>
        <v>0.11</v>
      </c>
      <c r="N29" s="655">
        <f t="shared" si="0"/>
        <v>2914</v>
      </c>
      <c r="O29" s="655">
        <f t="shared" si="1"/>
        <v>23574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45931</v>
      </c>
      <c r="J30" s="653">
        <v>51224.2</v>
      </c>
      <c r="K30" s="567">
        <v>0.6</v>
      </c>
      <c r="L30" s="646">
        <v>30734</v>
      </c>
      <c r="M30" s="654" t="str">
        <f>VLOOKUP(G:G,list!B:E,4,FALSE)</f>
        <v>-</v>
      </c>
      <c r="N30" s="655">
        <f t="shared" si="0"/>
        <v>0</v>
      </c>
      <c r="O30" s="655">
        <f t="shared" si="1"/>
        <v>30734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45931</v>
      </c>
      <c r="J31" s="653">
        <v>90859.8</v>
      </c>
      <c r="K31" s="567">
        <v>0.6</v>
      </c>
      <c r="L31" s="646">
        <v>54516</v>
      </c>
      <c r="M31" s="654" t="str">
        <f>VLOOKUP(G:G,list!B:E,4,FALSE)</f>
        <v>-</v>
      </c>
      <c r="N31" s="655">
        <f t="shared" si="0"/>
        <v>0</v>
      </c>
      <c r="O31" s="655">
        <f t="shared" si="1"/>
        <v>54516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45931</v>
      </c>
      <c r="J32" s="653">
        <v>193184.4</v>
      </c>
      <c r="K32" s="567">
        <v>0.6</v>
      </c>
      <c r="L32" s="646">
        <v>115912</v>
      </c>
      <c r="M32" s="654">
        <f>VLOOKUP(G:G,list!B:E,4,FALSE)</f>
        <v>0.1</v>
      </c>
      <c r="N32" s="655">
        <f t="shared" si="0"/>
        <v>11591</v>
      </c>
      <c r="O32" s="655">
        <f t="shared" si="1"/>
        <v>104321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45901</v>
      </c>
      <c r="J33" s="653">
        <v>173961</v>
      </c>
      <c r="K33" s="674">
        <v>0.224</v>
      </c>
      <c r="L33" s="646">
        <v>35070</v>
      </c>
      <c r="M33" s="654">
        <f>VLOOKUP(G:G,list!B:E,4,FALSE)</f>
        <v>0.1</v>
      </c>
      <c r="N33" s="655">
        <f t="shared" si="0"/>
        <v>3507</v>
      </c>
      <c r="O33" s="655">
        <f t="shared" si="1"/>
        <v>31563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45901</v>
      </c>
      <c r="J34" s="653">
        <v>750390</v>
      </c>
      <c r="K34" s="674">
        <v>0.224</v>
      </c>
      <c r="L34" s="646">
        <v>151287</v>
      </c>
      <c r="M34" s="654">
        <f>VLOOKUP(G:G,list!B:E,4,FALSE)</f>
        <v>0.1</v>
      </c>
      <c r="N34" s="655">
        <f t="shared" si="0"/>
        <v>15129</v>
      </c>
      <c r="O34" s="655">
        <f t="shared" si="1"/>
        <v>136158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45901</v>
      </c>
      <c r="J35" s="653">
        <v>1148</v>
      </c>
      <c r="K35" s="674">
        <v>0.224</v>
      </c>
      <c r="L35" s="646">
        <v>242</v>
      </c>
      <c r="M35" s="654" t="str">
        <f>VLOOKUP(G:G,list!B:E,4,FALSE)</f>
        <v>-</v>
      </c>
      <c r="N35" s="655">
        <f t="shared" si="0"/>
        <v>0</v>
      </c>
      <c r="O35" s="655">
        <f t="shared" si="1"/>
        <v>242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45901</v>
      </c>
      <c r="J36" s="653">
        <v>181425</v>
      </c>
      <c r="K36" s="674">
        <v>0.224</v>
      </c>
      <c r="L36" s="646">
        <v>36582</v>
      </c>
      <c r="M36" s="654">
        <f>VLOOKUP(G:G,list!B:E,4,FALSE)</f>
        <v>0.1</v>
      </c>
      <c r="N36" s="655">
        <f t="shared" si="0"/>
        <v>3658</v>
      </c>
      <c r="O36" s="655">
        <f t="shared" si="1"/>
        <v>32924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45901</v>
      </c>
      <c r="J37" s="653">
        <v>19520</v>
      </c>
      <c r="K37" s="674">
        <v>0.224</v>
      </c>
      <c r="L37" s="646">
        <v>3939</v>
      </c>
      <c r="M37" s="654">
        <f>VLOOKUP(G:G,list!B:E,4,FALSE)</f>
        <v>0.11</v>
      </c>
      <c r="N37" s="655">
        <f t="shared" si="0"/>
        <v>433</v>
      </c>
      <c r="O37" s="655">
        <f t="shared" si="1"/>
        <v>3506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45901</v>
      </c>
      <c r="J38" s="653">
        <v>128605</v>
      </c>
      <c r="K38" s="674">
        <v>0.224</v>
      </c>
      <c r="L38" s="646">
        <v>25927</v>
      </c>
      <c r="M38" s="654">
        <f>VLOOKUP(G:G,list!B:E,4,FALSE)</f>
        <v>0.1</v>
      </c>
      <c r="N38" s="655">
        <f t="shared" si="0"/>
        <v>2593</v>
      </c>
      <c r="O38" s="655">
        <f t="shared" si="1"/>
        <v>23334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45901</v>
      </c>
      <c r="J39" s="653">
        <v>128031</v>
      </c>
      <c r="K39" s="674">
        <v>0.224</v>
      </c>
      <c r="L39" s="646">
        <v>25817</v>
      </c>
      <c r="M39" s="654" t="str">
        <f>VLOOKUP(G:G,list!B:E,4,FALSE)</f>
        <v>-</v>
      </c>
      <c r="N39" s="655">
        <f t="shared" si="0"/>
        <v>0</v>
      </c>
      <c r="O39" s="655">
        <f t="shared" si="1"/>
        <v>25817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45901</v>
      </c>
      <c r="J40" s="653">
        <v>3196192</v>
      </c>
      <c r="K40" s="674">
        <v>0.224</v>
      </c>
      <c r="L40" s="646">
        <v>644359</v>
      </c>
      <c r="M40" s="654">
        <f>VLOOKUP(G:G,list!B:E,4,FALSE)</f>
        <v>0.1</v>
      </c>
      <c r="N40" s="655">
        <f t="shared" si="0"/>
        <v>64436</v>
      </c>
      <c r="O40" s="655">
        <f t="shared" si="1"/>
        <v>579923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45901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45901</v>
      </c>
      <c r="J42" s="653">
        <v>66599</v>
      </c>
      <c r="K42" s="674">
        <v>0.224</v>
      </c>
      <c r="L42" s="646">
        <v>13431</v>
      </c>
      <c r="M42" s="654">
        <f>VLOOKUP(G:G,list!B:E,4,FALSE)</f>
        <v>0.1</v>
      </c>
      <c r="N42" s="655">
        <f t="shared" si="0"/>
        <v>1343</v>
      </c>
      <c r="O42" s="655">
        <f t="shared" si="1"/>
        <v>12088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45901</v>
      </c>
      <c r="J43" s="653">
        <v>225059</v>
      </c>
      <c r="K43" s="674">
        <v>0.224</v>
      </c>
      <c r="L43" s="646">
        <v>45377</v>
      </c>
      <c r="M43" s="654">
        <f>VLOOKUP(G:G,list!B:E,4,FALSE)</f>
        <v>0.1</v>
      </c>
      <c r="N43" s="655">
        <f t="shared" si="0"/>
        <v>4538</v>
      </c>
      <c r="O43" s="655">
        <f t="shared" si="1"/>
        <v>40839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45901</v>
      </c>
      <c r="J44" s="653">
        <v>386964</v>
      </c>
      <c r="K44" s="674">
        <v>0.224</v>
      </c>
      <c r="L44" s="646">
        <v>78021</v>
      </c>
      <c r="M44" s="654" t="str">
        <f>VLOOKUP(G:G,list!B:E,4,FALSE)</f>
        <v>-</v>
      </c>
      <c r="N44" s="655">
        <f t="shared" si="0"/>
        <v>0</v>
      </c>
      <c r="O44" s="655">
        <f t="shared" si="1"/>
        <v>78021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32</v>
      </c>
      <c r="E45" s="564" t="s">
        <v>62</v>
      </c>
      <c r="F45" s="564" t="s">
        <v>126</v>
      </c>
      <c r="G45" s="564" t="s">
        <v>364</v>
      </c>
      <c r="H45" s="565">
        <v>45901</v>
      </c>
      <c r="I45" s="652">
        <v>45931</v>
      </c>
      <c r="J45" s="653">
        <v>18306</v>
      </c>
      <c r="K45" s="674">
        <v>0.35</v>
      </c>
      <c r="L45" s="646">
        <v>6407</v>
      </c>
      <c r="M45" s="654">
        <f>VLOOKUP(G:G,list!B:E,4,FALSE)</f>
        <v>0.1</v>
      </c>
      <c r="N45" s="655">
        <f t="shared" si="0"/>
        <v>641</v>
      </c>
      <c r="O45" s="655">
        <f t="shared" si="1"/>
        <v>5766</v>
      </c>
      <c r="P45" s="645" t="s">
        <v>611</v>
      </c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45931</v>
      </c>
      <c r="J46" s="653">
        <v>9180</v>
      </c>
      <c r="K46" s="600" t="s">
        <v>532</v>
      </c>
      <c r="L46" s="646">
        <v>3879</v>
      </c>
      <c r="M46" s="654" t="str">
        <f>VLOOKUP(G:G,list!B:E,4,FALSE)</f>
        <v>-</v>
      </c>
      <c r="N46" s="655">
        <f t="shared" si="0"/>
        <v>0</v>
      </c>
      <c r="O46" s="655">
        <f t="shared" si="1"/>
        <v>3879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45931</v>
      </c>
      <c r="J47" s="653">
        <v>540</v>
      </c>
      <c r="K47" s="600" t="s">
        <v>532</v>
      </c>
      <c r="L47" s="646">
        <v>189</v>
      </c>
      <c r="M47" s="654" t="str">
        <f>VLOOKUP(G:G,list!B:E,4,FALSE)</f>
        <v>-</v>
      </c>
      <c r="N47" s="655">
        <f t="shared" si="0"/>
        <v>0</v>
      </c>
      <c r="O47" s="655">
        <f t="shared" si="1"/>
        <v>189</v>
      </c>
      <c r="P47" s="564"/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52">
        <v>45901</v>
      </c>
      <c r="J48" s="653">
        <v>127976</v>
      </c>
      <c r="K48" s="600">
        <v>0.5</v>
      </c>
      <c r="L48" s="646">
        <v>63988</v>
      </c>
      <c r="M48" s="654" t="str">
        <f>VLOOKUP(G:G,list!B:E,4,FALSE)</f>
        <v>-</v>
      </c>
      <c r="N48" s="655">
        <f t="shared" si="0"/>
        <v>0</v>
      </c>
      <c r="O48" s="655">
        <f t="shared" si="1"/>
        <v>63988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52">
        <v>45901</v>
      </c>
      <c r="J49" s="653">
        <v>55314.8</v>
      </c>
      <c r="K49" s="600">
        <v>0.5</v>
      </c>
      <c r="L49" s="646">
        <v>27657</v>
      </c>
      <c r="M49" s="654" t="str">
        <f>VLOOKUP(G:G,list!B:E,4,FALSE)</f>
        <v>-</v>
      </c>
      <c r="N49" s="655">
        <f t="shared" si="0"/>
        <v>0</v>
      </c>
      <c r="O49" s="655">
        <f t="shared" si="1"/>
        <v>27657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45931</v>
      </c>
      <c r="J50" s="653">
        <v>50543</v>
      </c>
      <c r="K50" s="567">
        <v>0.4</v>
      </c>
      <c r="L50" s="646">
        <v>20217</v>
      </c>
      <c r="M50" s="654">
        <f>VLOOKUP(G:G,list!B:E,4,FALSE)</f>
        <v>0.1</v>
      </c>
      <c r="N50" s="655">
        <f t="shared" si="0"/>
        <v>2022</v>
      </c>
      <c r="O50" s="655">
        <f t="shared" si="1"/>
        <v>18195</v>
      </c>
      <c r="P50" s="564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45931</v>
      </c>
      <c r="J51" s="653">
        <v>1756513</v>
      </c>
      <c r="K51" s="600">
        <v>0.4</v>
      </c>
      <c r="L51" s="646">
        <v>702605</v>
      </c>
      <c r="M51" s="654" t="str">
        <f>VLOOKUP(G:G,list!B:E,4,FALSE)</f>
        <v>-</v>
      </c>
      <c r="N51" s="655">
        <f t="shared" si="0"/>
        <v>0</v>
      </c>
      <c r="O51" s="655">
        <f t="shared" si="1"/>
        <v>702605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45931</v>
      </c>
      <c r="J52" s="653">
        <v>855</v>
      </c>
      <c r="K52" s="600">
        <v>0.4</v>
      </c>
      <c r="L52" s="646">
        <v>342</v>
      </c>
      <c r="M52" s="654" t="str">
        <f>VLOOKUP(G:G,list!B:E,4,FALSE)</f>
        <v>-</v>
      </c>
      <c r="N52" s="655">
        <f t="shared" si="0"/>
        <v>0</v>
      </c>
      <c r="O52" s="655">
        <f t="shared" si="1"/>
        <v>342</v>
      </c>
      <c r="P52" s="564"/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45931</v>
      </c>
      <c r="J53" s="653">
        <v>0</v>
      </c>
      <c r="K53" s="600">
        <v>0.4</v>
      </c>
      <c r="L53" s="646">
        <v>0</v>
      </c>
      <c r="M53" s="654" t="str">
        <f>VLOOKUP(G:G,list!B:E,4,FALSE)</f>
        <v>-</v>
      </c>
      <c r="N53" s="655">
        <f t="shared" si="0"/>
        <v>0</v>
      </c>
      <c r="O53" s="655">
        <f t="shared" si="1"/>
        <v>0</v>
      </c>
      <c r="P53" s="564" t="s">
        <v>366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45931</v>
      </c>
      <c r="J54" s="653">
        <v>346450</v>
      </c>
      <c r="K54" s="600">
        <v>0.4</v>
      </c>
      <c r="L54" s="646">
        <v>138580</v>
      </c>
      <c r="M54" s="654" t="str">
        <f>VLOOKUP(G:G,list!B:E,4,FALSE)</f>
        <v>-</v>
      </c>
      <c r="N54" s="655">
        <f t="shared" si="0"/>
        <v>0</v>
      </c>
      <c r="O54" s="655">
        <f t="shared" si="1"/>
        <v>138580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45931</v>
      </c>
      <c r="J55" s="653">
        <v>33668</v>
      </c>
      <c r="K55" s="600">
        <v>0.4</v>
      </c>
      <c r="L55" s="646">
        <v>13467</v>
      </c>
      <c r="M55" s="654">
        <f>VLOOKUP(G:G,list!B:E,4,FALSE)</f>
        <v>0.1</v>
      </c>
      <c r="N55" s="655">
        <f t="shared" si="0"/>
        <v>1347</v>
      </c>
      <c r="O55" s="655">
        <f t="shared" si="1"/>
        <v>12120</v>
      </c>
      <c r="P55" s="564"/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45931</v>
      </c>
      <c r="J56" s="653">
        <v>420</v>
      </c>
      <c r="K56" s="603">
        <v>0.5</v>
      </c>
      <c r="L56" s="646">
        <v>210</v>
      </c>
      <c r="M56" s="654" t="str">
        <f>VLOOKUP(G:G,list!B:E,4,FALSE)</f>
        <v>-</v>
      </c>
      <c r="N56" s="655">
        <f t="shared" si="0"/>
        <v>0</v>
      </c>
      <c r="O56" s="655">
        <f t="shared" si="1"/>
        <v>210</v>
      </c>
      <c r="P56" s="564"/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45931</v>
      </c>
      <c r="J57" s="653">
        <v>28728</v>
      </c>
      <c r="K57" s="603">
        <v>0.5</v>
      </c>
      <c r="L57" s="646">
        <v>14364</v>
      </c>
      <c r="M57" s="654" t="str">
        <f>VLOOKUP(G:G,list!B:E,4,FALSE)</f>
        <v>-</v>
      </c>
      <c r="N57" s="655">
        <f t="shared" si="0"/>
        <v>0</v>
      </c>
      <c r="O57" s="655">
        <f t="shared" si="1"/>
        <v>14364</v>
      </c>
      <c r="P57" s="564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45901</v>
      </c>
      <c r="J58" s="653">
        <v>69567</v>
      </c>
      <c r="K58" s="603">
        <v>0.3</v>
      </c>
      <c r="L58" s="646">
        <v>20870</v>
      </c>
      <c r="M58" s="654" t="str">
        <f>VLOOKUP(G:G,list!B:E,4,FALSE)</f>
        <v>-</v>
      </c>
      <c r="N58" s="655">
        <f t="shared" si="0"/>
        <v>0</v>
      </c>
      <c r="O58" s="655">
        <f t="shared" si="1"/>
        <v>20870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45901</v>
      </c>
      <c r="J59" s="653">
        <v>23456</v>
      </c>
      <c r="K59" s="603">
        <v>0.5</v>
      </c>
      <c r="L59" s="646">
        <v>11728</v>
      </c>
      <c r="M59" s="654">
        <f>VLOOKUP(G:G,list!B:E,4,FALSE)</f>
        <v>0.1</v>
      </c>
      <c r="N59" s="655">
        <f t="shared" si="0"/>
        <v>1173</v>
      </c>
      <c r="O59" s="655">
        <f t="shared" si="1"/>
        <v>10555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45901</v>
      </c>
      <c r="J60" s="653">
        <v>20700</v>
      </c>
      <c r="K60" s="603">
        <v>0.5</v>
      </c>
      <c r="L60" s="646">
        <v>10350</v>
      </c>
      <c r="M60" s="654" t="str">
        <f>VLOOKUP(G:G,list!B:E,4,FALSE)</f>
        <v>-</v>
      </c>
      <c r="N60" s="655">
        <f t="shared" si="0"/>
        <v>0</v>
      </c>
      <c r="O60" s="655">
        <f t="shared" si="1"/>
        <v>10350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45901</v>
      </c>
      <c r="J61" s="653">
        <v>32858</v>
      </c>
      <c r="K61" s="603">
        <v>0.5</v>
      </c>
      <c r="L61" s="646">
        <v>16429</v>
      </c>
      <c r="M61" s="654">
        <f>VLOOKUP(G:G,list!B:E,4,FALSE)</f>
        <v>0.1</v>
      </c>
      <c r="N61" s="655">
        <f t="shared" si="0"/>
        <v>1643</v>
      </c>
      <c r="O61" s="655">
        <f t="shared" si="1"/>
        <v>14786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45901</v>
      </c>
      <c r="J62" s="653">
        <v>22402</v>
      </c>
      <c r="K62" s="603">
        <v>0.5</v>
      </c>
      <c r="L62" s="646">
        <v>11201</v>
      </c>
      <c r="M62" s="654">
        <f>VLOOKUP(G:G,list!B:E,4,FALSE)</f>
        <v>0.11</v>
      </c>
      <c r="N62" s="655">
        <f t="shared" si="0"/>
        <v>1232</v>
      </c>
      <c r="O62" s="655">
        <f t="shared" si="1"/>
        <v>9969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45901</v>
      </c>
      <c r="J63" s="653">
        <v>548673</v>
      </c>
      <c r="K63" s="603">
        <v>0.7</v>
      </c>
      <c r="L63" s="646">
        <v>384076</v>
      </c>
      <c r="M63" s="654">
        <f>VLOOKUP(G:G,list!B:E,4,FALSE)</f>
        <v>0.1</v>
      </c>
      <c r="N63" s="655">
        <f t="shared" si="0"/>
        <v>38408</v>
      </c>
      <c r="O63" s="655">
        <f t="shared" si="1"/>
        <v>345668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45901</v>
      </c>
      <c r="J64" s="653">
        <v>416883.42271900002</v>
      </c>
      <c r="K64" s="603">
        <v>0.25</v>
      </c>
      <c r="L64" s="646">
        <v>104221</v>
      </c>
      <c r="M64" s="654">
        <f>VLOOKUP(G:G,list!B:E,4,FALSE)</f>
        <v>0.1</v>
      </c>
      <c r="N64" s="655">
        <f t="shared" si="0"/>
        <v>10422</v>
      </c>
      <c r="O64" s="655">
        <f t="shared" si="1"/>
        <v>93799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182</v>
      </c>
      <c r="E65" s="564" t="s">
        <v>115</v>
      </c>
      <c r="F65" s="564" t="s">
        <v>386</v>
      </c>
      <c r="G65" s="564" t="s">
        <v>30</v>
      </c>
      <c r="H65" s="565">
        <v>44591</v>
      </c>
      <c r="I65" s="652">
        <v>45870</v>
      </c>
      <c r="J65" s="653">
        <v>0</v>
      </c>
      <c r="K65" s="603">
        <v>0.5</v>
      </c>
      <c r="L65" s="646">
        <v>0</v>
      </c>
      <c r="M65" s="654">
        <f>VLOOKUP(G:G,list!B:E,4,FALSE)</f>
        <v>0.1</v>
      </c>
      <c r="N65" s="655">
        <f t="shared" si="0"/>
        <v>0</v>
      </c>
      <c r="O65" s="655">
        <f t="shared" si="1"/>
        <v>0</v>
      </c>
      <c r="P65" s="564" t="s">
        <v>366</v>
      </c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182</v>
      </c>
      <c r="E66" s="564" t="s">
        <v>115</v>
      </c>
      <c r="F66" s="564" t="s">
        <v>386</v>
      </c>
      <c r="G66" s="564" t="s">
        <v>36</v>
      </c>
      <c r="H66" s="565">
        <v>44643</v>
      </c>
      <c r="I66" s="652">
        <v>45870</v>
      </c>
      <c r="J66" s="653">
        <v>0</v>
      </c>
      <c r="K66" s="603">
        <v>0.5</v>
      </c>
      <c r="L66" s="646">
        <v>0</v>
      </c>
      <c r="M66" s="654" t="str">
        <f>VLOOKUP(G:G,list!B:E,4,FALSE)</f>
        <v>-</v>
      </c>
      <c r="N66" s="655">
        <f t="shared" si="0"/>
        <v>0</v>
      </c>
      <c r="O66" s="655">
        <f t="shared" si="1"/>
        <v>0</v>
      </c>
      <c r="P66" s="564" t="s">
        <v>366</v>
      </c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작가기획</v>
      </c>
      <c r="D67" s="564" t="s">
        <v>182</v>
      </c>
      <c r="E67" s="564" t="s">
        <v>115</v>
      </c>
      <c r="F67" s="564" t="s">
        <v>386</v>
      </c>
      <c r="G67" s="564" t="s">
        <v>37</v>
      </c>
      <c r="H67" s="565">
        <v>44643</v>
      </c>
      <c r="I67" s="652">
        <v>45870</v>
      </c>
      <c r="J67" s="653">
        <v>0</v>
      </c>
      <c r="K67" s="603">
        <v>0.5</v>
      </c>
      <c r="L67" s="646">
        <v>0</v>
      </c>
      <c r="M67" s="654" t="str">
        <f>VLOOKUP(G:G,list!B:E,4,FALSE)</f>
        <v>-</v>
      </c>
      <c r="N67" s="655">
        <f t="shared" si="0"/>
        <v>0</v>
      </c>
      <c r="O67" s="655">
        <f t="shared" si="1"/>
        <v>0</v>
      </c>
      <c r="P67" s="564" t="s">
        <v>366</v>
      </c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182</v>
      </c>
      <c r="E68" s="564" t="s">
        <v>115</v>
      </c>
      <c r="F68" s="564" t="s">
        <v>386</v>
      </c>
      <c r="G68" s="564" t="s">
        <v>56</v>
      </c>
      <c r="H68" s="565">
        <v>44599</v>
      </c>
      <c r="I68" s="652">
        <v>45870</v>
      </c>
      <c r="J68" s="653">
        <v>2879</v>
      </c>
      <c r="K68" s="603">
        <v>0.5</v>
      </c>
      <c r="L68" s="646">
        <v>1440</v>
      </c>
      <c r="M68" s="654">
        <f>VLOOKUP(G:G,list!B:E,4,FALSE)</f>
        <v>0.1</v>
      </c>
      <c r="N68" s="655">
        <f t="shared" si="0"/>
        <v>144</v>
      </c>
      <c r="O68" s="655">
        <f t="shared" si="1"/>
        <v>1296</v>
      </c>
      <c r="P68" s="564"/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538</v>
      </c>
      <c r="E69" s="564" t="s">
        <v>9</v>
      </c>
      <c r="F69" s="564" t="s">
        <v>519</v>
      </c>
      <c r="G69" s="564" t="s">
        <v>316</v>
      </c>
      <c r="H69" s="565">
        <v>45446</v>
      </c>
      <c r="I69" s="652">
        <v>45931</v>
      </c>
      <c r="J69" s="653">
        <v>4788</v>
      </c>
      <c r="K69" s="603">
        <v>0.7</v>
      </c>
      <c r="L69" s="646">
        <v>3351.6</v>
      </c>
      <c r="M69" s="654">
        <f>VLOOKUP(G:G,list!B:E,4,FALSE)</f>
        <v>0.1</v>
      </c>
      <c r="N69" s="655">
        <f t="shared" si="0"/>
        <v>335</v>
      </c>
      <c r="O69" s="655">
        <f t="shared" si="1"/>
        <v>3016.6</v>
      </c>
      <c r="P69" s="564"/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549</v>
      </c>
      <c r="E70" s="564" t="s">
        <v>9</v>
      </c>
      <c r="F70" s="564" t="s">
        <v>519</v>
      </c>
      <c r="G70" s="564" t="s">
        <v>316</v>
      </c>
      <c r="H70" s="565">
        <v>45524</v>
      </c>
      <c r="I70" s="652">
        <v>45931</v>
      </c>
      <c r="J70" s="653">
        <v>0</v>
      </c>
      <c r="K70" s="603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123</v>
      </c>
      <c r="E71" s="564" t="s">
        <v>9</v>
      </c>
      <c r="F71" s="564" t="s">
        <v>519</v>
      </c>
      <c r="G71" s="564" t="s">
        <v>316</v>
      </c>
      <c r="H71" s="565">
        <v>45536</v>
      </c>
      <c r="I71" s="652">
        <v>45931</v>
      </c>
      <c r="J71" s="653">
        <v>0</v>
      </c>
      <c r="K71" s="603">
        <v>0.7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564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132</v>
      </c>
      <c r="E72" s="564" t="s">
        <v>9</v>
      </c>
      <c r="F72" s="564" t="s">
        <v>519</v>
      </c>
      <c r="G72" s="564" t="s">
        <v>316</v>
      </c>
      <c r="H72" s="565">
        <v>44945</v>
      </c>
      <c r="I72" s="652">
        <v>45931</v>
      </c>
      <c r="J72" s="653">
        <v>0</v>
      </c>
      <c r="K72" s="603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183</v>
      </c>
      <c r="E73" s="564" t="s">
        <v>9</v>
      </c>
      <c r="F73" s="564" t="s">
        <v>519</v>
      </c>
      <c r="G73" s="564" t="s">
        <v>316</v>
      </c>
      <c r="H73" s="565">
        <v>45702</v>
      </c>
      <c r="I73" s="652">
        <v>45931</v>
      </c>
      <c r="J73" s="653">
        <v>399.00000000000006</v>
      </c>
      <c r="K73" s="603">
        <v>0.7</v>
      </c>
      <c r="L73" s="646">
        <v>279.3</v>
      </c>
      <c r="M73" s="654">
        <f>VLOOKUP(G:G,list!B:E,4,FALSE)</f>
        <v>0.1</v>
      </c>
      <c r="N73" s="655">
        <f t="shared" si="0"/>
        <v>28</v>
      </c>
      <c r="O73" s="655">
        <f t="shared" si="1"/>
        <v>251.3</v>
      </c>
      <c r="P73" s="564"/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56</v>
      </c>
      <c r="H74" s="565">
        <v>44952</v>
      </c>
      <c r="I74" s="652">
        <v>45931</v>
      </c>
      <c r="J74" s="653">
        <v>0</v>
      </c>
      <c r="K74" s="567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538</v>
      </c>
      <c r="E75" s="564" t="s">
        <v>9</v>
      </c>
      <c r="F75" s="564" t="s">
        <v>519</v>
      </c>
      <c r="G75" s="564" t="s">
        <v>56</v>
      </c>
      <c r="H75" s="565">
        <v>45503</v>
      </c>
      <c r="I75" s="652">
        <v>45931</v>
      </c>
      <c r="J75" s="653">
        <v>0</v>
      </c>
      <c r="K75" s="567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549</v>
      </c>
      <c r="E76" s="564" t="s">
        <v>9</v>
      </c>
      <c r="F76" s="564" t="s">
        <v>519</v>
      </c>
      <c r="G76" s="564" t="s">
        <v>56</v>
      </c>
      <c r="H76" s="565">
        <v>45547</v>
      </c>
      <c r="I76" s="652">
        <v>45931</v>
      </c>
      <c r="J76" s="653">
        <v>0</v>
      </c>
      <c r="K76" s="567">
        <v>0.5</v>
      </c>
      <c r="L76" s="646">
        <v>0</v>
      </c>
      <c r="M76" s="654">
        <f>VLOOKUP(G:G,list!B:E,4,FALSE)</f>
        <v>0.1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132</v>
      </c>
      <c r="E77" s="564" t="s">
        <v>9</v>
      </c>
      <c r="F77" s="564" t="s">
        <v>519</v>
      </c>
      <c r="G77" s="564" t="s">
        <v>30</v>
      </c>
      <c r="H77" s="565">
        <v>44953</v>
      </c>
      <c r="I77" s="652">
        <v>45931</v>
      </c>
      <c r="J77" s="653">
        <v>0</v>
      </c>
      <c r="K77" s="567">
        <v>0.5</v>
      </c>
      <c r="L77" s="646">
        <v>0</v>
      </c>
      <c r="M77" s="654">
        <f>VLOOKUP(G:G,list!B:E,4,FALSE)</f>
        <v>0.1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작가기획</v>
      </c>
      <c r="D78" s="564" t="s">
        <v>132</v>
      </c>
      <c r="E78" s="564" t="s">
        <v>9</v>
      </c>
      <c r="F78" s="564" t="s">
        <v>519</v>
      </c>
      <c r="G78" s="564" t="s">
        <v>308</v>
      </c>
      <c r="H78" s="565">
        <v>44992</v>
      </c>
      <c r="I78" s="652">
        <v>45931</v>
      </c>
      <c r="J78" s="653">
        <v>0</v>
      </c>
      <c r="K78" s="603">
        <v>0.5</v>
      </c>
      <c r="L78" s="646">
        <v>0</v>
      </c>
      <c r="M78" s="654" t="str">
        <f>VLOOKUP(G:G,list!B:E,4,FALSE)</f>
        <v>-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538</v>
      </c>
      <c r="E79" s="564" t="s">
        <v>9</v>
      </c>
      <c r="F79" s="564" t="s">
        <v>519</v>
      </c>
      <c r="G79" s="564" t="s">
        <v>308</v>
      </c>
      <c r="H79" s="565">
        <v>45610</v>
      </c>
      <c r="I79" s="652">
        <v>45931</v>
      </c>
      <c r="J79" s="653">
        <v>0</v>
      </c>
      <c r="K79" s="603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132</v>
      </c>
      <c r="E80" s="564" t="s">
        <v>9</v>
      </c>
      <c r="F80" s="564" t="s">
        <v>519</v>
      </c>
      <c r="G80" s="564" t="s">
        <v>36</v>
      </c>
      <c r="H80" s="565">
        <v>45198</v>
      </c>
      <c r="I80" s="652">
        <v>45931</v>
      </c>
      <c r="J80" s="653">
        <v>17822</v>
      </c>
      <c r="K80" s="603">
        <v>0.5</v>
      </c>
      <c r="L80" s="646">
        <v>8911</v>
      </c>
      <c r="M80" s="654" t="str">
        <f>VLOOKUP(G:G,list!B:E,4,FALSE)</f>
        <v>-</v>
      </c>
      <c r="N80" s="655">
        <f t="shared" si="0"/>
        <v>0</v>
      </c>
      <c r="O80" s="655">
        <f t="shared" si="1"/>
        <v>8911</v>
      </c>
      <c r="P80" s="564"/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538</v>
      </c>
      <c r="E81" s="564" t="s">
        <v>9</v>
      </c>
      <c r="F81" s="564" t="s">
        <v>519</v>
      </c>
      <c r="G81" s="564" t="s">
        <v>36</v>
      </c>
      <c r="H81" s="565">
        <v>45479</v>
      </c>
      <c r="I81" s="652">
        <v>45931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549</v>
      </c>
      <c r="E82" s="564" t="s">
        <v>9</v>
      </c>
      <c r="F82" s="564" t="s">
        <v>519</v>
      </c>
      <c r="G82" s="564" t="s">
        <v>36</v>
      </c>
      <c r="H82" s="565">
        <v>45531</v>
      </c>
      <c r="I82" s="652">
        <v>45931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123</v>
      </c>
      <c r="E83" s="564" t="s">
        <v>9</v>
      </c>
      <c r="F83" s="564" t="s">
        <v>519</v>
      </c>
      <c r="G83" s="564" t="s">
        <v>36</v>
      </c>
      <c r="H83" s="565">
        <v>45555</v>
      </c>
      <c r="I83" s="652">
        <v>45931</v>
      </c>
      <c r="J83" s="653">
        <v>0</v>
      </c>
      <c r="K83" s="603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132</v>
      </c>
      <c r="E84" s="564" t="s">
        <v>9</v>
      </c>
      <c r="F84" s="564" t="s">
        <v>519</v>
      </c>
      <c r="G84" s="564" t="s">
        <v>139</v>
      </c>
      <c r="H84" s="565">
        <v>45276</v>
      </c>
      <c r="I84" s="652">
        <v>45931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538</v>
      </c>
      <c r="E85" s="564" t="s">
        <v>9</v>
      </c>
      <c r="F85" s="564" t="s">
        <v>519</v>
      </c>
      <c r="G85" s="564" t="s">
        <v>139</v>
      </c>
      <c r="H85" s="565">
        <v>45534</v>
      </c>
      <c r="I85" s="652">
        <v>45931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123</v>
      </c>
      <c r="E86" s="564" t="s">
        <v>9</v>
      </c>
      <c r="F86" s="564" t="s">
        <v>519</v>
      </c>
      <c r="G86" s="564" t="s">
        <v>139</v>
      </c>
      <c r="H86" s="565">
        <v>45656</v>
      </c>
      <c r="I86" s="652">
        <v>45931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외부제작</v>
      </c>
      <c r="D87" s="564" t="s">
        <v>123</v>
      </c>
      <c r="E87" s="564" t="s">
        <v>9</v>
      </c>
      <c r="F87" s="564" t="s">
        <v>519</v>
      </c>
      <c r="G87" s="564" t="s">
        <v>315</v>
      </c>
      <c r="H87" s="565">
        <v>45673</v>
      </c>
      <c r="I87" s="652">
        <v>45931</v>
      </c>
      <c r="J87" s="653">
        <v>0</v>
      </c>
      <c r="K87" s="603">
        <v>0.5</v>
      </c>
      <c r="L87" s="646">
        <v>0</v>
      </c>
      <c r="M87" s="654" t="str">
        <f>VLOOKUP(G:G,list!B:E,4,FALSE)</f>
        <v>-</v>
      </c>
      <c r="N87" s="655">
        <f t="shared" si="0"/>
        <v>0</v>
      </c>
      <c r="O87" s="655">
        <f t="shared" si="1"/>
        <v>0</v>
      </c>
      <c r="P87" s="564" t="s">
        <v>366</v>
      </c>
      <c r="Q87" s="672" t="str">
        <f>VLOOKUP(G:G,list!B:F,5,FALSE)</f>
        <v>-</v>
      </c>
      <c r="R87" s="656" t="str">
        <f>VLOOKUP(G:G,list!B:D,3,FALSE)</f>
        <v>N</v>
      </c>
    </row>
    <row r="88" spans="2:18" ht="18" customHeight="1">
      <c r="B88" s="563">
        <v>83</v>
      </c>
      <c r="C88" s="651" t="str">
        <f>VLOOKUP(G:G,list!B:D,2,FALSE)</f>
        <v>원작료</v>
      </c>
      <c r="D88" s="564" t="s">
        <v>182</v>
      </c>
      <c r="E88" s="564" t="s">
        <v>115</v>
      </c>
      <c r="F88" s="564" t="s">
        <v>283</v>
      </c>
      <c r="G88" s="564" t="s">
        <v>30</v>
      </c>
      <c r="H88" s="565">
        <v>44358</v>
      </c>
      <c r="I88" s="652">
        <v>45870</v>
      </c>
      <c r="J88" s="653">
        <v>9354</v>
      </c>
      <c r="K88" s="603">
        <v>0.5</v>
      </c>
      <c r="L88" s="646">
        <v>4677</v>
      </c>
      <c r="M88" s="654">
        <f>VLOOKUP(G:G,list!B:E,4,FALSE)</f>
        <v>0.1</v>
      </c>
      <c r="N88" s="655">
        <f t="shared" si="0"/>
        <v>468</v>
      </c>
      <c r="O88" s="655">
        <f t="shared" si="1"/>
        <v>4209</v>
      </c>
      <c r="P88" s="564"/>
      <c r="Q88" s="672" t="str">
        <f>VLOOKUP(G:G,list!B:F,5,FALSE)</f>
        <v>웹소설본부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283</v>
      </c>
      <c r="G89" s="564" t="s">
        <v>56</v>
      </c>
      <c r="H89" s="565">
        <v>44391</v>
      </c>
      <c r="I89" s="652">
        <v>45870</v>
      </c>
      <c r="J89" s="653">
        <v>190419</v>
      </c>
      <c r="K89" s="603">
        <v>0.5</v>
      </c>
      <c r="L89" s="646">
        <v>95210</v>
      </c>
      <c r="M89" s="654">
        <f>VLOOKUP(G:G,list!B:E,4,FALSE)</f>
        <v>0.1</v>
      </c>
      <c r="N89" s="655">
        <f t="shared" si="0"/>
        <v>9521</v>
      </c>
      <c r="O89" s="655">
        <f t="shared" si="1"/>
        <v>85689</v>
      </c>
      <c r="P89" s="564"/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283</v>
      </c>
      <c r="G90" s="564" t="s">
        <v>316</v>
      </c>
      <c r="H90" s="565">
        <v>44969</v>
      </c>
      <c r="I90" s="652">
        <v>45870</v>
      </c>
      <c r="J90" s="653">
        <v>17230</v>
      </c>
      <c r="K90" s="603">
        <v>0.5</v>
      </c>
      <c r="L90" s="646">
        <v>8615</v>
      </c>
      <c r="M90" s="654">
        <f>VLOOKUP(G:G,list!B:E,4,FALSE)</f>
        <v>0.1</v>
      </c>
      <c r="N90" s="655">
        <f t="shared" si="0"/>
        <v>862</v>
      </c>
      <c r="O90" s="655">
        <f t="shared" si="1"/>
        <v>7753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작가기획</v>
      </c>
      <c r="D91" s="564" t="s">
        <v>182</v>
      </c>
      <c r="E91" s="564" t="s">
        <v>115</v>
      </c>
      <c r="F91" s="564" t="s">
        <v>550</v>
      </c>
      <c r="G91" s="564" t="s">
        <v>308</v>
      </c>
      <c r="H91" s="565">
        <v>45347</v>
      </c>
      <c r="I91" s="652">
        <v>45870</v>
      </c>
      <c r="J91" s="653">
        <v>0</v>
      </c>
      <c r="K91" s="603">
        <v>0.5</v>
      </c>
      <c r="L91" s="646">
        <v>0</v>
      </c>
      <c r="M91" s="654" t="str">
        <f>VLOOKUP(G:G,list!B:E,4,FALSE)</f>
        <v>-</v>
      </c>
      <c r="N91" s="655">
        <f t="shared" si="0"/>
        <v>0</v>
      </c>
      <c r="O91" s="655">
        <f t="shared" si="1"/>
        <v>0</v>
      </c>
      <c r="P91" s="564" t="s">
        <v>366</v>
      </c>
      <c r="Q91" s="672" t="str">
        <f>VLOOKUP(G:G,list!B:F,5,FALSE)</f>
        <v>-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550</v>
      </c>
      <c r="G92" s="564" t="s">
        <v>316</v>
      </c>
      <c r="H92" s="565">
        <v>45359</v>
      </c>
      <c r="I92" s="652">
        <v>45870</v>
      </c>
      <c r="J92" s="653">
        <v>0</v>
      </c>
      <c r="K92" s="603">
        <v>0.5</v>
      </c>
      <c r="L92" s="646">
        <v>0</v>
      </c>
      <c r="M92" s="654">
        <f>VLOOKUP(G:G,list!B:E,4,FALSE)</f>
        <v>0.1</v>
      </c>
      <c r="N92" s="655">
        <f t="shared" si="0"/>
        <v>0</v>
      </c>
      <c r="O92" s="655">
        <f t="shared" si="1"/>
        <v>0</v>
      </c>
      <c r="P92" s="564" t="s">
        <v>366</v>
      </c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32</v>
      </c>
      <c r="E93" s="564" t="s">
        <v>9</v>
      </c>
      <c r="F93" s="564" t="s">
        <v>31</v>
      </c>
      <c r="G93" s="564" t="s">
        <v>30</v>
      </c>
      <c r="H93" s="565">
        <v>44239</v>
      </c>
      <c r="I93" s="652">
        <v>45901</v>
      </c>
      <c r="J93" s="653">
        <v>22422</v>
      </c>
      <c r="K93" s="603">
        <v>0.4</v>
      </c>
      <c r="L93" s="646">
        <v>8518</v>
      </c>
      <c r="M93" s="654">
        <f>VLOOKUP(G:G,list!B:E,4,FALSE)</f>
        <v>0.1</v>
      </c>
      <c r="N93" s="655">
        <f t="shared" si="0"/>
        <v>852</v>
      </c>
      <c r="O93" s="655">
        <f t="shared" si="1"/>
        <v>7666</v>
      </c>
      <c r="P93" s="564"/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56</v>
      </c>
      <c r="H94" s="565">
        <v>44581</v>
      </c>
      <c r="I94" s="652">
        <v>45931</v>
      </c>
      <c r="J94" s="653">
        <v>555503</v>
      </c>
      <c r="K94" s="603">
        <v>0.3</v>
      </c>
      <c r="L94" s="568">
        <v>166651</v>
      </c>
      <c r="M94" s="654">
        <f>VLOOKUP(G:G,list!B:E,4,FALSE)</f>
        <v>0.1</v>
      </c>
      <c r="N94" s="655">
        <f t="shared" si="0"/>
        <v>16665</v>
      </c>
      <c r="O94" s="655">
        <f t="shared" si="1"/>
        <v>149986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183</v>
      </c>
      <c r="E95" s="564" t="s">
        <v>9</v>
      </c>
      <c r="F95" s="564" t="s">
        <v>213</v>
      </c>
      <c r="G95" s="564" t="s">
        <v>56</v>
      </c>
      <c r="H95" s="565">
        <v>44829</v>
      </c>
      <c r="I95" s="652">
        <v>45931</v>
      </c>
      <c r="J95" s="653">
        <v>776680</v>
      </c>
      <c r="K95" s="603">
        <v>0.3</v>
      </c>
      <c r="L95" s="568">
        <v>233004</v>
      </c>
      <c r="M95" s="654">
        <f>VLOOKUP(G:G,list!B:E,4,FALSE)</f>
        <v>0.1</v>
      </c>
      <c r="N95" s="655">
        <f t="shared" si="0"/>
        <v>23300</v>
      </c>
      <c r="O95" s="655">
        <f t="shared" si="1"/>
        <v>209704</v>
      </c>
      <c r="P95" s="564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454</v>
      </c>
      <c r="H96" s="565">
        <v>44854</v>
      </c>
      <c r="I96" s="652">
        <v>45931</v>
      </c>
      <c r="J96" s="653">
        <v>473393</v>
      </c>
      <c r="K96" s="603">
        <v>0.3</v>
      </c>
      <c r="L96" s="568">
        <v>142018</v>
      </c>
      <c r="M96" s="654">
        <f>VLOOKUP(G:G,list!B:E,4,FALSE)</f>
        <v>0.1</v>
      </c>
      <c r="N96" s="655">
        <f t="shared" si="0"/>
        <v>14202</v>
      </c>
      <c r="O96" s="655">
        <f t="shared" si="1"/>
        <v>127816</v>
      </c>
      <c r="P96" s="564" t="s">
        <v>186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481</v>
      </c>
      <c r="H97" s="565">
        <v>44981</v>
      </c>
      <c r="I97" s="652">
        <v>45931</v>
      </c>
      <c r="J97" s="653">
        <v>75787</v>
      </c>
      <c r="K97" s="603">
        <v>0.3</v>
      </c>
      <c r="L97" s="568">
        <v>22736</v>
      </c>
      <c r="M97" s="654">
        <f>VLOOKUP(G:G,list!B:E,4,FALSE)</f>
        <v>0.1</v>
      </c>
      <c r="N97" s="655">
        <f t="shared" si="0"/>
        <v>2274</v>
      </c>
      <c r="O97" s="655">
        <f t="shared" si="1"/>
        <v>20462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213</v>
      </c>
      <c r="G98" s="564" t="s">
        <v>352</v>
      </c>
      <c r="H98" s="565">
        <v>44984</v>
      </c>
      <c r="I98" s="652">
        <v>45931</v>
      </c>
      <c r="J98" s="653">
        <v>240610</v>
      </c>
      <c r="K98" s="603">
        <v>0.3</v>
      </c>
      <c r="L98" s="568">
        <v>72183</v>
      </c>
      <c r="M98" s="654">
        <f>VLOOKUP(G:G,list!B:E,4,FALSE)</f>
        <v>0.1</v>
      </c>
      <c r="N98" s="655">
        <f t="shared" si="0"/>
        <v>7218</v>
      </c>
      <c r="O98" s="655">
        <f t="shared" si="1"/>
        <v>64965</v>
      </c>
      <c r="P98" s="564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213</v>
      </c>
      <c r="G99" s="564" t="s">
        <v>454</v>
      </c>
      <c r="H99" s="565">
        <v>44902</v>
      </c>
      <c r="I99" s="652">
        <v>45901</v>
      </c>
      <c r="J99" s="653">
        <v>79840</v>
      </c>
      <c r="K99" s="603">
        <v>0.3</v>
      </c>
      <c r="L99" s="568">
        <v>23952</v>
      </c>
      <c r="M99" s="654">
        <f>VLOOKUP(G:G,list!B:E,4,FALSE)</f>
        <v>0.1</v>
      </c>
      <c r="N99" s="655">
        <f t="shared" ref="N99:N133" si="2">ROUND(IF(M99="-",0,L99*M99),0)</f>
        <v>2395</v>
      </c>
      <c r="O99" s="655">
        <f t="shared" ref="O99:O133" si="3">L99-N99</f>
        <v>21557</v>
      </c>
      <c r="P99" s="564" t="s">
        <v>282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72</v>
      </c>
      <c r="E100" s="564" t="s">
        <v>9</v>
      </c>
      <c r="F100" s="564" t="s">
        <v>213</v>
      </c>
      <c r="G100" s="564" t="s">
        <v>454</v>
      </c>
      <c r="H100" s="565">
        <v>45257</v>
      </c>
      <c r="I100" s="652">
        <v>45901</v>
      </c>
      <c r="J100" s="653">
        <v>745760</v>
      </c>
      <c r="K100" s="603">
        <v>0.3</v>
      </c>
      <c r="L100" s="568">
        <v>223728</v>
      </c>
      <c r="M100" s="654">
        <f>VLOOKUP(G:G,list!B:E,4,FALSE)</f>
        <v>0.1</v>
      </c>
      <c r="N100" s="655">
        <f t="shared" si="2"/>
        <v>22373</v>
      </c>
      <c r="O100" s="655">
        <f t="shared" si="3"/>
        <v>201355</v>
      </c>
      <c r="P100" s="564" t="s">
        <v>546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229</v>
      </c>
      <c r="E101" s="564" t="s">
        <v>9</v>
      </c>
      <c r="F101" s="564" t="s">
        <v>230</v>
      </c>
      <c r="G101" s="564" t="s">
        <v>353</v>
      </c>
      <c r="H101" s="565">
        <v>44916</v>
      </c>
      <c r="I101" s="652">
        <v>45839</v>
      </c>
      <c r="J101" s="653">
        <v>203862</v>
      </c>
      <c r="K101" s="603">
        <v>0.35</v>
      </c>
      <c r="L101" s="568">
        <v>64216</v>
      </c>
      <c r="M101" s="654">
        <f>VLOOKUP(G:G,list!B:E,4,FALSE)</f>
        <v>0.11</v>
      </c>
      <c r="N101" s="655">
        <f t="shared" si="2"/>
        <v>7064</v>
      </c>
      <c r="O101" s="655">
        <f t="shared" si="3"/>
        <v>57152</v>
      </c>
      <c r="P101" s="564"/>
      <c r="Q101" s="672" t="str">
        <f>VLOOKUP(G:G,list!B:F,5,FALSE)</f>
        <v>-</v>
      </c>
      <c r="R101" s="656" t="str">
        <f>VLOOKUP(G:G,list!B:D,3,FALSE)</f>
        <v>N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229</v>
      </c>
      <c r="E102" s="564" t="s">
        <v>9</v>
      </c>
      <c r="F102" s="564" t="s">
        <v>230</v>
      </c>
      <c r="G102" s="564" t="s">
        <v>352</v>
      </c>
      <c r="H102" s="565">
        <v>45106</v>
      </c>
      <c r="I102" s="652">
        <v>45839</v>
      </c>
      <c r="J102" s="653">
        <v>189931</v>
      </c>
      <c r="K102" s="603">
        <v>0.35</v>
      </c>
      <c r="L102" s="568">
        <v>59828</v>
      </c>
      <c r="M102" s="654">
        <f>VLOOKUP(G:G,list!B:E,4,FALSE)</f>
        <v>0.1</v>
      </c>
      <c r="N102" s="655">
        <f t="shared" si="2"/>
        <v>5983</v>
      </c>
      <c r="O102" s="655">
        <f t="shared" si="3"/>
        <v>53845</v>
      </c>
      <c r="P102" s="564"/>
      <c r="Q102" s="672" t="str">
        <f>VLOOKUP(G:G,list!B:F,5,FALSE)</f>
        <v>웹소설본부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229</v>
      </c>
      <c r="E103" s="564" t="s">
        <v>9</v>
      </c>
      <c r="F103" s="564" t="s">
        <v>230</v>
      </c>
      <c r="G103" s="564" t="s">
        <v>353</v>
      </c>
      <c r="H103" s="565">
        <v>44916</v>
      </c>
      <c r="I103" s="652">
        <v>45870</v>
      </c>
      <c r="J103" s="653">
        <v>140036</v>
      </c>
      <c r="K103" s="603">
        <v>0.35</v>
      </c>
      <c r="L103" s="568">
        <v>44111</v>
      </c>
      <c r="M103" s="654">
        <f>VLOOKUP(G:G,list!B:E,4,FALSE)</f>
        <v>0.11</v>
      </c>
      <c r="N103" s="655">
        <f t="shared" si="2"/>
        <v>4852</v>
      </c>
      <c r="O103" s="655">
        <f t="shared" si="3"/>
        <v>39259</v>
      </c>
      <c r="P103" s="564"/>
      <c r="Q103" s="672" t="str">
        <f>VLOOKUP(G:G,list!B:F,5,FALSE)</f>
        <v>-</v>
      </c>
      <c r="R103" s="656" t="str">
        <f>VLOOKUP(G:G,list!B:D,3,FALSE)</f>
        <v>N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229</v>
      </c>
      <c r="E104" s="564" t="s">
        <v>9</v>
      </c>
      <c r="F104" s="564" t="s">
        <v>230</v>
      </c>
      <c r="G104" s="564" t="s">
        <v>352</v>
      </c>
      <c r="H104" s="565">
        <v>45106</v>
      </c>
      <c r="I104" s="652">
        <v>45870</v>
      </c>
      <c r="J104" s="653">
        <v>140494</v>
      </c>
      <c r="K104" s="603">
        <v>0.35</v>
      </c>
      <c r="L104" s="568">
        <v>44255</v>
      </c>
      <c r="M104" s="654">
        <f>VLOOKUP(G:G,list!B:E,4,FALSE)</f>
        <v>0.1</v>
      </c>
      <c r="N104" s="655">
        <f t="shared" si="2"/>
        <v>4426</v>
      </c>
      <c r="O104" s="655">
        <f t="shared" si="3"/>
        <v>39829</v>
      </c>
      <c r="P104" s="564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229</v>
      </c>
      <c r="E105" s="564" t="s">
        <v>9</v>
      </c>
      <c r="F105" s="564" t="s">
        <v>230</v>
      </c>
      <c r="G105" s="564" t="s">
        <v>353</v>
      </c>
      <c r="H105" s="565">
        <v>44916</v>
      </c>
      <c r="I105" s="652">
        <v>45901</v>
      </c>
      <c r="J105" s="653">
        <v>124346</v>
      </c>
      <c r="K105" s="603">
        <v>0.35</v>
      </c>
      <c r="L105" s="568">
        <v>39169</v>
      </c>
      <c r="M105" s="654">
        <f>VLOOKUP(G:G,list!B:E,4,FALSE)</f>
        <v>0.11</v>
      </c>
      <c r="N105" s="655">
        <f t="shared" si="2"/>
        <v>4309</v>
      </c>
      <c r="O105" s="655">
        <f t="shared" si="3"/>
        <v>34860</v>
      </c>
      <c r="P105" s="564"/>
      <c r="Q105" s="672" t="str">
        <f>VLOOKUP(G:G,list!B:F,5,FALSE)</f>
        <v>-</v>
      </c>
      <c r="R105" s="656" t="str">
        <f>VLOOKUP(G:G,list!B:D,3,FALSE)</f>
        <v>N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229</v>
      </c>
      <c r="E106" s="564" t="s">
        <v>9</v>
      </c>
      <c r="F106" s="564" t="s">
        <v>230</v>
      </c>
      <c r="G106" s="564" t="s">
        <v>352</v>
      </c>
      <c r="H106" s="565">
        <v>45106</v>
      </c>
      <c r="I106" s="652">
        <v>45901</v>
      </c>
      <c r="J106" s="653">
        <v>77371</v>
      </c>
      <c r="K106" s="603">
        <v>0.35</v>
      </c>
      <c r="L106" s="568">
        <v>24372</v>
      </c>
      <c r="M106" s="654">
        <f>VLOOKUP(G:G,list!B:E,4,FALSE)</f>
        <v>0.1</v>
      </c>
      <c r="N106" s="655">
        <f t="shared" si="2"/>
        <v>2437</v>
      </c>
      <c r="O106" s="655">
        <f t="shared" si="3"/>
        <v>21935</v>
      </c>
      <c r="P106" s="564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작가기획</v>
      </c>
      <c r="D107" s="564" t="s">
        <v>72</v>
      </c>
      <c r="E107" s="564" t="s">
        <v>9</v>
      </c>
      <c r="F107" s="564" t="s">
        <v>73</v>
      </c>
      <c r="G107" s="564" t="s">
        <v>308</v>
      </c>
      <c r="H107" s="565" t="s">
        <v>168</v>
      </c>
      <c r="I107" s="652">
        <v>45839</v>
      </c>
      <c r="J107" s="653">
        <v>0</v>
      </c>
      <c r="K107" s="605">
        <v>0.78900000000000003</v>
      </c>
      <c r="L107" s="568">
        <v>0</v>
      </c>
      <c r="M107" s="654" t="str">
        <f>VLOOKUP(G:G,list!B:E,4,FALSE)</f>
        <v>-</v>
      </c>
      <c r="N107" s="655">
        <f t="shared" si="2"/>
        <v>0</v>
      </c>
      <c r="O107" s="655">
        <f t="shared" si="3"/>
        <v>0</v>
      </c>
      <c r="P107" s="564" t="s">
        <v>581</v>
      </c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작가기획</v>
      </c>
      <c r="D108" s="564" t="s">
        <v>72</v>
      </c>
      <c r="E108" s="564" t="s">
        <v>9</v>
      </c>
      <c r="F108" s="564" t="s">
        <v>73</v>
      </c>
      <c r="G108" s="564" t="s">
        <v>308</v>
      </c>
      <c r="H108" s="565" t="s">
        <v>168</v>
      </c>
      <c r="I108" s="652">
        <v>45870</v>
      </c>
      <c r="J108" s="653">
        <v>0</v>
      </c>
      <c r="K108" s="605">
        <v>0.78900000000000003</v>
      </c>
      <c r="L108" s="568">
        <v>0</v>
      </c>
      <c r="M108" s="654" t="str">
        <f>VLOOKUP(G:G,list!B:E,4,FALSE)</f>
        <v>-</v>
      </c>
      <c r="N108" s="655">
        <f t="shared" si="2"/>
        <v>0</v>
      </c>
      <c r="O108" s="655">
        <f t="shared" si="3"/>
        <v>0</v>
      </c>
      <c r="P108" s="564" t="s">
        <v>581</v>
      </c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작가기획</v>
      </c>
      <c r="D109" s="564" t="s">
        <v>72</v>
      </c>
      <c r="E109" s="564" t="s">
        <v>9</v>
      </c>
      <c r="F109" s="564" t="s">
        <v>73</v>
      </c>
      <c r="G109" s="564" t="s">
        <v>308</v>
      </c>
      <c r="H109" s="565" t="s">
        <v>168</v>
      </c>
      <c r="I109" s="652">
        <v>45901</v>
      </c>
      <c r="J109" s="653">
        <v>0</v>
      </c>
      <c r="K109" s="605">
        <v>0.78900000000000003</v>
      </c>
      <c r="L109" s="568">
        <v>0</v>
      </c>
      <c r="M109" s="654" t="str">
        <f>VLOOKUP(G:G,list!B:E,4,FALSE)</f>
        <v>-</v>
      </c>
      <c r="N109" s="655">
        <f t="shared" si="2"/>
        <v>0</v>
      </c>
      <c r="O109" s="655">
        <f t="shared" si="3"/>
        <v>0</v>
      </c>
      <c r="P109" s="564" t="s">
        <v>581</v>
      </c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작가기획</v>
      </c>
      <c r="D110" s="564" t="s">
        <v>177</v>
      </c>
      <c r="E110" s="564" t="s">
        <v>9</v>
      </c>
      <c r="F110" s="564" t="s">
        <v>246</v>
      </c>
      <c r="G110" s="564" t="s">
        <v>36</v>
      </c>
      <c r="H110" s="565">
        <v>44505</v>
      </c>
      <c r="I110" s="652">
        <v>45839</v>
      </c>
      <c r="J110" s="653">
        <v>13665</v>
      </c>
      <c r="K110" s="603">
        <v>0.4</v>
      </c>
      <c r="L110" s="568">
        <v>5466</v>
      </c>
      <c r="M110" s="654" t="str">
        <f>VLOOKUP(G:G,list!B:E,4,FALSE)</f>
        <v>-</v>
      </c>
      <c r="N110" s="655">
        <f t="shared" si="2"/>
        <v>0</v>
      </c>
      <c r="O110" s="655">
        <f t="shared" si="3"/>
        <v>5466</v>
      </c>
      <c r="P110" s="564"/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작가기획</v>
      </c>
      <c r="D111" s="564" t="s">
        <v>177</v>
      </c>
      <c r="E111" s="564" t="s">
        <v>9</v>
      </c>
      <c r="F111" s="564" t="s">
        <v>246</v>
      </c>
      <c r="G111" s="564" t="s">
        <v>36</v>
      </c>
      <c r="H111" s="565">
        <v>44505</v>
      </c>
      <c r="I111" s="652">
        <v>45870</v>
      </c>
      <c r="J111" s="653">
        <v>13665</v>
      </c>
      <c r="K111" s="603">
        <v>0.4</v>
      </c>
      <c r="L111" s="568">
        <v>5466</v>
      </c>
      <c r="M111" s="654" t="str">
        <f>VLOOKUP(G:G,list!B:E,4,FALSE)</f>
        <v>-</v>
      </c>
      <c r="N111" s="655">
        <f t="shared" si="2"/>
        <v>0</v>
      </c>
      <c r="O111" s="655">
        <f t="shared" si="3"/>
        <v>5466</v>
      </c>
      <c r="P111" s="564"/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작가기획</v>
      </c>
      <c r="D112" s="564" t="s">
        <v>177</v>
      </c>
      <c r="E112" s="564" t="s">
        <v>9</v>
      </c>
      <c r="F112" s="564" t="s">
        <v>246</v>
      </c>
      <c r="G112" s="564" t="s">
        <v>36</v>
      </c>
      <c r="H112" s="565">
        <v>44505</v>
      </c>
      <c r="I112" s="652">
        <v>45901</v>
      </c>
      <c r="J112" s="653">
        <v>97173</v>
      </c>
      <c r="K112" s="603">
        <v>0.4</v>
      </c>
      <c r="L112" s="568">
        <v>38869</v>
      </c>
      <c r="M112" s="654" t="str">
        <f>VLOOKUP(G:G,list!B:E,4,FALSE)</f>
        <v>-</v>
      </c>
      <c r="N112" s="655">
        <f t="shared" si="2"/>
        <v>0</v>
      </c>
      <c r="O112" s="655">
        <f t="shared" si="3"/>
        <v>38869</v>
      </c>
      <c r="P112" s="564"/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작가기획</v>
      </c>
      <c r="D113" s="564" t="s">
        <v>72</v>
      </c>
      <c r="E113" s="564" t="s">
        <v>9</v>
      </c>
      <c r="F113" s="564" t="s">
        <v>332</v>
      </c>
      <c r="G113" s="564" t="s">
        <v>36</v>
      </c>
      <c r="H113" s="565">
        <v>44556</v>
      </c>
      <c r="I113" s="652" t="s">
        <v>599</v>
      </c>
      <c r="J113" s="653">
        <v>2926</v>
      </c>
      <c r="K113" s="603">
        <v>0.5</v>
      </c>
      <c r="L113" s="568">
        <v>1463</v>
      </c>
      <c r="M113" s="654" t="str">
        <f>VLOOKUP(G:G,list!B:E,4,FALSE)</f>
        <v>-</v>
      </c>
      <c r="N113" s="655">
        <f t="shared" si="2"/>
        <v>0</v>
      </c>
      <c r="O113" s="655">
        <f t="shared" si="3"/>
        <v>1463</v>
      </c>
      <c r="P113" s="564"/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작가기획</v>
      </c>
      <c r="D114" s="564" t="s">
        <v>72</v>
      </c>
      <c r="E114" s="564" t="s">
        <v>9</v>
      </c>
      <c r="F114" s="564" t="s">
        <v>569</v>
      </c>
      <c r="G114" s="564" t="s">
        <v>36</v>
      </c>
      <c r="H114" s="565">
        <v>44753</v>
      </c>
      <c r="I114" s="652" t="s">
        <v>599</v>
      </c>
      <c r="J114" s="653">
        <v>15716</v>
      </c>
      <c r="K114" s="603">
        <v>0.5</v>
      </c>
      <c r="L114" s="568">
        <v>7858</v>
      </c>
      <c r="M114" s="654" t="str">
        <f>VLOOKUP(G:G,list!B:E,4,FALSE)</f>
        <v>-</v>
      </c>
      <c r="N114" s="655">
        <f t="shared" si="2"/>
        <v>0</v>
      </c>
      <c r="O114" s="655">
        <f t="shared" si="3"/>
        <v>7858</v>
      </c>
      <c r="P114" s="564"/>
      <c r="Q114" s="672" t="str">
        <f>VLOOKUP(G:G,list!B:F,5,FALSE)</f>
        <v>-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작가기획</v>
      </c>
      <c r="D115" s="564" t="s">
        <v>72</v>
      </c>
      <c r="E115" s="564" t="s">
        <v>9</v>
      </c>
      <c r="F115" s="564" t="s">
        <v>598</v>
      </c>
      <c r="G115" s="564" t="s">
        <v>180</v>
      </c>
      <c r="H115" s="565" t="s">
        <v>203</v>
      </c>
      <c r="I115" s="652" t="s">
        <v>599</v>
      </c>
      <c r="J115" s="653">
        <v>19645.204999999998</v>
      </c>
      <c r="K115" s="603">
        <v>0.5</v>
      </c>
      <c r="L115" s="568">
        <v>9823</v>
      </c>
      <c r="M115" s="654" t="str">
        <f>VLOOKUP(G:G,list!B:E,4,FALSE)</f>
        <v>-</v>
      </c>
      <c r="N115" s="655">
        <f>ROUND(IF(M115="-",0,L115*M115),0)</f>
        <v>0</v>
      </c>
      <c r="O115" s="655">
        <f>L115-N115</f>
        <v>9823</v>
      </c>
      <c r="P115" s="564"/>
      <c r="Q115" s="672" t="str">
        <f>VLOOKUP(G:G,list!B:F,5,FALSE)</f>
        <v>-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67</v>
      </c>
      <c r="E116" s="564" t="s">
        <v>9</v>
      </c>
      <c r="F116" s="564" t="s">
        <v>559</v>
      </c>
      <c r="G116" s="564" t="s">
        <v>30</v>
      </c>
      <c r="H116" s="565">
        <v>45275</v>
      </c>
      <c r="I116" s="652">
        <v>45839</v>
      </c>
      <c r="J116" s="653"/>
      <c r="K116" s="603">
        <v>0.4</v>
      </c>
      <c r="L116" s="568"/>
      <c r="M116" s="654">
        <f>VLOOKUP(G:G,list!B:E,4,FALSE)</f>
        <v>0.1</v>
      </c>
      <c r="N116" s="655">
        <f t="shared" si="2"/>
        <v>0</v>
      </c>
      <c r="O116" s="655">
        <f t="shared" si="3"/>
        <v>0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67</v>
      </c>
      <c r="E117" s="564" t="s">
        <v>9</v>
      </c>
      <c r="F117" s="564" t="s">
        <v>559</v>
      </c>
      <c r="G117" s="564" t="s">
        <v>30</v>
      </c>
      <c r="H117" s="565">
        <v>45275</v>
      </c>
      <c r="I117" s="652">
        <v>45870</v>
      </c>
      <c r="J117" s="653"/>
      <c r="K117" s="603">
        <v>0.4</v>
      </c>
      <c r="L117" s="568"/>
      <c r="M117" s="654">
        <f>VLOOKUP(G:G,list!B:E,4,FALSE)</f>
        <v>0.1</v>
      </c>
      <c r="N117" s="655">
        <f t="shared" si="2"/>
        <v>0</v>
      </c>
      <c r="O117" s="655">
        <f t="shared" si="3"/>
        <v>0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원작료</v>
      </c>
      <c r="D118" s="564" t="s">
        <v>67</v>
      </c>
      <c r="E118" s="564" t="s">
        <v>9</v>
      </c>
      <c r="F118" s="564" t="s">
        <v>559</v>
      </c>
      <c r="G118" s="564" t="s">
        <v>30</v>
      </c>
      <c r="H118" s="565">
        <v>45275</v>
      </c>
      <c r="I118" s="652">
        <v>45901</v>
      </c>
      <c r="J118" s="653"/>
      <c r="K118" s="603">
        <v>0.4</v>
      </c>
      <c r="L118" s="568"/>
      <c r="M118" s="654">
        <f>VLOOKUP(G:G,list!B:E,4,FALSE)</f>
        <v>0.1</v>
      </c>
      <c r="N118" s="655">
        <f t="shared" si="2"/>
        <v>0</v>
      </c>
      <c r="O118" s="655">
        <f t="shared" si="3"/>
        <v>0</v>
      </c>
      <c r="P118" s="564"/>
      <c r="Q118" s="672" t="str">
        <f>VLOOKUP(G:G,list!B:F,5,FALSE)</f>
        <v>웹소설본부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작가기획</v>
      </c>
      <c r="D119" s="564" t="s">
        <v>32</v>
      </c>
      <c r="E119" s="564" t="s">
        <v>9</v>
      </c>
      <c r="F119" s="564" t="s">
        <v>593</v>
      </c>
      <c r="G119" s="564" t="s">
        <v>36</v>
      </c>
      <c r="H119" s="565">
        <v>45888</v>
      </c>
      <c r="I119" s="652">
        <v>45870</v>
      </c>
      <c r="J119" s="653">
        <v>95312</v>
      </c>
      <c r="K119" s="603">
        <v>0.4</v>
      </c>
      <c r="L119" s="568">
        <v>38125</v>
      </c>
      <c r="M119" s="654" t="str">
        <f>VLOOKUP(G:G,list!B:E,4,FALSE)</f>
        <v>-</v>
      </c>
      <c r="N119" s="655">
        <f t="shared" ref="N119:N124" si="4">ROUND(IF(M119="-",0,L119*M119),0)</f>
        <v>0</v>
      </c>
      <c r="O119" s="655">
        <f t="shared" ref="O119:O124" si="5">L119-N119</f>
        <v>38125</v>
      </c>
      <c r="P119" s="564" t="s">
        <v>614</v>
      </c>
      <c r="Q119" s="672" t="str">
        <f>VLOOKUP(G:G,list!B:F,5,FALSE)</f>
        <v>-</v>
      </c>
      <c r="R119" s="656" t="str">
        <f>VLOOKUP(G:G,list!B:D,3,FALSE)</f>
        <v>Y</v>
      </c>
    </row>
    <row r="120" spans="2:18" ht="18" customHeight="1">
      <c r="B120" s="563">
        <v>115</v>
      </c>
      <c r="C120" s="651" t="str">
        <f>VLOOKUP(G:G,list!B:D,2,FALSE)</f>
        <v>작가기획</v>
      </c>
      <c r="D120" s="564" t="s">
        <v>32</v>
      </c>
      <c r="E120" s="564" t="s">
        <v>9</v>
      </c>
      <c r="F120" s="564" t="s">
        <v>593</v>
      </c>
      <c r="G120" s="564" t="s">
        <v>36</v>
      </c>
      <c r="H120" s="565">
        <v>45888</v>
      </c>
      <c r="I120" s="652">
        <v>45901</v>
      </c>
      <c r="J120" s="653">
        <v>2850</v>
      </c>
      <c r="K120" s="603">
        <v>0.4</v>
      </c>
      <c r="L120" s="568">
        <v>1140</v>
      </c>
      <c r="M120" s="654" t="str">
        <f>VLOOKUP(G:G,list!B:E,4,FALSE)</f>
        <v>-</v>
      </c>
      <c r="N120" s="655">
        <f t="shared" si="4"/>
        <v>0</v>
      </c>
      <c r="O120" s="655">
        <f t="shared" si="5"/>
        <v>1140</v>
      </c>
      <c r="P120" s="564" t="s">
        <v>614</v>
      </c>
      <c r="Q120" s="672" t="str">
        <f>VLOOKUP(G:G,list!B:F,5,FALSE)</f>
        <v>-</v>
      </c>
      <c r="R120" s="656" t="str">
        <f>VLOOKUP(G:G,list!B:D,3,FALSE)</f>
        <v>Y</v>
      </c>
    </row>
    <row r="121" spans="2:18" ht="18" customHeight="1">
      <c r="B121" s="650">
        <v>116</v>
      </c>
      <c r="C121" s="651" t="str">
        <f>VLOOKUP(G:G,list!B:D,2,FALSE)</f>
        <v>작가기획</v>
      </c>
      <c r="D121" s="564" t="s">
        <v>32</v>
      </c>
      <c r="E121" s="564" t="s">
        <v>9</v>
      </c>
      <c r="F121" s="564" t="s">
        <v>593</v>
      </c>
      <c r="G121" s="564" t="s">
        <v>37</v>
      </c>
      <c r="H121" s="565">
        <v>45888</v>
      </c>
      <c r="I121" s="652">
        <v>45870</v>
      </c>
      <c r="J121" s="653">
        <v>3518</v>
      </c>
      <c r="K121" s="603">
        <v>0.4</v>
      </c>
      <c r="L121" s="568">
        <v>1407</v>
      </c>
      <c r="M121" s="654" t="str">
        <f>VLOOKUP(G:G,list!B:E,4,FALSE)</f>
        <v>-</v>
      </c>
      <c r="N121" s="655">
        <f t="shared" si="4"/>
        <v>0</v>
      </c>
      <c r="O121" s="655">
        <f t="shared" si="5"/>
        <v>1407</v>
      </c>
      <c r="P121" s="564" t="s">
        <v>614</v>
      </c>
      <c r="Q121" s="672" t="str">
        <f>VLOOKUP(G:G,list!B:F,5,FALSE)</f>
        <v>-</v>
      </c>
      <c r="R121" s="656" t="str">
        <f>VLOOKUP(G:G,list!B:D,3,FALSE)</f>
        <v>Y</v>
      </c>
    </row>
    <row r="122" spans="2:18" ht="18" customHeight="1">
      <c r="B122" s="563">
        <v>117</v>
      </c>
      <c r="C122" s="651" t="str">
        <f>VLOOKUP(G:G,list!B:D,2,FALSE)</f>
        <v>작가기획</v>
      </c>
      <c r="D122" s="564" t="s">
        <v>32</v>
      </c>
      <c r="E122" s="564" t="s">
        <v>9</v>
      </c>
      <c r="F122" s="564" t="s">
        <v>593</v>
      </c>
      <c r="G122" s="564" t="s">
        <v>37</v>
      </c>
      <c r="H122" s="565">
        <v>45888</v>
      </c>
      <c r="I122" s="652">
        <v>45901</v>
      </c>
      <c r="J122" s="653">
        <v>4314</v>
      </c>
      <c r="K122" s="603">
        <v>0.4</v>
      </c>
      <c r="L122" s="568">
        <v>1725</v>
      </c>
      <c r="M122" s="654" t="str">
        <f>VLOOKUP(G:G,list!B:E,4,FALSE)</f>
        <v>-</v>
      </c>
      <c r="N122" s="655">
        <f t="shared" si="4"/>
        <v>0</v>
      </c>
      <c r="O122" s="655">
        <f t="shared" si="5"/>
        <v>1725</v>
      </c>
      <c r="P122" s="564" t="s">
        <v>614</v>
      </c>
      <c r="Q122" s="672" t="str">
        <f>VLOOKUP(G:G,list!B:F,5,FALSE)</f>
        <v>-</v>
      </c>
      <c r="R122" s="656" t="str">
        <f>VLOOKUP(G:G,list!B:D,3,FALSE)</f>
        <v>Y</v>
      </c>
    </row>
    <row r="123" spans="2:18" ht="18" customHeight="1">
      <c r="B123" s="650">
        <v>118</v>
      </c>
      <c r="C123" s="651" t="str">
        <f>VLOOKUP(G:G,list!B:D,2,FALSE)</f>
        <v>원작료</v>
      </c>
      <c r="D123" s="564" t="s">
        <v>32</v>
      </c>
      <c r="E123" s="564" t="s">
        <v>9</v>
      </c>
      <c r="F123" s="564" t="s">
        <v>593</v>
      </c>
      <c r="G123" s="564" t="s">
        <v>454</v>
      </c>
      <c r="H123" s="565">
        <v>45888</v>
      </c>
      <c r="I123" s="652">
        <v>45870</v>
      </c>
      <c r="J123" s="653">
        <v>56797</v>
      </c>
      <c r="K123" s="603">
        <v>0.4</v>
      </c>
      <c r="L123" s="568">
        <v>22719</v>
      </c>
      <c r="M123" s="654">
        <f>VLOOKUP(G:G,list!B:E,4,FALSE)</f>
        <v>0.1</v>
      </c>
      <c r="N123" s="655">
        <f t="shared" si="4"/>
        <v>2272</v>
      </c>
      <c r="O123" s="655">
        <f t="shared" si="5"/>
        <v>20447</v>
      </c>
      <c r="P123" s="564" t="s">
        <v>614</v>
      </c>
      <c r="Q123" s="672" t="str">
        <f>VLOOKUP(G:G,list!B:F,5,FALSE)</f>
        <v>-</v>
      </c>
      <c r="R123" s="656" t="str">
        <f>VLOOKUP(G:G,list!B:D,3,FALSE)</f>
        <v>Y</v>
      </c>
    </row>
    <row r="124" spans="2:18" ht="18" customHeight="1">
      <c r="B124" s="563">
        <v>119</v>
      </c>
      <c r="C124" s="651" t="str">
        <f>VLOOKUP(G:G,list!B:D,2,FALSE)</f>
        <v>원작료</v>
      </c>
      <c r="D124" s="564" t="s">
        <v>32</v>
      </c>
      <c r="E124" s="564" t="s">
        <v>9</v>
      </c>
      <c r="F124" s="564" t="s">
        <v>593</v>
      </c>
      <c r="G124" s="564" t="s">
        <v>454</v>
      </c>
      <c r="H124" s="565">
        <v>45888</v>
      </c>
      <c r="I124" s="652">
        <v>45901</v>
      </c>
      <c r="J124" s="653">
        <v>85658</v>
      </c>
      <c r="K124" s="603">
        <v>0.4</v>
      </c>
      <c r="L124" s="568">
        <v>34263</v>
      </c>
      <c r="M124" s="654">
        <f>VLOOKUP(G:G,list!B:E,4,FALSE)</f>
        <v>0.1</v>
      </c>
      <c r="N124" s="655">
        <f t="shared" si="4"/>
        <v>3426</v>
      </c>
      <c r="O124" s="655">
        <f t="shared" si="5"/>
        <v>30837</v>
      </c>
      <c r="P124" s="564" t="s">
        <v>614</v>
      </c>
      <c r="Q124" s="672" t="str">
        <f>VLOOKUP(G:G,list!B:F,5,FALSE)</f>
        <v>-</v>
      </c>
      <c r="R124" s="656" t="str">
        <f>VLOOKUP(G:G,list!B:D,3,FALSE)</f>
        <v>Y</v>
      </c>
    </row>
    <row r="125" spans="2:18" ht="18" customHeight="1">
      <c r="B125" s="650">
        <v>120</v>
      </c>
      <c r="C125" s="651" t="str">
        <f>VLOOKUP(G:G,list!B:D,2,FALSE)</f>
        <v>원작료</v>
      </c>
      <c r="D125" s="564" t="s">
        <v>182</v>
      </c>
      <c r="E125" s="564" t="s">
        <v>115</v>
      </c>
      <c r="F125" s="564" t="s">
        <v>230</v>
      </c>
      <c r="G125" s="564" t="s">
        <v>30</v>
      </c>
      <c r="H125" s="565">
        <v>45248</v>
      </c>
      <c r="I125" s="652">
        <v>45839</v>
      </c>
      <c r="J125" s="653">
        <v>29695</v>
      </c>
      <c r="K125" s="603">
        <v>0.5</v>
      </c>
      <c r="L125" s="568">
        <v>14848</v>
      </c>
      <c r="M125" s="654">
        <f>VLOOKUP(G:G,list!B:E,4,FALSE)</f>
        <v>0.1</v>
      </c>
      <c r="N125" s="655">
        <f t="shared" si="2"/>
        <v>1485</v>
      </c>
      <c r="O125" s="655">
        <f t="shared" si="3"/>
        <v>13363</v>
      </c>
      <c r="P125" s="564"/>
      <c r="Q125" s="672" t="str">
        <f>VLOOKUP(G:G,list!B:F,5,FALSE)</f>
        <v>웹소설본부</v>
      </c>
      <c r="R125" s="656" t="str">
        <f>VLOOKUP(G:G,list!B:D,3,FALSE)</f>
        <v>Y</v>
      </c>
    </row>
    <row r="126" spans="2:18" ht="18" customHeight="1">
      <c r="B126" s="563">
        <v>121</v>
      </c>
      <c r="C126" s="651" t="str">
        <f>VLOOKUP(G:G,list!B:D,2,FALSE)</f>
        <v>원작료</v>
      </c>
      <c r="D126" s="564" t="s">
        <v>182</v>
      </c>
      <c r="E126" s="564" t="s">
        <v>115</v>
      </c>
      <c r="F126" s="564" t="s">
        <v>230</v>
      </c>
      <c r="G126" s="564" t="s">
        <v>30</v>
      </c>
      <c r="H126" s="565">
        <v>45248</v>
      </c>
      <c r="I126" s="652">
        <v>45870</v>
      </c>
      <c r="J126" s="653">
        <v>25879</v>
      </c>
      <c r="K126" s="603">
        <v>0.5</v>
      </c>
      <c r="L126" s="568">
        <v>12940</v>
      </c>
      <c r="M126" s="654">
        <f>VLOOKUP(G:G,list!B:E,4,FALSE)</f>
        <v>0.1</v>
      </c>
      <c r="N126" s="655">
        <f t="shared" si="2"/>
        <v>1294</v>
      </c>
      <c r="O126" s="655">
        <f t="shared" si="3"/>
        <v>11646</v>
      </c>
      <c r="P126" s="564"/>
      <c r="Q126" s="672" t="str">
        <f>VLOOKUP(G:G,list!B:F,5,FALSE)</f>
        <v>웹소설본부</v>
      </c>
      <c r="R126" s="656" t="str">
        <f>VLOOKUP(G:G,list!B:D,3,FALSE)</f>
        <v>Y</v>
      </c>
    </row>
    <row r="127" spans="2:18" ht="18" customHeight="1">
      <c r="B127" s="650">
        <v>122</v>
      </c>
      <c r="C127" s="651" t="str">
        <f>VLOOKUP(G:G,list!B:D,2,FALSE)</f>
        <v>원작료</v>
      </c>
      <c r="D127" s="564" t="s">
        <v>182</v>
      </c>
      <c r="E127" s="564" t="s">
        <v>115</v>
      </c>
      <c r="F127" s="564" t="s">
        <v>230</v>
      </c>
      <c r="G127" s="564" t="s">
        <v>30</v>
      </c>
      <c r="H127" s="565">
        <v>45248</v>
      </c>
      <c r="I127" s="652">
        <v>45901</v>
      </c>
      <c r="J127" s="653">
        <v>71980</v>
      </c>
      <c r="K127" s="603">
        <v>0.5</v>
      </c>
      <c r="L127" s="568">
        <v>35990</v>
      </c>
      <c r="M127" s="654">
        <f>VLOOKUP(G:G,list!B:E,4,FALSE)</f>
        <v>0.1</v>
      </c>
      <c r="N127" s="655">
        <f t="shared" si="2"/>
        <v>3599</v>
      </c>
      <c r="O127" s="655">
        <f t="shared" si="3"/>
        <v>32391</v>
      </c>
      <c r="P127" s="564"/>
      <c r="Q127" s="672" t="str">
        <f>VLOOKUP(G:G,list!B:F,5,FALSE)</f>
        <v>웹소설본부</v>
      </c>
      <c r="R127" s="656" t="str">
        <f>VLOOKUP(G:G,list!B:D,3,FALSE)</f>
        <v>Y</v>
      </c>
    </row>
    <row r="128" spans="2:18" ht="18" customHeight="1">
      <c r="B128" s="563">
        <v>123</v>
      </c>
      <c r="C128" s="651" t="str">
        <f>VLOOKUP(G:G,list!B:D,2,FALSE)</f>
        <v>원작료</v>
      </c>
      <c r="D128" s="564" t="s">
        <v>182</v>
      </c>
      <c r="E128" s="564" t="s">
        <v>115</v>
      </c>
      <c r="F128" s="564" t="s">
        <v>230</v>
      </c>
      <c r="G128" s="564" t="s">
        <v>56</v>
      </c>
      <c r="H128" s="565">
        <v>45414</v>
      </c>
      <c r="I128" s="652">
        <v>45839</v>
      </c>
      <c r="J128" s="653">
        <v>127740</v>
      </c>
      <c r="K128" s="603">
        <v>0.5</v>
      </c>
      <c r="L128" s="568">
        <v>63870</v>
      </c>
      <c r="M128" s="654">
        <f>VLOOKUP(G:G,list!B:E,4,FALSE)</f>
        <v>0.1</v>
      </c>
      <c r="N128" s="655">
        <f t="shared" si="2"/>
        <v>6387</v>
      </c>
      <c r="O128" s="655">
        <f t="shared" si="3"/>
        <v>57483</v>
      </c>
      <c r="P128" s="564"/>
      <c r="Q128" s="672" t="str">
        <f>VLOOKUP(G:G,list!B:F,5,FALSE)</f>
        <v>웹소설본부</v>
      </c>
      <c r="R128" s="656" t="str">
        <f>VLOOKUP(G:G,list!B:D,3,FALSE)</f>
        <v>Y</v>
      </c>
    </row>
    <row r="129" spans="2:18" ht="18" customHeight="1">
      <c r="B129" s="650">
        <v>124</v>
      </c>
      <c r="C129" s="651" t="str">
        <f>VLOOKUP(G:G,list!B:D,2,FALSE)</f>
        <v>원작료</v>
      </c>
      <c r="D129" s="564" t="s">
        <v>182</v>
      </c>
      <c r="E129" s="564" t="s">
        <v>115</v>
      </c>
      <c r="F129" s="564" t="s">
        <v>230</v>
      </c>
      <c r="G129" s="564" t="s">
        <v>56</v>
      </c>
      <c r="H129" s="565">
        <v>45414</v>
      </c>
      <c r="I129" s="652">
        <v>45870</v>
      </c>
      <c r="J129" s="653">
        <v>41900</v>
      </c>
      <c r="K129" s="603">
        <v>0.5</v>
      </c>
      <c r="L129" s="568">
        <v>20950</v>
      </c>
      <c r="M129" s="654">
        <f>VLOOKUP(G:G,list!B:E,4,FALSE)</f>
        <v>0.1</v>
      </c>
      <c r="N129" s="655">
        <f t="shared" si="2"/>
        <v>2095</v>
      </c>
      <c r="O129" s="655">
        <f t="shared" si="3"/>
        <v>18855</v>
      </c>
      <c r="P129" s="564"/>
      <c r="Q129" s="672" t="str">
        <f>VLOOKUP(G:G,list!B:F,5,FALSE)</f>
        <v>웹소설본부</v>
      </c>
      <c r="R129" s="656" t="str">
        <f>VLOOKUP(G:G,list!B:D,3,FALSE)</f>
        <v>Y</v>
      </c>
    </row>
    <row r="130" spans="2:18" ht="18" customHeight="1">
      <c r="B130" s="563">
        <v>125</v>
      </c>
      <c r="C130" s="651" t="str">
        <f>VLOOKUP(G:G,list!B:D,2,FALSE)</f>
        <v>원작료</v>
      </c>
      <c r="D130" s="564" t="s">
        <v>182</v>
      </c>
      <c r="E130" s="564" t="s">
        <v>115</v>
      </c>
      <c r="F130" s="564" t="s">
        <v>230</v>
      </c>
      <c r="G130" s="564" t="s">
        <v>56</v>
      </c>
      <c r="H130" s="565">
        <v>45414</v>
      </c>
      <c r="I130" s="652">
        <v>45901</v>
      </c>
      <c r="J130" s="653">
        <v>35595</v>
      </c>
      <c r="K130" s="603">
        <v>0.5</v>
      </c>
      <c r="L130" s="568">
        <v>17798</v>
      </c>
      <c r="M130" s="654">
        <f>VLOOKUP(G:G,list!B:E,4,FALSE)</f>
        <v>0.1</v>
      </c>
      <c r="N130" s="655">
        <f t="shared" si="2"/>
        <v>1780</v>
      </c>
      <c r="O130" s="655">
        <f t="shared" si="3"/>
        <v>16018</v>
      </c>
      <c r="P130" s="564"/>
      <c r="Q130" s="672" t="str">
        <f>VLOOKUP(G:G,list!B:F,5,FALSE)</f>
        <v>웹소설본부</v>
      </c>
      <c r="R130" s="656" t="str">
        <f>VLOOKUP(G:G,list!B:D,3,FALSE)</f>
        <v>Y</v>
      </c>
    </row>
    <row r="131" spans="2:18" ht="18" customHeight="1">
      <c r="B131" s="650">
        <v>126</v>
      </c>
      <c r="C131" s="651" t="str">
        <f>VLOOKUP(G:G,list!B:D,2,FALSE)</f>
        <v>작가기획</v>
      </c>
      <c r="D131" s="564" t="s">
        <v>182</v>
      </c>
      <c r="E131" s="564" t="s">
        <v>115</v>
      </c>
      <c r="F131" s="564" t="s">
        <v>230</v>
      </c>
      <c r="G131" s="564" t="s">
        <v>308</v>
      </c>
      <c r="H131" s="565">
        <v>45569</v>
      </c>
      <c r="I131" s="652">
        <v>45839</v>
      </c>
      <c r="J131" s="653">
        <v>12133</v>
      </c>
      <c r="K131" s="603">
        <v>0.5</v>
      </c>
      <c r="L131" s="568">
        <v>6067</v>
      </c>
      <c r="M131" s="654" t="str">
        <f>VLOOKUP(G:G,list!B:E,4,FALSE)</f>
        <v>-</v>
      </c>
      <c r="N131" s="655">
        <f t="shared" si="2"/>
        <v>0</v>
      </c>
      <c r="O131" s="655">
        <f t="shared" si="3"/>
        <v>6067</v>
      </c>
      <c r="P131" s="564"/>
      <c r="Q131" s="672" t="str">
        <f>VLOOKUP(G:G,list!B:F,5,FALSE)</f>
        <v>-</v>
      </c>
      <c r="R131" s="656" t="str">
        <f>VLOOKUP(G:G,list!B:D,3,FALSE)</f>
        <v>Y</v>
      </c>
    </row>
    <row r="132" spans="2:18" ht="18" customHeight="1">
      <c r="B132" s="563">
        <v>127</v>
      </c>
      <c r="C132" s="651" t="str">
        <f>VLOOKUP(G:G,list!B:D,2,FALSE)</f>
        <v>작가기획</v>
      </c>
      <c r="D132" s="564" t="s">
        <v>182</v>
      </c>
      <c r="E132" s="564" t="s">
        <v>115</v>
      </c>
      <c r="F132" s="564" t="s">
        <v>230</v>
      </c>
      <c r="G132" s="564" t="s">
        <v>308</v>
      </c>
      <c r="H132" s="565">
        <v>45569</v>
      </c>
      <c r="I132" s="652">
        <v>45870</v>
      </c>
      <c r="J132" s="653">
        <v>2643</v>
      </c>
      <c r="K132" s="603">
        <v>0.5</v>
      </c>
      <c r="L132" s="568">
        <v>1322</v>
      </c>
      <c r="M132" s="654" t="str">
        <f>VLOOKUP(G:G,list!B:E,4,FALSE)</f>
        <v>-</v>
      </c>
      <c r="N132" s="655">
        <f t="shared" si="2"/>
        <v>0</v>
      </c>
      <c r="O132" s="655">
        <f t="shared" si="3"/>
        <v>1322</v>
      </c>
      <c r="P132" s="564"/>
      <c r="Q132" s="672" t="str">
        <f>VLOOKUP(G:G,list!B:F,5,FALSE)</f>
        <v>-</v>
      </c>
      <c r="R132" s="656" t="str">
        <f>VLOOKUP(G:G,list!B:D,3,FALSE)</f>
        <v>Y</v>
      </c>
    </row>
    <row r="133" spans="2:18" ht="18" customHeight="1">
      <c r="B133" s="650">
        <v>128</v>
      </c>
      <c r="C133" s="651" t="str">
        <f>VLOOKUP(G:G,list!B:D,2,FALSE)</f>
        <v>작가기획</v>
      </c>
      <c r="D133" s="564" t="s">
        <v>182</v>
      </c>
      <c r="E133" s="564" t="s">
        <v>115</v>
      </c>
      <c r="F133" s="564" t="s">
        <v>230</v>
      </c>
      <c r="G133" s="564" t="s">
        <v>308</v>
      </c>
      <c r="H133" s="565">
        <v>45569</v>
      </c>
      <c r="I133" s="652">
        <v>45901</v>
      </c>
      <c r="J133" s="653">
        <v>36950</v>
      </c>
      <c r="K133" s="603">
        <v>0.5</v>
      </c>
      <c r="L133" s="568">
        <v>18475</v>
      </c>
      <c r="M133" s="654" t="str">
        <f>VLOOKUP(G:G,list!B:E,4,FALSE)</f>
        <v>-</v>
      </c>
      <c r="N133" s="655">
        <f t="shared" si="2"/>
        <v>0</v>
      </c>
      <c r="O133" s="655">
        <f t="shared" si="3"/>
        <v>18475</v>
      </c>
      <c r="P133" s="564"/>
      <c r="Q133" s="672" t="str">
        <f>VLOOKUP(G:G,list!B:F,5,FALSE)</f>
        <v>-</v>
      </c>
      <c r="R133" s="656" t="str">
        <f>VLOOKUP(G:G,list!B:D,3,FALSE)</f>
        <v>Y</v>
      </c>
    </row>
    <row r="134" spans="2:18" ht="11.25" customHeight="1">
      <c r="B134" s="52"/>
      <c r="C134" s="551"/>
      <c r="D134" s="551"/>
      <c r="E134" s="551"/>
      <c r="F134" s="551"/>
      <c r="G134" s="551"/>
      <c r="H134" s="622"/>
      <c r="I134" s="551"/>
      <c r="J134" s="435"/>
      <c r="K134" s="623"/>
      <c r="L134"/>
      <c r="M134" s="438"/>
      <c r="N134" s="439"/>
      <c r="O134" s="440"/>
      <c r="P134" s="633"/>
      <c r="Q134" s="438"/>
      <c r="R134" s="486"/>
    </row>
    <row r="135" spans="2:18" s="7" customFormat="1" ht="16.5" customHeight="1">
      <c r="B135" s="624" t="s">
        <v>387</v>
      </c>
      <c r="C135" s="625"/>
      <c r="D135" s="625"/>
      <c r="E135" s="626"/>
      <c r="F135" s="625"/>
      <c r="G135" s="625"/>
      <c r="H135" s="625"/>
      <c r="I135" s="311"/>
      <c r="J135" s="311"/>
      <c r="K135" s="311"/>
      <c r="M135" s="424"/>
      <c r="N135"/>
      <c r="O135" s="333"/>
      <c r="P135" s="631"/>
      <c r="Q135" s="424"/>
      <c r="R135" s="484"/>
    </row>
    <row r="136" spans="2:18" s="7" customFormat="1" ht="16.5" customHeight="1">
      <c r="B136" s="629" t="s">
        <v>299</v>
      </c>
      <c r="C136" s="625"/>
      <c r="D136" s="625"/>
      <c r="E136" s="626"/>
      <c r="F136" s="625"/>
      <c r="G136" s="625"/>
      <c r="H136" s="625"/>
      <c r="I136" s="311"/>
      <c r="K136" s="311"/>
      <c r="L136" s="311"/>
      <c r="M136" s="424"/>
      <c r="N136"/>
      <c r="O136" s="333"/>
      <c r="P136" s="631"/>
      <c r="Q136" s="424"/>
      <c r="R136" s="484"/>
    </row>
    <row r="137" spans="2:18" s="7" customFormat="1" ht="16.5" customHeight="1">
      <c r="B137" s="628" t="s">
        <v>302</v>
      </c>
      <c r="C137" s="627"/>
      <c r="D137" s="625"/>
      <c r="E137" s="626"/>
      <c r="F137" s="625"/>
      <c r="G137" s="625"/>
      <c r="H137" s="625"/>
      <c r="I137" s="311"/>
      <c r="J137" s="311"/>
      <c r="L137" s="311"/>
      <c r="M137" s="424"/>
      <c r="N137"/>
      <c r="O137" s="333"/>
      <c r="P137" s="631"/>
      <c r="Q137" s="424"/>
      <c r="R137" s="484"/>
    </row>
    <row r="138" spans="2:18" s="7" customFormat="1" ht="16.5" customHeight="1">
      <c r="B138" s="630" t="s">
        <v>303</v>
      </c>
      <c r="C138" s="627"/>
      <c r="D138" s="625"/>
      <c r="E138" s="626"/>
      <c r="F138" s="625"/>
      <c r="G138" s="625"/>
      <c r="H138" s="625"/>
      <c r="I138" s="311"/>
      <c r="J138" s="311"/>
      <c r="K138" s="311"/>
      <c r="L138" s="311"/>
      <c r="M138" s="424"/>
      <c r="N138"/>
      <c r="O138" s="333"/>
      <c r="P138" s="631"/>
      <c r="Q138" s="424"/>
      <c r="R138" s="484"/>
    </row>
    <row r="139" spans="2:18" ht="16.5" customHeight="1">
      <c r="B139" s="629" t="s">
        <v>340</v>
      </c>
      <c r="C139" s="625"/>
      <c r="D139" s="625"/>
      <c r="E139" s="626"/>
      <c r="F139" s="625"/>
      <c r="G139" s="625"/>
      <c r="H139" s="625"/>
      <c r="I139" s="311"/>
      <c r="J139" s="311"/>
      <c r="K139" s="311"/>
    </row>
    <row r="140" spans="2:18" ht="16.5" customHeight="1">
      <c r="B140" s="629" t="s">
        <v>512</v>
      </c>
      <c r="C140" s="625"/>
      <c r="D140" s="625"/>
      <c r="E140" s="626"/>
      <c r="F140" s="625"/>
      <c r="G140" s="625"/>
      <c r="H140" s="625"/>
      <c r="I140" s="311"/>
      <c r="J140" s="311"/>
      <c r="K140" s="311"/>
    </row>
    <row r="141" spans="2:18" ht="16.5" customHeight="1">
      <c r="B141" s="629" t="s">
        <v>522</v>
      </c>
      <c r="C141" s="625"/>
      <c r="D141" s="625"/>
      <c r="E141" s="626"/>
      <c r="F141" s="625"/>
      <c r="G141" s="625"/>
      <c r="H141" s="625"/>
      <c r="I141" s="311"/>
      <c r="J141" s="311"/>
      <c r="K141" s="311"/>
    </row>
    <row r="142" spans="2:18" ht="16.5" customHeight="1">
      <c r="B142" s="629" t="s">
        <v>520</v>
      </c>
      <c r="C142" s="625"/>
      <c r="D142" s="625"/>
      <c r="E142" s="626"/>
      <c r="F142" s="625"/>
      <c r="G142" s="625"/>
      <c r="H142" s="625"/>
      <c r="I142" s="311"/>
      <c r="J142" s="311"/>
      <c r="K142" s="311"/>
    </row>
    <row r="143" spans="2:18" ht="16.5" customHeight="1">
      <c r="B143" s="629" t="s">
        <v>521</v>
      </c>
      <c r="C143" s="625"/>
      <c r="D143" s="625"/>
      <c r="E143" s="626"/>
      <c r="F143" s="625"/>
      <c r="G143" s="625"/>
      <c r="H143" s="625"/>
      <c r="I143" s="311"/>
      <c r="J143" s="311"/>
      <c r="K143" s="311"/>
    </row>
    <row r="144" spans="2:18" s="311" customFormat="1" ht="16.5" customHeight="1">
      <c r="B144" s="629" t="s">
        <v>529</v>
      </c>
      <c r="C144" s="625"/>
      <c r="D144" s="625"/>
      <c r="E144" s="626"/>
      <c r="F144" s="625"/>
      <c r="G144" s="625"/>
      <c r="H144" s="625"/>
      <c r="M144" s="424"/>
      <c r="N144"/>
      <c r="O144" s="333"/>
      <c r="P144" s="631"/>
      <c r="Q144" s="424"/>
      <c r="R144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35C0-30B5-4421-8178-5550982D36BE}">
  <dimension ref="B1:R129"/>
  <sheetViews>
    <sheetView showGridLines="0" zoomScaleNormal="100" workbookViewId="0">
      <pane xSplit="1" ySplit="5" topLeftCell="B99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609</v>
      </c>
      <c r="C2" s="539"/>
      <c r="D2" s="539"/>
      <c r="E2" s="539"/>
      <c r="F2" s="539"/>
      <c r="G2" s="540"/>
      <c r="H2" s="643" t="s">
        <v>608</v>
      </c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610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16565609.395066995</v>
      </c>
      <c r="K4" s="52"/>
      <c r="L4" s="648">
        <f>SUBTOTAL(109,L6:L1048576)</f>
        <v>6156172.0999999996</v>
      </c>
      <c r="M4" s="543"/>
      <c r="N4" s="649">
        <f>SUBTOTAL(109,N6:N1048576)</f>
        <v>538132</v>
      </c>
      <c r="O4" s="649">
        <f>SUBTOTAL(109,O6:O1048576)</f>
        <v>5618040.0999999996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45901</v>
      </c>
      <c r="J6" s="653">
        <v>332873.09999999998</v>
      </c>
      <c r="K6" s="567">
        <v>0.6</v>
      </c>
      <c r="L6" s="646">
        <v>199725</v>
      </c>
      <c r="M6" s="654" t="str">
        <f>VLOOKUP(G:G,list!B:E,4,FALSE)</f>
        <v>-</v>
      </c>
      <c r="N6" s="655">
        <f t="shared" ref="N6:N98" si="0">ROUND(IF(M6="-",0,L6*M6),0)</f>
        <v>0</v>
      </c>
      <c r="O6" s="655">
        <f t="shared" ref="O6:O98" si="1">L6-N6</f>
        <v>199725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45901</v>
      </c>
      <c r="J7" s="653">
        <v>70713</v>
      </c>
      <c r="K7" s="600">
        <v>0.6</v>
      </c>
      <c r="L7" s="646">
        <v>42428</v>
      </c>
      <c r="M7" s="654" t="str">
        <f>VLOOKUP(G:G,list!B:E,4,FALSE)</f>
        <v>-</v>
      </c>
      <c r="N7" s="655">
        <f t="shared" si="0"/>
        <v>0</v>
      </c>
      <c r="O7" s="655">
        <f t="shared" si="1"/>
        <v>42428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45901</v>
      </c>
      <c r="J8" s="653">
        <v>176520</v>
      </c>
      <c r="K8" s="567">
        <v>0.6</v>
      </c>
      <c r="L8" s="646">
        <v>105912</v>
      </c>
      <c r="M8" s="654" t="str">
        <f>VLOOKUP(G:G,list!B:E,4,FALSE)</f>
        <v>-</v>
      </c>
      <c r="N8" s="655">
        <f t="shared" si="0"/>
        <v>0</v>
      </c>
      <c r="O8" s="655">
        <f t="shared" si="1"/>
        <v>105912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45901</v>
      </c>
      <c r="J9" s="653">
        <v>63664.6</v>
      </c>
      <c r="K9" s="606">
        <v>0.6</v>
      </c>
      <c r="L9" s="646">
        <v>38198</v>
      </c>
      <c r="M9" s="654">
        <f>VLOOKUP(G:G,list!B:E,4,FALSE)</f>
        <v>0.1</v>
      </c>
      <c r="N9" s="655">
        <f t="shared" si="0"/>
        <v>3820</v>
      </c>
      <c r="O9" s="655">
        <f t="shared" si="1"/>
        <v>34378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45901</v>
      </c>
      <c r="J10" s="653">
        <v>204156.4</v>
      </c>
      <c r="K10" s="600">
        <v>0.6</v>
      </c>
      <c r="L10" s="646">
        <v>122494</v>
      </c>
      <c r="M10" s="654">
        <f>VLOOKUP(G:G,list!B:E,4,FALSE)</f>
        <v>0.1</v>
      </c>
      <c r="N10" s="655">
        <f t="shared" si="0"/>
        <v>12249</v>
      </c>
      <c r="O10" s="655">
        <f t="shared" si="1"/>
        <v>110245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45901</v>
      </c>
      <c r="J11" s="653">
        <v>12636</v>
      </c>
      <c r="K11" s="603">
        <v>0.6</v>
      </c>
      <c r="L11" s="646">
        <v>7582</v>
      </c>
      <c r="M11" s="654" t="str">
        <f>VLOOKUP(G:G,list!B:E,4,FALSE)</f>
        <v>-</v>
      </c>
      <c r="N11" s="655">
        <f t="shared" si="0"/>
        <v>0</v>
      </c>
      <c r="O11" s="655">
        <f t="shared" si="1"/>
        <v>7582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45901</v>
      </c>
      <c r="J12" s="653">
        <v>173693.4</v>
      </c>
      <c r="K12" s="603">
        <v>0.6</v>
      </c>
      <c r="L12" s="646">
        <v>104216</v>
      </c>
      <c r="M12" s="654">
        <f>VLOOKUP(G:G,list!B:E,4,FALSE)</f>
        <v>0.1</v>
      </c>
      <c r="N12" s="655">
        <f t="shared" si="0"/>
        <v>10422</v>
      </c>
      <c r="O12" s="655">
        <f t="shared" si="1"/>
        <v>93794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45901</v>
      </c>
      <c r="J13" s="653">
        <v>38188</v>
      </c>
      <c r="K13" s="600">
        <v>0.6</v>
      </c>
      <c r="L13" s="646">
        <v>22913</v>
      </c>
      <c r="M13" s="654">
        <f>VLOOKUP(G:G,list!B:E,4,FALSE)</f>
        <v>0.1</v>
      </c>
      <c r="N13" s="655">
        <f t="shared" si="0"/>
        <v>2291</v>
      </c>
      <c r="O13" s="655">
        <f t="shared" si="1"/>
        <v>20622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45901</v>
      </c>
      <c r="J14" s="653">
        <v>135989.4</v>
      </c>
      <c r="K14" s="606">
        <v>0.6</v>
      </c>
      <c r="L14" s="646">
        <v>81592</v>
      </c>
      <c r="M14" s="654">
        <f>VLOOKUP(G:G,list!B:E,4,FALSE)</f>
        <v>0.11</v>
      </c>
      <c r="N14" s="655">
        <f t="shared" si="0"/>
        <v>8975</v>
      </c>
      <c r="O14" s="655">
        <f t="shared" si="1"/>
        <v>72617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45901</v>
      </c>
      <c r="J15" s="653">
        <v>558259.80000000005</v>
      </c>
      <c r="K15" s="567">
        <v>0.6</v>
      </c>
      <c r="L15" s="646">
        <v>334956</v>
      </c>
      <c r="M15" s="654">
        <f>VLOOKUP(G:G,list!B:E,4,FALSE)</f>
        <v>0.1</v>
      </c>
      <c r="N15" s="655">
        <f t="shared" si="0"/>
        <v>33496</v>
      </c>
      <c r="O15" s="655">
        <f t="shared" si="1"/>
        <v>301460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45901</v>
      </c>
      <c r="J16" s="653">
        <v>66954.3</v>
      </c>
      <c r="K16" s="567">
        <v>0.6</v>
      </c>
      <c r="L16" s="646">
        <v>40172</v>
      </c>
      <c r="M16" s="654">
        <f>VLOOKUP(G:G,list!B:E,4,FALSE)</f>
        <v>0.1</v>
      </c>
      <c r="N16" s="655">
        <f t="shared" si="0"/>
        <v>4017</v>
      </c>
      <c r="O16" s="655">
        <f t="shared" si="1"/>
        <v>36155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45901</v>
      </c>
      <c r="J17" s="653">
        <v>10448</v>
      </c>
      <c r="K17" s="600">
        <v>0.7</v>
      </c>
      <c r="L17" s="646">
        <v>7314</v>
      </c>
      <c r="M17" s="654" t="str">
        <f>VLOOKUP(G:G,list!B:E,4,FALSE)</f>
        <v>-</v>
      </c>
      <c r="N17" s="655">
        <f t="shared" si="0"/>
        <v>0</v>
      </c>
      <c r="O17" s="655">
        <f t="shared" si="1"/>
        <v>7314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45901</v>
      </c>
      <c r="J18" s="653">
        <v>1919058.3</v>
      </c>
      <c r="K18" s="603">
        <v>0.6</v>
      </c>
      <c r="L18" s="646">
        <v>1151432</v>
      </c>
      <c r="M18" s="654">
        <f>VLOOKUP(G:G,list!B:E,4,FALSE)</f>
        <v>0.1</v>
      </c>
      <c r="N18" s="655">
        <f t="shared" si="0"/>
        <v>115143</v>
      </c>
      <c r="O18" s="655">
        <f t="shared" si="1"/>
        <v>1036289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45901</v>
      </c>
      <c r="J19" s="653">
        <v>137881</v>
      </c>
      <c r="K19" s="603">
        <v>0.7</v>
      </c>
      <c r="L19" s="646">
        <v>96516</v>
      </c>
      <c r="M19" s="654">
        <f>VLOOKUP(G:G,list!B:E,4,FALSE)</f>
        <v>0.1</v>
      </c>
      <c r="N19" s="655">
        <f t="shared" si="0"/>
        <v>9652</v>
      </c>
      <c r="O19" s="655">
        <f t="shared" si="1"/>
        <v>86864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45901</v>
      </c>
      <c r="J20" s="653">
        <v>2376</v>
      </c>
      <c r="K20" s="603">
        <v>0.6</v>
      </c>
      <c r="L20" s="646">
        <v>1425</v>
      </c>
      <c r="M20" s="654">
        <f>VLOOKUP(G:G,list!B:E,4,FALSE)</f>
        <v>0.1</v>
      </c>
      <c r="N20" s="655">
        <f t="shared" si="0"/>
        <v>143</v>
      </c>
      <c r="O20" s="655">
        <f t="shared" si="1"/>
        <v>1282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45901</v>
      </c>
      <c r="J21" s="653">
        <v>0</v>
      </c>
      <c r="K21" s="567">
        <v>0.6</v>
      </c>
      <c r="L21" s="646">
        <v>0</v>
      </c>
      <c r="M21" s="654" t="str">
        <f>VLOOKUP(G:G,list!B:E,4,FALSE)</f>
        <v>-</v>
      </c>
      <c r="N21" s="655">
        <f t="shared" si="0"/>
        <v>0</v>
      </c>
      <c r="O21" s="655">
        <f t="shared" si="1"/>
        <v>0</v>
      </c>
      <c r="P21" s="564" t="s">
        <v>366</v>
      </c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45901</v>
      </c>
      <c r="J22" s="653">
        <v>24368</v>
      </c>
      <c r="K22" s="567">
        <v>0.6</v>
      </c>
      <c r="L22" s="646">
        <v>14620</v>
      </c>
      <c r="M22" s="654">
        <f>VLOOKUP(G:G,list!B:E,4,FALSE)</f>
        <v>0.1</v>
      </c>
      <c r="N22" s="655">
        <f t="shared" si="0"/>
        <v>1462</v>
      </c>
      <c r="O22" s="655">
        <f t="shared" si="1"/>
        <v>13158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45901</v>
      </c>
      <c r="J23" s="653">
        <v>0</v>
      </c>
      <c r="K23" s="567">
        <v>0.6</v>
      </c>
      <c r="L23" s="646">
        <v>0</v>
      </c>
      <c r="M23" s="654" t="str">
        <f>VLOOKUP(G:G,list!B:E,4,FALSE)</f>
        <v>-</v>
      </c>
      <c r="N23" s="655">
        <f t="shared" si="0"/>
        <v>0</v>
      </c>
      <c r="O23" s="655">
        <f t="shared" si="1"/>
        <v>0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45901</v>
      </c>
      <c r="J24" s="653">
        <v>91284.5</v>
      </c>
      <c r="K24" s="603">
        <v>0.6</v>
      </c>
      <c r="L24" s="646">
        <v>54771</v>
      </c>
      <c r="M24" s="654">
        <f>VLOOKUP(G:G,list!B:E,4,FALSE)</f>
        <v>0.1</v>
      </c>
      <c r="N24" s="655">
        <f t="shared" si="0"/>
        <v>5477</v>
      </c>
      <c r="O24" s="655">
        <f t="shared" si="1"/>
        <v>49294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45901</v>
      </c>
      <c r="J25" s="653">
        <v>180</v>
      </c>
      <c r="K25" s="603">
        <v>0.6</v>
      </c>
      <c r="L25" s="646">
        <v>108</v>
      </c>
      <c r="M25" s="654">
        <f>VLOOKUP(G:G,list!B:E,4,FALSE)</f>
        <v>0.1</v>
      </c>
      <c r="N25" s="655">
        <f t="shared" si="0"/>
        <v>11</v>
      </c>
      <c r="O25" s="655">
        <f t="shared" si="1"/>
        <v>97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45901</v>
      </c>
      <c r="J26" s="653">
        <v>14382</v>
      </c>
      <c r="K26" s="567">
        <v>0.6</v>
      </c>
      <c r="L26" s="646">
        <v>8629</v>
      </c>
      <c r="M26" s="654">
        <f>VLOOKUP(G:G,list!B:E,4,FALSE)</f>
        <v>0.1</v>
      </c>
      <c r="N26" s="655">
        <f t="shared" si="0"/>
        <v>863</v>
      </c>
      <c r="O26" s="655">
        <f t="shared" si="1"/>
        <v>7766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45901</v>
      </c>
      <c r="J27" s="653">
        <v>25794.9</v>
      </c>
      <c r="K27" s="567">
        <v>0.6</v>
      </c>
      <c r="L27" s="646">
        <v>15477</v>
      </c>
      <c r="M27" s="654">
        <f>VLOOKUP(G:G,list!B:E,4,FALSE)</f>
        <v>0.1</v>
      </c>
      <c r="N27" s="655">
        <f t="shared" si="0"/>
        <v>1548</v>
      </c>
      <c r="O27" s="655">
        <f t="shared" si="1"/>
        <v>13929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45901</v>
      </c>
      <c r="J28" s="653">
        <v>23833.599999999999</v>
      </c>
      <c r="K28" s="567">
        <v>0.6</v>
      </c>
      <c r="L28" s="646">
        <v>14300</v>
      </c>
      <c r="M28" s="654" t="str">
        <f>VLOOKUP(G:G,list!B:E,4,FALSE)</f>
        <v>-</v>
      </c>
      <c r="N28" s="655">
        <f t="shared" si="0"/>
        <v>0</v>
      </c>
      <c r="O28" s="655">
        <f t="shared" si="1"/>
        <v>14300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45901</v>
      </c>
      <c r="J29" s="653">
        <v>24942.9</v>
      </c>
      <c r="K29" s="567">
        <v>0.6</v>
      </c>
      <c r="L29" s="646">
        <v>14966</v>
      </c>
      <c r="M29" s="654">
        <f>VLOOKUP(G:G,list!B:E,4,FALSE)</f>
        <v>0.11</v>
      </c>
      <c r="N29" s="655">
        <f t="shared" si="0"/>
        <v>1646</v>
      </c>
      <c r="O29" s="655">
        <f t="shared" si="1"/>
        <v>13320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45901</v>
      </c>
      <c r="J30" s="653">
        <v>77558.399999999994</v>
      </c>
      <c r="K30" s="567">
        <v>0.6</v>
      </c>
      <c r="L30" s="646">
        <v>46536</v>
      </c>
      <c r="M30" s="654" t="str">
        <f>VLOOKUP(G:G,list!B:E,4,FALSE)</f>
        <v>-</v>
      </c>
      <c r="N30" s="655">
        <f t="shared" si="0"/>
        <v>0</v>
      </c>
      <c r="O30" s="655">
        <f t="shared" si="1"/>
        <v>46536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45901</v>
      </c>
      <c r="J31" s="653">
        <v>37237.599999999999</v>
      </c>
      <c r="K31" s="567">
        <v>0.6</v>
      </c>
      <c r="L31" s="646">
        <v>22342</v>
      </c>
      <c r="M31" s="654" t="str">
        <f>VLOOKUP(G:G,list!B:E,4,FALSE)</f>
        <v>-</v>
      </c>
      <c r="N31" s="655">
        <f t="shared" si="0"/>
        <v>0</v>
      </c>
      <c r="O31" s="655">
        <f t="shared" si="1"/>
        <v>22342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45901</v>
      </c>
      <c r="J32" s="653">
        <v>213912.3</v>
      </c>
      <c r="K32" s="567">
        <v>0.6</v>
      </c>
      <c r="L32" s="646">
        <v>128348</v>
      </c>
      <c r="M32" s="654">
        <f>VLOOKUP(G:G,list!B:E,4,FALSE)</f>
        <v>0.1</v>
      </c>
      <c r="N32" s="655">
        <f t="shared" si="0"/>
        <v>12835</v>
      </c>
      <c r="O32" s="655">
        <f t="shared" si="1"/>
        <v>115513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45870</v>
      </c>
      <c r="J33" s="653">
        <v>57420</v>
      </c>
      <c r="K33" s="674">
        <v>0.224</v>
      </c>
      <c r="L33" s="646">
        <v>11582</v>
      </c>
      <c r="M33" s="654">
        <f>VLOOKUP(G:G,list!B:E,4,FALSE)</f>
        <v>0.1</v>
      </c>
      <c r="N33" s="655">
        <f t="shared" si="0"/>
        <v>1158</v>
      </c>
      <c r="O33" s="655">
        <f t="shared" si="1"/>
        <v>10424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45870</v>
      </c>
      <c r="J34" s="653">
        <v>970980</v>
      </c>
      <c r="K34" s="674">
        <v>0.224</v>
      </c>
      <c r="L34" s="646">
        <v>195755</v>
      </c>
      <c r="M34" s="654">
        <f>VLOOKUP(G:G,list!B:E,4,FALSE)</f>
        <v>0.1</v>
      </c>
      <c r="N34" s="655">
        <f t="shared" si="0"/>
        <v>19576</v>
      </c>
      <c r="O34" s="655">
        <f t="shared" si="1"/>
        <v>176179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45870</v>
      </c>
      <c r="J35" s="653">
        <v>1722</v>
      </c>
      <c r="K35" s="674">
        <v>0.224</v>
      </c>
      <c r="L35" s="646">
        <v>354</v>
      </c>
      <c r="M35" s="654" t="str">
        <f>VLOOKUP(G:G,list!B:E,4,FALSE)</f>
        <v>-</v>
      </c>
      <c r="N35" s="655">
        <f t="shared" si="0"/>
        <v>0</v>
      </c>
      <c r="O35" s="655">
        <f t="shared" si="1"/>
        <v>354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45870</v>
      </c>
      <c r="J36" s="653">
        <v>338206</v>
      </c>
      <c r="K36" s="674">
        <v>0.224</v>
      </c>
      <c r="L36" s="646">
        <v>68190</v>
      </c>
      <c r="M36" s="654">
        <f>VLOOKUP(G:G,list!B:E,4,FALSE)</f>
        <v>0.1</v>
      </c>
      <c r="N36" s="655">
        <f t="shared" si="0"/>
        <v>6819</v>
      </c>
      <c r="O36" s="655">
        <f t="shared" si="1"/>
        <v>61371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45870</v>
      </c>
      <c r="J37" s="653">
        <v>156183</v>
      </c>
      <c r="K37" s="674">
        <v>0.224</v>
      </c>
      <c r="L37" s="646">
        <v>31492</v>
      </c>
      <c r="M37" s="654">
        <f>VLOOKUP(G:G,list!B:E,4,FALSE)</f>
        <v>0.11</v>
      </c>
      <c r="N37" s="655">
        <f t="shared" si="0"/>
        <v>3464</v>
      </c>
      <c r="O37" s="655">
        <f t="shared" si="1"/>
        <v>28028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45870</v>
      </c>
      <c r="J38" s="653">
        <v>87279</v>
      </c>
      <c r="K38" s="674">
        <v>0.224</v>
      </c>
      <c r="L38" s="646">
        <v>17602</v>
      </c>
      <c r="M38" s="654">
        <f>VLOOKUP(G:G,list!B:E,4,FALSE)</f>
        <v>0.1</v>
      </c>
      <c r="N38" s="655">
        <f t="shared" si="0"/>
        <v>1760</v>
      </c>
      <c r="O38" s="655">
        <f t="shared" si="1"/>
        <v>15842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45870</v>
      </c>
      <c r="J39" s="653">
        <v>87853</v>
      </c>
      <c r="K39" s="674">
        <v>0.224</v>
      </c>
      <c r="L39" s="646">
        <v>17711</v>
      </c>
      <c r="M39" s="654" t="str">
        <f>VLOOKUP(G:G,list!B:E,4,FALSE)</f>
        <v>-</v>
      </c>
      <c r="N39" s="655">
        <f t="shared" si="0"/>
        <v>0</v>
      </c>
      <c r="O39" s="655">
        <f t="shared" si="1"/>
        <v>17711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45870</v>
      </c>
      <c r="J40" s="653">
        <v>3317183</v>
      </c>
      <c r="K40" s="674">
        <v>0.224</v>
      </c>
      <c r="L40" s="646">
        <v>668750</v>
      </c>
      <c r="M40" s="654">
        <f>VLOOKUP(G:G,list!B:E,4,FALSE)</f>
        <v>0.1</v>
      </c>
      <c r="N40" s="655">
        <f t="shared" si="0"/>
        <v>66875</v>
      </c>
      <c r="O40" s="655">
        <f t="shared" si="1"/>
        <v>601875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45870</v>
      </c>
      <c r="J41" s="653">
        <v>574</v>
      </c>
      <c r="K41" s="674">
        <v>0.224</v>
      </c>
      <c r="L41" s="646">
        <v>114</v>
      </c>
      <c r="M41" s="654" t="str">
        <f>VLOOKUP(G:G,list!B:E,4,FALSE)</f>
        <v>-</v>
      </c>
      <c r="N41" s="655">
        <f t="shared" si="0"/>
        <v>0</v>
      </c>
      <c r="O41" s="655">
        <f t="shared" si="1"/>
        <v>114</v>
      </c>
      <c r="P41" s="564"/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45870</v>
      </c>
      <c r="J42" s="653">
        <v>89576</v>
      </c>
      <c r="K42" s="674">
        <v>0.224</v>
      </c>
      <c r="L42" s="646">
        <v>18060</v>
      </c>
      <c r="M42" s="654">
        <f>VLOOKUP(G:G,list!B:E,4,FALSE)</f>
        <v>0.1</v>
      </c>
      <c r="N42" s="655">
        <f t="shared" si="0"/>
        <v>1806</v>
      </c>
      <c r="O42" s="655">
        <f t="shared" si="1"/>
        <v>16254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45870</v>
      </c>
      <c r="J43" s="653">
        <v>507597</v>
      </c>
      <c r="K43" s="674">
        <v>0.224</v>
      </c>
      <c r="L43" s="646">
        <v>102340</v>
      </c>
      <c r="M43" s="654">
        <f>VLOOKUP(G:G,list!B:E,4,FALSE)</f>
        <v>0.1</v>
      </c>
      <c r="N43" s="655">
        <f t="shared" si="0"/>
        <v>10234</v>
      </c>
      <c r="O43" s="655">
        <f t="shared" si="1"/>
        <v>92106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45870</v>
      </c>
      <c r="J44" s="653">
        <v>288825</v>
      </c>
      <c r="K44" s="674">
        <v>0.224</v>
      </c>
      <c r="L44" s="646">
        <v>58229</v>
      </c>
      <c r="M44" s="654" t="str">
        <f>VLOOKUP(G:G,list!B:E,4,FALSE)</f>
        <v>-</v>
      </c>
      <c r="N44" s="655">
        <f t="shared" si="0"/>
        <v>0</v>
      </c>
      <c r="O44" s="655">
        <f t="shared" si="1"/>
        <v>58229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32</v>
      </c>
      <c r="E45" s="564" t="s">
        <v>62</v>
      </c>
      <c r="F45" s="564" t="s">
        <v>126</v>
      </c>
      <c r="G45" s="564" t="s">
        <v>364</v>
      </c>
      <c r="H45" s="565">
        <v>45901</v>
      </c>
      <c r="I45" s="652">
        <v>45901</v>
      </c>
      <c r="J45" s="653">
        <v>6480</v>
      </c>
      <c r="K45" s="674">
        <v>0.35</v>
      </c>
      <c r="L45" s="646">
        <v>2268</v>
      </c>
      <c r="M45" s="654">
        <f>VLOOKUP(G:G,list!B:E,4,FALSE)</f>
        <v>0.1</v>
      </c>
      <c r="N45" s="655">
        <f t="shared" ref="N45" si="2">ROUND(IF(M45="-",0,L45*M45),0)</f>
        <v>227</v>
      </c>
      <c r="O45" s="655">
        <f t="shared" ref="O45" si="3">L45-N45</f>
        <v>2041</v>
      </c>
      <c r="P45" s="645" t="s">
        <v>611</v>
      </c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36</v>
      </c>
      <c r="H46" s="565">
        <v>43810</v>
      </c>
      <c r="I46" s="652">
        <v>45901</v>
      </c>
      <c r="J46" s="653">
        <v>32040</v>
      </c>
      <c r="K46" s="600" t="s">
        <v>532</v>
      </c>
      <c r="L46" s="646">
        <v>14364</v>
      </c>
      <c r="M46" s="654" t="str">
        <f>VLOOKUP(G:G,list!B:E,4,FALSE)</f>
        <v>-</v>
      </c>
      <c r="N46" s="655">
        <f t="shared" si="0"/>
        <v>0</v>
      </c>
      <c r="O46" s="655">
        <f t="shared" si="1"/>
        <v>14364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246</v>
      </c>
      <c r="G47" s="564" t="s">
        <v>139</v>
      </c>
      <c r="H47" s="565">
        <v>43852</v>
      </c>
      <c r="I47" s="652">
        <v>45901</v>
      </c>
      <c r="J47" s="653">
        <v>1080</v>
      </c>
      <c r="K47" s="600" t="s">
        <v>532</v>
      </c>
      <c r="L47" s="646">
        <v>378</v>
      </c>
      <c r="M47" s="654" t="str">
        <f>VLOOKUP(G:G,list!B:E,4,FALSE)</f>
        <v>-</v>
      </c>
      <c r="N47" s="655">
        <f t="shared" si="0"/>
        <v>0</v>
      </c>
      <c r="O47" s="655">
        <f t="shared" si="1"/>
        <v>378</v>
      </c>
      <c r="P47" s="564"/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36</v>
      </c>
      <c r="H48" s="565">
        <v>45124</v>
      </c>
      <c r="I48" s="652">
        <v>45870</v>
      </c>
      <c r="J48" s="653">
        <v>100760</v>
      </c>
      <c r="K48" s="600">
        <v>0.5</v>
      </c>
      <c r="L48" s="646">
        <v>50380</v>
      </c>
      <c r="M48" s="654" t="str">
        <f>VLOOKUP(G:G,list!B:E,4,FALSE)</f>
        <v>-</v>
      </c>
      <c r="N48" s="655">
        <f t="shared" si="0"/>
        <v>0</v>
      </c>
      <c r="O48" s="655">
        <f t="shared" si="1"/>
        <v>50380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544</v>
      </c>
      <c r="G49" s="564" t="s">
        <v>139</v>
      </c>
      <c r="H49" s="565">
        <v>44513</v>
      </c>
      <c r="I49" s="652">
        <v>45870</v>
      </c>
      <c r="J49" s="653">
        <v>24483.599999999999</v>
      </c>
      <c r="K49" s="600">
        <v>0.5</v>
      </c>
      <c r="L49" s="646">
        <v>12242</v>
      </c>
      <c r="M49" s="654" t="str">
        <f>VLOOKUP(G:G,list!B:E,4,FALSE)</f>
        <v>-</v>
      </c>
      <c r="N49" s="655">
        <f t="shared" si="0"/>
        <v>0</v>
      </c>
      <c r="O49" s="655">
        <f t="shared" si="1"/>
        <v>12242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66</v>
      </c>
      <c r="E50" s="564" t="s">
        <v>64</v>
      </c>
      <c r="F50" s="564" t="s">
        <v>593</v>
      </c>
      <c r="G50" s="564" t="s">
        <v>30</v>
      </c>
      <c r="H50" s="565">
        <v>44586</v>
      </c>
      <c r="I50" s="652">
        <v>45901</v>
      </c>
      <c r="J50" s="653">
        <v>24655</v>
      </c>
      <c r="K50" s="567">
        <v>0.4</v>
      </c>
      <c r="L50" s="646">
        <v>9862</v>
      </c>
      <c r="M50" s="654">
        <f>VLOOKUP(G:G,list!B:E,4,FALSE)</f>
        <v>0.1</v>
      </c>
      <c r="N50" s="655">
        <f t="shared" si="0"/>
        <v>986</v>
      </c>
      <c r="O50" s="655">
        <f t="shared" si="1"/>
        <v>8876</v>
      </c>
      <c r="P50" s="564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36</v>
      </c>
      <c r="H51" s="565">
        <v>44992</v>
      </c>
      <c r="I51" s="652">
        <v>45901</v>
      </c>
      <c r="J51" s="653">
        <v>9283</v>
      </c>
      <c r="K51" s="600">
        <v>0.4</v>
      </c>
      <c r="L51" s="646">
        <v>3713</v>
      </c>
      <c r="M51" s="654" t="str">
        <f>VLOOKUP(G:G,list!B:E,4,FALSE)</f>
        <v>-</v>
      </c>
      <c r="N51" s="655">
        <f t="shared" si="0"/>
        <v>0</v>
      </c>
      <c r="O51" s="655">
        <f t="shared" si="1"/>
        <v>3713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66</v>
      </c>
      <c r="E52" s="564" t="s">
        <v>9</v>
      </c>
      <c r="F52" s="564" t="s">
        <v>593</v>
      </c>
      <c r="G52" s="564" t="s">
        <v>37</v>
      </c>
      <c r="H52" s="565">
        <v>45169</v>
      </c>
      <c r="I52" s="652">
        <v>45901</v>
      </c>
      <c r="J52" s="653">
        <v>4228</v>
      </c>
      <c r="K52" s="600">
        <v>0.4</v>
      </c>
      <c r="L52" s="646">
        <v>1691</v>
      </c>
      <c r="M52" s="654" t="str">
        <f>VLOOKUP(G:G,list!B:E,4,FALSE)</f>
        <v>-</v>
      </c>
      <c r="N52" s="655">
        <f t="shared" si="0"/>
        <v>0</v>
      </c>
      <c r="O52" s="655">
        <f t="shared" si="1"/>
        <v>1691</v>
      </c>
      <c r="P52" s="564"/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37</v>
      </c>
      <c r="H53" s="565">
        <v>43921</v>
      </c>
      <c r="I53" s="652">
        <v>45901</v>
      </c>
      <c r="J53" s="653">
        <v>0</v>
      </c>
      <c r="K53" s="600">
        <v>0.4</v>
      </c>
      <c r="L53" s="646">
        <v>0</v>
      </c>
      <c r="M53" s="654" t="str">
        <f>VLOOKUP(G:G,list!B:E,4,FALSE)</f>
        <v>-</v>
      </c>
      <c r="N53" s="655">
        <f t="shared" si="0"/>
        <v>0</v>
      </c>
      <c r="O53" s="655">
        <f t="shared" si="1"/>
        <v>0</v>
      </c>
      <c r="P53" s="564" t="s">
        <v>366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67</v>
      </c>
      <c r="E54" s="564" t="s">
        <v>9</v>
      </c>
      <c r="F54" s="564" t="s">
        <v>593</v>
      </c>
      <c r="G54" s="564" t="s">
        <v>36</v>
      </c>
      <c r="H54" s="565">
        <v>43941</v>
      </c>
      <c r="I54" s="652">
        <v>45901</v>
      </c>
      <c r="J54" s="653">
        <v>66218</v>
      </c>
      <c r="K54" s="600">
        <v>0.4</v>
      </c>
      <c r="L54" s="646">
        <v>26487</v>
      </c>
      <c r="M54" s="654" t="str">
        <f>VLOOKUP(G:G,list!B:E,4,FALSE)</f>
        <v>-</v>
      </c>
      <c r="N54" s="655">
        <f t="shared" si="0"/>
        <v>0</v>
      </c>
      <c r="O54" s="655">
        <f t="shared" si="1"/>
        <v>26487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67</v>
      </c>
      <c r="E55" s="564" t="s">
        <v>64</v>
      </c>
      <c r="F55" s="564" t="s">
        <v>593</v>
      </c>
      <c r="G55" s="564" t="s">
        <v>30</v>
      </c>
      <c r="H55" s="565">
        <v>44258</v>
      </c>
      <c r="I55" s="652">
        <v>45901</v>
      </c>
      <c r="J55" s="653">
        <v>0</v>
      </c>
      <c r="K55" s="600">
        <v>0.4</v>
      </c>
      <c r="L55" s="646">
        <v>0</v>
      </c>
      <c r="M55" s="654">
        <f>VLOOKUP(G:G,list!B:E,4,FALSE)</f>
        <v>0.1</v>
      </c>
      <c r="N55" s="655">
        <f t="shared" si="0"/>
        <v>0</v>
      </c>
      <c r="O55" s="655">
        <f t="shared" si="1"/>
        <v>0</v>
      </c>
      <c r="P55" s="564" t="s">
        <v>366</v>
      </c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131</v>
      </c>
      <c r="G56" s="564" t="s">
        <v>60</v>
      </c>
      <c r="H56" s="565">
        <v>44333</v>
      </c>
      <c r="I56" s="652">
        <v>45901</v>
      </c>
      <c r="J56" s="653">
        <v>2924</v>
      </c>
      <c r="K56" s="603">
        <v>0.5</v>
      </c>
      <c r="L56" s="646">
        <v>1462</v>
      </c>
      <c r="M56" s="654" t="str">
        <f>VLOOKUP(G:G,list!B:E,4,FALSE)</f>
        <v>-</v>
      </c>
      <c r="N56" s="655">
        <f t="shared" si="0"/>
        <v>0</v>
      </c>
      <c r="O56" s="655">
        <f t="shared" si="1"/>
        <v>1462</v>
      </c>
      <c r="P56" s="564"/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115</v>
      </c>
      <c r="F57" s="564" t="s">
        <v>131</v>
      </c>
      <c r="G57" s="564" t="s">
        <v>518</v>
      </c>
      <c r="H57" s="565">
        <v>44897</v>
      </c>
      <c r="I57" s="652">
        <v>45901</v>
      </c>
      <c r="J57" s="653">
        <v>22680</v>
      </c>
      <c r="K57" s="603">
        <v>0.5</v>
      </c>
      <c r="L57" s="646">
        <v>11340</v>
      </c>
      <c r="M57" s="654" t="str">
        <f>VLOOKUP(G:G,list!B:E,4,FALSE)</f>
        <v>-</v>
      </c>
      <c r="N57" s="655">
        <f t="shared" si="0"/>
        <v>0</v>
      </c>
      <c r="O57" s="655">
        <f t="shared" si="1"/>
        <v>11340</v>
      </c>
      <c r="P57" s="564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578</v>
      </c>
      <c r="E58" s="564" t="s">
        <v>115</v>
      </c>
      <c r="F58" s="564" t="s">
        <v>587</v>
      </c>
      <c r="G58" s="564" t="s">
        <v>518</v>
      </c>
      <c r="H58" s="565">
        <v>45049</v>
      </c>
      <c r="I58" s="652">
        <v>45870</v>
      </c>
      <c r="J58" s="653">
        <v>57570</v>
      </c>
      <c r="K58" s="603">
        <v>0.3</v>
      </c>
      <c r="L58" s="646">
        <v>17271</v>
      </c>
      <c r="M58" s="654" t="str">
        <f>VLOOKUP(G:G,list!B:E,4,FALSE)</f>
        <v>-</v>
      </c>
      <c r="N58" s="655">
        <f t="shared" si="0"/>
        <v>0</v>
      </c>
      <c r="O58" s="655">
        <f t="shared" si="1"/>
        <v>17271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578</v>
      </c>
      <c r="E59" s="564" t="s">
        <v>115</v>
      </c>
      <c r="F59" s="564" t="s">
        <v>587</v>
      </c>
      <c r="G59" s="564" t="s">
        <v>541</v>
      </c>
      <c r="H59" s="565">
        <v>45591</v>
      </c>
      <c r="I59" s="652">
        <v>45870</v>
      </c>
      <c r="J59" s="653">
        <v>17978</v>
      </c>
      <c r="K59" s="603">
        <v>0.5</v>
      </c>
      <c r="L59" s="646">
        <v>8989</v>
      </c>
      <c r="M59" s="654">
        <f>VLOOKUP(G:G,list!B:E,4,FALSE)</f>
        <v>0.1</v>
      </c>
      <c r="N59" s="655">
        <f t="shared" si="0"/>
        <v>899</v>
      </c>
      <c r="O59" s="655">
        <f t="shared" si="1"/>
        <v>8090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외부제작</v>
      </c>
      <c r="D60" s="564" t="s">
        <v>578</v>
      </c>
      <c r="E60" s="564" t="s">
        <v>115</v>
      </c>
      <c r="F60" s="564" t="s">
        <v>587</v>
      </c>
      <c r="G60" s="564" t="s">
        <v>315</v>
      </c>
      <c r="H60" s="565">
        <v>45673</v>
      </c>
      <c r="I60" s="652">
        <v>45870</v>
      </c>
      <c r="J60" s="653">
        <v>15054</v>
      </c>
      <c r="K60" s="603">
        <v>0.5</v>
      </c>
      <c r="L60" s="646">
        <v>7527</v>
      </c>
      <c r="M60" s="654" t="str">
        <f>VLOOKUP(G:G,list!B:E,4,FALSE)</f>
        <v>-</v>
      </c>
      <c r="N60" s="655">
        <f t="shared" si="0"/>
        <v>0</v>
      </c>
      <c r="O60" s="655">
        <f t="shared" si="1"/>
        <v>7527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454</v>
      </c>
      <c r="H61" s="565">
        <v>45843</v>
      </c>
      <c r="I61" s="652">
        <v>45870</v>
      </c>
      <c r="J61" s="653">
        <v>33944</v>
      </c>
      <c r="K61" s="603">
        <v>0.5</v>
      </c>
      <c r="L61" s="646">
        <v>16972</v>
      </c>
      <c r="M61" s="654">
        <f>VLOOKUP(G:G,list!B:E,4,FALSE)</f>
        <v>0.1</v>
      </c>
      <c r="N61" s="655">
        <f t="shared" si="0"/>
        <v>1697</v>
      </c>
      <c r="O61" s="655">
        <f t="shared" si="1"/>
        <v>15275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578</v>
      </c>
      <c r="E62" s="564" t="s">
        <v>115</v>
      </c>
      <c r="F62" s="564" t="s">
        <v>587</v>
      </c>
      <c r="G62" s="564" t="s">
        <v>353</v>
      </c>
      <c r="H62" s="565">
        <v>45847</v>
      </c>
      <c r="I62" s="652">
        <v>45870</v>
      </c>
      <c r="J62" s="653">
        <v>22034</v>
      </c>
      <c r="K62" s="603">
        <v>0.5</v>
      </c>
      <c r="L62" s="646">
        <v>11017</v>
      </c>
      <c r="M62" s="654">
        <f>VLOOKUP(G:G,list!B:E,4,FALSE)</f>
        <v>0.11</v>
      </c>
      <c r="N62" s="655">
        <f t="shared" si="0"/>
        <v>1212</v>
      </c>
      <c r="O62" s="655">
        <f t="shared" si="1"/>
        <v>9805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45870</v>
      </c>
      <c r="J63" s="653">
        <v>538139</v>
      </c>
      <c r="K63" s="603">
        <v>0.7</v>
      </c>
      <c r="L63" s="646">
        <v>377802</v>
      </c>
      <c r="M63" s="654">
        <f>VLOOKUP(G:G,list!B:E,4,FALSE)</f>
        <v>0.1</v>
      </c>
      <c r="N63" s="655">
        <f t="shared" si="0"/>
        <v>37780</v>
      </c>
      <c r="O63" s="655">
        <f t="shared" si="1"/>
        <v>340022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45870</v>
      </c>
      <c r="J64" s="653">
        <v>1379282.7250669999</v>
      </c>
      <c r="K64" s="603">
        <v>0.25</v>
      </c>
      <c r="L64" s="646">
        <v>344821</v>
      </c>
      <c r="M64" s="654">
        <f>VLOOKUP(G:G,list!B:E,4,FALSE)</f>
        <v>0.1</v>
      </c>
      <c r="N64" s="655">
        <f t="shared" si="0"/>
        <v>34482</v>
      </c>
      <c r="O64" s="655">
        <f t="shared" si="1"/>
        <v>310339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182</v>
      </c>
      <c r="E65" s="564" t="s">
        <v>115</v>
      </c>
      <c r="F65" s="564" t="s">
        <v>386</v>
      </c>
      <c r="G65" s="564" t="s">
        <v>30</v>
      </c>
      <c r="H65" s="565">
        <v>44591</v>
      </c>
      <c r="I65" s="652">
        <v>45839</v>
      </c>
      <c r="J65" s="653">
        <v>285</v>
      </c>
      <c r="K65" s="603">
        <v>0.5</v>
      </c>
      <c r="L65" s="646">
        <v>143</v>
      </c>
      <c r="M65" s="654">
        <f>VLOOKUP(G:G,list!B:E,4,FALSE)</f>
        <v>0.1</v>
      </c>
      <c r="N65" s="655">
        <f t="shared" si="0"/>
        <v>14</v>
      </c>
      <c r="O65" s="655">
        <f t="shared" si="1"/>
        <v>129</v>
      </c>
      <c r="P65" s="564"/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182</v>
      </c>
      <c r="E66" s="564" t="s">
        <v>115</v>
      </c>
      <c r="F66" s="564" t="s">
        <v>386</v>
      </c>
      <c r="G66" s="564" t="s">
        <v>36</v>
      </c>
      <c r="H66" s="565">
        <v>44643</v>
      </c>
      <c r="I66" s="652">
        <v>45839</v>
      </c>
      <c r="J66" s="653">
        <v>0</v>
      </c>
      <c r="K66" s="603">
        <v>0.5</v>
      </c>
      <c r="L66" s="646">
        <v>0</v>
      </c>
      <c r="M66" s="654" t="str">
        <f>VLOOKUP(G:G,list!B:E,4,FALSE)</f>
        <v>-</v>
      </c>
      <c r="N66" s="655">
        <f t="shared" si="0"/>
        <v>0</v>
      </c>
      <c r="O66" s="655">
        <f t="shared" si="1"/>
        <v>0</v>
      </c>
      <c r="P66" s="564" t="s">
        <v>366</v>
      </c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작가기획</v>
      </c>
      <c r="D67" s="564" t="s">
        <v>182</v>
      </c>
      <c r="E67" s="564" t="s">
        <v>115</v>
      </c>
      <c r="F67" s="564" t="s">
        <v>386</v>
      </c>
      <c r="G67" s="564" t="s">
        <v>37</v>
      </c>
      <c r="H67" s="565">
        <v>44643</v>
      </c>
      <c r="I67" s="652">
        <v>45839</v>
      </c>
      <c r="J67" s="653">
        <v>0</v>
      </c>
      <c r="K67" s="603">
        <v>0.5</v>
      </c>
      <c r="L67" s="646">
        <v>0</v>
      </c>
      <c r="M67" s="654" t="str">
        <f>VLOOKUP(G:G,list!B:E,4,FALSE)</f>
        <v>-</v>
      </c>
      <c r="N67" s="655">
        <f t="shared" si="0"/>
        <v>0</v>
      </c>
      <c r="O67" s="655">
        <f t="shared" si="1"/>
        <v>0</v>
      </c>
      <c r="P67" s="564" t="s">
        <v>366</v>
      </c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182</v>
      </c>
      <c r="E68" s="564" t="s">
        <v>115</v>
      </c>
      <c r="F68" s="564" t="s">
        <v>386</v>
      </c>
      <c r="G68" s="564" t="s">
        <v>56</v>
      </c>
      <c r="H68" s="565">
        <v>44599</v>
      </c>
      <c r="I68" s="652">
        <v>45839</v>
      </c>
      <c r="J68" s="653">
        <v>32445</v>
      </c>
      <c r="K68" s="603">
        <v>0.5</v>
      </c>
      <c r="L68" s="646">
        <v>16223</v>
      </c>
      <c r="M68" s="654">
        <f>VLOOKUP(G:G,list!B:E,4,FALSE)</f>
        <v>0.1</v>
      </c>
      <c r="N68" s="655">
        <f t="shared" si="0"/>
        <v>1622</v>
      </c>
      <c r="O68" s="655">
        <f t="shared" si="1"/>
        <v>14601</v>
      </c>
      <c r="P68" s="564"/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538</v>
      </c>
      <c r="E69" s="564" t="s">
        <v>9</v>
      </c>
      <c r="F69" s="564" t="s">
        <v>519</v>
      </c>
      <c r="G69" s="564" t="s">
        <v>316</v>
      </c>
      <c r="H69" s="565">
        <v>45446</v>
      </c>
      <c r="I69" s="652">
        <v>45901</v>
      </c>
      <c r="J69" s="653">
        <v>399.00000000000006</v>
      </c>
      <c r="K69" s="603">
        <v>0.7</v>
      </c>
      <c r="L69" s="646">
        <v>279.3</v>
      </c>
      <c r="M69" s="654">
        <f>VLOOKUP(G:G,list!B:E,4,FALSE)</f>
        <v>0.1</v>
      </c>
      <c r="N69" s="655">
        <f t="shared" si="0"/>
        <v>28</v>
      </c>
      <c r="O69" s="655">
        <f t="shared" si="1"/>
        <v>251.3</v>
      </c>
      <c r="P69" s="564"/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549</v>
      </c>
      <c r="E70" s="564" t="s">
        <v>9</v>
      </c>
      <c r="F70" s="564" t="s">
        <v>519</v>
      </c>
      <c r="G70" s="564" t="s">
        <v>316</v>
      </c>
      <c r="H70" s="565">
        <v>45524</v>
      </c>
      <c r="I70" s="652">
        <v>45901</v>
      </c>
      <c r="J70" s="653">
        <v>0</v>
      </c>
      <c r="K70" s="603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123</v>
      </c>
      <c r="E71" s="564" t="s">
        <v>9</v>
      </c>
      <c r="F71" s="564" t="s">
        <v>519</v>
      </c>
      <c r="G71" s="564" t="s">
        <v>316</v>
      </c>
      <c r="H71" s="565">
        <v>45536</v>
      </c>
      <c r="I71" s="652">
        <v>45901</v>
      </c>
      <c r="J71" s="653">
        <v>399.00000000000006</v>
      </c>
      <c r="K71" s="603">
        <v>0.7</v>
      </c>
      <c r="L71" s="646">
        <v>279.3</v>
      </c>
      <c r="M71" s="654">
        <f>VLOOKUP(G:G,list!B:E,4,FALSE)</f>
        <v>0.1</v>
      </c>
      <c r="N71" s="655">
        <f t="shared" si="0"/>
        <v>28</v>
      </c>
      <c r="O71" s="655">
        <f t="shared" si="1"/>
        <v>251.3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132</v>
      </c>
      <c r="E72" s="564" t="s">
        <v>9</v>
      </c>
      <c r="F72" s="564" t="s">
        <v>519</v>
      </c>
      <c r="G72" s="564" t="s">
        <v>316</v>
      </c>
      <c r="H72" s="565">
        <v>44945</v>
      </c>
      <c r="I72" s="652">
        <v>45901</v>
      </c>
      <c r="J72" s="653">
        <v>0</v>
      </c>
      <c r="K72" s="603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183</v>
      </c>
      <c r="E73" s="564" t="s">
        <v>9</v>
      </c>
      <c r="F73" s="564" t="s">
        <v>519</v>
      </c>
      <c r="G73" s="564" t="s">
        <v>316</v>
      </c>
      <c r="H73" s="565">
        <v>45702</v>
      </c>
      <c r="I73" s="652">
        <v>45901</v>
      </c>
      <c r="J73" s="653">
        <v>0</v>
      </c>
      <c r="K73" s="603">
        <v>0.7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56</v>
      </c>
      <c r="H74" s="565">
        <v>44952</v>
      </c>
      <c r="I74" s="652">
        <v>45901</v>
      </c>
      <c r="J74" s="653">
        <v>0</v>
      </c>
      <c r="K74" s="567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538</v>
      </c>
      <c r="E75" s="564" t="s">
        <v>9</v>
      </c>
      <c r="F75" s="564" t="s">
        <v>519</v>
      </c>
      <c r="G75" s="564" t="s">
        <v>56</v>
      </c>
      <c r="H75" s="565">
        <v>45503</v>
      </c>
      <c r="I75" s="652">
        <v>45901</v>
      </c>
      <c r="J75" s="653">
        <v>0</v>
      </c>
      <c r="K75" s="567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549</v>
      </c>
      <c r="E76" s="564" t="s">
        <v>9</v>
      </c>
      <c r="F76" s="564" t="s">
        <v>519</v>
      </c>
      <c r="G76" s="564" t="s">
        <v>56</v>
      </c>
      <c r="H76" s="565">
        <v>45547</v>
      </c>
      <c r="I76" s="652">
        <v>45901</v>
      </c>
      <c r="J76" s="653">
        <v>0</v>
      </c>
      <c r="K76" s="567">
        <v>0.5</v>
      </c>
      <c r="L76" s="646">
        <v>0</v>
      </c>
      <c r="M76" s="654">
        <f>VLOOKUP(G:G,list!B:E,4,FALSE)</f>
        <v>0.1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132</v>
      </c>
      <c r="E77" s="564" t="s">
        <v>9</v>
      </c>
      <c r="F77" s="564" t="s">
        <v>519</v>
      </c>
      <c r="G77" s="564" t="s">
        <v>30</v>
      </c>
      <c r="H77" s="565">
        <v>44953</v>
      </c>
      <c r="I77" s="652">
        <v>45901</v>
      </c>
      <c r="J77" s="653">
        <v>0</v>
      </c>
      <c r="K77" s="567">
        <v>0.5</v>
      </c>
      <c r="L77" s="646">
        <v>0</v>
      </c>
      <c r="M77" s="654">
        <f>VLOOKUP(G:G,list!B:E,4,FALSE)</f>
        <v>0.1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작가기획</v>
      </c>
      <c r="D78" s="564" t="s">
        <v>132</v>
      </c>
      <c r="E78" s="564" t="s">
        <v>9</v>
      </c>
      <c r="F78" s="564" t="s">
        <v>519</v>
      </c>
      <c r="G78" s="564" t="s">
        <v>308</v>
      </c>
      <c r="H78" s="565">
        <v>44992</v>
      </c>
      <c r="I78" s="652">
        <v>45901</v>
      </c>
      <c r="J78" s="653">
        <v>0</v>
      </c>
      <c r="K78" s="603">
        <v>0.5</v>
      </c>
      <c r="L78" s="646">
        <v>0</v>
      </c>
      <c r="M78" s="654" t="str">
        <f>VLOOKUP(G:G,list!B:E,4,FALSE)</f>
        <v>-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538</v>
      </c>
      <c r="E79" s="564" t="s">
        <v>9</v>
      </c>
      <c r="F79" s="564" t="s">
        <v>519</v>
      </c>
      <c r="G79" s="564" t="s">
        <v>308</v>
      </c>
      <c r="H79" s="565">
        <v>45610</v>
      </c>
      <c r="I79" s="652">
        <v>45901</v>
      </c>
      <c r="J79" s="653">
        <v>0</v>
      </c>
      <c r="K79" s="603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132</v>
      </c>
      <c r="E80" s="564" t="s">
        <v>9</v>
      </c>
      <c r="F80" s="564" t="s">
        <v>519</v>
      </c>
      <c r="G80" s="564" t="s">
        <v>36</v>
      </c>
      <c r="H80" s="565">
        <v>45198</v>
      </c>
      <c r="I80" s="652">
        <v>45901</v>
      </c>
      <c r="J80" s="653">
        <v>50939</v>
      </c>
      <c r="K80" s="603">
        <v>0.5</v>
      </c>
      <c r="L80" s="646">
        <v>25469.5</v>
      </c>
      <c r="M80" s="654" t="str">
        <f>VLOOKUP(G:G,list!B:E,4,FALSE)</f>
        <v>-</v>
      </c>
      <c r="N80" s="655">
        <f t="shared" si="0"/>
        <v>0</v>
      </c>
      <c r="O80" s="655">
        <f t="shared" si="1"/>
        <v>25469.5</v>
      </c>
      <c r="P80" s="564"/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538</v>
      </c>
      <c r="E81" s="564" t="s">
        <v>9</v>
      </c>
      <c r="F81" s="564" t="s">
        <v>519</v>
      </c>
      <c r="G81" s="564" t="s">
        <v>36</v>
      </c>
      <c r="H81" s="565">
        <v>45479</v>
      </c>
      <c r="I81" s="652">
        <v>45901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549</v>
      </c>
      <c r="E82" s="564" t="s">
        <v>9</v>
      </c>
      <c r="F82" s="564" t="s">
        <v>519</v>
      </c>
      <c r="G82" s="564" t="s">
        <v>36</v>
      </c>
      <c r="H82" s="565">
        <v>45531</v>
      </c>
      <c r="I82" s="652">
        <v>45901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123</v>
      </c>
      <c r="E83" s="564" t="s">
        <v>9</v>
      </c>
      <c r="F83" s="564" t="s">
        <v>519</v>
      </c>
      <c r="G83" s="564" t="s">
        <v>36</v>
      </c>
      <c r="H83" s="565">
        <v>45555</v>
      </c>
      <c r="I83" s="652">
        <v>45901</v>
      </c>
      <c r="J83" s="653">
        <v>0</v>
      </c>
      <c r="K83" s="603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132</v>
      </c>
      <c r="E84" s="564" t="s">
        <v>9</v>
      </c>
      <c r="F84" s="564" t="s">
        <v>519</v>
      </c>
      <c r="G84" s="564" t="s">
        <v>139</v>
      </c>
      <c r="H84" s="565">
        <v>45276</v>
      </c>
      <c r="I84" s="652">
        <v>45901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538</v>
      </c>
      <c r="E85" s="564" t="s">
        <v>9</v>
      </c>
      <c r="F85" s="564" t="s">
        <v>519</v>
      </c>
      <c r="G85" s="564" t="s">
        <v>139</v>
      </c>
      <c r="H85" s="565">
        <v>45534</v>
      </c>
      <c r="I85" s="652">
        <v>45901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123</v>
      </c>
      <c r="E86" s="564" t="s">
        <v>9</v>
      </c>
      <c r="F86" s="564" t="s">
        <v>519</v>
      </c>
      <c r="G86" s="564" t="s">
        <v>139</v>
      </c>
      <c r="H86" s="565">
        <v>45656</v>
      </c>
      <c r="I86" s="652">
        <v>45901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외부제작</v>
      </c>
      <c r="D87" s="564" t="s">
        <v>123</v>
      </c>
      <c r="E87" s="564" t="s">
        <v>9</v>
      </c>
      <c r="F87" s="564" t="s">
        <v>519</v>
      </c>
      <c r="G87" s="564" t="s">
        <v>315</v>
      </c>
      <c r="H87" s="565">
        <v>45673</v>
      </c>
      <c r="I87" s="652">
        <v>45901</v>
      </c>
      <c r="J87" s="653">
        <v>0</v>
      </c>
      <c r="K87" s="603">
        <v>0.5</v>
      </c>
      <c r="L87" s="646">
        <v>0</v>
      </c>
      <c r="M87" s="654" t="str">
        <f>VLOOKUP(G:G,list!B:E,4,FALSE)</f>
        <v>-</v>
      </c>
      <c r="N87" s="655">
        <f t="shared" si="0"/>
        <v>0</v>
      </c>
      <c r="O87" s="655">
        <f t="shared" si="1"/>
        <v>0</v>
      </c>
      <c r="P87" s="564" t="s">
        <v>366</v>
      </c>
      <c r="Q87" s="672" t="str">
        <f>VLOOKUP(G:G,list!B:F,5,FALSE)</f>
        <v>-</v>
      </c>
      <c r="R87" s="656" t="str">
        <f>VLOOKUP(G:G,list!B:D,3,FALSE)</f>
        <v>N</v>
      </c>
    </row>
    <row r="88" spans="2:18" ht="18" customHeight="1">
      <c r="B88" s="563">
        <v>83</v>
      </c>
      <c r="C88" s="651" t="str">
        <f>VLOOKUP(G:G,list!B:D,2,FALSE)</f>
        <v>원작료</v>
      </c>
      <c r="D88" s="564" t="s">
        <v>182</v>
      </c>
      <c r="E88" s="564" t="s">
        <v>115</v>
      </c>
      <c r="F88" s="564" t="s">
        <v>283</v>
      </c>
      <c r="G88" s="564" t="s">
        <v>30</v>
      </c>
      <c r="H88" s="565">
        <v>44358</v>
      </c>
      <c r="I88" s="652">
        <v>45839</v>
      </c>
      <c r="J88" s="653">
        <v>39054</v>
      </c>
      <c r="K88" s="603">
        <v>0.5</v>
      </c>
      <c r="L88" s="646">
        <v>19527</v>
      </c>
      <c r="M88" s="654">
        <f>VLOOKUP(G:G,list!B:E,4,FALSE)</f>
        <v>0.1</v>
      </c>
      <c r="N88" s="655">
        <f t="shared" si="0"/>
        <v>1953</v>
      </c>
      <c r="O88" s="655">
        <f t="shared" si="1"/>
        <v>17574</v>
      </c>
      <c r="P88" s="564"/>
      <c r="Q88" s="672" t="str">
        <f>VLOOKUP(G:G,list!B:F,5,FALSE)</f>
        <v>웹소설본부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283</v>
      </c>
      <c r="G89" s="564" t="s">
        <v>56</v>
      </c>
      <c r="H89" s="565">
        <v>44391</v>
      </c>
      <c r="I89" s="652">
        <v>45839</v>
      </c>
      <c r="J89" s="653">
        <v>474594</v>
      </c>
      <c r="K89" s="603">
        <v>0.5</v>
      </c>
      <c r="L89" s="646">
        <v>237297</v>
      </c>
      <c r="M89" s="654">
        <f>VLOOKUP(G:G,list!B:E,4,FALSE)</f>
        <v>0.1</v>
      </c>
      <c r="N89" s="655">
        <f t="shared" si="0"/>
        <v>23730</v>
      </c>
      <c r="O89" s="655">
        <f t="shared" si="1"/>
        <v>213567</v>
      </c>
      <c r="P89" s="564"/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283</v>
      </c>
      <c r="G90" s="564" t="s">
        <v>316</v>
      </c>
      <c r="H90" s="565">
        <v>44969</v>
      </c>
      <c r="I90" s="652">
        <v>45839</v>
      </c>
      <c r="J90" s="653">
        <v>37378</v>
      </c>
      <c r="K90" s="603">
        <v>0.5</v>
      </c>
      <c r="L90" s="646">
        <v>18689</v>
      </c>
      <c r="M90" s="654">
        <f>VLOOKUP(G:G,list!B:E,4,FALSE)</f>
        <v>0.1</v>
      </c>
      <c r="N90" s="655">
        <f t="shared" si="0"/>
        <v>1869</v>
      </c>
      <c r="O90" s="655">
        <f t="shared" si="1"/>
        <v>16820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작가기획</v>
      </c>
      <c r="D91" s="564" t="s">
        <v>182</v>
      </c>
      <c r="E91" s="564" t="s">
        <v>115</v>
      </c>
      <c r="F91" s="564" t="s">
        <v>550</v>
      </c>
      <c r="G91" s="564" t="s">
        <v>308</v>
      </c>
      <c r="H91" s="565">
        <v>45347</v>
      </c>
      <c r="I91" s="652">
        <v>45839</v>
      </c>
      <c r="J91" s="653">
        <v>0</v>
      </c>
      <c r="K91" s="603">
        <v>0.5</v>
      </c>
      <c r="L91" s="646">
        <v>0</v>
      </c>
      <c r="M91" s="654" t="str">
        <f>VLOOKUP(G:G,list!B:E,4,FALSE)</f>
        <v>-</v>
      </c>
      <c r="N91" s="655">
        <f t="shared" si="0"/>
        <v>0</v>
      </c>
      <c r="O91" s="655">
        <f t="shared" si="1"/>
        <v>0</v>
      </c>
      <c r="P91" s="564" t="s">
        <v>366</v>
      </c>
      <c r="Q91" s="672" t="str">
        <f>VLOOKUP(G:G,list!B:F,5,FALSE)</f>
        <v>-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550</v>
      </c>
      <c r="G92" s="564" t="s">
        <v>316</v>
      </c>
      <c r="H92" s="565">
        <v>45359</v>
      </c>
      <c r="I92" s="652">
        <v>45839</v>
      </c>
      <c r="J92" s="653">
        <v>0</v>
      </c>
      <c r="K92" s="603">
        <v>0.5</v>
      </c>
      <c r="L92" s="646">
        <v>0</v>
      </c>
      <c r="M92" s="654">
        <f>VLOOKUP(G:G,list!B:E,4,FALSE)</f>
        <v>0.1</v>
      </c>
      <c r="N92" s="655">
        <f t="shared" si="0"/>
        <v>0</v>
      </c>
      <c r="O92" s="655">
        <f t="shared" si="1"/>
        <v>0</v>
      </c>
      <c r="P92" s="564" t="s">
        <v>366</v>
      </c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32</v>
      </c>
      <c r="E93" s="564" t="s">
        <v>9</v>
      </c>
      <c r="F93" s="564" t="s">
        <v>31</v>
      </c>
      <c r="G93" s="564" t="s">
        <v>30</v>
      </c>
      <c r="H93" s="565">
        <v>44239</v>
      </c>
      <c r="I93" s="652">
        <v>45870</v>
      </c>
      <c r="J93" s="653">
        <v>76126</v>
      </c>
      <c r="K93" s="603">
        <v>0.4</v>
      </c>
      <c r="L93" s="646">
        <v>28919</v>
      </c>
      <c r="M93" s="654">
        <f>VLOOKUP(G:G,list!B:E,4,FALSE)</f>
        <v>0.1</v>
      </c>
      <c r="N93" s="655">
        <f t="shared" si="0"/>
        <v>2892</v>
      </c>
      <c r="O93" s="655">
        <f t="shared" si="1"/>
        <v>26027</v>
      </c>
      <c r="P93" s="564"/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56</v>
      </c>
      <c r="H94" s="565">
        <v>44581</v>
      </c>
      <c r="I94" s="652">
        <v>45901</v>
      </c>
      <c r="J94" s="653">
        <v>519650</v>
      </c>
      <c r="K94" s="603">
        <v>0.3</v>
      </c>
      <c r="L94" s="568">
        <v>155895</v>
      </c>
      <c r="M94" s="654">
        <f>VLOOKUP(G:G,list!B:E,4,FALSE)</f>
        <v>0.1</v>
      </c>
      <c r="N94" s="655">
        <f t="shared" si="0"/>
        <v>15590</v>
      </c>
      <c r="O94" s="655">
        <f t="shared" si="1"/>
        <v>140305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183</v>
      </c>
      <c r="E95" s="564" t="s">
        <v>9</v>
      </c>
      <c r="F95" s="564" t="s">
        <v>213</v>
      </c>
      <c r="G95" s="564" t="s">
        <v>56</v>
      </c>
      <c r="H95" s="565">
        <v>44829</v>
      </c>
      <c r="I95" s="652">
        <v>45901</v>
      </c>
      <c r="J95" s="653">
        <v>663727</v>
      </c>
      <c r="K95" s="603">
        <v>0.3</v>
      </c>
      <c r="L95" s="568">
        <v>199118</v>
      </c>
      <c r="M95" s="654">
        <f>VLOOKUP(G:G,list!B:E,4,FALSE)</f>
        <v>0.1</v>
      </c>
      <c r="N95" s="655">
        <f t="shared" si="0"/>
        <v>19912</v>
      </c>
      <c r="O95" s="655">
        <f t="shared" si="1"/>
        <v>179206</v>
      </c>
      <c r="P95" s="564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454</v>
      </c>
      <c r="H96" s="565">
        <v>44854</v>
      </c>
      <c r="I96" s="652">
        <v>45901</v>
      </c>
      <c r="J96" s="653">
        <v>388400</v>
      </c>
      <c r="K96" s="603">
        <v>0.3</v>
      </c>
      <c r="L96" s="568">
        <v>116520</v>
      </c>
      <c r="M96" s="654">
        <f>VLOOKUP(G:G,list!B:E,4,FALSE)</f>
        <v>0.1</v>
      </c>
      <c r="N96" s="655">
        <f t="shared" si="0"/>
        <v>11652</v>
      </c>
      <c r="O96" s="655">
        <f t="shared" si="1"/>
        <v>104868</v>
      </c>
      <c r="P96" s="564" t="s">
        <v>186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481</v>
      </c>
      <c r="H97" s="565">
        <v>44981</v>
      </c>
      <c r="I97" s="652">
        <v>45901</v>
      </c>
      <c r="J97" s="653">
        <v>98103</v>
      </c>
      <c r="K97" s="603">
        <v>0.3</v>
      </c>
      <c r="L97" s="568">
        <v>29431</v>
      </c>
      <c r="M97" s="654">
        <f>VLOOKUP(G:G,list!B:E,4,FALSE)</f>
        <v>0.1</v>
      </c>
      <c r="N97" s="655">
        <f t="shared" si="0"/>
        <v>2943</v>
      </c>
      <c r="O97" s="655">
        <f t="shared" si="1"/>
        <v>26488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213</v>
      </c>
      <c r="G98" s="564" t="s">
        <v>352</v>
      </c>
      <c r="H98" s="565">
        <v>44984</v>
      </c>
      <c r="I98" s="652">
        <v>45901</v>
      </c>
      <c r="J98" s="653">
        <v>252340</v>
      </c>
      <c r="K98" s="603">
        <v>0.3</v>
      </c>
      <c r="L98" s="568">
        <v>75702</v>
      </c>
      <c r="M98" s="654">
        <f>VLOOKUP(G:G,list!B:E,4,FALSE)</f>
        <v>0.1</v>
      </c>
      <c r="N98" s="655">
        <f t="shared" si="0"/>
        <v>7570</v>
      </c>
      <c r="O98" s="655">
        <f t="shared" si="1"/>
        <v>68132</v>
      </c>
      <c r="P98" s="564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213</v>
      </c>
      <c r="G99" s="564" t="s">
        <v>454</v>
      </c>
      <c r="H99" s="565">
        <v>44902</v>
      </c>
      <c r="I99" s="652">
        <v>45870</v>
      </c>
      <c r="J99" s="653">
        <v>740817</v>
      </c>
      <c r="K99" s="603">
        <v>0.3</v>
      </c>
      <c r="L99" s="568">
        <v>222245</v>
      </c>
      <c r="M99" s="654">
        <f>VLOOKUP(G:G,list!B:E,4,FALSE)</f>
        <v>0.1</v>
      </c>
      <c r="N99" s="655">
        <f t="shared" ref="N99:N118" si="4">ROUND(IF(M99="-",0,L99*M99),0)</f>
        <v>22225</v>
      </c>
      <c r="O99" s="655">
        <f t="shared" ref="O99:O118" si="5">L99-N99</f>
        <v>200020</v>
      </c>
      <c r="P99" s="564" t="s">
        <v>282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72</v>
      </c>
      <c r="E100" s="564" t="s">
        <v>9</v>
      </c>
      <c r="F100" s="564" t="s">
        <v>213</v>
      </c>
      <c r="G100" s="564" t="s">
        <v>454</v>
      </c>
      <c r="H100" s="565">
        <v>45257</v>
      </c>
      <c r="I100" s="652">
        <v>45870</v>
      </c>
      <c r="J100" s="653">
        <v>106050</v>
      </c>
      <c r="K100" s="603">
        <v>0.3</v>
      </c>
      <c r="L100" s="568">
        <v>31815</v>
      </c>
      <c r="M100" s="654">
        <f>VLOOKUP(G:G,list!B:E,4,FALSE)</f>
        <v>0.1</v>
      </c>
      <c r="N100" s="655">
        <f t="shared" si="4"/>
        <v>3182</v>
      </c>
      <c r="O100" s="655">
        <f t="shared" si="5"/>
        <v>28633</v>
      </c>
      <c r="P100" s="564" t="s">
        <v>546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작가기획</v>
      </c>
      <c r="D101" s="564" t="s">
        <v>182</v>
      </c>
      <c r="E101" s="564" t="s">
        <v>115</v>
      </c>
      <c r="F101" s="564" t="s">
        <v>565</v>
      </c>
      <c r="G101" s="564" t="s">
        <v>36</v>
      </c>
      <c r="H101" s="565">
        <v>45364</v>
      </c>
      <c r="I101" s="652">
        <v>45748</v>
      </c>
      <c r="J101" s="653">
        <v>49402.579964539014</v>
      </c>
      <c r="K101" s="603">
        <v>0.5</v>
      </c>
      <c r="L101" s="568">
        <v>24701</v>
      </c>
      <c r="M101" s="654" t="str">
        <f>VLOOKUP(G:G,list!B:E,4,FALSE)</f>
        <v>-</v>
      </c>
      <c r="N101" s="655">
        <f t="shared" si="4"/>
        <v>0</v>
      </c>
      <c r="O101" s="655">
        <f t="shared" si="5"/>
        <v>24701</v>
      </c>
      <c r="P101" s="564"/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작가기획</v>
      </c>
      <c r="D102" s="564" t="s">
        <v>182</v>
      </c>
      <c r="E102" s="564" t="s">
        <v>115</v>
      </c>
      <c r="F102" s="564" t="s">
        <v>565</v>
      </c>
      <c r="G102" s="564" t="s">
        <v>36</v>
      </c>
      <c r="H102" s="565">
        <v>45364</v>
      </c>
      <c r="I102" s="652">
        <v>45778</v>
      </c>
      <c r="J102" s="653">
        <v>54301.148020094559</v>
      </c>
      <c r="K102" s="603">
        <v>0.5</v>
      </c>
      <c r="L102" s="568">
        <v>27151</v>
      </c>
      <c r="M102" s="654" t="str">
        <f>VLOOKUP(G:G,list!B:E,4,FALSE)</f>
        <v>-</v>
      </c>
      <c r="N102" s="655">
        <f t="shared" si="4"/>
        <v>0</v>
      </c>
      <c r="O102" s="655">
        <f t="shared" si="5"/>
        <v>27151</v>
      </c>
      <c r="P102" s="564"/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작가기획</v>
      </c>
      <c r="D103" s="564" t="s">
        <v>182</v>
      </c>
      <c r="E103" s="564" t="s">
        <v>115</v>
      </c>
      <c r="F103" s="564" t="s">
        <v>565</v>
      </c>
      <c r="G103" s="564" t="s">
        <v>36</v>
      </c>
      <c r="H103" s="565">
        <v>45364</v>
      </c>
      <c r="I103" s="652">
        <v>45809</v>
      </c>
      <c r="J103" s="653">
        <v>72644.722015366438</v>
      </c>
      <c r="K103" s="603">
        <v>0.5</v>
      </c>
      <c r="L103" s="568">
        <v>36322</v>
      </c>
      <c r="M103" s="654" t="str">
        <f>VLOOKUP(G:G,list!B:E,4,FALSE)</f>
        <v>-</v>
      </c>
      <c r="N103" s="655">
        <f t="shared" si="4"/>
        <v>0</v>
      </c>
      <c r="O103" s="655">
        <f t="shared" si="5"/>
        <v>36322</v>
      </c>
      <c r="P103" s="564"/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작가기획</v>
      </c>
      <c r="D104" s="564" t="s">
        <v>182</v>
      </c>
      <c r="E104" s="564" t="s">
        <v>115</v>
      </c>
      <c r="F104" s="564" t="s">
        <v>565</v>
      </c>
      <c r="G104" s="564" t="s">
        <v>37</v>
      </c>
      <c r="H104" s="565">
        <v>45362</v>
      </c>
      <c r="I104" s="652">
        <v>45748</v>
      </c>
      <c r="J104" s="653">
        <v>3025.1578947368421</v>
      </c>
      <c r="K104" s="603">
        <v>0.5</v>
      </c>
      <c r="L104" s="568">
        <v>1513</v>
      </c>
      <c r="M104" s="654" t="str">
        <f>VLOOKUP(G:G,list!B:E,4,FALSE)</f>
        <v>-</v>
      </c>
      <c r="N104" s="655">
        <f t="shared" si="4"/>
        <v>0</v>
      </c>
      <c r="O104" s="655">
        <f t="shared" si="5"/>
        <v>1513</v>
      </c>
      <c r="P104" s="564"/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작가기획</v>
      </c>
      <c r="D105" s="564" t="s">
        <v>182</v>
      </c>
      <c r="E105" s="564" t="s">
        <v>115</v>
      </c>
      <c r="F105" s="564" t="s">
        <v>565</v>
      </c>
      <c r="G105" s="564" t="s">
        <v>37</v>
      </c>
      <c r="H105" s="565">
        <v>45362</v>
      </c>
      <c r="I105" s="652">
        <v>45778</v>
      </c>
      <c r="J105" s="653">
        <v>4588.1561403508776</v>
      </c>
      <c r="K105" s="603">
        <v>0.5</v>
      </c>
      <c r="L105" s="568">
        <v>2294</v>
      </c>
      <c r="M105" s="654" t="str">
        <f>VLOOKUP(G:G,list!B:E,4,FALSE)</f>
        <v>-</v>
      </c>
      <c r="N105" s="655">
        <f t="shared" si="4"/>
        <v>0</v>
      </c>
      <c r="O105" s="655">
        <f t="shared" si="5"/>
        <v>2294</v>
      </c>
      <c r="P105" s="564"/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작가기획</v>
      </c>
      <c r="D106" s="564" t="s">
        <v>182</v>
      </c>
      <c r="E106" s="564" t="s">
        <v>115</v>
      </c>
      <c r="F106" s="564" t="s">
        <v>565</v>
      </c>
      <c r="G106" s="564" t="s">
        <v>37</v>
      </c>
      <c r="H106" s="565">
        <v>45362</v>
      </c>
      <c r="I106" s="652">
        <v>45809</v>
      </c>
      <c r="J106" s="653">
        <v>3882.2859649122806</v>
      </c>
      <c r="K106" s="603">
        <v>0.5</v>
      </c>
      <c r="L106" s="568">
        <v>1941</v>
      </c>
      <c r="M106" s="654" t="str">
        <f>VLOOKUP(G:G,list!B:E,4,FALSE)</f>
        <v>-</v>
      </c>
      <c r="N106" s="655">
        <f t="shared" si="4"/>
        <v>0</v>
      </c>
      <c r="O106" s="655">
        <f t="shared" si="5"/>
        <v>1941</v>
      </c>
      <c r="P106" s="564"/>
      <c r="Q106" s="672" t="str">
        <f>VLOOKUP(G:G,list!B:F,5,FALSE)</f>
        <v>-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182</v>
      </c>
      <c r="E107" s="564" t="s">
        <v>115</v>
      </c>
      <c r="F107" s="564" t="s">
        <v>565</v>
      </c>
      <c r="G107" s="564" t="s">
        <v>30</v>
      </c>
      <c r="H107" s="565">
        <v>45379</v>
      </c>
      <c r="I107" s="652">
        <v>45748</v>
      </c>
      <c r="J107" s="653">
        <v>8102.2358181818181</v>
      </c>
      <c r="K107" s="603">
        <v>0.5</v>
      </c>
      <c r="L107" s="568">
        <v>4051</v>
      </c>
      <c r="M107" s="654">
        <f>VLOOKUP(G:G,list!B:E,4,FALSE)</f>
        <v>0.1</v>
      </c>
      <c r="N107" s="655">
        <f t="shared" si="4"/>
        <v>405</v>
      </c>
      <c r="O107" s="655">
        <f t="shared" si="5"/>
        <v>3646</v>
      </c>
      <c r="P107" s="564"/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182</v>
      </c>
      <c r="E108" s="564" t="s">
        <v>115</v>
      </c>
      <c r="F108" s="564" t="s">
        <v>565</v>
      </c>
      <c r="G108" s="564" t="s">
        <v>30</v>
      </c>
      <c r="H108" s="565">
        <v>45379</v>
      </c>
      <c r="I108" s="652">
        <v>45778</v>
      </c>
      <c r="J108" s="653">
        <v>934.87336363636359</v>
      </c>
      <c r="K108" s="603">
        <v>0.5</v>
      </c>
      <c r="L108" s="568">
        <v>467</v>
      </c>
      <c r="M108" s="654">
        <f>VLOOKUP(G:G,list!B:E,4,FALSE)</f>
        <v>0.1</v>
      </c>
      <c r="N108" s="655">
        <f t="shared" si="4"/>
        <v>47</v>
      </c>
      <c r="O108" s="655">
        <f t="shared" si="5"/>
        <v>420</v>
      </c>
      <c r="P108" s="564"/>
      <c r="Q108" s="672" t="str">
        <f>VLOOKUP(G:G,list!B:F,5,FALSE)</f>
        <v>웹소설본부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182</v>
      </c>
      <c r="E109" s="564" t="s">
        <v>115</v>
      </c>
      <c r="F109" s="564" t="s">
        <v>565</v>
      </c>
      <c r="G109" s="564" t="s">
        <v>30</v>
      </c>
      <c r="H109" s="565">
        <v>45379</v>
      </c>
      <c r="I109" s="652">
        <v>45809</v>
      </c>
      <c r="J109" s="653">
        <v>2389.1208181818179</v>
      </c>
      <c r="K109" s="603">
        <v>0.5</v>
      </c>
      <c r="L109" s="568">
        <v>1195</v>
      </c>
      <c r="M109" s="654">
        <f>VLOOKUP(G:G,list!B:E,4,FALSE)</f>
        <v>0.1</v>
      </c>
      <c r="N109" s="655">
        <f t="shared" si="4"/>
        <v>120</v>
      </c>
      <c r="O109" s="655">
        <f t="shared" si="5"/>
        <v>1075</v>
      </c>
      <c r="P109" s="564"/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작가기획</v>
      </c>
      <c r="D110" s="564" t="s">
        <v>182</v>
      </c>
      <c r="E110" s="564" t="s">
        <v>115</v>
      </c>
      <c r="F110" s="564" t="s">
        <v>565</v>
      </c>
      <c r="G110" s="564" t="s">
        <v>308</v>
      </c>
      <c r="H110" s="565">
        <v>45382</v>
      </c>
      <c r="I110" s="652">
        <v>45748</v>
      </c>
      <c r="J110" s="653">
        <v>0</v>
      </c>
      <c r="K110" s="603">
        <v>0.5</v>
      </c>
      <c r="L110" s="568">
        <v>0</v>
      </c>
      <c r="M110" s="654" t="str">
        <f>VLOOKUP(G:G,list!B:E,4,FALSE)</f>
        <v>-</v>
      </c>
      <c r="N110" s="655">
        <f t="shared" si="4"/>
        <v>0</v>
      </c>
      <c r="O110" s="655">
        <f t="shared" si="5"/>
        <v>0</v>
      </c>
      <c r="P110" s="564" t="s">
        <v>366</v>
      </c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작가기획</v>
      </c>
      <c r="D111" s="564" t="s">
        <v>182</v>
      </c>
      <c r="E111" s="564" t="s">
        <v>115</v>
      </c>
      <c r="F111" s="564" t="s">
        <v>565</v>
      </c>
      <c r="G111" s="564" t="s">
        <v>308</v>
      </c>
      <c r="H111" s="565">
        <v>45382</v>
      </c>
      <c r="I111" s="652">
        <v>45778</v>
      </c>
      <c r="J111" s="653">
        <v>0</v>
      </c>
      <c r="K111" s="603">
        <v>0.5</v>
      </c>
      <c r="L111" s="568">
        <v>0</v>
      </c>
      <c r="M111" s="654" t="str">
        <f>VLOOKUP(G:G,list!B:E,4,FALSE)</f>
        <v>-</v>
      </c>
      <c r="N111" s="655">
        <f t="shared" si="4"/>
        <v>0</v>
      </c>
      <c r="O111" s="655">
        <f t="shared" si="5"/>
        <v>0</v>
      </c>
      <c r="P111" s="564" t="s">
        <v>366</v>
      </c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작가기획</v>
      </c>
      <c r="D112" s="564" t="s">
        <v>182</v>
      </c>
      <c r="E112" s="564" t="s">
        <v>115</v>
      </c>
      <c r="F112" s="564" t="s">
        <v>565</v>
      </c>
      <c r="G112" s="564" t="s">
        <v>308</v>
      </c>
      <c r="H112" s="565">
        <v>45382</v>
      </c>
      <c r="I112" s="652">
        <v>45809</v>
      </c>
      <c r="J112" s="653">
        <v>0</v>
      </c>
      <c r="K112" s="603">
        <v>0.5</v>
      </c>
      <c r="L112" s="568">
        <v>0</v>
      </c>
      <c r="M112" s="654" t="str">
        <f>VLOOKUP(G:G,list!B:E,4,FALSE)</f>
        <v>-</v>
      </c>
      <c r="N112" s="655">
        <f t="shared" si="4"/>
        <v>0</v>
      </c>
      <c r="O112" s="655">
        <f t="shared" si="5"/>
        <v>0</v>
      </c>
      <c r="P112" s="564" t="s">
        <v>366</v>
      </c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182</v>
      </c>
      <c r="E113" s="564" t="s">
        <v>115</v>
      </c>
      <c r="F113" s="564" t="s">
        <v>565</v>
      </c>
      <c r="G113" s="564" t="s">
        <v>316</v>
      </c>
      <c r="H113" s="565">
        <v>45390</v>
      </c>
      <c r="I113" s="652">
        <v>45748</v>
      </c>
      <c r="J113" s="653">
        <v>9724.7159271168275</v>
      </c>
      <c r="K113" s="603">
        <v>0.5</v>
      </c>
      <c r="L113" s="568">
        <v>4862</v>
      </c>
      <c r="M113" s="654">
        <f>VLOOKUP(G:G,list!B:E,4,FALSE)</f>
        <v>0.1</v>
      </c>
      <c r="N113" s="655">
        <f t="shared" si="4"/>
        <v>486</v>
      </c>
      <c r="O113" s="655">
        <f t="shared" si="5"/>
        <v>4376</v>
      </c>
      <c r="P113" s="564"/>
      <c r="Q113" s="672" t="str">
        <f>VLOOKUP(G:G,list!B:F,5,FALSE)</f>
        <v>웹소설본부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182</v>
      </c>
      <c r="E114" s="564" t="s">
        <v>115</v>
      </c>
      <c r="F114" s="564" t="s">
        <v>565</v>
      </c>
      <c r="G114" s="564" t="s">
        <v>316</v>
      </c>
      <c r="H114" s="565">
        <v>45390</v>
      </c>
      <c r="I114" s="652">
        <v>45778</v>
      </c>
      <c r="J114" s="653">
        <v>14021.683429796356</v>
      </c>
      <c r="K114" s="603">
        <v>0.5</v>
      </c>
      <c r="L114" s="568">
        <v>7011</v>
      </c>
      <c r="M114" s="654">
        <f>VLOOKUP(G:G,list!B:E,4,FALSE)</f>
        <v>0.1</v>
      </c>
      <c r="N114" s="655">
        <f t="shared" si="4"/>
        <v>701</v>
      </c>
      <c r="O114" s="655">
        <f t="shared" si="5"/>
        <v>6310</v>
      </c>
      <c r="P114" s="564"/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182</v>
      </c>
      <c r="E115" s="564" t="s">
        <v>115</v>
      </c>
      <c r="F115" s="564" t="s">
        <v>565</v>
      </c>
      <c r="G115" s="564" t="s">
        <v>316</v>
      </c>
      <c r="H115" s="565">
        <v>45390</v>
      </c>
      <c r="I115" s="652">
        <v>45809</v>
      </c>
      <c r="J115" s="653">
        <v>81755.460643086815</v>
      </c>
      <c r="K115" s="603">
        <v>0.5</v>
      </c>
      <c r="L115" s="568">
        <v>40878</v>
      </c>
      <c r="M115" s="654">
        <f>VLOOKUP(G:G,list!B:E,4,FALSE)</f>
        <v>0.1</v>
      </c>
      <c r="N115" s="655">
        <f t="shared" si="4"/>
        <v>4088</v>
      </c>
      <c r="O115" s="655">
        <f t="shared" si="5"/>
        <v>36790</v>
      </c>
      <c r="P115" s="564"/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182</v>
      </c>
      <c r="E116" s="564" t="s">
        <v>115</v>
      </c>
      <c r="F116" s="564" t="s">
        <v>565</v>
      </c>
      <c r="G116" s="564" t="s">
        <v>56</v>
      </c>
      <c r="H116" s="565">
        <v>45391</v>
      </c>
      <c r="I116" s="652">
        <v>45748</v>
      </c>
      <c r="J116" s="653">
        <v>33378.108040345818</v>
      </c>
      <c r="K116" s="603">
        <v>0.5</v>
      </c>
      <c r="L116" s="568">
        <v>16689</v>
      </c>
      <c r="M116" s="654">
        <f>VLOOKUP(G:G,list!B:E,4,FALSE)</f>
        <v>0.1</v>
      </c>
      <c r="N116" s="655">
        <f t="shared" si="4"/>
        <v>1669</v>
      </c>
      <c r="O116" s="655">
        <f t="shared" si="5"/>
        <v>15020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182</v>
      </c>
      <c r="E117" s="564" t="s">
        <v>115</v>
      </c>
      <c r="F117" s="564" t="s">
        <v>565</v>
      </c>
      <c r="G117" s="564" t="s">
        <v>56</v>
      </c>
      <c r="H117" s="565">
        <v>45391</v>
      </c>
      <c r="I117" s="652">
        <v>45778</v>
      </c>
      <c r="J117" s="653">
        <v>24741.81435158501</v>
      </c>
      <c r="K117" s="603">
        <v>0.5</v>
      </c>
      <c r="L117" s="568">
        <v>12371</v>
      </c>
      <c r="M117" s="654">
        <f>VLOOKUP(G:G,list!B:E,4,FALSE)</f>
        <v>0.1</v>
      </c>
      <c r="N117" s="655">
        <f t="shared" si="4"/>
        <v>1237</v>
      </c>
      <c r="O117" s="655">
        <f t="shared" si="5"/>
        <v>11134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원작료</v>
      </c>
      <c r="D118" s="564" t="s">
        <v>182</v>
      </c>
      <c r="E118" s="564" t="s">
        <v>115</v>
      </c>
      <c r="F118" s="564" t="s">
        <v>565</v>
      </c>
      <c r="G118" s="564" t="s">
        <v>56</v>
      </c>
      <c r="H118" s="565">
        <v>45391</v>
      </c>
      <c r="I118" s="652">
        <v>45809</v>
      </c>
      <c r="J118" s="653">
        <v>22874.507608069165</v>
      </c>
      <c r="K118" s="603">
        <v>0.5</v>
      </c>
      <c r="L118" s="568">
        <v>11437</v>
      </c>
      <c r="M118" s="654">
        <f>VLOOKUP(G:G,list!B:E,4,FALSE)</f>
        <v>0.1</v>
      </c>
      <c r="N118" s="655">
        <f t="shared" si="4"/>
        <v>1144</v>
      </c>
      <c r="O118" s="655">
        <f t="shared" si="5"/>
        <v>10293</v>
      </c>
      <c r="P118" s="564"/>
      <c r="Q118" s="672" t="str">
        <f>VLOOKUP(G:G,list!B:F,5,FALSE)</f>
        <v>웹소설본부</v>
      </c>
      <c r="R118" s="656" t="str">
        <f>VLOOKUP(G:G,list!B:D,3,FALSE)</f>
        <v>Y</v>
      </c>
    </row>
    <row r="119" spans="2:18" ht="11.25" customHeight="1">
      <c r="B119" s="52"/>
      <c r="C119" s="551"/>
      <c r="D119" s="551"/>
      <c r="E119" s="551"/>
      <c r="F119" s="551"/>
      <c r="G119" s="551"/>
      <c r="H119" s="622"/>
      <c r="I119" s="551"/>
      <c r="J119" s="435"/>
      <c r="K119" s="623"/>
      <c r="L119"/>
      <c r="M119" s="438"/>
      <c r="N119" s="439"/>
      <c r="O119" s="440"/>
      <c r="P119" s="633"/>
      <c r="Q119" s="438"/>
      <c r="R119" s="486"/>
    </row>
    <row r="120" spans="2:18" s="7" customFormat="1" ht="16.5" customHeight="1">
      <c r="B120" s="624" t="s">
        <v>387</v>
      </c>
      <c r="C120" s="625"/>
      <c r="D120" s="625"/>
      <c r="E120" s="626"/>
      <c r="F120" s="625"/>
      <c r="G120" s="625"/>
      <c r="H120" s="625"/>
      <c r="I120" s="311"/>
      <c r="J120" s="311"/>
      <c r="K120" s="311"/>
      <c r="M120" s="424"/>
      <c r="N120"/>
      <c r="O120" s="333"/>
      <c r="P120" s="631"/>
      <c r="Q120" s="424"/>
      <c r="R120" s="484"/>
    </row>
    <row r="121" spans="2:18" s="7" customFormat="1" ht="16.5" customHeight="1">
      <c r="B121" s="629" t="s">
        <v>299</v>
      </c>
      <c r="C121" s="625"/>
      <c r="D121" s="625"/>
      <c r="E121" s="626"/>
      <c r="F121" s="625"/>
      <c r="G121" s="625"/>
      <c r="H121" s="625"/>
      <c r="I121" s="311"/>
      <c r="K121" s="311"/>
      <c r="L121" s="311"/>
      <c r="M121" s="424"/>
      <c r="N121"/>
      <c r="O121" s="333"/>
      <c r="P121" s="631"/>
      <c r="Q121" s="424"/>
      <c r="R121" s="484"/>
    </row>
    <row r="122" spans="2:18" s="7" customFormat="1" ht="16.5" customHeight="1">
      <c r="B122" s="628" t="s">
        <v>302</v>
      </c>
      <c r="C122" s="627"/>
      <c r="D122" s="625"/>
      <c r="E122" s="626"/>
      <c r="F122" s="625"/>
      <c r="G122" s="625"/>
      <c r="H122" s="625"/>
      <c r="I122" s="311"/>
      <c r="J122" s="311"/>
      <c r="L122" s="311"/>
      <c r="M122" s="424"/>
      <c r="N122"/>
      <c r="O122" s="333"/>
      <c r="P122" s="631"/>
      <c r="Q122" s="424"/>
      <c r="R122" s="484"/>
    </row>
    <row r="123" spans="2:18" s="7" customFormat="1" ht="16.5" customHeight="1">
      <c r="B123" s="630" t="s">
        <v>303</v>
      </c>
      <c r="C123" s="627"/>
      <c r="D123" s="625"/>
      <c r="E123" s="626"/>
      <c r="F123" s="625"/>
      <c r="G123" s="625"/>
      <c r="H123" s="625"/>
      <c r="I123" s="311"/>
      <c r="J123" s="311"/>
      <c r="K123" s="311"/>
      <c r="L123" s="311"/>
      <c r="M123" s="424"/>
      <c r="N123"/>
      <c r="O123" s="333"/>
      <c r="P123" s="631"/>
      <c r="Q123" s="424"/>
      <c r="R123" s="484"/>
    </row>
    <row r="124" spans="2:18" ht="16.5" customHeight="1">
      <c r="B124" s="629" t="s">
        <v>340</v>
      </c>
      <c r="C124" s="625"/>
      <c r="D124" s="625"/>
      <c r="E124" s="626"/>
      <c r="F124" s="625"/>
      <c r="G124" s="625"/>
      <c r="H124" s="625"/>
      <c r="I124" s="311"/>
      <c r="J124" s="311"/>
      <c r="K124" s="311"/>
    </row>
    <row r="125" spans="2:18" ht="16.5" customHeight="1">
      <c r="B125" s="629" t="s">
        <v>512</v>
      </c>
      <c r="C125" s="625"/>
      <c r="D125" s="625"/>
      <c r="E125" s="626"/>
      <c r="F125" s="625"/>
      <c r="G125" s="625"/>
      <c r="H125" s="625"/>
      <c r="I125" s="311"/>
      <c r="J125" s="311"/>
      <c r="K125" s="311"/>
    </row>
    <row r="126" spans="2:18" ht="16.5" customHeight="1">
      <c r="B126" s="629" t="s">
        <v>522</v>
      </c>
      <c r="C126" s="625"/>
      <c r="D126" s="625"/>
      <c r="E126" s="626"/>
      <c r="F126" s="625"/>
      <c r="G126" s="625"/>
      <c r="H126" s="625"/>
      <c r="I126" s="311"/>
      <c r="J126" s="311"/>
      <c r="K126" s="311"/>
    </row>
    <row r="127" spans="2:18" ht="16.5" customHeight="1">
      <c r="B127" s="629" t="s">
        <v>520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521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8" s="311" customFormat="1" ht="16.5" customHeight="1">
      <c r="B129" s="629" t="s">
        <v>529</v>
      </c>
      <c r="C129" s="625"/>
      <c r="D129" s="625"/>
      <c r="E129" s="626"/>
      <c r="F129" s="625"/>
      <c r="G129" s="625"/>
      <c r="H129" s="625"/>
      <c r="M129" s="424"/>
      <c r="N129"/>
      <c r="O129" s="333"/>
      <c r="P129" s="631"/>
      <c r="Q129" s="424"/>
      <c r="R129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8D58-B992-47CA-9E27-AB95F3CCF028}">
  <dimension ref="B1:R124"/>
  <sheetViews>
    <sheetView showGridLines="0" zoomScaleNormal="100" workbookViewId="0">
      <pane xSplit="1" ySplit="5" topLeftCell="B97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604</v>
      </c>
      <c r="C2" s="539"/>
      <c r="D2" s="539"/>
      <c r="E2" s="539"/>
      <c r="F2" s="539"/>
      <c r="G2" s="540"/>
      <c r="H2" s="643" t="s">
        <v>608</v>
      </c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605</v>
      </c>
      <c r="C3" s="52"/>
      <c r="D3" s="52"/>
      <c r="E3" s="52"/>
      <c r="F3" s="52"/>
      <c r="G3" s="541"/>
      <c r="H3" s="643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93091857.097658008</v>
      </c>
      <c r="K4" s="52"/>
      <c r="L4" s="648">
        <f>SUBTOTAL(109,L6:L1048576)</f>
        <v>75448193.5</v>
      </c>
      <c r="M4" s="543"/>
      <c r="N4" s="649">
        <f>SUBTOTAL(109,N6:N1048576)</f>
        <v>7454007</v>
      </c>
      <c r="O4" s="649">
        <f>SUBTOTAL(109,O6:O1048576)</f>
        <v>67994186.5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45870</v>
      </c>
      <c r="J6" s="653">
        <v>347312.3</v>
      </c>
      <c r="K6" s="567">
        <v>0.6</v>
      </c>
      <c r="L6" s="646">
        <v>208386</v>
      </c>
      <c r="M6" s="654" t="str">
        <f>VLOOKUP(G:G,list!B:E,4,FALSE)</f>
        <v>-</v>
      </c>
      <c r="N6" s="655">
        <f t="shared" ref="N6:N97" si="0">ROUND(IF(M6="-",0,L6*M6),0)</f>
        <v>0</v>
      </c>
      <c r="O6" s="655">
        <f t="shared" ref="O6:O97" si="1">L6-N6</f>
        <v>208386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45870</v>
      </c>
      <c r="J7" s="653">
        <v>101556</v>
      </c>
      <c r="K7" s="600">
        <v>0.6</v>
      </c>
      <c r="L7" s="646">
        <v>60934</v>
      </c>
      <c r="M7" s="654" t="str">
        <f>VLOOKUP(G:G,list!B:E,4,FALSE)</f>
        <v>-</v>
      </c>
      <c r="N7" s="655">
        <f t="shared" si="0"/>
        <v>0</v>
      </c>
      <c r="O7" s="655">
        <f t="shared" si="1"/>
        <v>60934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45870</v>
      </c>
      <c r="J8" s="653">
        <v>225989</v>
      </c>
      <c r="K8" s="567">
        <v>0.6</v>
      </c>
      <c r="L8" s="646">
        <v>135593</v>
      </c>
      <c r="M8" s="654" t="str">
        <f>VLOOKUP(G:G,list!B:E,4,FALSE)</f>
        <v>-</v>
      </c>
      <c r="N8" s="655">
        <f t="shared" si="0"/>
        <v>0</v>
      </c>
      <c r="O8" s="655">
        <f t="shared" si="1"/>
        <v>135593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45870</v>
      </c>
      <c r="J9" s="653">
        <v>106286.6</v>
      </c>
      <c r="K9" s="606">
        <v>0.6</v>
      </c>
      <c r="L9" s="646">
        <v>63771</v>
      </c>
      <c r="M9" s="654">
        <f>VLOOKUP(G:G,list!B:E,4,FALSE)</f>
        <v>0.1</v>
      </c>
      <c r="N9" s="655">
        <f t="shared" si="0"/>
        <v>6377</v>
      </c>
      <c r="O9" s="655">
        <f t="shared" si="1"/>
        <v>57394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45870</v>
      </c>
      <c r="J10" s="653">
        <v>202395</v>
      </c>
      <c r="K10" s="600">
        <v>0.6</v>
      </c>
      <c r="L10" s="646">
        <v>121437</v>
      </c>
      <c r="M10" s="654">
        <f>VLOOKUP(G:G,list!B:E,4,FALSE)</f>
        <v>0.1</v>
      </c>
      <c r="N10" s="655">
        <f t="shared" si="0"/>
        <v>12144</v>
      </c>
      <c r="O10" s="655">
        <f t="shared" si="1"/>
        <v>109293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45870</v>
      </c>
      <c r="J11" s="653">
        <v>20336.400000000001</v>
      </c>
      <c r="K11" s="603">
        <v>0.6</v>
      </c>
      <c r="L11" s="646">
        <v>12202</v>
      </c>
      <c r="M11" s="654" t="str">
        <f>VLOOKUP(G:G,list!B:E,4,FALSE)</f>
        <v>-</v>
      </c>
      <c r="N11" s="655">
        <f t="shared" si="0"/>
        <v>0</v>
      </c>
      <c r="O11" s="655">
        <f t="shared" si="1"/>
        <v>12202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45870</v>
      </c>
      <c r="J12" s="653">
        <v>193292.4</v>
      </c>
      <c r="K12" s="603">
        <v>0.6</v>
      </c>
      <c r="L12" s="646">
        <v>115975</v>
      </c>
      <c r="M12" s="654">
        <f>VLOOKUP(G:G,list!B:E,4,FALSE)</f>
        <v>0.1</v>
      </c>
      <c r="N12" s="655">
        <f t="shared" si="0"/>
        <v>11598</v>
      </c>
      <c r="O12" s="655">
        <f t="shared" si="1"/>
        <v>104377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45870</v>
      </c>
      <c r="J13" s="653">
        <v>28780</v>
      </c>
      <c r="K13" s="600">
        <v>0.6</v>
      </c>
      <c r="L13" s="646">
        <v>17268</v>
      </c>
      <c r="M13" s="654">
        <f>VLOOKUP(G:G,list!B:E,4,FALSE)</f>
        <v>0.1</v>
      </c>
      <c r="N13" s="655">
        <f t="shared" si="0"/>
        <v>1727</v>
      </c>
      <c r="O13" s="655">
        <f t="shared" si="1"/>
        <v>15541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45870</v>
      </c>
      <c r="J14" s="653">
        <v>83246</v>
      </c>
      <c r="K14" s="606">
        <v>0.6</v>
      </c>
      <c r="L14" s="646">
        <v>49948</v>
      </c>
      <c r="M14" s="654">
        <f>VLOOKUP(G:G,list!B:E,4,FALSE)</f>
        <v>0.11</v>
      </c>
      <c r="N14" s="655">
        <f t="shared" si="0"/>
        <v>5494</v>
      </c>
      <c r="O14" s="655">
        <f t="shared" si="1"/>
        <v>44454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45870</v>
      </c>
      <c r="J15" s="653">
        <v>372104.5</v>
      </c>
      <c r="K15" s="567">
        <v>0.6</v>
      </c>
      <c r="L15" s="646">
        <v>223262</v>
      </c>
      <c r="M15" s="654">
        <f>VLOOKUP(G:G,list!B:E,4,FALSE)</f>
        <v>0.1</v>
      </c>
      <c r="N15" s="655">
        <f t="shared" si="0"/>
        <v>22326</v>
      </c>
      <c r="O15" s="655">
        <f t="shared" si="1"/>
        <v>200936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45870</v>
      </c>
      <c r="J16" s="653">
        <v>75215.8</v>
      </c>
      <c r="K16" s="567">
        <v>0.6</v>
      </c>
      <c r="L16" s="646">
        <v>45128</v>
      </c>
      <c r="M16" s="654">
        <f>VLOOKUP(G:G,list!B:E,4,FALSE)</f>
        <v>0.1</v>
      </c>
      <c r="N16" s="655">
        <f t="shared" si="0"/>
        <v>4513</v>
      </c>
      <c r="O16" s="655">
        <f t="shared" si="1"/>
        <v>40615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45870</v>
      </c>
      <c r="J17" s="653">
        <v>8570</v>
      </c>
      <c r="K17" s="600">
        <v>0.7</v>
      </c>
      <c r="L17" s="646">
        <v>6000</v>
      </c>
      <c r="M17" s="654" t="str">
        <f>VLOOKUP(G:G,list!B:E,4,FALSE)</f>
        <v>-</v>
      </c>
      <c r="N17" s="655">
        <f t="shared" si="0"/>
        <v>0</v>
      </c>
      <c r="O17" s="655">
        <f t="shared" si="1"/>
        <v>6000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45870</v>
      </c>
      <c r="J18" s="653">
        <v>5966889.0999999996</v>
      </c>
      <c r="K18" s="603">
        <v>0.6</v>
      </c>
      <c r="L18" s="646">
        <v>3580132</v>
      </c>
      <c r="M18" s="654">
        <f>VLOOKUP(G:G,list!B:E,4,FALSE)</f>
        <v>0.1</v>
      </c>
      <c r="N18" s="655">
        <f t="shared" si="0"/>
        <v>358013</v>
      </c>
      <c r="O18" s="655">
        <f t="shared" si="1"/>
        <v>3222119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45870</v>
      </c>
      <c r="J19" s="653">
        <v>174701</v>
      </c>
      <c r="K19" s="603">
        <v>0.7</v>
      </c>
      <c r="L19" s="646">
        <v>122292</v>
      </c>
      <c r="M19" s="654">
        <f>VLOOKUP(G:G,list!B:E,4,FALSE)</f>
        <v>0.1</v>
      </c>
      <c r="N19" s="655">
        <f t="shared" si="0"/>
        <v>12229</v>
      </c>
      <c r="O19" s="655">
        <f t="shared" si="1"/>
        <v>110063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45870</v>
      </c>
      <c r="J20" s="653">
        <v>28130</v>
      </c>
      <c r="K20" s="603">
        <v>0.6</v>
      </c>
      <c r="L20" s="646">
        <v>16878</v>
      </c>
      <c r="M20" s="654">
        <f>VLOOKUP(G:G,list!B:E,4,FALSE)</f>
        <v>0.1</v>
      </c>
      <c r="N20" s="655">
        <f t="shared" si="0"/>
        <v>1688</v>
      </c>
      <c r="O20" s="655">
        <f t="shared" si="1"/>
        <v>15190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45870</v>
      </c>
      <c r="J21" s="653">
        <v>0</v>
      </c>
      <c r="K21" s="567">
        <v>0.6</v>
      </c>
      <c r="L21" s="646">
        <v>0</v>
      </c>
      <c r="M21" s="654" t="str">
        <f>VLOOKUP(G:G,list!B:E,4,FALSE)</f>
        <v>-</v>
      </c>
      <c r="N21" s="655">
        <f t="shared" si="0"/>
        <v>0</v>
      </c>
      <c r="O21" s="655">
        <f t="shared" si="1"/>
        <v>0</v>
      </c>
      <c r="P21" s="564" t="s">
        <v>366</v>
      </c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45870</v>
      </c>
      <c r="J22" s="653">
        <v>31136.6</v>
      </c>
      <c r="K22" s="567">
        <v>0.6</v>
      </c>
      <c r="L22" s="646">
        <v>18683</v>
      </c>
      <c r="M22" s="654">
        <f>VLOOKUP(G:G,list!B:E,4,FALSE)</f>
        <v>0.1</v>
      </c>
      <c r="N22" s="655">
        <f t="shared" si="0"/>
        <v>1868</v>
      </c>
      <c r="O22" s="655">
        <f t="shared" si="1"/>
        <v>16815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45870</v>
      </c>
      <c r="J23" s="653">
        <v>1440</v>
      </c>
      <c r="K23" s="567">
        <v>0.6</v>
      </c>
      <c r="L23" s="646">
        <v>864</v>
      </c>
      <c r="M23" s="654" t="str">
        <f>VLOOKUP(G:G,list!B:E,4,FALSE)</f>
        <v>-</v>
      </c>
      <c r="N23" s="655">
        <f t="shared" si="0"/>
        <v>0</v>
      </c>
      <c r="O23" s="655">
        <f t="shared" si="1"/>
        <v>864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45870</v>
      </c>
      <c r="J24" s="653">
        <v>98677.5</v>
      </c>
      <c r="K24" s="603">
        <v>0.6</v>
      </c>
      <c r="L24" s="646">
        <v>59207</v>
      </c>
      <c r="M24" s="654">
        <f>VLOOKUP(G:G,list!B:E,4,FALSE)</f>
        <v>0.1</v>
      </c>
      <c r="N24" s="655">
        <f t="shared" si="0"/>
        <v>5921</v>
      </c>
      <c r="O24" s="655">
        <f t="shared" si="1"/>
        <v>53286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45870</v>
      </c>
      <c r="J25" s="653">
        <v>12024</v>
      </c>
      <c r="K25" s="603">
        <v>0.6</v>
      </c>
      <c r="L25" s="646">
        <v>7214</v>
      </c>
      <c r="M25" s="654">
        <f>VLOOKUP(G:G,list!B:E,4,FALSE)</f>
        <v>0.1</v>
      </c>
      <c r="N25" s="655">
        <f t="shared" si="0"/>
        <v>721</v>
      </c>
      <c r="O25" s="655">
        <f t="shared" si="1"/>
        <v>6493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45870</v>
      </c>
      <c r="J26" s="653">
        <v>21510.9</v>
      </c>
      <c r="K26" s="567">
        <v>0.6</v>
      </c>
      <c r="L26" s="646">
        <v>12907</v>
      </c>
      <c r="M26" s="654">
        <f>VLOOKUP(G:G,list!B:E,4,FALSE)</f>
        <v>0.1</v>
      </c>
      <c r="N26" s="655">
        <f t="shared" si="0"/>
        <v>1291</v>
      </c>
      <c r="O26" s="655">
        <f t="shared" si="1"/>
        <v>11616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45870</v>
      </c>
      <c r="J27" s="653">
        <v>15975</v>
      </c>
      <c r="K27" s="567">
        <v>0.6</v>
      </c>
      <c r="L27" s="646">
        <v>9585</v>
      </c>
      <c r="M27" s="654">
        <f>VLOOKUP(G:G,list!B:E,4,FALSE)</f>
        <v>0.1</v>
      </c>
      <c r="N27" s="655">
        <f t="shared" si="0"/>
        <v>959</v>
      </c>
      <c r="O27" s="655">
        <f t="shared" si="1"/>
        <v>8626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45870</v>
      </c>
      <c r="J28" s="653">
        <v>21506.9</v>
      </c>
      <c r="K28" s="567">
        <v>0.6</v>
      </c>
      <c r="L28" s="646">
        <v>12903</v>
      </c>
      <c r="M28" s="654" t="str">
        <f>VLOOKUP(G:G,list!B:E,4,FALSE)</f>
        <v>-</v>
      </c>
      <c r="N28" s="655">
        <f t="shared" si="0"/>
        <v>0</v>
      </c>
      <c r="O28" s="655">
        <f t="shared" si="1"/>
        <v>12903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45870</v>
      </c>
      <c r="J29" s="653">
        <v>33750.9</v>
      </c>
      <c r="K29" s="567">
        <v>0.6</v>
      </c>
      <c r="L29" s="646">
        <v>20251</v>
      </c>
      <c r="M29" s="654">
        <f>VLOOKUP(G:G,list!B:E,4,FALSE)</f>
        <v>0.11</v>
      </c>
      <c r="N29" s="655">
        <f t="shared" si="0"/>
        <v>2228</v>
      </c>
      <c r="O29" s="655">
        <f t="shared" si="1"/>
        <v>18023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45870</v>
      </c>
      <c r="J30" s="653">
        <v>40415.599999999999</v>
      </c>
      <c r="K30" s="567">
        <v>0.6</v>
      </c>
      <c r="L30" s="646">
        <v>24250</v>
      </c>
      <c r="M30" s="654" t="str">
        <f>VLOOKUP(G:G,list!B:E,4,FALSE)</f>
        <v>-</v>
      </c>
      <c r="N30" s="655">
        <f t="shared" si="0"/>
        <v>0</v>
      </c>
      <c r="O30" s="655">
        <f t="shared" si="1"/>
        <v>24250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45870</v>
      </c>
      <c r="J31" s="653">
        <v>41410.9</v>
      </c>
      <c r="K31" s="567">
        <v>0.6</v>
      </c>
      <c r="L31" s="646">
        <v>24847</v>
      </c>
      <c r="M31" s="654" t="str">
        <f>VLOOKUP(G:G,list!B:E,4,FALSE)</f>
        <v>-</v>
      </c>
      <c r="N31" s="655">
        <f t="shared" si="0"/>
        <v>0</v>
      </c>
      <c r="O31" s="655">
        <f t="shared" si="1"/>
        <v>24847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45870</v>
      </c>
      <c r="J32" s="653">
        <v>646413.19999999995</v>
      </c>
      <c r="K32" s="567">
        <v>0.6</v>
      </c>
      <c r="L32" s="646">
        <v>387848</v>
      </c>
      <c r="M32" s="654">
        <f>VLOOKUP(G:G,list!B:E,4,FALSE)</f>
        <v>0.1</v>
      </c>
      <c r="N32" s="655">
        <f t="shared" si="0"/>
        <v>38785</v>
      </c>
      <c r="O32" s="655">
        <f t="shared" si="1"/>
        <v>349063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45839</v>
      </c>
      <c r="J33" s="653">
        <v>136029</v>
      </c>
      <c r="K33" s="674">
        <v>0.224</v>
      </c>
      <c r="L33" s="646">
        <v>27425</v>
      </c>
      <c r="M33" s="654">
        <f>VLOOKUP(G:G,list!B:E,4,FALSE)</f>
        <v>0.1</v>
      </c>
      <c r="N33" s="655">
        <f t="shared" si="0"/>
        <v>2743</v>
      </c>
      <c r="O33" s="655">
        <f t="shared" si="1"/>
        <v>24682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45839</v>
      </c>
      <c r="J34" s="653">
        <v>942488</v>
      </c>
      <c r="K34" s="674">
        <v>0.224</v>
      </c>
      <c r="L34" s="646">
        <v>190007</v>
      </c>
      <c r="M34" s="654">
        <f>VLOOKUP(G:G,list!B:E,4,FALSE)</f>
        <v>0.1</v>
      </c>
      <c r="N34" s="655">
        <f t="shared" si="0"/>
        <v>19001</v>
      </c>
      <c r="O34" s="655">
        <f t="shared" si="1"/>
        <v>171006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45839</v>
      </c>
      <c r="J35" s="653">
        <v>9716</v>
      </c>
      <c r="K35" s="674">
        <v>0.224</v>
      </c>
      <c r="L35" s="646">
        <v>2003</v>
      </c>
      <c r="M35" s="654" t="str">
        <f>VLOOKUP(G:G,list!B:E,4,FALSE)</f>
        <v>-</v>
      </c>
      <c r="N35" s="655">
        <f t="shared" si="0"/>
        <v>0</v>
      </c>
      <c r="O35" s="655">
        <f t="shared" si="1"/>
        <v>2003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45839</v>
      </c>
      <c r="J36" s="653">
        <v>103450</v>
      </c>
      <c r="K36" s="674">
        <v>0.224</v>
      </c>
      <c r="L36" s="646">
        <v>20858</v>
      </c>
      <c r="M36" s="654">
        <f>VLOOKUP(G:G,list!B:E,4,FALSE)</f>
        <v>0.1</v>
      </c>
      <c r="N36" s="655">
        <f t="shared" si="0"/>
        <v>2086</v>
      </c>
      <c r="O36" s="655">
        <f t="shared" si="1"/>
        <v>18772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45839</v>
      </c>
      <c r="J37" s="653">
        <v>175466</v>
      </c>
      <c r="K37" s="674">
        <v>0.224</v>
      </c>
      <c r="L37" s="646">
        <v>35378</v>
      </c>
      <c r="M37" s="654">
        <f>VLOOKUP(G:G,list!B:E,4,FALSE)</f>
        <v>0.11</v>
      </c>
      <c r="N37" s="655">
        <f t="shared" si="0"/>
        <v>3892</v>
      </c>
      <c r="O37" s="655">
        <f t="shared" si="1"/>
        <v>31486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45839</v>
      </c>
      <c r="J38" s="653">
        <v>114881</v>
      </c>
      <c r="K38" s="674">
        <v>0.224</v>
      </c>
      <c r="L38" s="646">
        <v>23166</v>
      </c>
      <c r="M38" s="654">
        <f>VLOOKUP(G:G,list!B:E,4,FALSE)</f>
        <v>0.1</v>
      </c>
      <c r="N38" s="655">
        <f t="shared" si="0"/>
        <v>2317</v>
      </c>
      <c r="O38" s="655">
        <f t="shared" si="1"/>
        <v>20849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45839</v>
      </c>
      <c r="J39" s="653">
        <v>161749</v>
      </c>
      <c r="K39" s="674">
        <v>0.224</v>
      </c>
      <c r="L39" s="646">
        <v>32615</v>
      </c>
      <c r="M39" s="654" t="str">
        <f>VLOOKUP(G:G,list!B:E,4,FALSE)</f>
        <v>-</v>
      </c>
      <c r="N39" s="655">
        <f t="shared" si="0"/>
        <v>0</v>
      </c>
      <c r="O39" s="655">
        <f t="shared" si="1"/>
        <v>32615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45839</v>
      </c>
      <c r="J40" s="653">
        <v>3235554</v>
      </c>
      <c r="K40" s="674">
        <v>0.224</v>
      </c>
      <c r="L40" s="646">
        <v>652289</v>
      </c>
      <c r="M40" s="654">
        <f>VLOOKUP(G:G,list!B:E,4,FALSE)</f>
        <v>0.1</v>
      </c>
      <c r="N40" s="655">
        <f t="shared" si="0"/>
        <v>65229</v>
      </c>
      <c r="O40" s="655">
        <f t="shared" si="1"/>
        <v>587060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45839</v>
      </c>
      <c r="J41" s="653">
        <v>1143</v>
      </c>
      <c r="K41" s="674">
        <v>0.224</v>
      </c>
      <c r="L41" s="646">
        <v>229</v>
      </c>
      <c r="M41" s="654" t="str">
        <f>VLOOKUP(G:G,list!B:E,4,FALSE)</f>
        <v>-</v>
      </c>
      <c r="N41" s="655">
        <f t="shared" si="0"/>
        <v>0</v>
      </c>
      <c r="O41" s="655">
        <f t="shared" si="1"/>
        <v>229</v>
      </c>
      <c r="P41" s="564"/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45839</v>
      </c>
      <c r="J42" s="653">
        <v>82874</v>
      </c>
      <c r="K42" s="674">
        <v>0.224</v>
      </c>
      <c r="L42" s="646">
        <v>16708</v>
      </c>
      <c r="M42" s="654">
        <f>VLOOKUP(G:G,list!B:E,4,FALSE)</f>
        <v>0.1</v>
      </c>
      <c r="N42" s="655">
        <f t="shared" si="0"/>
        <v>1671</v>
      </c>
      <c r="O42" s="655">
        <f t="shared" si="1"/>
        <v>15037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45839</v>
      </c>
      <c r="J43" s="653">
        <v>376081</v>
      </c>
      <c r="K43" s="674">
        <v>0.224</v>
      </c>
      <c r="L43" s="646">
        <v>75818</v>
      </c>
      <c r="M43" s="654">
        <f>VLOOKUP(G:G,list!B:E,4,FALSE)</f>
        <v>0.1</v>
      </c>
      <c r="N43" s="655">
        <f t="shared" si="0"/>
        <v>7582</v>
      </c>
      <c r="O43" s="655">
        <f t="shared" si="1"/>
        <v>68236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45839</v>
      </c>
      <c r="J44" s="653">
        <v>510395</v>
      </c>
      <c r="K44" s="674">
        <v>0.224</v>
      </c>
      <c r="L44" s="646">
        <v>102897</v>
      </c>
      <c r="M44" s="654" t="str">
        <f>VLOOKUP(G:G,list!B:E,4,FALSE)</f>
        <v>-</v>
      </c>
      <c r="N44" s="655">
        <f t="shared" si="0"/>
        <v>0</v>
      </c>
      <c r="O44" s="655">
        <f t="shared" si="1"/>
        <v>102897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작가기획</v>
      </c>
      <c r="D45" s="564" t="s">
        <v>78</v>
      </c>
      <c r="E45" s="564" t="s">
        <v>9</v>
      </c>
      <c r="F45" s="564" t="s">
        <v>246</v>
      </c>
      <c r="G45" s="564" t="s">
        <v>36</v>
      </c>
      <c r="H45" s="565">
        <v>43810</v>
      </c>
      <c r="I45" s="652">
        <v>45870</v>
      </c>
      <c r="J45" s="653">
        <v>11700</v>
      </c>
      <c r="K45" s="600" t="s">
        <v>532</v>
      </c>
      <c r="L45" s="646">
        <v>4635</v>
      </c>
      <c r="M45" s="654" t="str">
        <f>VLOOKUP(G:G,list!B:E,4,FALSE)</f>
        <v>-</v>
      </c>
      <c r="N45" s="655">
        <f t="shared" si="0"/>
        <v>0</v>
      </c>
      <c r="O45" s="655">
        <f t="shared" si="1"/>
        <v>4635</v>
      </c>
      <c r="P45" s="564"/>
      <c r="Q45" s="672" t="str">
        <f>VLOOKUP(G:G,list!B:F,5,FALSE)</f>
        <v>-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작가기획</v>
      </c>
      <c r="D46" s="564" t="s">
        <v>78</v>
      </c>
      <c r="E46" s="564" t="s">
        <v>9</v>
      </c>
      <c r="F46" s="564" t="s">
        <v>246</v>
      </c>
      <c r="G46" s="564" t="s">
        <v>139</v>
      </c>
      <c r="H46" s="565">
        <v>43852</v>
      </c>
      <c r="I46" s="652">
        <v>45870</v>
      </c>
      <c r="J46" s="653">
        <v>1080</v>
      </c>
      <c r="K46" s="600" t="s">
        <v>532</v>
      </c>
      <c r="L46" s="646">
        <v>378</v>
      </c>
      <c r="M46" s="654" t="str">
        <f>VLOOKUP(G:G,list!B:E,4,FALSE)</f>
        <v>-</v>
      </c>
      <c r="N46" s="655">
        <f t="shared" si="0"/>
        <v>0</v>
      </c>
      <c r="O46" s="655">
        <f t="shared" si="1"/>
        <v>378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78</v>
      </c>
      <c r="E47" s="564" t="s">
        <v>9</v>
      </c>
      <c r="F47" s="564" t="s">
        <v>544</v>
      </c>
      <c r="G47" s="564" t="s">
        <v>36</v>
      </c>
      <c r="H47" s="565">
        <v>45124</v>
      </c>
      <c r="I47" s="652">
        <v>45839</v>
      </c>
      <c r="J47" s="653">
        <v>111425.96</v>
      </c>
      <c r="K47" s="600">
        <v>0.5</v>
      </c>
      <c r="L47" s="646">
        <v>55713</v>
      </c>
      <c r="M47" s="654" t="str">
        <f>VLOOKUP(G:G,list!B:E,4,FALSE)</f>
        <v>-</v>
      </c>
      <c r="N47" s="655">
        <f t="shared" si="0"/>
        <v>0</v>
      </c>
      <c r="O47" s="655">
        <f t="shared" si="1"/>
        <v>55713</v>
      </c>
      <c r="P47" s="564"/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544</v>
      </c>
      <c r="G48" s="564" t="s">
        <v>139</v>
      </c>
      <c r="H48" s="565">
        <v>44513</v>
      </c>
      <c r="I48" s="652">
        <v>45839</v>
      </c>
      <c r="J48" s="653">
        <v>14376</v>
      </c>
      <c r="K48" s="600">
        <v>0.5</v>
      </c>
      <c r="L48" s="646">
        <v>7188</v>
      </c>
      <c r="M48" s="654" t="str">
        <f>VLOOKUP(G:G,list!B:E,4,FALSE)</f>
        <v>-</v>
      </c>
      <c r="N48" s="655">
        <f t="shared" si="0"/>
        <v>0</v>
      </c>
      <c r="O48" s="655">
        <f t="shared" si="1"/>
        <v>7188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원작료</v>
      </c>
      <c r="D49" s="564" t="s">
        <v>66</v>
      </c>
      <c r="E49" s="564" t="s">
        <v>64</v>
      </c>
      <c r="F49" s="564" t="s">
        <v>593</v>
      </c>
      <c r="G49" s="564" t="s">
        <v>30</v>
      </c>
      <c r="H49" s="565">
        <v>44586</v>
      </c>
      <c r="I49" s="652">
        <v>45870</v>
      </c>
      <c r="J49" s="653">
        <v>47720</v>
      </c>
      <c r="K49" s="567">
        <v>0.4</v>
      </c>
      <c r="L49" s="646">
        <v>19088</v>
      </c>
      <c r="M49" s="654">
        <f>VLOOKUP(G:G,list!B:E,4,FALSE)</f>
        <v>0.1</v>
      </c>
      <c r="N49" s="655">
        <f t="shared" si="0"/>
        <v>1909</v>
      </c>
      <c r="O49" s="655">
        <f t="shared" si="1"/>
        <v>17179</v>
      </c>
      <c r="P49" s="564" t="s">
        <v>594</v>
      </c>
      <c r="Q49" s="672" t="str">
        <f>VLOOKUP(G:G,list!B:F,5,FALSE)</f>
        <v>웹소설본부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66</v>
      </c>
      <c r="E50" s="564" t="s">
        <v>9</v>
      </c>
      <c r="F50" s="564" t="s">
        <v>593</v>
      </c>
      <c r="G50" s="564" t="s">
        <v>36</v>
      </c>
      <c r="H50" s="565">
        <v>44992</v>
      </c>
      <c r="I50" s="652">
        <v>45870</v>
      </c>
      <c r="J50" s="653">
        <v>62583</v>
      </c>
      <c r="K50" s="600">
        <v>0.4</v>
      </c>
      <c r="L50" s="646">
        <v>25033</v>
      </c>
      <c r="M50" s="654" t="str">
        <f>VLOOKUP(G:G,list!B:E,4,FALSE)</f>
        <v>-</v>
      </c>
      <c r="N50" s="655">
        <f t="shared" si="0"/>
        <v>0</v>
      </c>
      <c r="O50" s="655">
        <f t="shared" si="1"/>
        <v>25033</v>
      </c>
      <c r="P50" s="564" t="s">
        <v>594</v>
      </c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66</v>
      </c>
      <c r="E51" s="564" t="s">
        <v>9</v>
      </c>
      <c r="F51" s="564" t="s">
        <v>593</v>
      </c>
      <c r="G51" s="564" t="s">
        <v>37</v>
      </c>
      <c r="H51" s="565">
        <v>45169</v>
      </c>
      <c r="I51" s="652">
        <v>45870</v>
      </c>
      <c r="J51" s="653">
        <v>0</v>
      </c>
      <c r="K51" s="600">
        <v>0.4</v>
      </c>
      <c r="L51" s="646">
        <v>0</v>
      </c>
      <c r="M51" s="654" t="str">
        <f>VLOOKUP(G:G,list!B:E,4,FALSE)</f>
        <v>-</v>
      </c>
      <c r="N51" s="655">
        <f t="shared" si="0"/>
        <v>0</v>
      </c>
      <c r="O51" s="655">
        <f t="shared" si="1"/>
        <v>0</v>
      </c>
      <c r="P51" s="564" t="s">
        <v>594</v>
      </c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작가기획</v>
      </c>
      <c r="D52" s="564" t="s">
        <v>67</v>
      </c>
      <c r="E52" s="564" t="s">
        <v>9</v>
      </c>
      <c r="F52" s="564" t="s">
        <v>593</v>
      </c>
      <c r="G52" s="564" t="s">
        <v>37</v>
      </c>
      <c r="H52" s="565">
        <v>43921</v>
      </c>
      <c r="I52" s="652">
        <v>45870</v>
      </c>
      <c r="J52" s="653">
        <v>4153</v>
      </c>
      <c r="K52" s="600">
        <v>0.4</v>
      </c>
      <c r="L52" s="646">
        <v>1661</v>
      </c>
      <c r="M52" s="654" t="str">
        <f>VLOOKUP(G:G,list!B:E,4,FALSE)</f>
        <v>-</v>
      </c>
      <c r="N52" s="655">
        <f t="shared" si="0"/>
        <v>0</v>
      </c>
      <c r="O52" s="655">
        <f t="shared" si="1"/>
        <v>1661</v>
      </c>
      <c r="P52" s="564" t="s">
        <v>594</v>
      </c>
      <c r="Q52" s="672" t="str">
        <f>VLOOKUP(G:G,list!B:F,5,FALSE)</f>
        <v>-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67</v>
      </c>
      <c r="E53" s="564" t="s">
        <v>9</v>
      </c>
      <c r="F53" s="564" t="s">
        <v>593</v>
      </c>
      <c r="G53" s="564" t="s">
        <v>36</v>
      </c>
      <c r="H53" s="565">
        <v>43941</v>
      </c>
      <c r="I53" s="652">
        <v>45870</v>
      </c>
      <c r="J53" s="653">
        <v>297355</v>
      </c>
      <c r="K53" s="600">
        <v>0.4</v>
      </c>
      <c r="L53" s="646">
        <v>118942</v>
      </c>
      <c r="M53" s="654" t="str">
        <f>VLOOKUP(G:G,list!B:E,4,FALSE)</f>
        <v>-</v>
      </c>
      <c r="N53" s="655">
        <f t="shared" si="0"/>
        <v>0</v>
      </c>
      <c r="O53" s="655">
        <f t="shared" si="1"/>
        <v>118942</v>
      </c>
      <c r="P53" s="564" t="s">
        <v>594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원작료</v>
      </c>
      <c r="D54" s="564" t="s">
        <v>67</v>
      </c>
      <c r="E54" s="564" t="s">
        <v>64</v>
      </c>
      <c r="F54" s="564" t="s">
        <v>593</v>
      </c>
      <c r="G54" s="564" t="s">
        <v>30</v>
      </c>
      <c r="H54" s="565">
        <v>44258</v>
      </c>
      <c r="I54" s="652">
        <v>45870</v>
      </c>
      <c r="J54" s="653">
        <v>21295</v>
      </c>
      <c r="K54" s="600">
        <v>0.4</v>
      </c>
      <c r="L54" s="646">
        <v>8518</v>
      </c>
      <c r="M54" s="654">
        <f>VLOOKUP(G:G,list!B:E,4,FALSE)</f>
        <v>0.1</v>
      </c>
      <c r="N54" s="655">
        <f t="shared" si="0"/>
        <v>852</v>
      </c>
      <c r="O54" s="655">
        <f t="shared" si="1"/>
        <v>7666</v>
      </c>
      <c r="P54" s="564" t="s">
        <v>594</v>
      </c>
      <c r="Q54" s="672" t="str">
        <f>VLOOKUP(G:G,list!B:F,5,FALSE)</f>
        <v>웹소설본부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78</v>
      </c>
      <c r="E55" s="564" t="s">
        <v>9</v>
      </c>
      <c r="F55" s="564" t="s">
        <v>131</v>
      </c>
      <c r="G55" s="564" t="s">
        <v>60</v>
      </c>
      <c r="H55" s="565">
        <v>44333</v>
      </c>
      <c r="I55" s="652">
        <v>45870</v>
      </c>
      <c r="J55" s="653">
        <v>836</v>
      </c>
      <c r="K55" s="603">
        <v>0.5</v>
      </c>
      <c r="L55" s="646">
        <v>418</v>
      </c>
      <c r="M55" s="654" t="str">
        <f>VLOOKUP(G:G,list!B:E,4,FALSE)</f>
        <v>-</v>
      </c>
      <c r="N55" s="655">
        <f t="shared" si="0"/>
        <v>0</v>
      </c>
      <c r="O55" s="655">
        <f t="shared" si="1"/>
        <v>418</v>
      </c>
      <c r="P55" s="564"/>
      <c r="Q55" s="672" t="str">
        <f>VLOOKUP(G:G,list!B:F,5,FALSE)</f>
        <v>-</v>
      </c>
      <c r="R55" s="656" t="str">
        <f>VLOOKUP(G:G,list!B:D,3,FALSE)</f>
        <v>N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115</v>
      </c>
      <c r="F56" s="564" t="s">
        <v>131</v>
      </c>
      <c r="G56" s="564" t="s">
        <v>518</v>
      </c>
      <c r="H56" s="565">
        <v>44897</v>
      </c>
      <c r="I56" s="652">
        <v>45870</v>
      </c>
      <c r="J56" s="653">
        <v>12978</v>
      </c>
      <c r="K56" s="603">
        <v>0.5</v>
      </c>
      <c r="L56" s="646">
        <v>6489</v>
      </c>
      <c r="M56" s="654" t="str">
        <f>VLOOKUP(G:G,list!B:E,4,FALSE)</f>
        <v>-</v>
      </c>
      <c r="N56" s="655">
        <f t="shared" si="0"/>
        <v>0</v>
      </c>
      <c r="O56" s="655">
        <f t="shared" si="1"/>
        <v>6489</v>
      </c>
      <c r="P56" s="564"/>
      <c r="Q56" s="672" t="str">
        <f>VLOOKUP(G:G,list!B:F,5,FALSE)</f>
        <v>-</v>
      </c>
      <c r="R56" s="656" t="str">
        <f>VLOOKUP(G:G,list!B:D,3,FALSE)</f>
        <v>N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578</v>
      </c>
      <c r="E57" s="564" t="s">
        <v>115</v>
      </c>
      <c r="F57" s="564" t="s">
        <v>587</v>
      </c>
      <c r="G57" s="564" t="s">
        <v>518</v>
      </c>
      <c r="H57" s="565">
        <v>45049</v>
      </c>
      <c r="I57" s="652">
        <v>45839</v>
      </c>
      <c r="J57" s="653">
        <v>67020</v>
      </c>
      <c r="K57" s="603">
        <v>0.3</v>
      </c>
      <c r="L57" s="646">
        <v>20106</v>
      </c>
      <c r="M57" s="654" t="str">
        <f>VLOOKUP(G:G,list!B:E,4,FALSE)</f>
        <v>-</v>
      </c>
      <c r="N57" s="655">
        <f t="shared" si="0"/>
        <v>0</v>
      </c>
      <c r="O57" s="655">
        <f t="shared" si="1"/>
        <v>20106</v>
      </c>
      <c r="P57" s="564"/>
      <c r="Q57" s="672" t="str">
        <f>VLOOKUP(G:G,list!B:F,5,FALSE)</f>
        <v>-</v>
      </c>
      <c r="R57" s="656" t="str">
        <f>VLOOKUP(G:G,list!B:D,3,FALSE)</f>
        <v>N</v>
      </c>
    </row>
    <row r="58" spans="2:18" ht="18" customHeight="1">
      <c r="B58" s="563">
        <v>53</v>
      </c>
      <c r="C58" s="651" t="str">
        <f>VLOOKUP(G:G,list!B:D,2,FALSE)</f>
        <v>원작료</v>
      </c>
      <c r="D58" s="564" t="s">
        <v>578</v>
      </c>
      <c r="E58" s="564" t="s">
        <v>115</v>
      </c>
      <c r="F58" s="564" t="s">
        <v>587</v>
      </c>
      <c r="G58" s="564" t="s">
        <v>541</v>
      </c>
      <c r="H58" s="565">
        <v>45591</v>
      </c>
      <c r="I58" s="652">
        <v>45839</v>
      </c>
      <c r="J58" s="653">
        <v>25754</v>
      </c>
      <c r="K58" s="603">
        <v>0.5</v>
      </c>
      <c r="L58" s="646">
        <v>12877</v>
      </c>
      <c r="M58" s="654">
        <f>VLOOKUP(G:G,list!B:E,4,FALSE)</f>
        <v>0.1</v>
      </c>
      <c r="N58" s="655">
        <f t="shared" si="0"/>
        <v>1288</v>
      </c>
      <c r="O58" s="655">
        <f t="shared" si="1"/>
        <v>11589</v>
      </c>
      <c r="P58" s="564"/>
      <c r="Q58" s="672" t="str">
        <f>VLOOKUP(G:G,list!B:F,5,FALSE)</f>
        <v>-</v>
      </c>
      <c r="R58" s="656" t="str">
        <f>VLOOKUP(G:G,list!B:D,3,FALSE)</f>
        <v>Y</v>
      </c>
    </row>
    <row r="59" spans="2:18" ht="18" customHeight="1">
      <c r="B59" s="650">
        <v>54</v>
      </c>
      <c r="C59" s="651" t="str">
        <f>VLOOKUP(G:G,list!B:D,2,FALSE)</f>
        <v>외부제작</v>
      </c>
      <c r="D59" s="564" t="s">
        <v>578</v>
      </c>
      <c r="E59" s="564" t="s">
        <v>115</v>
      </c>
      <c r="F59" s="564" t="s">
        <v>587</v>
      </c>
      <c r="G59" s="564" t="s">
        <v>315</v>
      </c>
      <c r="H59" s="565">
        <v>45673</v>
      </c>
      <c r="I59" s="652">
        <v>45839</v>
      </c>
      <c r="J59" s="653">
        <v>15514</v>
      </c>
      <c r="K59" s="603">
        <v>0.5</v>
      </c>
      <c r="L59" s="646">
        <v>7757</v>
      </c>
      <c r="M59" s="654" t="str">
        <f>VLOOKUP(G:G,list!B:E,4,FALSE)</f>
        <v>-</v>
      </c>
      <c r="N59" s="655">
        <f t="shared" si="0"/>
        <v>0</v>
      </c>
      <c r="O59" s="655">
        <f t="shared" si="1"/>
        <v>7757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원작료</v>
      </c>
      <c r="D60" s="564" t="s">
        <v>578</v>
      </c>
      <c r="E60" s="564" t="s">
        <v>115</v>
      </c>
      <c r="F60" s="564" t="s">
        <v>587</v>
      </c>
      <c r="G60" s="564" t="s">
        <v>454</v>
      </c>
      <c r="H60" s="565">
        <v>45843</v>
      </c>
      <c r="I60" s="652">
        <v>45839</v>
      </c>
      <c r="J60" s="653">
        <v>17954</v>
      </c>
      <c r="K60" s="603">
        <v>0.5</v>
      </c>
      <c r="L60" s="646">
        <v>8977</v>
      </c>
      <c r="M60" s="654">
        <f>VLOOKUP(G:G,list!B:E,4,FALSE)</f>
        <v>0.1</v>
      </c>
      <c r="N60" s="655">
        <f t="shared" ref="N60:N61" si="2">ROUND(IF(M60="-",0,L60*M60),0)</f>
        <v>898</v>
      </c>
      <c r="O60" s="655">
        <f t="shared" ref="O60:O61" si="3">L60-N60</f>
        <v>8079</v>
      </c>
      <c r="P60" s="564" t="s">
        <v>270</v>
      </c>
      <c r="Q60" s="672" t="str">
        <f>VLOOKUP(G:G,list!B:F,5,FALSE)</f>
        <v>-</v>
      </c>
      <c r="R60" s="656" t="str">
        <f>VLOOKUP(G:G,list!B:D,3,FALSE)</f>
        <v>Y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578</v>
      </c>
      <c r="E61" s="564" t="s">
        <v>115</v>
      </c>
      <c r="F61" s="564" t="s">
        <v>587</v>
      </c>
      <c r="G61" s="564" t="s">
        <v>353</v>
      </c>
      <c r="H61" s="565">
        <v>45847</v>
      </c>
      <c r="I61" s="652">
        <v>45839</v>
      </c>
      <c r="J61" s="653">
        <v>7778</v>
      </c>
      <c r="K61" s="603">
        <v>0.5</v>
      </c>
      <c r="L61" s="646">
        <v>3889</v>
      </c>
      <c r="M61" s="654">
        <f>VLOOKUP(G:G,list!B:E,4,FALSE)</f>
        <v>0.11</v>
      </c>
      <c r="N61" s="655">
        <f t="shared" si="2"/>
        <v>428</v>
      </c>
      <c r="O61" s="655">
        <f t="shared" si="3"/>
        <v>3461</v>
      </c>
      <c r="P61" s="564" t="s">
        <v>270</v>
      </c>
      <c r="Q61" s="672" t="str">
        <f>VLOOKUP(G:G,list!B:F,5,FALSE)</f>
        <v>-</v>
      </c>
      <c r="R61" s="656" t="str">
        <f>VLOOKUP(G:G,list!B:D,3,FALSE)</f>
        <v>N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78</v>
      </c>
      <c r="E62" s="564" t="s">
        <v>9</v>
      </c>
      <c r="F62" s="564" t="s">
        <v>545</v>
      </c>
      <c r="G62" s="564" t="s">
        <v>454</v>
      </c>
      <c r="H62" s="565">
        <v>44750</v>
      </c>
      <c r="I62" s="652">
        <v>45839</v>
      </c>
      <c r="J62" s="653">
        <v>1507334</v>
      </c>
      <c r="K62" s="603">
        <v>0.7</v>
      </c>
      <c r="L62" s="646">
        <v>1055954</v>
      </c>
      <c r="M62" s="654">
        <f>VLOOKUP(G:G,list!B:E,4,FALSE)</f>
        <v>0.1</v>
      </c>
      <c r="N62" s="655">
        <f t="shared" si="0"/>
        <v>105595</v>
      </c>
      <c r="O62" s="655">
        <f t="shared" si="1"/>
        <v>950359</v>
      </c>
      <c r="P62" s="564"/>
      <c r="Q62" s="672" t="str">
        <f>VLOOKUP(G:G,list!B:F,5,FALSE)</f>
        <v>-</v>
      </c>
      <c r="R62" s="656" t="str">
        <f>VLOOKUP(G:G,list!B:D,3,FALSE)</f>
        <v>Y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182</v>
      </c>
      <c r="E63" s="564" t="s">
        <v>9</v>
      </c>
      <c r="F63" s="564" t="s">
        <v>264</v>
      </c>
      <c r="G63" s="564" t="s">
        <v>454</v>
      </c>
      <c r="H63" s="565" t="s">
        <v>203</v>
      </c>
      <c r="I63" s="652">
        <v>45839</v>
      </c>
      <c r="J63" s="653">
        <v>7488625.5376580004</v>
      </c>
      <c r="K63" s="603">
        <v>0.25</v>
      </c>
      <c r="L63" s="646">
        <v>1872156</v>
      </c>
      <c r="M63" s="654">
        <f>VLOOKUP(G:G,list!B:E,4,FALSE)</f>
        <v>0.1</v>
      </c>
      <c r="N63" s="655">
        <f t="shared" si="0"/>
        <v>187216</v>
      </c>
      <c r="O63" s="655">
        <f t="shared" si="1"/>
        <v>1684940</v>
      </c>
      <c r="P63" s="564" t="s">
        <v>554</v>
      </c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115</v>
      </c>
      <c r="F64" s="564" t="s">
        <v>386</v>
      </c>
      <c r="G64" s="564" t="s">
        <v>30</v>
      </c>
      <c r="H64" s="565">
        <v>44591</v>
      </c>
      <c r="I64" s="652">
        <v>45809</v>
      </c>
      <c r="J64" s="653">
        <v>10328</v>
      </c>
      <c r="K64" s="603">
        <v>0.5</v>
      </c>
      <c r="L64" s="646">
        <v>5164</v>
      </c>
      <c r="M64" s="654">
        <f>VLOOKUP(G:G,list!B:E,4,FALSE)</f>
        <v>0.1</v>
      </c>
      <c r="N64" s="655">
        <f t="shared" si="0"/>
        <v>516</v>
      </c>
      <c r="O64" s="655">
        <f t="shared" si="1"/>
        <v>4648</v>
      </c>
      <c r="P64" s="564"/>
      <c r="Q64" s="672" t="str">
        <f>VLOOKUP(G:G,list!B:F,5,FALSE)</f>
        <v>웹소설본부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182</v>
      </c>
      <c r="E65" s="564" t="s">
        <v>115</v>
      </c>
      <c r="F65" s="564" t="s">
        <v>386</v>
      </c>
      <c r="G65" s="564" t="s">
        <v>36</v>
      </c>
      <c r="H65" s="565">
        <v>44643</v>
      </c>
      <c r="I65" s="652">
        <v>45809</v>
      </c>
      <c r="J65" s="653">
        <v>40017</v>
      </c>
      <c r="K65" s="603">
        <v>0.5</v>
      </c>
      <c r="L65" s="646">
        <v>20009</v>
      </c>
      <c r="M65" s="654" t="str">
        <f>VLOOKUP(G:G,list!B:E,4,FALSE)</f>
        <v>-</v>
      </c>
      <c r="N65" s="655">
        <f t="shared" si="0"/>
        <v>0</v>
      </c>
      <c r="O65" s="655">
        <f t="shared" si="1"/>
        <v>20009</v>
      </c>
      <c r="P65" s="564"/>
      <c r="Q65" s="672" t="str">
        <f>VLOOKUP(G:G,list!B:F,5,FALSE)</f>
        <v>-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182</v>
      </c>
      <c r="E66" s="564" t="s">
        <v>115</v>
      </c>
      <c r="F66" s="564" t="s">
        <v>386</v>
      </c>
      <c r="G66" s="564" t="s">
        <v>37</v>
      </c>
      <c r="H66" s="565">
        <v>44643</v>
      </c>
      <c r="I66" s="652">
        <v>45809</v>
      </c>
      <c r="J66" s="653">
        <v>0</v>
      </c>
      <c r="K66" s="603">
        <v>0.5</v>
      </c>
      <c r="L66" s="646">
        <v>0</v>
      </c>
      <c r="M66" s="654" t="str">
        <f>VLOOKUP(G:G,list!B:E,4,FALSE)</f>
        <v>-</v>
      </c>
      <c r="N66" s="655">
        <f t="shared" si="0"/>
        <v>0</v>
      </c>
      <c r="O66" s="655">
        <f t="shared" si="1"/>
        <v>0</v>
      </c>
      <c r="P66" s="564" t="s">
        <v>366</v>
      </c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182</v>
      </c>
      <c r="E67" s="564" t="s">
        <v>115</v>
      </c>
      <c r="F67" s="564" t="s">
        <v>386</v>
      </c>
      <c r="G67" s="564" t="s">
        <v>56</v>
      </c>
      <c r="H67" s="565">
        <v>44599</v>
      </c>
      <c r="I67" s="652">
        <v>45809</v>
      </c>
      <c r="J67" s="653">
        <v>58120</v>
      </c>
      <c r="K67" s="603">
        <v>0.5</v>
      </c>
      <c r="L67" s="646">
        <v>29060</v>
      </c>
      <c r="M67" s="654">
        <f>VLOOKUP(G:G,list!B:E,4,FALSE)</f>
        <v>0.1</v>
      </c>
      <c r="N67" s="655">
        <f t="shared" si="0"/>
        <v>2906</v>
      </c>
      <c r="O67" s="655">
        <f t="shared" si="1"/>
        <v>26154</v>
      </c>
      <c r="P67" s="564"/>
      <c r="Q67" s="672" t="str">
        <f>VLOOKUP(G:G,list!B:F,5,FALSE)</f>
        <v>웹소설본부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538</v>
      </c>
      <c r="E68" s="564" t="s">
        <v>9</v>
      </c>
      <c r="F68" s="564" t="s">
        <v>519</v>
      </c>
      <c r="G68" s="564" t="s">
        <v>316</v>
      </c>
      <c r="H68" s="565">
        <v>45446</v>
      </c>
      <c r="I68" s="652">
        <v>45870</v>
      </c>
      <c r="J68" s="653">
        <v>0</v>
      </c>
      <c r="K68" s="603">
        <v>0.7</v>
      </c>
      <c r="L68" s="646">
        <v>0</v>
      </c>
      <c r="M68" s="654">
        <f>VLOOKUP(G:G,list!B:E,4,FALSE)</f>
        <v>0.1</v>
      </c>
      <c r="N68" s="655">
        <f t="shared" si="0"/>
        <v>0</v>
      </c>
      <c r="O68" s="655">
        <f t="shared" si="1"/>
        <v>0</v>
      </c>
      <c r="P68" s="564" t="s">
        <v>366</v>
      </c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549</v>
      </c>
      <c r="E69" s="564" t="s">
        <v>9</v>
      </c>
      <c r="F69" s="564" t="s">
        <v>519</v>
      </c>
      <c r="G69" s="564" t="s">
        <v>316</v>
      </c>
      <c r="H69" s="565">
        <v>45524</v>
      </c>
      <c r="I69" s="652">
        <v>45870</v>
      </c>
      <c r="J69" s="653">
        <v>0</v>
      </c>
      <c r="K69" s="603">
        <v>0.7</v>
      </c>
      <c r="L69" s="646">
        <v>0</v>
      </c>
      <c r="M69" s="654">
        <f>VLOOKUP(G:G,list!B:E,4,FALSE)</f>
        <v>0.1</v>
      </c>
      <c r="N69" s="655">
        <f t="shared" si="0"/>
        <v>0</v>
      </c>
      <c r="O69" s="655">
        <f t="shared" si="1"/>
        <v>0</v>
      </c>
      <c r="P69" s="564" t="s">
        <v>366</v>
      </c>
      <c r="Q69" s="672" t="str">
        <f>VLOOKUP(G:G,list!B:F,5,FALSE)</f>
        <v>웹소설본부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123</v>
      </c>
      <c r="E70" s="564" t="s">
        <v>9</v>
      </c>
      <c r="F70" s="564" t="s">
        <v>519</v>
      </c>
      <c r="G70" s="564" t="s">
        <v>316</v>
      </c>
      <c r="H70" s="565">
        <v>45536</v>
      </c>
      <c r="I70" s="652">
        <v>45870</v>
      </c>
      <c r="J70" s="653">
        <v>0</v>
      </c>
      <c r="K70" s="603">
        <v>0.7</v>
      </c>
      <c r="L70" s="646">
        <v>0</v>
      </c>
      <c r="M70" s="654">
        <f>VLOOKUP(G:G,list!B:E,4,FALSE)</f>
        <v>0.1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132</v>
      </c>
      <c r="E71" s="564" t="s">
        <v>9</v>
      </c>
      <c r="F71" s="564" t="s">
        <v>519</v>
      </c>
      <c r="G71" s="564" t="s">
        <v>316</v>
      </c>
      <c r="H71" s="565">
        <v>44945</v>
      </c>
      <c r="I71" s="652">
        <v>45870</v>
      </c>
      <c r="J71" s="653">
        <v>0</v>
      </c>
      <c r="K71" s="603">
        <v>0.5</v>
      </c>
      <c r="L71" s="646">
        <v>0</v>
      </c>
      <c r="M71" s="654">
        <f>VLOOKUP(G:G,list!B:E,4,FALSE)</f>
        <v>0.1</v>
      </c>
      <c r="N71" s="655">
        <f t="shared" si="0"/>
        <v>0</v>
      </c>
      <c r="O71" s="655">
        <f t="shared" si="1"/>
        <v>0</v>
      </c>
      <c r="P71" s="564" t="s">
        <v>366</v>
      </c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183</v>
      </c>
      <c r="E72" s="564" t="s">
        <v>9</v>
      </c>
      <c r="F72" s="564" t="s">
        <v>519</v>
      </c>
      <c r="G72" s="564" t="s">
        <v>316</v>
      </c>
      <c r="H72" s="565">
        <v>45702</v>
      </c>
      <c r="I72" s="652">
        <v>45870</v>
      </c>
      <c r="J72" s="653">
        <v>0</v>
      </c>
      <c r="K72" s="603">
        <v>0.7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132</v>
      </c>
      <c r="E73" s="564" t="s">
        <v>9</v>
      </c>
      <c r="F73" s="564" t="s">
        <v>519</v>
      </c>
      <c r="G73" s="564" t="s">
        <v>56</v>
      </c>
      <c r="H73" s="565">
        <v>44952</v>
      </c>
      <c r="I73" s="652">
        <v>45870</v>
      </c>
      <c r="J73" s="653">
        <v>0</v>
      </c>
      <c r="K73" s="567">
        <v>0.5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538</v>
      </c>
      <c r="E74" s="564" t="s">
        <v>9</v>
      </c>
      <c r="F74" s="564" t="s">
        <v>519</v>
      </c>
      <c r="G74" s="564" t="s">
        <v>56</v>
      </c>
      <c r="H74" s="565">
        <v>45503</v>
      </c>
      <c r="I74" s="652">
        <v>45870</v>
      </c>
      <c r="J74" s="653">
        <v>0</v>
      </c>
      <c r="K74" s="567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549</v>
      </c>
      <c r="E75" s="564" t="s">
        <v>9</v>
      </c>
      <c r="F75" s="564" t="s">
        <v>519</v>
      </c>
      <c r="G75" s="564" t="s">
        <v>56</v>
      </c>
      <c r="H75" s="565">
        <v>45547</v>
      </c>
      <c r="I75" s="652">
        <v>45870</v>
      </c>
      <c r="J75" s="653">
        <v>0</v>
      </c>
      <c r="K75" s="567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132</v>
      </c>
      <c r="E76" s="564" t="s">
        <v>9</v>
      </c>
      <c r="F76" s="564" t="s">
        <v>519</v>
      </c>
      <c r="G76" s="564" t="s">
        <v>30</v>
      </c>
      <c r="H76" s="565">
        <v>44953</v>
      </c>
      <c r="I76" s="652">
        <v>45870</v>
      </c>
      <c r="J76" s="653">
        <v>0</v>
      </c>
      <c r="K76" s="567">
        <v>0.5</v>
      </c>
      <c r="L76" s="646">
        <v>0</v>
      </c>
      <c r="M76" s="654">
        <f>VLOOKUP(G:G,list!B:E,4,FALSE)</f>
        <v>0.1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작가기획</v>
      </c>
      <c r="D77" s="564" t="s">
        <v>132</v>
      </c>
      <c r="E77" s="564" t="s">
        <v>9</v>
      </c>
      <c r="F77" s="564" t="s">
        <v>519</v>
      </c>
      <c r="G77" s="564" t="s">
        <v>308</v>
      </c>
      <c r="H77" s="565">
        <v>44992</v>
      </c>
      <c r="I77" s="652">
        <v>45870</v>
      </c>
      <c r="J77" s="653">
        <v>0</v>
      </c>
      <c r="K77" s="603">
        <v>0.5</v>
      </c>
      <c r="L77" s="646">
        <v>0</v>
      </c>
      <c r="M77" s="654" t="str">
        <f>VLOOKUP(G:G,list!B:E,4,FALSE)</f>
        <v>-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-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작가기획</v>
      </c>
      <c r="D78" s="564" t="s">
        <v>538</v>
      </c>
      <c r="E78" s="564" t="s">
        <v>9</v>
      </c>
      <c r="F78" s="564" t="s">
        <v>519</v>
      </c>
      <c r="G78" s="564" t="s">
        <v>308</v>
      </c>
      <c r="H78" s="565">
        <v>45610</v>
      </c>
      <c r="I78" s="652">
        <v>45870</v>
      </c>
      <c r="J78" s="653">
        <v>0</v>
      </c>
      <c r="K78" s="603">
        <v>0.5</v>
      </c>
      <c r="L78" s="646">
        <v>0</v>
      </c>
      <c r="M78" s="654" t="str">
        <f>VLOOKUP(G:G,list!B:E,4,FALSE)</f>
        <v>-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132</v>
      </c>
      <c r="E79" s="564" t="s">
        <v>9</v>
      </c>
      <c r="F79" s="564" t="s">
        <v>519</v>
      </c>
      <c r="G79" s="564" t="s">
        <v>36</v>
      </c>
      <c r="H79" s="565">
        <v>45198</v>
      </c>
      <c r="I79" s="652">
        <v>45870</v>
      </c>
      <c r="J79" s="653">
        <v>3591</v>
      </c>
      <c r="K79" s="603">
        <v>0.5</v>
      </c>
      <c r="L79" s="646">
        <v>1795.5</v>
      </c>
      <c r="M79" s="654" t="str">
        <f>VLOOKUP(G:G,list!B:E,4,FALSE)</f>
        <v>-</v>
      </c>
      <c r="N79" s="655">
        <f t="shared" si="0"/>
        <v>0</v>
      </c>
      <c r="O79" s="655">
        <f t="shared" si="1"/>
        <v>1795.5</v>
      </c>
      <c r="P79" s="564"/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538</v>
      </c>
      <c r="E80" s="564" t="s">
        <v>9</v>
      </c>
      <c r="F80" s="564" t="s">
        <v>519</v>
      </c>
      <c r="G80" s="564" t="s">
        <v>36</v>
      </c>
      <c r="H80" s="565">
        <v>45479</v>
      </c>
      <c r="I80" s="652">
        <v>45870</v>
      </c>
      <c r="J80" s="653">
        <v>0</v>
      </c>
      <c r="K80" s="603">
        <v>0.5</v>
      </c>
      <c r="L80" s="646">
        <v>0</v>
      </c>
      <c r="M80" s="654" t="str">
        <f>VLOOKUP(G:G,list!B:E,4,FALSE)</f>
        <v>-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549</v>
      </c>
      <c r="E81" s="564" t="s">
        <v>9</v>
      </c>
      <c r="F81" s="564" t="s">
        <v>519</v>
      </c>
      <c r="G81" s="564" t="s">
        <v>36</v>
      </c>
      <c r="H81" s="565">
        <v>45531</v>
      </c>
      <c r="I81" s="652">
        <v>45870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123</v>
      </c>
      <c r="E82" s="564" t="s">
        <v>9</v>
      </c>
      <c r="F82" s="564" t="s">
        <v>519</v>
      </c>
      <c r="G82" s="564" t="s">
        <v>36</v>
      </c>
      <c r="H82" s="565">
        <v>45555</v>
      </c>
      <c r="I82" s="652">
        <v>45870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132</v>
      </c>
      <c r="E83" s="564" t="s">
        <v>9</v>
      </c>
      <c r="F83" s="564" t="s">
        <v>519</v>
      </c>
      <c r="G83" s="564" t="s">
        <v>139</v>
      </c>
      <c r="H83" s="565">
        <v>45276</v>
      </c>
      <c r="I83" s="652">
        <v>45870</v>
      </c>
      <c r="J83" s="653">
        <v>0</v>
      </c>
      <c r="K83" s="603">
        <v>0.5</v>
      </c>
      <c r="L83" s="646">
        <v>0</v>
      </c>
      <c r="M83" s="654" t="str">
        <f>VLOOKUP(G:G,list!B:E,4,FALSE)</f>
        <v>-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538</v>
      </c>
      <c r="E84" s="564" t="s">
        <v>9</v>
      </c>
      <c r="F84" s="564" t="s">
        <v>519</v>
      </c>
      <c r="G84" s="564" t="s">
        <v>139</v>
      </c>
      <c r="H84" s="565">
        <v>45534</v>
      </c>
      <c r="I84" s="652">
        <v>45870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123</v>
      </c>
      <c r="E85" s="564" t="s">
        <v>9</v>
      </c>
      <c r="F85" s="564" t="s">
        <v>519</v>
      </c>
      <c r="G85" s="564" t="s">
        <v>139</v>
      </c>
      <c r="H85" s="565">
        <v>45656</v>
      </c>
      <c r="I85" s="652">
        <v>45870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외부제작</v>
      </c>
      <c r="D86" s="564" t="s">
        <v>123</v>
      </c>
      <c r="E86" s="564" t="s">
        <v>9</v>
      </c>
      <c r="F86" s="564" t="s">
        <v>519</v>
      </c>
      <c r="G86" s="564" t="s">
        <v>315</v>
      </c>
      <c r="H86" s="565">
        <v>45673</v>
      </c>
      <c r="I86" s="652">
        <v>45870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N</v>
      </c>
    </row>
    <row r="87" spans="2:18" ht="18" customHeight="1">
      <c r="B87" s="650">
        <v>82</v>
      </c>
      <c r="C87" s="651" t="str">
        <f>VLOOKUP(G:G,list!B:D,2,FALSE)</f>
        <v>원작료</v>
      </c>
      <c r="D87" s="564" t="s">
        <v>182</v>
      </c>
      <c r="E87" s="564" t="s">
        <v>115</v>
      </c>
      <c r="F87" s="564" t="s">
        <v>283</v>
      </c>
      <c r="G87" s="564" t="s">
        <v>30</v>
      </c>
      <c r="H87" s="565">
        <v>44358</v>
      </c>
      <c r="I87" s="652">
        <v>45809</v>
      </c>
      <c r="J87" s="653">
        <v>52311</v>
      </c>
      <c r="K87" s="603">
        <v>0.5</v>
      </c>
      <c r="L87" s="646">
        <v>26156</v>
      </c>
      <c r="M87" s="654">
        <f>VLOOKUP(G:G,list!B:E,4,FALSE)</f>
        <v>0.1</v>
      </c>
      <c r="N87" s="655">
        <f t="shared" si="0"/>
        <v>2616</v>
      </c>
      <c r="O87" s="655">
        <f t="shared" si="1"/>
        <v>23540</v>
      </c>
      <c r="P87" s="564"/>
      <c r="Q87" s="672" t="str">
        <f>VLOOKUP(G:G,list!B:F,5,FALSE)</f>
        <v>웹소설본부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원작료</v>
      </c>
      <c r="D88" s="564" t="s">
        <v>182</v>
      </c>
      <c r="E88" s="564" t="s">
        <v>115</v>
      </c>
      <c r="F88" s="564" t="s">
        <v>283</v>
      </c>
      <c r="G88" s="564" t="s">
        <v>56</v>
      </c>
      <c r="H88" s="565">
        <v>44391</v>
      </c>
      <c r="I88" s="652">
        <v>45809</v>
      </c>
      <c r="J88" s="653">
        <v>92661</v>
      </c>
      <c r="K88" s="603">
        <v>0.5</v>
      </c>
      <c r="L88" s="646">
        <v>46331</v>
      </c>
      <c r="M88" s="654">
        <f>VLOOKUP(G:G,list!B:E,4,FALSE)</f>
        <v>0.1</v>
      </c>
      <c r="N88" s="655">
        <f t="shared" si="0"/>
        <v>4633</v>
      </c>
      <c r="O88" s="655">
        <f t="shared" si="1"/>
        <v>41698</v>
      </c>
      <c r="P88" s="564"/>
      <c r="Q88" s="672" t="str">
        <f>VLOOKUP(G:G,list!B:F,5,FALSE)</f>
        <v>웹소설본부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182</v>
      </c>
      <c r="E89" s="564" t="s">
        <v>115</v>
      </c>
      <c r="F89" s="564" t="s">
        <v>283</v>
      </c>
      <c r="G89" s="564" t="s">
        <v>316</v>
      </c>
      <c r="H89" s="565">
        <v>44969</v>
      </c>
      <c r="I89" s="652">
        <v>45809</v>
      </c>
      <c r="J89" s="653">
        <v>3168</v>
      </c>
      <c r="K89" s="603">
        <v>0.5</v>
      </c>
      <c r="L89" s="646">
        <v>1584</v>
      </c>
      <c r="M89" s="654">
        <f>VLOOKUP(G:G,list!B:E,4,FALSE)</f>
        <v>0.1</v>
      </c>
      <c r="N89" s="655">
        <f t="shared" si="0"/>
        <v>158</v>
      </c>
      <c r="O89" s="655">
        <f t="shared" si="1"/>
        <v>1426</v>
      </c>
      <c r="P89" s="564"/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작가기획</v>
      </c>
      <c r="D90" s="564" t="s">
        <v>182</v>
      </c>
      <c r="E90" s="564" t="s">
        <v>115</v>
      </c>
      <c r="F90" s="564" t="s">
        <v>550</v>
      </c>
      <c r="G90" s="564" t="s">
        <v>308</v>
      </c>
      <c r="H90" s="565">
        <v>45347</v>
      </c>
      <c r="I90" s="652">
        <v>45809</v>
      </c>
      <c r="J90" s="653">
        <v>0</v>
      </c>
      <c r="K90" s="603">
        <v>0.5</v>
      </c>
      <c r="L90" s="646">
        <v>0</v>
      </c>
      <c r="M90" s="654" t="str">
        <f>VLOOKUP(G:G,list!B:E,4,FALSE)</f>
        <v>-</v>
      </c>
      <c r="N90" s="655">
        <f t="shared" si="0"/>
        <v>0</v>
      </c>
      <c r="O90" s="655">
        <f t="shared" si="1"/>
        <v>0</v>
      </c>
      <c r="P90" s="564" t="s">
        <v>366</v>
      </c>
      <c r="Q90" s="672" t="str">
        <f>VLOOKUP(G:G,list!B:F,5,FALSE)</f>
        <v>-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550</v>
      </c>
      <c r="G91" s="564" t="s">
        <v>316</v>
      </c>
      <c r="H91" s="565">
        <v>45359</v>
      </c>
      <c r="I91" s="652">
        <v>45809</v>
      </c>
      <c r="J91" s="653">
        <v>0</v>
      </c>
      <c r="K91" s="603">
        <v>0.5</v>
      </c>
      <c r="L91" s="646">
        <v>0</v>
      </c>
      <c r="M91" s="654">
        <f>VLOOKUP(G:G,list!B:E,4,FALSE)</f>
        <v>0.1</v>
      </c>
      <c r="N91" s="655">
        <f t="shared" si="0"/>
        <v>0</v>
      </c>
      <c r="O91" s="655">
        <f t="shared" si="1"/>
        <v>0</v>
      </c>
      <c r="P91" s="564" t="s">
        <v>366</v>
      </c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32</v>
      </c>
      <c r="E92" s="564" t="s">
        <v>9</v>
      </c>
      <c r="F92" s="564" t="s">
        <v>31</v>
      </c>
      <c r="G92" s="564" t="s">
        <v>30</v>
      </c>
      <c r="H92" s="565">
        <v>44239</v>
      </c>
      <c r="I92" s="652">
        <v>45839</v>
      </c>
      <c r="J92" s="653">
        <v>7096</v>
      </c>
      <c r="K92" s="603">
        <v>0.4</v>
      </c>
      <c r="L92" s="646">
        <v>2709</v>
      </c>
      <c r="M92" s="654">
        <f>VLOOKUP(G:G,list!B:E,4,FALSE)</f>
        <v>0.1</v>
      </c>
      <c r="N92" s="655">
        <f t="shared" si="0"/>
        <v>271</v>
      </c>
      <c r="O92" s="655">
        <f t="shared" si="1"/>
        <v>2438</v>
      </c>
      <c r="P92" s="564"/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123</v>
      </c>
      <c r="E93" s="564" t="s">
        <v>9</v>
      </c>
      <c r="F93" s="564" t="s">
        <v>213</v>
      </c>
      <c r="G93" s="564" t="s">
        <v>56</v>
      </c>
      <c r="H93" s="565">
        <v>44581</v>
      </c>
      <c r="I93" s="652">
        <v>45870</v>
      </c>
      <c r="J93" s="653">
        <v>554483</v>
      </c>
      <c r="K93" s="603">
        <v>0.3</v>
      </c>
      <c r="L93" s="568">
        <v>166345</v>
      </c>
      <c r="M93" s="654">
        <f>VLOOKUP(G:G,list!B:E,4,FALSE)</f>
        <v>0.1</v>
      </c>
      <c r="N93" s="655">
        <f t="shared" si="0"/>
        <v>16635</v>
      </c>
      <c r="O93" s="655">
        <f t="shared" si="1"/>
        <v>149710</v>
      </c>
      <c r="P93" s="564" t="s">
        <v>186</v>
      </c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183</v>
      </c>
      <c r="E94" s="564" t="s">
        <v>9</v>
      </c>
      <c r="F94" s="564" t="s">
        <v>213</v>
      </c>
      <c r="G94" s="564" t="s">
        <v>56</v>
      </c>
      <c r="H94" s="565">
        <v>44829</v>
      </c>
      <c r="I94" s="652">
        <v>45870</v>
      </c>
      <c r="J94" s="653">
        <v>738330</v>
      </c>
      <c r="K94" s="603">
        <v>0.3</v>
      </c>
      <c r="L94" s="568">
        <v>221499</v>
      </c>
      <c r="M94" s="654">
        <f>VLOOKUP(G:G,list!B:E,4,FALSE)</f>
        <v>0.1</v>
      </c>
      <c r="N94" s="655">
        <f t="shared" si="0"/>
        <v>22150</v>
      </c>
      <c r="O94" s="655">
        <f t="shared" si="1"/>
        <v>199349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123</v>
      </c>
      <c r="E95" s="564" t="s">
        <v>9</v>
      </c>
      <c r="F95" s="564" t="s">
        <v>213</v>
      </c>
      <c r="G95" s="564" t="s">
        <v>454</v>
      </c>
      <c r="H95" s="565">
        <v>44854</v>
      </c>
      <c r="I95" s="652">
        <v>45870</v>
      </c>
      <c r="J95" s="653">
        <v>716650</v>
      </c>
      <c r="K95" s="603">
        <v>0.3</v>
      </c>
      <c r="L95" s="568">
        <v>214995</v>
      </c>
      <c r="M95" s="654">
        <f>VLOOKUP(G:G,list!B:E,4,FALSE)</f>
        <v>0.1</v>
      </c>
      <c r="N95" s="655">
        <f t="shared" si="0"/>
        <v>21500</v>
      </c>
      <c r="O95" s="655">
        <f t="shared" si="1"/>
        <v>193495</v>
      </c>
      <c r="P95" s="564" t="s">
        <v>186</v>
      </c>
      <c r="Q95" s="672" t="str">
        <f>VLOOKUP(G:G,list!B:F,5,FALSE)</f>
        <v>-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481</v>
      </c>
      <c r="H96" s="565">
        <v>44981</v>
      </c>
      <c r="I96" s="652">
        <v>45870</v>
      </c>
      <c r="J96" s="653">
        <v>77250</v>
      </c>
      <c r="K96" s="603">
        <v>0.3</v>
      </c>
      <c r="L96" s="568">
        <v>23175</v>
      </c>
      <c r="M96" s="654">
        <f>VLOOKUP(G:G,list!B:E,4,FALSE)</f>
        <v>0.1</v>
      </c>
      <c r="N96" s="655">
        <f t="shared" si="0"/>
        <v>2318</v>
      </c>
      <c r="O96" s="655">
        <f t="shared" si="1"/>
        <v>20857</v>
      </c>
      <c r="P96" s="564" t="s">
        <v>186</v>
      </c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352</v>
      </c>
      <c r="H97" s="565">
        <v>44984</v>
      </c>
      <c r="I97" s="652">
        <v>45870</v>
      </c>
      <c r="J97" s="653">
        <v>604330</v>
      </c>
      <c r="K97" s="603">
        <v>0.3</v>
      </c>
      <c r="L97" s="568">
        <v>181299</v>
      </c>
      <c r="M97" s="654">
        <f>VLOOKUP(G:G,list!B:E,4,FALSE)</f>
        <v>0.1</v>
      </c>
      <c r="N97" s="655">
        <f t="shared" si="0"/>
        <v>18130</v>
      </c>
      <c r="O97" s="655">
        <f t="shared" si="1"/>
        <v>163169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72</v>
      </c>
      <c r="E98" s="564" t="s">
        <v>9</v>
      </c>
      <c r="F98" s="564" t="s">
        <v>213</v>
      </c>
      <c r="G98" s="564" t="s">
        <v>454</v>
      </c>
      <c r="H98" s="565">
        <v>44902</v>
      </c>
      <c r="I98" s="652">
        <v>45839</v>
      </c>
      <c r="J98" s="653">
        <v>643880</v>
      </c>
      <c r="K98" s="603">
        <v>0.3</v>
      </c>
      <c r="L98" s="568">
        <v>193164</v>
      </c>
      <c r="M98" s="654">
        <f>VLOOKUP(G:G,list!B:E,4,FALSE)</f>
        <v>0.1</v>
      </c>
      <c r="N98" s="655">
        <f t="shared" ref="N98:N108" si="4">ROUND(IF(M98="-",0,L98*M98),0)</f>
        <v>19316</v>
      </c>
      <c r="O98" s="655">
        <f t="shared" ref="O98:O108" si="5">L98-N98</f>
        <v>173848</v>
      </c>
      <c r="P98" s="564" t="s">
        <v>282</v>
      </c>
      <c r="Q98" s="672" t="str">
        <f>VLOOKUP(G:G,list!B:F,5,FALSE)</f>
        <v>-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213</v>
      </c>
      <c r="G99" s="564" t="s">
        <v>454</v>
      </c>
      <c r="H99" s="565">
        <v>45257</v>
      </c>
      <c r="I99" s="652">
        <v>45839</v>
      </c>
      <c r="J99" s="653">
        <v>99010</v>
      </c>
      <c r="K99" s="603">
        <v>0.3</v>
      </c>
      <c r="L99" s="568">
        <v>29703</v>
      </c>
      <c r="M99" s="654">
        <f>VLOOKUP(G:G,list!B:E,4,FALSE)</f>
        <v>0.1</v>
      </c>
      <c r="N99" s="655">
        <f t="shared" si="4"/>
        <v>2970</v>
      </c>
      <c r="O99" s="655">
        <f t="shared" si="5"/>
        <v>26733</v>
      </c>
      <c r="P99" s="564" t="s">
        <v>546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79</v>
      </c>
      <c r="E100" s="564" t="s">
        <v>9</v>
      </c>
      <c r="F100" s="564" t="s">
        <v>235</v>
      </c>
      <c r="G100" s="564" t="s">
        <v>30</v>
      </c>
      <c r="H100" s="565">
        <v>44281</v>
      </c>
      <c r="I100" s="652">
        <v>45748</v>
      </c>
      <c r="J100" s="653">
        <v>10468</v>
      </c>
      <c r="K100" s="603">
        <v>0.5</v>
      </c>
      <c r="L100" s="568">
        <v>4409</v>
      </c>
      <c r="M100" s="654">
        <f>VLOOKUP(G:G,list!B:E,4,FALSE)</f>
        <v>0.1</v>
      </c>
      <c r="N100" s="655">
        <f t="shared" si="4"/>
        <v>441</v>
      </c>
      <c r="O100" s="655">
        <f t="shared" si="5"/>
        <v>3968</v>
      </c>
      <c r="P100" s="564"/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작가기획</v>
      </c>
      <c r="D101" s="564" t="s">
        <v>79</v>
      </c>
      <c r="E101" s="564" t="s">
        <v>9</v>
      </c>
      <c r="F101" s="564" t="s">
        <v>235</v>
      </c>
      <c r="G101" s="564" t="s">
        <v>36</v>
      </c>
      <c r="H101" s="565">
        <v>44293</v>
      </c>
      <c r="I101" s="652">
        <v>45748</v>
      </c>
      <c r="J101" s="653">
        <v>19784</v>
      </c>
      <c r="K101" s="603">
        <v>0.5</v>
      </c>
      <c r="L101" s="568">
        <v>8331</v>
      </c>
      <c r="M101" s="654" t="str">
        <f>VLOOKUP(G:G,list!B:E,4,FALSE)</f>
        <v>-</v>
      </c>
      <c r="N101" s="655">
        <f t="shared" si="4"/>
        <v>0</v>
      </c>
      <c r="O101" s="655">
        <f t="shared" si="5"/>
        <v>8331</v>
      </c>
      <c r="P101" s="564"/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79</v>
      </c>
      <c r="E102" s="564" t="s">
        <v>9</v>
      </c>
      <c r="F102" s="564" t="s">
        <v>235</v>
      </c>
      <c r="G102" s="564" t="s">
        <v>454</v>
      </c>
      <c r="H102" s="565">
        <v>44840</v>
      </c>
      <c r="I102" s="652">
        <v>45748</v>
      </c>
      <c r="J102" s="653">
        <v>68665</v>
      </c>
      <c r="K102" s="603">
        <v>0.5</v>
      </c>
      <c r="L102" s="568">
        <v>29151</v>
      </c>
      <c r="M102" s="654">
        <f>VLOOKUP(G:G,list!B:E,4,FALSE)</f>
        <v>0.1</v>
      </c>
      <c r="N102" s="655">
        <f t="shared" si="4"/>
        <v>2915</v>
      </c>
      <c r="O102" s="655">
        <f t="shared" si="5"/>
        <v>26236</v>
      </c>
      <c r="P102" s="564"/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79</v>
      </c>
      <c r="E103" s="564" t="s">
        <v>9</v>
      </c>
      <c r="F103" s="564" t="s">
        <v>235</v>
      </c>
      <c r="G103" s="564" t="s">
        <v>30</v>
      </c>
      <c r="H103" s="565">
        <v>44281</v>
      </c>
      <c r="I103" s="652">
        <v>45778</v>
      </c>
      <c r="J103" s="653">
        <v>26115</v>
      </c>
      <c r="K103" s="603">
        <v>0.5</v>
      </c>
      <c r="L103" s="568">
        <v>10997</v>
      </c>
      <c r="M103" s="654">
        <f>VLOOKUP(G:G,list!B:E,4,FALSE)</f>
        <v>0.1</v>
      </c>
      <c r="N103" s="655">
        <f t="shared" si="4"/>
        <v>1100</v>
      </c>
      <c r="O103" s="655">
        <f t="shared" si="5"/>
        <v>9897</v>
      </c>
      <c r="P103" s="564"/>
      <c r="Q103" s="672" t="str">
        <f>VLOOKUP(G:G,list!B:F,5,FALSE)</f>
        <v>웹소설본부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작가기획</v>
      </c>
      <c r="D104" s="564" t="s">
        <v>79</v>
      </c>
      <c r="E104" s="564" t="s">
        <v>9</v>
      </c>
      <c r="F104" s="564" t="s">
        <v>235</v>
      </c>
      <c r="G104" s="564" t="s">
        <v>36</v>
      </c>
      <c r="H104" s="565">
        <v>44293</v>
      </c>
      <c r="I104" s="652">
        <v>45778</v>
      </c>
      <c r="J104" s="653">
        <v>24297</v>
      </c>
      <c r="K104" s="603">
        <v>0.5</v>
      </c>
      <c r="L104" s="568">
        <v>10233</v>
      </c>
      <c r="M104" s="654" t="str">
        <f>VLOOKUP(G:G,list!B:E,4,FALSE)</f>
        <v>-</v>
      </c>
      <c r="N104" s="655">
        <f t="shared" si="4"/>
        <v>0</v>
      </c>
      <c r="O104" s="655">
        <f t="shared" si="5"/>
        <v>10233</v>
      </c>
      <c r="P104" s="564"/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79</v>
      </c>
      <c r="E105" s="564" t="s">
        <v>9</v>
      </c>
      <c r="F105" s="564" t="s">
        <v>235</v>
      </c>
      <c r="G105" s="564" t="s">
        <v>454</v>
      </c>
      <c r="H105" s="565">
        <v>44840</v>
      </c>
      <c r="I105" s="652">
        <v>45778</v>
      </c>
      <c r="J105" s="653">
        <v>109366</v>
      </c>
      <c r="K105" s="603">
        <v>0.5</v>
      </c>
      <c r="L105" s="568">
        <v>46428</v>
      </c>
      <c r="M105" s="654">
        <f>VLOOKUP(G:G,list!B:E,4,FALSE)</f>
        <v>0.1</v>
      </c>
      <c r="N105" s="655">
        <f t="shared" si="4"/>
        <v>4643</v>
      </c>
      <c r="O105" s="655">
        <f t="shared" si="5"/>
        <v>41785</v>
      </c>
      <c r="P105" s="564"/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79</v>
      </c>
      <c r="E106" s="564" t="s">
        <v>9</v>
      </c>
      <c r="F106" s="564" t="s">
        <v>235</v>
      </c>
      <c r="G106" s="564" t="s">
        <v>30</v>
      </c>
      <c r="H106" s="565">
        <v>44281</v>
      </c>
      <c r="I106" s="652">
        <v>45809</v>
      </c>
      <c r="J106" s="653">
        <v>618</v>
      </c>
      <c r="K106" s="603">
        <v>0.5</v>
      </c>
      <c r="L106" s="568">
        <v>259</v>
      </c>
      <c r="M106" s="654">
        <f>VLOOKUP(G:G,list!B:E,4,FALSE)</f>
        <v>0.1</v>
      </c>
      <c r="N106" s="655">
        <f t="shared" si="4"/>
        <v>26</v>
      </c>
      <c r="O106" s="655">
        <f t="shared" si="5"/>
        <v>233</v>
      </c>
      <c r="P106" s="564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작가기획</v>
      </c>
      <c r="D107" s="564" t="s">
        <v>79</v>
      </c>
      <c r="E107" s="564" t="s">
        <v>9</v>
      </c>
      <c r="F107" s="564" t="s">
        <v>235</v>
      </c>
      <c r="G107" s="564" t="s">
        <v>36</v>
      </c>
      <c r="H107" s="565">
        <v>44293</v>
      </c>
      <c r="I107" s="652">
        <v>45809</v>
      </c>
      <c r="J107" s="653">
        <v>15945</v>
      </c>
      <c r="K107" s="603">
        <v>0.5</v>
      </c>
      <c r="L107" s="568">
        <v>6714</v>
      </c>
      <c r="M107" s="654" t="str">
        <f>VLOOKUP(G:G,list!B:E,4,FALSE)</f>
        <v>-</v>
      </c>
      <c r="N107" s="655">
        <f t="shared" si="4"/>
        <v>0</v>
      </c>
      <c r="O107" s="655">
        <f t="shared" si="5"/>
        <v>6714</v>
      </c>
      <c r="P107" s="564"/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79</v>
      </c>
      <c r="E108" s="564" t="s">
        <v>9</v>
      </c>
      <c r="F108" s="564" t="s">
        <v>235</v>
      </c>
      <c r="G108" s="564" t="s">
        <v>454</v>
      </c>
      <c r="H108" s="565">
        <v>44840</v>
      </c>
      <c r="I108" s="652">
        <v>45809</v>
      </c>
      <c r="J108" s="653">
        <v>433129</v>
      </c>
      <c r="K108" s="603">
        <v>0.5</v>
      </c>
      <c r="L108" s="568">
        <v>183874</v>
      </c>
      <c r="M108" s="654">
        <f>VLOOKUP(G:G,list!B:E,4,FALSE)</f>
        <v>0.1</v>
      </c>
      <c r="N108" s="655">
        <f t="shared" si="4"/>
        <v>18387</v>
      </c>
      <c r="O108" s="655">
        <f t="shared" si="5"/>
        <v>165487</v>
      </c>
      <c r="P108" s="564"/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25</v>
      </c>
      <c r="E109" s="564" t="s">
        <v>62</v>
      </c>
      <c r="F109" s="564" t="s">
        <v>257</v>
      </c>
      <c r="G109" s="564" t="s">
        <v>316</v>
      </c>
      <c r="H109" s="565">
        <v>45577</v>
      </c>
      <c r="I109" s="652" t="s">
        <v>203</v>
      </c>
      <c r="J109" s="653">
        <v>2227904</v>
      </c>
      <c r="K109" s="567" t="s">
        <v>203</v>
      </c>
      <c r="L109" s="646">
        <v>2227904</v>
      </c>
      <c r="M109" s="654">
        <f>VLOOKUP(G:G,list!B:E,4,FALSE)</f>
        <v>0.1</v>
      </c>
      <c r="N109" s="655">
        <f>ROUND(IF(M109="-",0,L109*M109),0)</f>
        <v>222790</v>
      </c>
      <c r="O109" s="655">
        <f>L109-N109</f>
        <v>2005114</v>
      </c>
      <c r="P109" s="564" t="s">
        <v>606</v>
      </c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182</v>
      </c>
      <c r="E110" s="564" t="s">
        <v>62</v>
      </c>
      <c r="F110" s="564" t="s">
        <v>264</v>
      </c>
      <c r="G110" s="564" t="s">
        <v>454</v>
      </c>
      <c r="H110" s="565" t="s">
        <v>203</v>
      </c>
      <c r="I110" s="652" t="s">
        <v>203</v>
      </c>
      <c r="J110" s="653">
        <v>5000000</v>
      </c>
      <c r="K110" s="567" t="s">
        <v>203</v>
      </c>
      <c r="L110" s="646">
        <v>5000000</v>
      </c>
      <c r="M110" s="654">
        <f>VLOOKUP(G:G,list!B:E,4,FALSE)</f>
        <v>0.1</v>
      </c>
      <c r="N110" s="655">
        <f>ROUND(IF(M110="-",0,L110*M110),0)</f>
        <v>500000</v>
      </c>
      <c r="O110" s="655">
        <f>L110-N110</f>
        <v>4500000</v>
      </c>
      <c r="P110" s="564" t="s">
        <v>607</v>
      </c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79</v>
      </c>
      <c r="E111" s="564" t="s">
        <v>9</v>
      </c>
      <c r="F111" s="564" t="s">
        <v>297</v>
      </c>
      <c r="G111" s="564" t="s">
        <v>56</v>
      </c>
      <c r="H111" s="565">
        <v>44625</v>
      </c>
      <c r="I111" s="652" t="s">
        <v>203</v>
      </c>
      <c r="J111" s="653">
        <v>13353303</v>
      </c>
      <c r="K111" s="567" t="s">
        <v>203</v>
      </c>
      <c r="L111" s="646">
        <v>13353303</v>
      </c>
      <c r="M111" s="654">
        <f>VLOOKUP(G:G,list!B:E,4,FALSE)</f>
        <v>0.1</v>
      </c>
      <c r="N111" s="655">
        <f t="shared" ref="N111:N113" si="6">ROUND(IF(M111="-",0,L111*M111),0)</f>
        <v>1335330</v>
      </c>
      <c r="O111" s="655">
        <f t="shared" ref="O111:O113" si="7">L111-N111</f>
        <v>12017973</v>
      </c>
      <c r="P111" s="564" t="s">
        <v>606</v>
      </c>
      <c r="Q111" s="672" t="str">
        <f>VLOOKUP(G:G,list!B:F,5,FALSE)</f>
        <v>웹소설본부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79</v>
      </c>
      <c r="E112" s="564" t="s">
        <v>9</v>
      </c>
      <c r="F112" s="564" t="s">
        <v>297</v>
      </c>
      <c r="G112" s="564" t="s">
        <v>316</v>
      </c>
      <c r="H112" s="565">
        <v>44802</v>
      </c>
      <c r="I112" s="652" t="s">
        <v>203</v>
      </c>
      <c r="J112" s="653">
        <v>15067980</v>
      </c>
      <c r="K112" s="567" t="s">
        <v>203</v>
      </c>
      <c r="L112" s="646">
        <v>15067980</v>
      </c>
      <c r="M112" s="654">
        <f>VLOOKUP(G:G,list!B:E,4,FALSE)</f>
        <v>0.1</v>
      </c>
      <c r="N112" s="655">
        <f t="shared" si="6"/>
        <v>1506798</v>
      </c>
      <c r="O112" s="655">
        <f t="shared" si="7"/>
        <v>13561182</v>
      </c>
      <c r="P112" s="564" t="s">
        <v>606</v>
      </c>
      <c r="Q112" s="672" t="str">
        <f>VLOOKUP(G:G,list!B:F,5,FALSE)</f>
        <v>웹소설본부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79</v>
      </c>
      <c r="E113" s="564" t="s">
        <v>9</v>
      </c>
      <c r="F113" s="564" t="s">
        <v>297</v>
      </c>
      <c r="G113" s="564" t="s">
        <v>352</v>
      </c>
      <c r="H113" s="565">
        <v>44916</v>
      </c>
      <c r="I113" s="652" t="s">
        <v>203</v>
      </c>
      <c r="J113" s="653">
        <v>28568685</v>
      </c>
      <c r="K113" s="567" t="s">
        <v>203</v>
      </c>
      <c r="L113" s="646">
        <v>28568685</v>
      </c>
      <c r="M113" s="654">
        <f>VLOOKUP(G:G,list!B:E,4,FALSE)</f>
        <v>0.1</v>
      </c>
      <c r="N113" s="655">
        <f t="shared" si="6"/>
        <v>2856869</v>
      </c>
      <c r="O113" s="655">
        <f t="shared" si="7"/>
        <v>25711816</v>
      </c>
      <c r="P113" s="564" t="s">
        <v>606</v>
      </c>
      <c r="Q113" s="672" t="str">
        <f>VLOOKUP(G:G,list!B:F,5,FALSE)</f>
        <v>웹소설본부</v>
      </c>
      <c r="R113" s="656" t="str">
        <f>VLOOKUP(G:G,list!B:D,3,FALSE)</f>
        <v>Y</v>
      </c>
    </row>
    <row r="114" spans="2:18" ht="11.25" customHeight="1">
      <c r="B114" s="52"/>
      <c r="C114" s="551"/>
      <c r="D114" s="551"/>
      <c r="E114" s="551"/>
      <c r="F114" s="551"/>
      <c r="G114" s="551"/>
      <c r="H114" s="622"/>
      <c r="I114" s="551"/>
      <c r="J114" s="435"/>
      <c r="K114" s="623"/>
      <c r="L114"/>
      <c r="M114" s="438"/>
      <c r="N114" s="439"/>
      <c r="O114" s="440"/>
      <c r="P114" s="633"/>
      <c r="Q114" s="438"/>
      <c r="R114" s="486"/>
    </row>
    <row r="115" spans="2:18" s="7" customFormat="1" ht="16.5" customHeight="1">
      <c r="B115" s="624" t="s">
        <v>387</v>
      </c>
      <c r="C115" s="625"/>
      <c r="D115" s="625"/>
      <c r="E115" s="626"/>
      <c r="F115" s="625"/>
      <c r="G115" s="625"/>
      <c r="H115" s="625"/>
      <c r="I115" s="311"/>
      <c r="J115" s="311"/>
      <c r="K115" s="311"/>
      <c r="M115" s="424"/>
      <c r="N115"/>
      <c r="O115" s="333"/>
      <c r="P115" s="631"/>
      <c r="Q115" s="424"/>
      <c r="R115" s="484"/>
    </row>
    <row r="116" spans="2:18" s="7" customFormat="1" ht="16.5" customHeight="1">
      <c r="B116" s="629" t="s">
        <v>299</v>
      </c>
      <c r="C116" s="625"/>
      <c r="D116" s="625"/>
      <c r="E116" s="626"/>
      <c r="F116" s="625"/>
      <c r="G116" s="625"/>
      <c r="H116" s="625"/>
      <c r="I116" s="311"/>
      <c r="K116" s="311"/>
      <c r="L116" s="311"/>
      <c r="M116" s="424"/>
      <c r="N116"/>
      <c r="O116" s="333"/>
      <c r="P116" s="631"/>
      <c r="Q116" s="424"/>
      <c r="R116" s="484"/>
    </row>
    <row r="117" spans="2:18" s="7" customFormat="1" ht="16.5" customHeight="1">
      <c r="B117" s="628" t="s">
        <v>302</v>
      </c>
      <c r="C117" s="627"/>
      <c r="D117" s="625"/>
      <c r="E117" s="626"/>
      <c r="F117" s="625"/>
      <c r="G117" s="625"/>
      <c r="H117" s="625"/>
      <c r="I117" s="311"/>
      <c r="J117" s="311"/>
      <c r="L117" s="311"/>
      <c r="M117" s="424"/>
      <c r="N117"/>
      <c r="O117" s="333"/>
      <c r="P117" s="631"/>
      <c r="Q117" s="424"/>
      <c r="R117" s="484"/>
    </row>
    <row r="118" spans="2:18" s="7" customFormat="1" ht="16.5" customHeight="1">
      <c r="B118" s="630" t="s">
        <v>303</v>
      </c>
      <c r="C118" s="627"/>
      <c r="D118" s="625"/>
      <c r="E118" s="626"/>
      <c r="F118" s="625"/>
      <c r="G118" s="625"/>
      <c r="H118" s="625"/>
      <c r="I118" s="311"/>
      <c r="J118" s="311"/>
      <c r="K118" s="311"/>
      <c r="L118" s="311"/>
      <c r="M118" s="424"/>
      <c r="N118"/>
      <c r="O118" s="333"/>
      <c r="P118" s="631"/>
      <c r="Q118" s="424"/>
      <c r="R118" s="484"/>
    </row>
    <row r="119" spans="2:18" ht="16.5" customHeight="1">
      <c r="B119" s="629" t="s">
        <v>340</v>
      </c>
      <c r="C119" s="625"/>
      <c r="D119" s="625"/>
      <c r="E119" s="626"/>
      <c r="F119" s="625"/>
      <c r="G119" s="625"/>
      <c r="H119" s="625"/>
      <c r="I119" s="311"/>
      <c r="J119" s="311"/>
      <c r="K119" s="311"/>
    </row>
    <row r="120" spans="2:18" ht="16.5" customHeight="1">
      <c r="B120" s="629" t="s">
        <v>512</v>
      </c>
      <c r="C120" s="625"/>
      <c r="D120" s="625"/>
      <c r="E120" s="626"/>
      <c r="F120" s="625"/>
      <c r="G120" s="625"/>
      <c r="H120" s="625"/>
      <c r="I120" s="311"/>
      <c r="J120" s="311"/>
      <c r="K120" s="311"/>
    </row>
    <row r="121" spans="2:18" ht="16.5" customHeight="1">
      <c r="B121" s="629" t="s">
        <v>522</v>
      </c>
      <c r="C121" s="625"/>
      <c r="D121" s="625"/>
      <c r="E121" s="626"/>
      <c r="F121" s="625"/>
      <c r="G121" s="625"/>
      <c r="H121" s="625"/>
      <c r="I121" s="311"/>
      <c r="J121" s="311"/>
      <c r="K121" s="311"/>
    </row>
    <row r="122" spans="2:18" ht="16.5" customHeight="1">
      <c r="B122" s="629" t="s">
        <v>520</v>
      </c>
      <c r="C122" s="625"/>
      <c r="D122" s="625"/>
      <c r="E122" s="626"/>
      <c r="F122" s="625"/>
      <c r="G122" s="625"/>
      <c r="H122" s="625"/>
      <c r="I122" s="311"/>
      <c r="J122" s="311"/>
      <c r="K122" s="311"/>
    </row>
    <row r="123" spans="2:18" ht="16.5" customHeight="1">
      <c r="B123" s="629" t="s">
        <v>521</v>
      </c>
      <c r="C123" s="625"/>
      <c r="D123" s="625"/>
      <c r="E123" s="626"/>
      <c r="F123" s="625"/>
      <c r="G123" s="625"/>
      <c r="H123" s="625"/>
      <c r="I123" s="311"/>
      <c r="J123" s="311"/>
      <c r="K123" s="311"/>
    </row>
    <row r="124" spans="2:18" s="311" customFormat="1" ht="16.5" customHeight="1">
      <c r="B124" s="629" t="s">
        <v>529</v>
      </c>
      <c r="C124" s="625"/>
      <c r="D124" s="625"/>
      <c r="E124" s="626"/>
      <c r="F124" s="625"/>
      <c r="G124" s="625"/>
      <c r="H124" s="625"/>
      <c r="M124" s="424"/>
      <c r="N124"/>
      <c r="O124" s="333"/>
      <c r="P124" s="631"/>
      <c r="Q124" s="424"/>
      <c r="R124" s="484"/>
    </row>
  </sheetData>
  <autoFilter ref="B5:R108" xr:uid="{6BCF6E47-FA4B-4772-A4CE-8E1B50F6C0BA}"/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1A7D-12FD-4072-B7F0-A49B17DB17C0}">
  <dimension ref="B1:R149"/>
  <sheetViews>
    <sheetView showGridLines="0" zoomScaleNormal="100" workbookViewId="0">
      <pane xSplit="1" ySplit="5" topLeftCell="B117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595</v>
      </c>
      <c r="C2" s="539"/>
      <c r="D2" s="539"/>
      <c r="E2" s="539"/>
      <c r="F2" s="539"/>
      <c r="G2" s="540"/>
      <c r="H2" s="643" t="s">
        <v>603</v>
      </c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596</v>
      </c>
      <c r="C3" s="52"/>
      <c r="D3" s="52"/>
      <c r="E3" s="52"/>
      <c r="F3" s="52"/>
      <c r="G3" s="541"/>
      <c r="H3" s="643" t="s">
        <v>602</v>
      </c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20453675.964439999</v>
      </c>
      <c r="K4" s="52"/>
      <c r="L4" s="648">
        <f>SUBTOTAL(109,L6:L1048576)</f>
        <v>7824894.2999999998</v>
      </c>
      <c r="M4" s="543"/>
      <c r="N4" s="649">
        <f>SUBTOTAL(109,N6:N1048576)</f>
        <v>666461</v>
      </c>
      <c r="O4" s="649">
        <f>SUBTOTAL(109,O6:O1048576)</f>
        <v>7158433.2999999998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45839</v>
      </c>
      <c r="J6" s="653">
        <v>357087.3</v>
      </c>
      <c r="K6" s="567">
        <v>0.6</v>
      </c>
      <c r="L6" s="646">
        <v>214251</v>
      </c>
      <c r="M6" s="654" t="str">
        <f>VLOOKUP(G:G,list!B:E,4,FALSE)</f>
        <v>-</v>
      </c>
      <c r="N6" s="655">
        <f t="shared" ref="N6:N106" si="0">ROUND(IF(M6="-",0,L6*M6),0)</f>
        <v>0</v>
      </c>
      <c r="O6" s="655">
        <f t="shared" ref="O6:O106" si="1">L6-N6</f>
        <v>214251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45839</v>
      </c>
      <c r="J7" s="653">
        <v>112045</v>
      </c>
      <c r="K7" s="600">
        <v>0.6</v>
      </c>
      <c r="L7" s="646">
        <v>67228</v>
      </c>
      <c r="M7" s="654" t="str">
        <f>VLOOKUP(G:G,list!B:E,4,FALSE)</f>
        <v>-</v>
      </c>
      <c r="N7" s="655">
        <f t="shared" si="0"/>
        <v>0</v>
      </c>
      <c r="O7" s="655">
        <f t="shared" si="1"/>
        <v>67228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45839</v>
      </c>
      <c r="J8" s="653">
        <v>296031.5</v>
      </c>
      <c r="K8" s="567">
        <v>0.6</v>
      </c>
      <c r="L8" s="646">
        <v>177618</v>
      </c>
      <c r="M8" s="654" t="str">
        <f>VLOOKUP(G:G,list!B:E,4,FALSE)</f>
        <v>-</v>
      </c>
      <c r="N8" s="655">
        <f t="shared" si="0"/>
        <v>0</v>
      </c>
      <c r="O8" s="655">
        <f t="shared" si="1"/>
        <v>177618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45839</v>
      </c>
      <c r="J9" s="653">
        <v>145497</v>
      </c>
      <c r="K9" s="606">
        <v>0.6</v>
      </c>
      <c r="L9" s="646">
        <v>87299</v>
      </c>
      <c r="M9" s="654">
        <f>VLOOKUP(G:G,list!B:E,4,FALSE)</f>
        <v>0.1</v>
      </c>
      <c r="N9" s="655">
        <f t="shared" si="0"/>
        <v>8730</v>
      </c>
      <c r="O9" s="655">
        <f t="shared" si="1"/>
        <v>78569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45839</v>
      </c>
      <c r="J10" s="653">
        <v>176939.4</v>
      </c>
      <c r="K10" s="600">
        <v>0.6</v>
      </c>
      <c r="L10" s="646">
        <v>106164</v>
      </c>
      <c r="M10" s="654">
        <f>VLOOKUP(G:G,list!B:E,4,FALSE)</f>
        <v>0.1</v>
      </c>
      <c r="N10" s="655">
        <f t="shared" si="0"/>
        <v>10616</v>
      </c>
      <c r="O10" s="655">
        <f t="shared" si="1"/>
        <v>95548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45839</v>
      </c>
      <c r="J11" s="653">
        <v>13590</v>
      </c>
      <c r="K11" s="603">
        <v>0.6</v>
      </c>
      <c r="L11" s="646">
        <v>8154</v>
      </c>
      <c r="M11" s="654" t="str">
        <f>VLOOKUP(G:G,list!B:E,4,FALSE)</f>
        <v>-</v>
      </c>
      <c r="N11" s="655">
        <f t="shared" si="0"/>
        <v>0</v>
      </c>
      <c r="O11" s="655">
        <f t="shared" si="1"/>
        <v>8154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45839</v>
      </c>
      <c r="J12" s="653">
        <v>226895.6</v>
      </c>
      <c r="K12" s="603">
        <v>0.6</v>
      </c>
      <c r="L12" s="646">
        <v>136136</v>
      </c>
      <c r="M12" s="654">
        <f>VLOOKUP(G:G,list!B:E,4,FALSE)</f>
        <v>0.1</v>
      </c>
      <c r="N12" s="655">
        <f t="shared" si="0"/>
        <v>13614</v>
      </c>
      <c r="O12" s="655">
        <f t="shared" si="1"/>
        <v>122522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45839</v>
      </c>
      <c r="J13" s="653">
        <v>47158.6</v>
      </c>
      <c r="K13" s="600">
        <v>0.6</v>
      </c>
      <c r="L13" s="646">
        <v>28296</v>
      </c>
      <c r="M13" s="654">
        <f>VLOOKUP(G:G,list!B:E,4,FALSE)</f>
        <v>0.1</v>
      </c>
      <c r="N13" s="655">
        <f t="shared" si="0"/>
        <v>2830</v>
      </c>
      <c r="O13" s="655">
        <f t="shared" si="1"/>
        <v>25466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45839</v>
      </c>
      <c r="J14" s="653">
        <v>151846.39999999999</v>
      </c>
      <c r="K14" s="606">
        <v>0.6</v>
      </c>
      <c r="L14" s="646">
        <v>91109</v>
      </c>
      <c r="M14" s="654">
        <f>VLOOKUP(G:G,list!B:E,4,FALSE)</f>
        <v>0.11</v>
      </c>
      <c r="N14" s="655">
        <f t="shared" si="0"/>
        <v>10022</v>
      </c>
      <c r="O14" s="655">
        <f t="shared" si="1"/>
        <v>81087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45839</v>
      </c>
      <c r="J15" s="653">
        <v>390388</v>
      </c>
      <c r="K15" s="567">
        <v>0.6</v>
      </c>
      <c r="L15" s="646">
        <v>234231</v>
      </c>
      <c r="M15" s="654">
        <f>VLOOKUP(G:G,list!B:E,4,FALSE)</f>
        <v>0.1</v>
      </c>
      <c r="N15" s="655">
        <f t="shared" si="0"/>
        <v>23423</v>
      </c>
      <c r="O15" s="655">
        <f t="shared" si="1"/>
        <v>210808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45839</v>
      </c>
      <c r="J16" s="653">
        <v>81415</v>
      </c>
      <c r="K16" s="567">
        <v>0.6</v>
      </c>
      <c r="L16" s="646">
        <v>48847</v>
      </c>
      <c r="M16" s="654">
        <f>VLOOKUP(G:G,list!B:E,4,FALSE)</f>
        <v>0.1</v>
      </c>
      <c r="N16" s="655">
        <f t="shared" si="0"/>
        <v>4885</v>
      </c>
      <c r="O16" s="655">
        <f t="shared" si="1"/>
        <v>43962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45839</v>
      </c>
      <c r="J17" s="653">
        <v>1267</v>
      </c>
      <c r="K17" s="600">
        <v>0.7</v>
      </c>
      <c r="L17" s="646">
        <v>887</v>
      </c>
      <c r="M17" s="654" t="str">
        <f>VLOOKUP(G:G,list!B:E,4,FALSE)</f>
        <v>-</v>
      </c>
      <c r="N17" s="655">
        <f t="shared" si="0"/>
        <v>0</v>
      </c>
      <c r="O17" s="655">
        <f t="shared" si="1"/>
        <v>887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45839</v>
      </c>
      <c r="J18" s="653">
        <v>1009707.6</v>
      </c>
      <c r="K18" s="603">
        <v>0.6</v>
      </c>
      <c r="L18" s="646">
        <v>605824</v>
      </c>
      <c r="M18" s="654">
        <f>VLOOKUP(G:G,list!B:E,4,FALSE)</f>
        <v>0.1</v>
      </c>
      <c r="N18" s="655">
        <f t="shared" si="0"/>
        <v>60582</v>
      </c>
      <c r="O18" s="655">
        <f t="shared" si="1"/>
        <v>545242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45839</v>
      </c>
      <c r="J19" s="653">
        <v>222230.8</v>
      </c>
      <c r="K19" s="603">
        <v>0.7</v>
      </c>
      <c r="L19" s="646">
        <v>155563</v>
      </c>
      <c r="M19" s="654">
        <f>VLOOKUP(G:G,list!B:E,4,FALSE)</f>
        <v>0.1</v>
      </c>
      <c r="N19" s="655">
        <f t="shared" si="0"/>
        <v>15556</v>
      </c>
      <c r="O19" s="655">
        <f t="shared" si="1"/>
        <v>140007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45839</v>
      </c>
      <c r="J20" s="653">
        <v>27685</v>
      </c>
      <c r="K20" s="603">
        <v>0.6</v>
      </c>
      <c r="L20" s="646">
        <v>16611</v>
      </c>
      <c r="M20" s="654">
        <f>VLOOKUP(G:G,list!B:E,4,FALSE)</f>
        <v>0.1</v>
      </c>
      <c r="N20" s="655">
        <f t="shared" si="0"/>
        <v>1661</v>
      </c>
      <c r="O20" s="655">
        <f t="shared" si="1"/>
        <v>14950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45839</v>
      </c>
      <c r="J21" s="653">
        <v>0</v>
      </c>
      <c r="K21" s="567">
        <v>0.6</v>
      </c>
      <c r="L21" s="646">
        <v>0</v>
      </c>
      <c r="M21" s="654" t="str">
        <f>VLOOKUP(G:G,list!B:E,4,FALSE)</f>
        <v>-</v>
      </c>
      <c r="N21" s="655">
        <f t="shared" si="0"/>
        <v>0</v>
      </c>
      <c r="O21" s="655">
        <f t="shared" si="1"/>
        <v>0</v>
      </c>
      <c r="P21" s="564" t="s">
        <v>366</v>
      </c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45839</v>
      </c>
      <c r="J22" s="653">
        <v>31406.9</v>
      </c>
      <c r="K22" s="567">
        <v>0.6</v>
      </c>
      <c r="L22" s="646">
        <v>18844</v>
      </c>
      <c r="M22" s="654">
        <f>VLOOKUP(G:G,list!B:E,4,FALSE)</f>
        <v>0.1</v>
      </c>
      <c r="N22" s="655">
        <f t="shared" si="0"/>
        <v>1884</v>
      </c>
      <c r="O22" s="655">
        <f t="shared" si="1"/>
        <v>16960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45839</v>
      </c>
      <c r="J23" s="653">
        <v>900</v>
      </c>
      <c r="K23" s="567">
        <v>0.6</v>
      </c>
      <c r="L23" s="646">
        <v>540</v>
      </c>
      <c r="M23" s="654" t="str">
        <f>VLOOKUP(G:G,list!B:E,4,FALSE)</f>
        <v>-</v>
      </c>
      <c r="N23" s="655">
        <f t="shared" si="0"/>
        <v>0</v>
      </c>
      <c r="O23" s="655">
        <f t="shared" si="1"/>
        <v>540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45839</v>
      </c>
      <c r="J24" s="653">
        <v>32791.9</v>
      </c>
      <c r="K24" s="603">
        <v>0.6</v>
      </c>
      <c r="L24" s="646">
        <v>19675</v>
      </c>
      <c r="M24" s="654">
        <f>VLOOKUP(G:G,list!B:E,4,FALSE)</f>
        <v>0.1</v>
      </c>
      <c r="N24" s="655">
        <f t="shared" si="0"/>
        <v>1968</v>
      </c>
      <c r="O24" s="655">
        <f t="shared" si="1"/>
        <v>17707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45839</v>
      </c>
      <c r="J25" s="653">
        <v>6912</v>
      </c>
      <c r="K25" s="603">
        <v>0.6</v>
      </c>
      <c r="L25" s="646">
        <v>4147</v>
      </c>
      <c r="M25" s="654">
        <f>VLOOKUP(G:G,list!B:E,4,FALSE)</f>
        <v>0.1</v>
      </c>
      <c r="N25" s="655">
        <f t="shared" si="0"/>
        <v>415</v>
      </c>
      <c r="O25" s="655">
        <f t="shared" si="1"/>
        <v>3732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45839</v>
      </c>
      <c r="J26" s="653">
        <v>93708.5</v>
      </c>
      <c r="K26" s="567">
        <v>0.6</v>
      </c>
      <c r="L26" s="646">
        <v>56226</v>
      </c>
      <c r="M26" s="654">
        <f>VLOOKUP(G:G,list!B:E,4,FALSE)</f>
        <v>0.1</v>
      </c>
      <c r="N26" s="655">
        <f t="shared" si="0"/>
        <v>5623</v>
      </c>
      <c r="O26" s="655">
        <f t="shared" si="1"/>
        <v>50603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45839</v>
      </c>
      <c r="J27" s="653">
        <v>5074</v>
      </c>
      <c r="K27" s="567">
        <v>0.6</v>
      </c>
      <c r="L27" s="646">
        <v>3044</v>
      </c>
      <c r="M27" s="654">
        <f>VLOOKUP(G:G,list!B:E,4,FALSE)</f>
        <v>0.1</v>
      </c>
      <c r="N27" s="655">
        <f t="shared" si="0"/>
        <v>304</v>
      </c>
      <c r="O27" s="655">
        <f t="shared" si="1"/>
        <v>2740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45839</v>
      </c>
      <c r="J28" s="653">
        <v>21838</v>
      </c>
      <c r="K28" s="567">
        <v>0.6</v>
      </c>
      <c r="L28" s="646">
        <v>13103</v>
      </c>
      <c r="M28" s="654" t="str">
        <f>VLOOKUP(G:G,list!B:E,4,FALSE)</f>
        <v>-</v>
      </c>
      <c r="N28" s="655">
        <f t="shared" si="0"/>
        <v>0</v>
      </c>
      <c r="O28" s="655">
        <f t="shared" si="1"/>
        <v>13103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45839</v>
      </c>
      <c r="J29" s="653">
        <v>18045.900000000001</v>
      </c>
      <c r="K29" s="567">
        <v>0.6</v>
      </c>
      <c r="L29" s="646">
        <v>10827</v>
      </c>
      <c r="M29" s="654">
        <f>VLOOKUP(G:G,list!B:E,4,FALSE)</f>
        <v>0.11</v>
      </c>
      <c r="N29" s="655">
        <f t="shared" si="0"/>
        <v>1191</v>
      </c>
      <c r="O29" s="655">
        <f t="shared" si="1"/>
        <v>9636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45839</v>
      </c>
      <c r="J30" s="653">
        <v>67892.5</v>
      </c>
      <c r="K30" s="567">
        <v>0.6</v>
      </c>
      <c r="L30" s="646">
        <v>40736</v>
      </c>
      <c r="M30" s="654" t="str">
        <f>VLOOKUP(G:G,list!B:E,4,FALSE)</f>
        <v>-</v>
      </c>
      <c r="N30" s="655">
        <f t="shared" si="0"/>
        <v>0</v>
      </c>
      <c r="O30" s="655">
        <f t="shared" si="1"/>
        <v>40736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45839</v>
      </c>
      <c r="J31" s="653">
        <v>92344.9</v>
      </c>
      <c r="K31" s="567">
        <v>0.6</v>
      </c>
      <c r="L31" s="646">
        <v>55407</v>
      </c>
      <c r="M31" s="654" t="str">
        <f>VLOOKUP(G:G,list!B:E,4,FALSE)</f>
        <v>-</v>
      </c>
      <c r="N31" s="655">
        <f t="shared" si="0"/>
        <v>0</v>
      </c>
      <c r="O31" s="655">
        <f t="shared" si="1"/>
        <v>55407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45839</v>
      </c>
      <c r="J32" s="653">
        <v>177201.5</v>
      </c>
      <c r="K32" s="567">
        <v>0.6</v>
      </c>
      <c r="L32" s="646">
        <v>106322</v>
      </c>
      <c r="M32" s="654">
        <f>VLOOKUP(G:G,list!B:E,4,FALSE)</f>
        <v>0.1</v>
      </c>
      <c r="N32" s="655">
        <f t="shared" si="0"/>
        <v>10632</v>
      </c>
      <c r="O32" s="655">
        <f t="shared" si="1"/>
        <v>95690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45809</v>
      </c>
      <c r="J33" s="653">
        <v>55912</v>
      </c>
      <c r="K33" s="674">
        <v>0.224</v>
      </c>
      <c r="L33" s="646">
        <v>11276</v>
      </c>
      <c r="M33" s="654">
        <f>VLOOKUP(G:G,list!B:E,4,FALSE)</f>
        <v>0.1</v>
      </c>
      <c r="N33" s="655">
        <f t="shared" si="0"/>
        <v>1128</v>
      </c>
      <c r="O33" s="655">
        <f t="shared" si="1"/>
        <v>10148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45809</v>
      </c>
      <c r="J34" s="653">
        <v>1189717</v>
      </c>
      <c r="K34" s="674">
        <v>0.224</v>
      </c>
      <c r="L34" s="646">
        <v>239849</v>
      </c>
      <c r="M34" s="654">
        <f>VLOOKUP(G:G,list!B:E,4,FALSE)</f>
        <v>0.1</v>
      </c>
      <c r="N34" s="655">
        <f t="shared" si="0"/>
        <v>23985</v>
      </c>
      <c r="O34" s="655">
        <f t="shared" si="1"/>
        <v>215864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45809</v>
      </c>
      <c r="J35" s="653">
        <v>8646</v>
      </c>
      <c r="K35" s="674">
        <v>0.224</v>
      </c>
      <c r="L35" s="646">
        <v>1770</v>
      </c>
      <c r="M35" s="654" t="str">
        <f>VLOOKUP(G:G,list!B:E,4,FALSE)</f>
        <v>-</v>
      </c>
      <c r="N35" s="655">
        <f t="shared" si="0"/>
        <v>0</v>
      </c>
      <c r="O35" s="655">
        <f t="shared" si="1"/>
        <v>1770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45809</v>
      </c>
      <c r="J36" s="653">
        <v>340083</v>
      </c>
      <c r="K36" s="674">
        <v>0.224</v>
      </c>
      <c r="L36" s="646">
        <v>68562</v>
      </c>
      <c r="M36" s="654">
        <f>VLOOKUP(G:G,list!B:E,4,FALSE)</f>
        <v>0.1</v>
      </c>
      <c r="N36" s="655">
        <f t="shared" si="0"/>
        <v>6856</v>
      </c>
      <c r="O36" s="655">
        <f t="shared" si="1"/>
        <v>61706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45809</v>
      </c>
      <c r="J37" s="653">
        <v>128540</v>
      </c>
      <c r="K37" s="674">
        <v>0.224</v>
      </c>
      <c r="L37" s="646">
        <v>25920</v>
      </c>
      <c r="M37" s="654">
        <f>VLOOKUP(G:G,list!B:E,4,FALSE)</f>
        <v>0.11</v>
      </c>
      <c r="N37" s="655">
        <f t="shared" si="0"/>
        <v>2851</v>
      </c>
      <c r="O37" s="655">
        <f t="shared" si="1"/>
        <v>23069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45809</v>
      </c>
      <c r="J38" s="653">
        <v>176382</v>
      </c>
      <c r="K38" s="674">
        <v>0.224</v>
      </c>
      <c r="L38" s="646">
        <v>35559</v>
      </c>
      <c r="M38" s="654">
        <f>VLOOKUP(G:G,list!B:E,4,FALSE)</f>
        <v>0.1</v>
      </c>
      <c r="N38" s="655">
        <f t="shared" si="0"/>
        <v>3556</v>
      </c>
      <c r="O38" s="655">
        <f t="shared" si="1"/>
        <v>32003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45809</v>
      </c>
      <c r="J39" s="653">
        <v>119317</v>
      </c>
      <c r="K39" s="674">
        <v>0.224</v>
      </c>
      <c r="L39" s="646">
        <v>24062</v>
      </c>
      <c r="M39" s="654" t="str">
        <f>VLOOKUP(G:G,list!B:E,4,FALSE)</f>
        <v>-</v>
      </c>
      <c r="N39" s="655">
        <f t="shared" si="0"/>
        <v>0</v>
      </c>
      <c r="O39" s="655">
        <f t="shared" si="1"/>
        <v>24062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45809</v>
      </c>
      <c r="J40" s="653">
        <v>2743151</v>
      </c>
      <c r="K40" s="674">
        <v>0.224</v>
      </c>
      <c r="L40" s="646">
        <v>553025</v>
      </c>
      <c r="M40" s="654">
        <f>VLOOKUP(G:G,list!B:E,4,FALSE)</f>
        <v>0.1</v>
      </c>
      <c r="N40" s="655">
        <f t="shared" si="0"/>
        <v>55303</v>
      </c>
      <c r="O40" s="655">
        <f t="shared" si="1"/>
        <v>497722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45809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45809</v>
      </c>
      <c r="J42" s="653">
        <v>123928</v>
      </c>
      <c r="K42" s="674">
        <v>0.224</v>
      </c>
      <c r="L42" s="646">
        <v>24991</v>
      </c>
      <c r="M42" s="654">
        <f>VLOOKUP(G:G,list!B:E,4,FALSE)</f>
        <v>0.1</v>
      </c>
      <c r="N42" s="655">
        <f t="shared" si="0"/>
        <v>2499</v>
      </c>
      <c r="O42" s="655">
        <f t="shared" si="1"/>
        <v>22492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45809</v>
      </c>
      <c r="J43" s="653">
        <v>324520</v>
      </c>
      <c r="K43" s="674">
        <v>0.224</v>
      </c>
      <c r="L43" s="646">
        <v>65426</v>
      </c>
      <c r="M43" s="654">
        <f>VLOOKUP(G:G,list!B:E,4,FALSE)</f>
        <v>0.1</v>
      </c>
      <c r="N43" s="655">
        <f t="shared" si="0"/>
        <v>6543</v>
      </c>
      <c r="O43" s="655">
        <f t="shared" si="1"/>
        <v>58883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45809</v>
      </c>
      <c r="J44" s="653">
        <v>276678</v>
      </c>
      <c r="K44" s="674">
        <v>0.224</v>
      </c>
      <c r="L44" s="646">
        <v>55786</v>
      </c>
      <c r="M44" s="654" t="str">
        <f>VLOOKUP(G:G,list!B:E,4,FALSE)</f>
        <v>-</v>
      </c>
      <c r="N44" s="655">
        <f t="shared" si="0"/>
        <v>0</v>
      </c>
      <c r="O44" s="655">
        <f t="shared" si="1"/>
        <v>55786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25</v>
      </c>
      <c r="E45" s="564" t="s">
        <v>62</v>
      </c>
      <c r="F45" s="564" t="s">
        <v>257</v>
      </c>
      <c r="G45" s="564" t="s">
        <v>316</v>
      </c>
      <c r="H45" s="565">
        <v>45577</v>
      </c>
      <c r="I45" s="652">
        <v>45839</v>
      </c>
      <c r="J45" s="653">
        <v>57504</v>
      </c>
      <c r="K45" s="567">
        <v>0.35</v>
      </c>
      <c r="L45" s="646">
        <v>20126</v>
      </c>
      <c r="M45" s="654">
        <f>VLOOKUP(G:G,list!B:E,4,FALSE)</f>
        <v>0.1</v>
      </c>
      <c r="N45" s="655">
        <f t="shared" si="0"/>
        <v>2013</v>
      </c>
      <c r="O45" s="655">
        <f t="shared" si="1"/>
        <v>18113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25</v>
      </c>
      <c r="E46" s="564" t="s">
        <v>62</v>
      </c>
      <c r="F46" s="564" t="s">
        <v>257</v>
      </c>
      <c r="G46" s="564" t="s">
        <v>353</v>
      </c>
      <c r="H46" s="565">
        <v>44916</v>
      </c>
      <c r="I46" s="652">
        <v>45839</v>
      </c>
      <c r="J46" s="653">
        <v>-63419</v>
      </c>
      <c r="K46" s="567">
        <v>0.35</v>
      </c>
      <c r="L46" s="646">
        <v>0</v>
      </c>
      <c r="M46" s="654">
        <f>VLOOKUP(G:G,list!B:E,4,FALSE)</f>
        <v>0.11</v>
      </c>
      <c r="N46" s="655">
        <f t="shared" si="0"/>
        <v>0</v>
      </c>
      <c r="O46" s="655">
        <f t="shared" si="1"/>
        <v>0</v>
      </c>
      <c r="P46" s="564" t="s">
        <v>597</v>
      </c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25</v>
      </c>
      <c r="E47" s="564" t="s">
        <v>62</v>
      </c>
      <c r="F47" s="564" t="s">
        <v>257</v>
      </c>
      <c r="G47" s="564" t="s">
        <v>352</v>
      </c>
      <c r="H47" s="565">
        <v>45098</v>
      </c>
      <c r="I47" s="652">
        <v>45839</v>
      </c>
      <c r="J47" s="653">
        <v>-72793</v>
      </c>
      <c r="K47" s="600">
        <v>0.35</v>
      </c>
      <c r="L47" s="646">
        <v>0</v>
      </c>
      <c r="M47" s="654">
        <f>VLOOKUP(G:G,list!B:E,4,FALSE)</f>
        <v>0.1</v>
      </c>
      <c r="N47" s="655">
        <f t="shared" si="0"/>
        <v>0</v>
      </c>
      <c r="O47" s="655">
        <f t="shared" si="1"/>
        <v>0</v>
      </c>
      <c r="P47" s="564" t="s">
        <v>597</v>
      </c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246</v>
      </c>
      <c r="G48" s="564" t="s">
        <v>36</v>
      </c>
      <c r="H48" s="565">
        <v>43810</v>
      </c>
      <c r="I48" s="652">
        <v>45839</v>
      </c>
      <c r="J48" s="653">
        <v>23760</v>
      </c>
      <c r="K48" s="600" t="s">
        <v>532</v>
      </c>
      <c r="L48" s="646">
        <v>8586</v>
      </c>
      <c r="M48" s="654" t="str">
        <f>VLOOKUP(G:G,list!B:E,4,FALSE)</f>
        <v>-</v>
      </c>
      <c r="N48" s="655">
        <f t="shared" si="0"/>
        <v>0</v>
      </c>
      <c r="O48" s="655">
        <f t="shared" si="1"/>
        <v>8586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246</v>
      </c>
      <c r="G49" s="564" t="s">
        <v>139</v>
      </c>
      <c r="H49" s="565">
        <v>43852</v>
      </c>
      <c r="I49" s="652">
        <v>45839</v>
      </c>
      <c r="J49" s="653">
        <v>7020</v>
      </c>
      <c r="K49" s="600" t="s">
        <v>532</v>
      </c>
      <c r="L49" s="646">
        <v>2943</v>
      </c>
      <c r="M49" s="654" t="str">
        <f>VLOOKUP(G:G,list!B:E,4,FALSE)</f>
        <v>-</v>
      </c>
      <c r="N49" s="655">
        <f t="shared" si="0"/>
        <v>0</v>
      </c>
      <c r="O49" s="655">
        <f t="shared" si="1"/>
        <v>2943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78</v>
      </c>
      <c r="E50" s="564" t="s">
        <v>9</v>
      </c>
      <c r="F50" s="564" t="s">
        <v>544</v>
      </c>
      <c r="G50" s="564" t="s">
        <v>36</v>
      </c>
      <c r="H50" s="565">
        <v>45124</v>
      </c>
      <c r="I50" s="652">
        <v>45809</v>
      </c>
      <c r="J50" s="653">
        <v>156350</v>
      </c>
      <c r="K50" s="600">
        <v>0.5</v>
      </c>
      <c r="L50" s="646">
        <v>78175</v>
      </c>
      <c r="M50" s="654" t="str">
        <f>VLOOKUP(G:G,list!B:E,4,FALSE)</f>
        <v>-</v>
      </c>
      <c r="N50" s="655">
        <f t="shared" si="0"/>
        <v>0</v>
      </c>
      <c r="O50" s="655">
        <f t="shared" si="1"/>
        <v>78175</v>
      </c>
      <c r="P50" s="564"/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78</v>
      </c>
      <c r="E51" s="564" t="s">
        <v>9</v>
      </c>
      <c r="F51" s="564" t="s">
        <v>544</v>
      </c>
      <c r="G51" s="564" t="s">
        <v>139</v>
      </c>
      <c r="H51" s="565">
        <v>44513</v>
      </c>
      <c r="I51" s="652">
        <v>45809</v>
      </c>
      <c r="J51" s="653">
        <v>46496</v>
      </c>
      <c r="K51" s="600">
        <v>0.5</v>
      </c>
      <c r="L51" s="646">
        <v>23248</v>
      </c>
      <c r="M51" s="654" t="str">
        <f>VLOOKUP(G:G,list!B:E,4,FALSE)</f>
        <v>-</v>
      </c>
      <c r="N51" s="655">
        <f t="shared" si="0"/>
        <v>0</v>
      </c>
      <c r="O51" s="655">
        <f t="shared" si="1"/>
        <v>23248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66</v>
      </c>
      <c r="E52" s="564" t="s">
        <v>64</v>
      </c>
      <c r="F52" s="564" t="s">
        <v>593</v>
      </c>
      <c r="G52" s="564" t="s">
        <v>30</v>
      </c>
      <c r="H52" s="565">
        <v>44586</v>
      </c>
      <c r="I52" s="652">
        <v>45839</v>
      </c>
      <c r="J52" s="653">
        <v>143638</v>
      </c>
      <c r="K52" s="567">
        <v>0.4</v>
      </c>
      <c r="L52" s="646">
        <v>57455</v>
      </c>
      <c r="M52" s="654">
        <f>VLOOKUP(G:G,list!B:E,4,FALSE)</f>
        <v>0.1</v>
      </c>
      <c r="N52" s="655">
        <f t="shared" si="0"/>
        <v>5746</v>
      </c>
      <c r="O52" s="655">
        <f t="shared" si="1"/>
        <v>51709</v>
      </c>
      <c r="P52" s="564" t="s">
        <v>594</v>
      </c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66</v>
      </c>
      <c r="E53" s="564" t="s">
        <v>9</v>
      </c>
      <c r="F53" s="564" t="s">
        <v>593</v>
      </c>
      <c r="G53" s="564" t="s">
        <v>36</v>
      </c>
      <c r="H53" s="565">
        <v>44992</v>
      </c>
      <c r="I53" s="652">
        <v>45839</v>
      </c>
      <c r="J53" s="653">
        <v>109085</v>
      </c>
      <c r="K53" s="600">
        <v>0.4</v>
      </c>
      <c r="L53" s="646">
        <v>43634</v>
      </c>
      <c r="M53" s="654" t="str">
        <f>VLOOKUP(G:G,list!B:E,4,FALSE)</f>
        <v>-</v>
      </c>
      <c r="N53" s="655">
        <f t="shared" si="0"/>
        <v>0</v>
      </c>
      <c r="O53" s="655">
        <f t="shared" si="1"/>
        <v>43634</v>
      </c>
      <c r="P53" s="564" t="s">
        <v>594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66</v>
      </c>
      <c r="E54" s="564" t="s">
        <v>9</v>
      </c>
      <c r="F54" s="564" t="s">
        <v>593</v>
      </c>
      <c r="G54" s="564" t="s">
        <v>37</v>
      </c>
      <c r="H54" s="565">
        <v>45169</v>
      </c>
      <c r="I54" s="652">
        <v>45839</v>
      </c>
      <c r="J54" s="653">
        <v>23130</v>
      </c>
      <c r="K54" s="600">
        <v>0.4</v>
      </c>
      <c r="L54" s="646">
        <v>9252</v>
      </c>
      <c r="M54" s="654" t="str">
        <f>VLOOKUP(G:G,list!B:E,4,FALSE)</f>
        <v>-</v>
      </c>
      <c r="N54" s="655">
        <f t="shared" si="0"/>
        <v>0</v>
      </c>
      <c r="O54" s="655">
        <f t="shared" si="1"/>
        <v>9252</v>
      </c>
      <c r="P54" s="564" t="s">
        <v>594</v>
      </c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67</v>
      </c>
      <c r="E55" s="564" t="s">
        <v>9</v>
      </c>
      <c r="F55" s="564" t="s">
        <v>593</v>
      </c>
      <c r="G55" s="564" t="s">
        <v>37</v>
      </c>
      <c r="H55" s="565">
        <v>43921</v>
      </c>
      <c r="I55" s="652">
        <v>45839</v>
      </c>
      <c r="J55" s="653">
        <v>0</v>
      </c>
      <c r="K55" s="600">
        <v>0.4</v>
      </c>
      <c r="L55" s="646">
        <v>0</v>
      </c>
      <c r="M55" s="654" t="str">
        <f>VLOOKUP(G:G,list!B:E,4,FALSE)</f>
        <v>-</v>
      </c>
      <c r="N55" s="655">
        <f t="shared" si="0"/>
        <v>0</v>
      </c>
      <c r="O55" s="655">
        <f t="shared" si="1"/>
        <v>0</v>
      </c>
      <c r="P55" s="564" t="s">
        <v>594</v>
      </c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67</v>
      </c>
      <c r="E56" s="564" t="s">
        <v>9</v>
      </c>
      <c r="F56" s="564" t="s">
        <v>593</v>
      </c>
      <c r="G56" s="564" t="s">
        <v>36</v>
      </c>
      <c r="H56" s="565">
        <v>43941</v>
      </c>
      <c r="I56" s="652">
        <v>45839</v>
      </c>
      <c r="J56" s="653">
        <v>275450</v>
      </c>
      <c r="K56" s="600">
        <v>0.4</v>
      </c>
      <c r="L56" s="646">
        <v>110180</v>
      </c>
      <c r="M56" s="654" t="str">
        <f>VLOOKUP(G:G,list!B:E,4,FALSE)</f>
        <v>-</v>
      </c>
      <c r="N56" s="655">
        <f t="shared" si="0"/>
        <v>0</v>
      </c>
      <c r="O56" s="655">
        <f t="shared" si="1"/>
        <v>110180</v>
      </c>
      <c r="P56" s="564" t="s">
        <v>594</v>
      </c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67</v>
      </c>
      <c r="E57" s="564" t="s">
        <v>64</v>
      </c>
      <c r="F57" s="564" t="s">
        <v>593</v>
      </c>
      <c r="G57" s="564" t="s">
        <v>30</v>
      </c>
      <c r="H57" s="565">
        <v>44258</v>
      </c>
      <c r="I57" s="652">
        <v>45839</v>
      </c>
      <c r="J57" s="653">
        <v>119983</v>
      </c>
      <c r="K57" s="600">
        <v>0.4</v>
      </c>
      <c r="L57" s="646">
        <v>47993</v>
      </c>
      <c r="M57" s="654">
        <f>VLOOKUP(G:G,list!B:E,4,FALSE)</f>
        <v>0.1</v>
      </c>
      <c r="N57" s="655">
        <f t="shared" si="0"/>
        <v>4799</v>
      </c>
      <c r="O57" s="655">
        <f t="shared" si="1"/>
        <v>43194</v>
      </c>
      <c r="P57" s="564" t="s">
        <v>594</v>
      </c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131</v>
      </c>
      <c r="G58" s="564" t="s">
        <v>60</v>
      </c>
      <c r="H58" s="565">
        <v>44333</v>
      </c>
      <c r="I58" s="652">
        <v>45839</v>
      </c>
      <c r="J58" s="653">
        <v>12342</v>
      </c>
      <c r="K58" s="603">
        <v>0.5</v>
      </c>
      <c r="L58" s="646">
        <v>6171</v>
      </c>
      <c r="M58" s="654" t="str">
        <f>VLOOKUP(G:G,list!B:E,4,FALSE)</f>
        <v>-</v>
      </c>
      <c r="N58" s="655">
        <f t="shared" si="0"/>
        <v>0</v>
      </c>
      <c r="O58" s="655">
        <f t="shared" si="1"/>
        <v>6171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115</v>
      </c>
      <c r="F59" s="564" t="s">
        <v>131</v>
      </c>
      <c r="G59" s="564" t="s">
        <v>518</v>
      </c>
      <c r="H59" s="565">
        <v>44897</v>
      </c>
      <c r="I59" s="652">
        <v>45839</v>
      </c>
      <c r="J59" s="653">
        <v>30996</v>
      </c>
      <c r="K59" s="603">
        <v>0.5</v>
      </c>
      <c r="L59" s="646">
        <v>15498</v>
      </c>
      <c r="M59" s="654" t="str">
        <f>VLOOKUP(G:G,list!B:E,4,FALSE)</f>
        <v>-</v>
      </c>
      <c r="N59" s="655">
        <f t="shared" si="0"/>
        <v>0</v>
      </c>
      <c r="O59" s="655">
        <f t="shared" si="1"/>
        <v>15498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182</v>
      </c>
      <c r="E60" s="564" t="s">
        <v>115</v>
      </c>
      <c r="F60" s="564" t="s">
        <v>587</v>
      </c>
      <c r="G60" s="564" t="s">
        <v>518</v>
      </c>
      <c r="H60" s="565">
        <v>45049</v>
      </c>
      <c r="I60" s="652">
        <v>45809</v>
      </c>
      <c r="J60" s="653">
        <v>63347</v>
      </c>
      <c r="K60" s="603">
        <v>0.3</v>
      </c>
      <c r="L60" s="646">
        <v>19004</v>
      </c>
      <c r="M60" s="654" t="str">
        <f>VLOOKUP(G:G,list!B:E,4,FALSE)</f>
        <v>-</v>
      </c>
      <c r="N60" s="655">
        <f t="shared" si="0"/>
        <v>0</v>
      </c>
      <c r="O60" s="655">
        <f t="shared" si="1"/>
        <v>19004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182</v>
      </c>
      <c r="E61" s="564" t="s">
        <v>115</v>
      </c>
      <c r="F61" s="564" t="s">
        <v>587</v>
      </c>
      <c r="G61" s="564" t="s">
        <v>541</v>
      </c>
      <c r="H61" s="565">
        <v>45591</v>
      </c>
      <c r="I61" s="652">
        <v>45809</v>
      </c>
      <c r="J61" s="653">
        <v>29334</v>
      </c>
      <c r="K61" s="603">
        <v>0.5</v>
      </c>
      <c r="L61" s="646">
        <v>14667</v>
      </c>
      <c r="M61" s="654">
        <f>VLOOKUP(G:G,list!B:E,4,FALSE)</f>
        <v>0.1</v>
      </c>
      <c r="N61" s="655">
        <f t="shared" si="0"/>
        <v>1467</v>
      </c>
      <c r="O61" s="655">
        <f t="shared" si="1"/>
        <v>13200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외부제작</v>
      </c>
      <c r="D62" s="564" t="s">
        <v>182</v>
      </c>
      <c r="E62" s="564" t="s">
        <v>115</v>
      </c>
      <c r="F62" s="564" t="s">
        <v>587</v>
      </c>
      <c r="G62" s="564" t="s">
        <v>315</v>
      </c>
      <c r="H62" s="565">
        <v>45673</v>
      </c>
      <c r="I62" s="652">
        <v>45809</v>
      </c>
      <c r="J62" s="653">
        <v>12504</v>
      </c>
      <c r="K62" s="603">
        <v>0.5</v>
      </c>
      <c r="L62" s="646">
        <v>6252</v>
      </c>
      <c r="M62" s="654" t="str">
        <f>VLOOKUP(G:G,list!B:E,4,FALSE)</f>
        <v>-</v>
      </c>
      <c r="N62" s="655">
        <f t="shared" si="0"/>
        <v>0</v>
      </c>
      <c r="O62" s="655">
        <f t="shared" si="1"/>
        <v>6252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45809</v>
      </c>
      <c r="J63" s="653">
        <v>1528120</v>
      </c>
      <c r="K63" s="603">
        <v>0.7</v>
      </c>
      <c r="L63" s="646">
        <v>1070334</v>
      </c>
      <c r="M63" s="654">
        <f>VLOOKUP(G:G,list!B:E,4,FALSE)</f>
        <v>0.1</v>
      </c>
      <c r="N63" s="655">
        <f t="shared" si="0"/>
        <v>107033</v>
      </c>
      <c r="O63" s="655">
        <f t="shared" si="1"/>
        <v>963301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45809</v>
      </c>
      <c r="J64" s="653">
        <v>202633.32444</v>
      </c>
      <c r="K64" s="603">
        <v>0.25</v>
      </c>
      <c r="L64" s="646">
        <v>50658</v>
      </c>
      <c r="M64" s="654">
        <f>VLOOKUP(G:G,list!B:E,4,FALSE)</f>
        <v>0.1</v>
      </c>
      <c r="N64" s="655">
        <f t="shared" si="0"/>
        <v>5066</v>
      </c>
      <c r="O64" s="655">
        <f t="shared" si="1"/>
        <v>45592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32</v>
      </c>
      <c r="E65" s="564" t="s">
        <v>9</v>
      </c>
      <c r="F65" s="564" t="s">
        <v>154</v>
      </c>
      <c r="G65" s="564" t="s">
        <v>36</v>
      </c>
      <c r="H65" s="565">
        <v>44106</v>
      </c>
      <c r="I65" s="652">
        <v>45809</v>
      </c>
      <c r="J65" s="653">
        <v>6482</v>
      </c>
      <c r="K65" s="603">
        <v>0.4</v>
      </c>
      <c r="L65" s="646">
        <v>2464</v>
      </c>
      <c r="M65" s="654" t="str">
        <f>VLOOKUP(G:G,list!B:E,4,FALSE)</f>
        <v>-</v>
      </c>
      <c r="N65" s="655">
        <f t="shared" si="0"/>
        <v>0</v>
      </c>
      <c r="O65" s="655">
        <f t="shared" si="1"/>
        <v>2464</v>
      </c>
      <c r="P65" s="564"/>
      <c r="Q65" s="672" t="str">
        <f>VLOOKUP(G:G,list!B:F,5,FALSE)</f>
        <v>-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32</v>
      </c>
      <c r="E66" s="564" t="s">
        <v>9</v>
      </c>
      <c r="F66" s="564" t="s">
        <v>154</v>
      </c>
      <c r="G66" s="564" t="s">
        <v>37</v>
      </c>
      <c r="H66" s="565">
        <v>44113</v>
      </c>
      <c r="I66" s="652">
        <v>45809</v>
      </c>
      <c r="J66" s="653">
        <v>1650</v>
      </c>
      <c r="K66" s="603">
        <v>0.4</v>
      </c>
      <c r="L66" s="646">
        <v>627</v>
      </c>
      <c r="M66" s="654" t="str">
        <f>VLOOKUP(G:G,list!B:E,4,FALSE)</f>
        <v>-</v>
      </c>
      <c r="N66" s="655">
        <f t="shared" si="0"/>
        <v>0</v>
      </c>
      <c r="O66" s="655">
        <f t="shared" si="1"/>
        <v>627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32</v>
      </c>
      <c r="E67" s="564" t="s">
        <v>9</v>
      </c>
      <c r="F67" s="564" t="s">
        <v>154</v>
      </c>
      <c r="G67" s="564" t="s">
        <v>454</v>
      </c>
      <c r="H67" s="565">
        <v>44869</v>
      </c>
      <c r="I67" s="652">
        <v>45809</v>
      </c>
      <c r="J67" s="653">
        <v>25513</v>
      </c>
      <c r="K67" s="603">
        <v>0.4</v>
      </c>
      <c r="L67" s="646">
        <v>9695</v>
      </c>
      <c r="M67" s="654">
        <f>VLOOKUP(G:G,list!B:E,4,FALSE)</f>
        <v>0.1</v>
      </c>
      <c r="N67" s="655">
        <f t="shared" si="0"/>
        <v>970</v>
      </c>
      <c r="O67" s="655">
        <f t="shared" si="1"/>
        <v>8725</v>
      </c>
      <c r="P67" s="564"/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작가기획</v>
      </c>
      <c r="D68" s="564" t="s">
        <v>32</v>
      </c>
      <c r="E68" s="564" t="s">
        <v>9</v>
      </c>
      <c r="F68" s="564" t="s">
        <v>154</v>
      </c>
      <c r="G68" s="564" t="s">
        <v>36</v>
      </c>
      <c r="H68" s="565">
        <v>44106</v>
      </c>
      <c r="I68" s="652" t="s">
        <v>600</v>
      </c>
      <c r="J68" s="653">
        <v>13743</v>
      </c>
      <c r="K68" s="603">
        <v>0.4</v>
      </c>
      <c r="L68" s="646">
        <v>5223</v>
      </c>
      <c r="M68" s="654" t="str">
        <f>VLOOKUP(G:G,list!B:E,4,FALSE)</f>
        <v>-</v>
      </c>
      <c r="N68" s="655">
        <f t="shared" ref="N68:N70" si="2">ROUND(IF(M68="-",0,L68*M68),0)</f>
        <v>0</v>
      </c>
      <c r="O68" s="655">
        <f t="shared" ref="O68:O70" si="3">L68-N68</f>
        <v>5223</v>
      </c>
      <c r="P68" s="564" t="s">
        <v>601</v>
      </c>
      <c r="Q68" s="672" t="str">
        <f>VLOOKUP(G:G,list!B:F,5,FALSE)</f>
        <v>-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작가기획</v>
      </c>
      <c r="D69" s="564" t="s">
        <v>32</v>
      </c>
      <c r="E69" s="564" t="s">
        <v>9</v>
      </c>
      <c r="F69" s="564" t="s">
        <v>154</v>
      </c>
      <c r="G69" s="564" t="s">
        <v>37</v>
      </c>
      <c r="H69" s="565">
        <v>44113</v>
      </c>
      <c r="I69" s="652" t="s">
        <v>600</v>
      </c>
      <c r="J69" s="653">
        <v>15577</v>
      </c>
      <c r="K69" s="603">
        <v>0.4</v>
      </c>
      <c r="L69" s="646">
        <v>5919</v>
      </c>
      <c r="M69" s="654" t="str">
        <f>VLOOKUP(G:G,list!B:E,4,FALSE)</f>
        <v>-</v>
      </c>
      <c r="N69" s="655">
        <f t="shared" si="2"/>
        <v>0</v>
      </c>
      <c r="O69" s="655">
        <f t="shared" si="3"/>
        <v>5919</v>
      </c>
      <c r="P69" s="564" t="s">
        <v>601</v>
      </c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32</v>
      </c>
      <c r="E70" s="564" t="s">
        <v>9</v>
      </c>
      <c r="F70" s="564" t="s">
        <v>154</v>
      </c>
      <c r="G70" s="564" t="s">
        <v>454</v>
      </c>
      <c r="H70" s="565">
        <v>44869</v>
      </c>
      <c r="I70" s="652" t="s">
        <v>600</v>
      </c>
      <c r="J70" s="653">
        <v>29313</v>
      </c>
      <c r="K70" s="603">
        <v>0.4</v>
      </c>
      <c r="L70" s="646">
        <v>11139</v>
      </c>
      <c r="M70" s="654">
        <f>VLOOKUP(G:G,list!B:E,4,FALSE)</f>
        <v>0.1</v>
      </c>
      <c r="N70" s="655">
        <f t="shared" si="2"/>
        <v>1114</v>
      </c>
      <c r="O70" s="655">
        <f t="shared" si="3"/>
        <v>10025</v>
      </c>
      <c r="P70" s="564" t="s">
        <v>601</v>
      </c>
      <c r="Q70" s="672" t="str">
        <f>VLOOKUP(G:G,list!B:F,5,FALSE)</f>
        <v>-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작가기획</v>
      </c>
      <c r="D71" s="564" t="s">
        <v>32</v>
      </c>
      <c r="E71" s="564" t="s">
        <v>9</v>
      </c>
      <c r="F71" s="564" t="s">
        <v>567</v>
      </c>
      <c r="G71" s="564" t="s">
        <v>36</v>
      </c>
      <c r="H71" s="565">
        <v>45158</v>
      </c>
      <c r="I71" s="652" t="s">
        <v>599</v>
      </c>
      <c r="J71" s="653">
        <v>3090</v>
      </c>
      <c r="K71" s="603">
        <v>0.4</v>
      </c>
      <c r="L71" s="568">
        <v>2936</v>
      </c>
      <c r="M71" s="654" t="str">
        <f>VLOOKUP(G:G,list!B:E,4,FALSE)</f>
        <v>-</v>
      </c>
      <c r="N71" s="655">
        <f t="shared" ref="N71:N72" si="4">ROUND(IF(M71="-",0,L71*M71),0)</f>
        <v>0</v>
      </c>
      <c r="O71" s="655">
        <f t="shared" ref="O71:O72" si="5">L71-N71</f>
        <v>2936</v>
      </c>
      <c r="P71" s="564" t="s">
        <v>568</v>
      </c>
      <c r="Q71" s="672" t="str">
        <f>VLOOKUP(G:G,list!B:F,5,FALSE)</f>
        <v>-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작가기획</v>
      </c>
      <c r="D72" s="564" t="s">
        <v>32</v>
      </c>
      <c r="E72" s="564" t="s">
        <v>9</v>
      </c>
      <c r="F72" s="564" t="s">
        <v>567</v>
      </c>
      <c r="G72" s="564" t="s">
        <v>37</v>
      </c>
      <c r="H72" s="565">
        <v>45157</v>
      </c>
      <c r="I72" s="652" t="s">
        <v>599</v>
      </c>
      <c r="J72" s="653">
        <v>5325</v>
      </c>
      <c r="K72" s="603">
        <v>0.4</v>
      </c>
      <c r="L72" s="568">
        <v>5059</v>
      </c>
      <c r="M72" s="654" t="str">
        <f>VLOOKUP(G:G,list!B:E,4,FALSE)</f>
        <v>-</v>
      </c>
      <c r="N72" s="655">
        <f t="shared" si="4"/>
        <v>0</v>
      </c>
      <c r="O72" s="655">
        <f t="shared" si="5"/>
        <v>5059</v>
      </c>
      <c r="P72" s="564" t="s">
        <v>568</v>
      </c>
      <c r="Q72" s="672" t="str">
        <f>VLOOKUP(G:G,list!B:F,5,FALSE)</f>
        <v>-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182</v>
      </c>
      <c r="E73" s="564" t="s">
        <v>115</v>
      </c>
      <c r="F73" s="564" t="s">
        <v>386</v>
      </c>
      <c r="G73" s="564" t="s">
        <v>30</v>
      </c>
      <c r="H73" s="565">
        <v>44591</v>
      </c>
      <c r="I73" s="652">
        <v>45778</v>
      </c>
      <c r="J73" s="653">
        <v>20606</v>
      </c>
      <c r="K73" s="603">
        <v>0.5</v>
      </c>
      <c r="L73" s="646">
        <v>10303</v>
      </c>
      <c r="M73" s="654">
        <f>VLOOKUP(G:G,list!B:E,4,FALSE)</f>
        <v>0.1</v>
      </c>
      <c r="N73" s="655">
        <f t="shared" si="0"/>
        <v>1030</v>
      </c>
      <c r="O73" s="655">
        <f t="shared" si="1"/>
        <v>9273</v>
      </c>
      <c r="P73" s="564"/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작가기획</v>
      </c>
      <c r="D74" s="564" t="s">
        <v>182</v>
      </c>
      <c r="E74" s="564" t="s">
        <v>115</v>
      </c>
      <c r="F74" s="564" t="s">
        <v>386</v>
      </c>
      <c r="G74" s="564" t="s">
        <v>36</v>
      </c>
      <c r="H74" s="565">
        <v>44643</v>
      </c>
      <c r="I74" s="652">
        <v>45778</v>
      </c>
      <c r="J74" s="653">
        <v>15218</v>
      </c>
      <c r="K74" s="603">
        <v>0.5</v>
      </c>
      <c r="L74" s="646">
        <v>7609</v>
      </c>
      <c r="M74" s="654" t="str">
        <f>VLOOKUP(G:G,list!B:E,4,FALSE)</f>
        <v>-</v>
      </c>
      <c r="N74" s="655">
        <f t="shared" si="0"/>
        <v>0</v>
      </c>
      <c r="O74" s="655">
        <f t="shared" si="1"/>
        <v>7609</v>
      </c>
      <c r="P74" s="564"/>
      <c r="Q74" s="672" t="str">
        <f>VLOOKUP(G:G,list!B:F,5,FALSE)</f>
        <v>-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작가기획</v>
      </c>
      <c r="D75" s="564" t="s">
        <v>182</v>
      </c>
      <c r="E75" s="564" t="s">
        <v>115</v>
      </c>
      <c r="F75" s="564" t="s">
        <v>386</v>
      </c>
      <c r="G75" s="564" t="s">
        <v>37</v>
      </c>
      <c r="H75" s="565">
        <v>44643</v>
      </c>
      <c r="I75" s="652">
        <v>45778</v>
      </c>
      <c r="J75" s="653">
        <v>0</v>
      </c>
      <c r="K75" s="603">
        <v>0.5</v>
      </c>
      <c r="L75" s="646">
        <v>0</v>
      </c>
      <c r="M75" s="654" t="str">
        <f>VLOOKUP(G:G,list!B:E,4,FALSE)</f>
        <v>-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-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182</v>
      </c>
      <c r="E76" s="564" t="s">
        <v>115</v>
      </c>
      <c r="F76" s="564" t="s">
        <v>386</v>
      </c>
      <c r="G76" s="564" t="s">
        <v>56</v>
      </c>
      <c r="H76" s="565">
        <v>44599</v>
      </c>
      <c r="I76" s="652">
        <v>45778</v>
      </c>
      <c r="J76" s="653">
        <v>32772</v>
      </c>
      <c r="K76" s="603">
        <v>0.5</v>
      </c>
      <c r="L76" s="646">
        <v>16386</v>
      </c>
      <c r="M76" s="654">
        <f>VLOOKUP(G:G,list!B:E,4,FALSE)</f>
        <v>0.1</v>
      </c>
      <c r="N76" s="655">
        <f t="shared" si="0"/>
        <v>1639</v>
      </c>
      <c r="O76" s="655">
        <f t="shared" si="1"/>
        <v>14747</v>
      </c>
      <c r="P76" s="564"/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538</v>
      </c>
      <c r="E77" s="564" t="s">
        <v>9</v>
      </c>
      <c r="F77" s="564" t="s">
        <v>519</v>
      </c>
      <c r="G77" s="564" t="s">
        <v>316</v>
      </c>
      <c r="H77" s="565">
        <v>45446</v>
      </c>
      <c r="I77" s="652">
        <v>45839</v>
      </c>
      <c r="J77" s="653">
        <v>2394</v>
      </c>
      <c r="K77" s="603">
        <v>0.7</v>
      </c>
      <c r="L77" s="646">
        <v>1675.8</v>
      </c>
      <c r="M77" s="654">
        <f>VLOOKUP(G:G,list!B:E,4,FALSE)</f>
        <v>0.1</v>
      </c>
      <c r="N77" s="655">
        <f t="shared" si="0"/>
        <v>168</v>
      </c>
      <c r="O77" s="655">
        <f t="shared" si="1"/>
        <v>1507.8</v>
      </c>
      <c r="P77" s="564"/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549</v>
      </c>
      <c r="E78" s="564" t="s">
        <v>9</v>
      </c>
      <c r="F78" s="564" t="s">
        <v>519</v>
      </c>
      <c r="G78" s="564" t="s">
        <v>316</v>
      </c>
      <c r="H78" s="565">
        <v>45524</v>
      </c>
      <c r="I78" s="652">
        <v>45839</v>
      </c>
      <c r="J78" s="653">
        <v>0</v>
      </c>
      <c r="K78" s="603">
        <v>0.7</v>
      </c>
      <c r="L78" s="646">
        <v>0</v>
      </c>
      <c r="M78" s="654">
        <f>VLOOKUP(G:G,list!B:E,4,FALSE)</f>
        <v>0.1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123</v>
      </c>
      <c r="E79" s="564" t="s">
        <v>9</v>
      </c>
      <c r="F79" s="564" t="s">
        <v>519</v>
      </c>
      <c r="G79" s="564" t="s">
        <v>316</v>
      </c>
      <c r="H79" s="565">
        <v>45536</v>
      </c>
      <c r="I79" s="652">
        <v>45839</v>
      </c>
      <c r="J79" s="653">
        <v>0</v>
      </c>
      <c r="K79" s="603">
        <v>0.7</v>
      </c>
      <c r="L79" s="646">
        <v>0</v>
      </c>
      <c r="M79" s="654">
        <f>VLOOKUP(G:G,list!B:E,4,FALSE)</f>
        <v>0.1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132</v>
      </c>
      <c r="E80" s="564" t="s">
        <v>9</v>
      </c>
      <c r="F80" s="564" t="s">
        <v>519</v>
      </c>
      <c r="G80" s="564" t="s">
        <v>316</v>
      </c>
      <c r="H80" s="565">
        <v>44945</v>
      </c>
      <c r="I80" s="652">
        <v>45839</v>
      </c>
      <c r="J80" s="653">
        <v>0</v>
      </c>
      <c r="K80" s="603">
        <v>0.5</v>
      </c>
      <c r="L80" s="646">
        <v>0</v>
      </c>
      <c r="M80" s="654">
        <f>VLOOKUP(G:G,list!B:E,4,FALSE)</f>
        <v>0.1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원작료</v>
      </c>
      <c r="D81" s="564" t="s">
        <v>183</v>
      </c>
      <c r="E81" s="564" t="s">
        <v>9</v>
      </c>
      <c r="F81" s="564" t="s">
        <v>519</v>
      </c>
      <c r="G81" s="564" t="s">
        <v>316</v>
      </c>
      <c r="H81" s="565">
        <v>45702</v>
      </c>
      <c r="I81" s="652">
        <v>45839</v>
      </c>
      <c r="J81" s="653">
        <v>0</v>
      </c>
      <c r="K81" s="603">
        <v>0.7</v>
      </c>
      <c r="L81" s="646">
        <v>0</v>
      </c>
      <c r="M81" s="654">
        <f>VLOOKUP(G:G,list!B:E,4,FALSE)</f>
        <v>0.1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웹소설본부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원작료</v>
      </c>
      <c r="D82" s="564" t="s">
        <v>132</v>
      </c>
      <c r="E82" s="564" t="s">
        <v>9</v>
      </c>
      <c r="F82" s="564" t="s">
        <v>519</v>
      </c>
      <c r="G82" s="564" t="s">
        <v>56</v>
      </c>
      <c r="H82" s="565">
        <v>44952</v>
      </c>
      <c r="I82" s="652">
        <v>45839</v>
      </c>
      <c r="J82" s="653">
        <v>0</v>
      </c>
      <c r="K82" s="567">
        <v>0.5</v>
      </c>
      <c r="L82" s="646">
        <v>0</v>
      </c>
      <c r="M82" s="654">
        <f>VLOOKUP(G:G,list!B:E,4,FALSE)</f>
        <v>0.1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웹소설본부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원작료</v>
      </c>
      <c r="D83" s="564" t="s">
        <v>538</v>
      </c>
      <c r="E83" s="564" t="s">
        <v>9</v>
      </c>
      <c r="F83" s="564" t="s">
        <v>519</v>
      </c>
      <c r="G83" s="564" t="s">
        <v>56</v>
      </c>
      <c r="H83" s="565">
        <v>45503</v>
      </c>
      <c r="I83" s="652">
        <v>45839</v>
      </c>
      <c r="J83" s="653">
        <v>2394</v>
      </c>
      <c r="K83" s="567">
        <v>0.5</v>
      </c>
      <c r="L83" s="646">
        <v>1197</v>
      </c>
      <c r="M83" s="654">
        <f>VLOOKUP(G:G,list!B:E,4,FALSE)</f>
        <v>0.1</v>
      </c>
      <c r="N83" s="655">
        <f t="shared" si="0"/>
        <v>120</v>
      </c>
      <c r="O83" s="655">
        <f t="shared" si="1"/>
        <v>1077</v>
      </c>
      <c r="P83" s="564"/>
      <c r="Q83" s="672" t="str">
        <f>VLOOKUP(G:G,list!B:F,5,FALSE)</f>
        <v>웹소설본부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원작료</v>
      </c>
      <c r="D84" s="564" t="s">
        <v>549</v>
      </c>
      <c r="E84" s="564" t="s">
        <v>9</v>
      </c>
      <c r="F84" s="564" t="s">
        <v>519</v>
      </c>
      <c r="G84" s="564" t="s">
        <v>56</v>
      </c>
      <c r="H84" s="565">
        <v>45547</v>
      </c>
      <c r="I84" s="652">
        <v>45839</v>
      </c>
      <c r="J84" s="653">
        <v>0</v>
      </c>
      <c r="K84" s="567">
        <v>0.5</v>
      </c>
      <c r="L84" s="646">
        <v>0</v>
      </c>
      <c r="M84" s="654">
        <f>VLOOKUP(G:G,list!B:E,4,FALSE)</f>
        <v>0.1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웹소설본부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원작료</v>
      </c>
      <c r="D85" s="564" t="s">
        <v>132</v>
      </c>
      <c r="E85" s="564" t="s">
        <v>9</v>
      </c>
      <c r="F85" s="564" t="s">
        <v>519</v>
      </c>
      <c r="G85" s="564" t="s">
        <v>30</v>
      </c>
      <c r="H85" s="565">
        <v>44953</v>
      </c>
      <c r="I85" s="652">
        <v>45839</v>
      </c>
      <c r="J85" s="653">
        <v>0</v>
      </c>
      <c r="K85" s="567">
        <v>0.5</v>
      </c>
      <c r="L85" s="646">
        <v>0</v>
      </c>
      <c r="M85" s="654">
        <f>VLOOKUP(G:G,list!B:E,4,FALSE)</f>
        <v>0.1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웹소설본부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132</v>
      </c>
      <c r="E86" s="564" t="s">
        <v>9</v>
      </c>
      <c r="F86" s="564" t="s">
        <v>519</v>
      </c>
      <c r="G86" s="564" t="s">
        <v>308</v>
      </c>
      <c r="H86" s="565">
        <v>44992</v>
      </c>
      <c r="I86" s="652">
        <v>45839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538</v>
      </c>
      <c r="E87" s="564" t="s">
        <v>9</v>
      </c>
      <c r="F87" s="564" t="s">
        <v>519</v>
      </c>
      <c r="G87" s="564" t="s">
        <v>308</v>
      </c>
      <c r="H87" s="565">
        <v>45610</v>
      </c>
      <c r="I87" s="652">
        <v>45839</v>
      </c>
      <c r="J87" s="653">
        <v>0</v>
      </c>
      <c r="K87" s="603">
        <v>0.5</v>
      </c>
      <c r="L87" s="646">
        <v>0</v>
      </c>
      <c r="M87" s="654" t="str">
        <f>VLOOKUP(G:G,list!B:E,4,FALSE)</f>
        <v>-</v>
      </c>
      <c r="N87" s="655">
        <f t="shared" si="0"/>
        <v>0</v>
      </c>
      <c r="O87" s="655">
        <f t="shared" si="1"/>
        <v>0</v>
      </c>
      <c r="P87" s="564" t="s">
        <v>366</v>
      </c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132</v>
      </c>
      <c r="E88" s="564" t="s">
        <v>9</v>
      </c>
      <c r="F88" s="564" t="s">
        <v>519</v>
      </c>
      <c r="G88" s="564" t="s">
        <v>36</v>
      </c>
      <c r="H88" s="565">
        <v>45198</v>
      </c>
      <c r="I88" s="652">
        <v>45839</v>
      </c>
      <c r="J88" s="653">
        <v>15561</v>
      </c>
      <c r="K88" s="603">
        <v>0.5</v>
      </c>
      <c r="L88" s="646">
        <v>7780.5</v>
      </c>
      <c r="M88" s="654" t="str">
        <f>VLOOKUP(G:G,list!B:E,4,FALSE)</f>
        <v>-</v>
      </c>
      <c r="N88" s="655">
        <f t="shared" si="0"/>
        <v>0</v>
      </c>
      <c r="O88" s="655">
        <f t="shared" si="1"/>
        <v>7780.5</v>
      </c>
      <c r="P88" s="564"/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작가기획</v>
      </c>
      <c r="D89" s="564" t="s">
        <v>538</v>
      </c>
      <c r="E89" s="564" t="s">
        <v>9</v>
      </c>
      <c r="F89" s="564" t="s">
        <v>519</v>
      </c>
      <c r="G89" s="564" t="s">
        <v>36</v>
      </c>
      <c r="H89" s="565">
        <v>45479</v>
      </c>
      <c r="I89" s="652">
        <v>45839</v>
      </c>
      <c r="J89" s="653">
        <v>0</v>
      </c>
      <c r="K89" s="603">
        <v>0.5</v>
      </c>
      <c r="L89" s="646">
        <v>0</v>
      </c>
      <c r="M89" s="654" t="str">
        <f>VLOOKUP(G:G,list!B:E,4,FALSE)</f>
        <v>-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-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작가기획</v>
      </c>
      <c r="D90" s="564" t="s">
        <v>549</v>
      </c>
      <c r="E90" s="564" t="s">
        <v>9</v>
      </c>
      <c r="F90" s="564" t="s">
        <v>519</v>
      </c>
      <c r="G90" s="564" t="s">
        <v>36</v>
      </c>
      <c r="H90" s="565">
        <v>45531</v>
      </c>
      <c r="I90" s="652">
        <v>45839</v>
      </c>
      <c r="J90" s="653">
        <v>0</v>
      </c>
      <c r="K90" s="603">
        <v>0.5</v>
      </c>
      <c r="L90" s="646">
        <v>0</v>
      </c>
      <c r="M90" s="654" t="str">
        <f>VLOOKUP(G:G,list!B:E,4,FALSE)</f>
        <v>-</v>
      </c>
      <c r="N90" s="655">
        <f t="shared" si="0"/>
        <v>0</v>
      </c>
      <c r="O90" s="655">
        <f t="shared" si="1"/>
        <v>0</v>
      </c>
      <c r="P90" s="564" t="s">
        <v>366</v>
      </c>
      <c r="Q90" s="672" t="str">
        <f>VLOOKUP(G:G,list!B:F,5,FALSE)</f>
        <v>-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작가기획</v>
      </c>
      <c r="D91" s="564" t="s">
        <v>123</v>
      </c>
      <c r="E91" s="564" t="s">
        <v>9</v>
      </c>
      <c r="F91" s="564" t="s">
        <v>519</v>
      </c>
      <c r="G91" s="564" t="s">
        <v>36</v>
      </c>
      <c r="H91" s="565">
        <v>45555</v>
      </c>
      <c r="I91" s="652">
        <v>45839</v>
      </c>
      <c r="J91" s="653">
        <v>9842</v>
      </c>
      <c r="K91" s="603">
        <v>0.5</v>
      </c>
      <c r="L91" s="646">
        <v>4921</v>
      </c>
      <c r="M91" s="654" t="str">
        <f>VLOOKUP(G:G,list!B:E,4,FALSE)</f>
        <v>-</v>
      </c>
      <c r="N91" s="655">
        <f t="shared" si="0"/>
        <v>0</v>
      </c>
      <c r="O91" s="655">
        <f t="shared" si="1"/>
        <v>4921</v>
      </c>
      <c r="P91" s="564"/>
      <c r="Q91" s="672" t="str">
        <f>VLOOKUP(G:G,list!B:F,5,FALSE)</f>
        <v>-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작가기획</v>
      </c>
      <c r="D92" s="564" t="s">
        <v>132</v>
      </c>
      <c r="E92" s="564" t="s">
        <v>9</v>
      </c>
      <c r="F92" s="564" t="s">
        <v>519</v>
      </c>
      <c r="G92" s="564" t="s">
        <v>139</v>
      </c>
      <c r="H92" s="565">
        <v>45276</v>
      </c>
      <c r="I92" s="652">
        <v>45839</v>
      </c>
      <c r="J92" s="653">
        <v>0</v>
      </c>
      <c r="K92" s="603">
        <v>0.5</v>
      </c>
      <c r="L92" s="646">
        <v>0</v>
      </c>
      <c r="M92" s="654" t="str">
        <f>VLOOKUP(G:G,list!B:E,4,FALSE)</f>
        <v>-</v>
      </c>
      <c r="N92" s="655">
        <f t="shared" si="0"/>
        <v>0</v>
      </c>
      <c r="O92" s="655">
        <f t="shared" si="1"/>
        <v>0</v>
      </c>
      <c r="P92" s="564" t="s">
        <v>366</v>
      </c>
      <c r="Q92" s="672" t="str">
        <f>VLOOKUP(G:G,list!B:F,5,FALSE)</f>
        <v>-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작가기획</v>
      </c>
      <c r="D93" s="564" t="s">
        <v>538</v>
      </c>
      <c r="E93" s="564" t="s">
        <v>9</v>
      </c>
      <c r="F93" s="564" t="s">
        <v>519</v>
      </c>
      <c r="G93" s="564" t="s">
        <v>139</v>
      </c>
      <c r="H93" s="565">
        <v>45534</v>
      </c>
      <c r="I93" s="652">
        <v>45839</v>
      </c>
      <c r="J93" s="653">
        <v>0</v>
      </c>
      <c r="K93" s="603">
        <v>0.5</v>
      </c>
      <c r="L93" s="646">
        <v>0</v>
      </c>
      <c r="M93" s="654" t="str">
        <f>VLOOKUP(G:G,list!B:E,4,FALSE)</f>
        <v>-</v>
      </c>
      <c r="N93" s="655">
        <f t="shared" si="0"/>
        <v>0</v>
      </c>
      <c r="O93" s="655">
        <f t="shared" si="1"/>
        <v>0</v>
      </c>
      <c r="P93" s="564" t="s">
        <v>366</v>
      </c>
      <c r="Q93" s="672" t="str">
        <f>VLOOKUP(G:G,list!B:F,5,FALSE)</f>
        <v>-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작가기획</v>
      </c>
      <c r="D94" s="564" t="s">
        <v>123</v>
      </c>
      <c r="E94" s="564" t="s">
        <v>9</v>
      </c>
      <c r="F94" s="564" t="s">
        <v>519</v>
      </c>
      <c r="G94" s="564" t="s">
        <v>139</v>
      </c>
      <c r="H94" s="565">
        <v>45656</v>
      </c>
      <c r="I94" s="652">
        <v>45839</v>
      </c>
      <c r="J94" s="653">
        <v>0</v>
      </c>
      <c r="K94" s="603">
        <v>0.5</v>
      </c>
      <c r="L94" s="646">
        <v>0</v>
      </c>
      <c r="M94" s="654" t="str">
        <f>VLOOKUP(G:G,list!B:E,4,FALSE)</f>
        <v>-</v>
      </c>
      <c r="N94" s="655">
        <f t="shared" si="0"/>
        <v>0</v>
      </c>
      <c r="O94" s="655">
        <f t="shared" si="1"/>
        <v>0</v>
      </c>
      <c r="P94" s="564" t="s">
        <v>366</v>
      </c>
      <c r="Q94" s="672" t="str">
        <f>VLOOKUP(G:G,list!B:F,5,FALSE)</f>
        <v>-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외부제작</v>
      </c>
      <c r="D95" s="564" t="s">
        <v>123</v>
      </c>
      <c r="E95" s="564" t="s">
        <v>9</v>
      </c>
      <c r="F95" s="564" t="s">
        <v>519</v>
      </c>
      <c r="G95" s="564" t="s">
        <v>315</v>
      </c>
      <c r="H95" s="565">
        <v>45673</v>
      </c>
      <c r="I95" s="652">
        <v>45839</v>
      </c>
      <c r="J95" s="653">
        <v>0</v>
      </c>
      <c r="K95" s="603">
        <v>0.5</v>
      </c>
      <c r="L95" s="646">
        <v>0</v>
      </c>
      <c r="M95" s="654" t="str">
        <f>VLOOKUP(G:G,list!B:E,4,FALSE)</f>
        <v>-</v>
      </c>
      <c r="N95" s="655">
        <f t="shared" si="0"/>
        <v>0</v>
      </c>
      <c r="O95" s="655">
        <f t="shared" si="1"/>
        <v>0</v>
      </c>
      <c r="P95" s="564" t="s">
        <v>366</v>
      </c>
      <c r="Q95" s="672" t="str">
        <f>VLOOKUP(G:G,list!B:F,5,FALSE)</f>
        <v>-</v>
      </c>
      <c r="R95" s="656" t="str">
        <f>VLOOKUP(G:G,list!B:D,3,FALSE)</f>
        <v>N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182</v>
      </c>
      <c r="E96" s="564" t="s">
        <v>115</v>
      </c>
      <c r="F96" s="564" t="s">
        <v>283</v>
      </c>
      <c r="G96" s="564" t="s">
        <v>30</v>
      </c>
      <c r="H96" s="565">
        <v>44358</v>
      </c>
      <c r="I96" s="652">
        <v>45778</v>
      </c>
      <c r="J96" s="653">
        <v>7578</v>
      </c>
      <c r="K96" s="603">
        <v>0.5</v>
      </c>
      <c r="L96" s="646">
        <v>3789</v>
      </c>
      <c r="M96" s="654">
        <f>VLOOKUP(G:G,list!B:E,4,FALSE)</f>
        <v>0.1</v>
      </c>
      <c r="N96" s="655">
        <f t="shared" si="0"/>
        <v>379</v>
      </c>
      <c r="O96" s="655">
        <f t="shared" si="1"/>
        <v>3410</v>
      </c>
      <c r="P96" s="564"/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182</v>
      </c>
      <c r="E97" s="564" t="s">
        <v>115</v>
      </c>
      <c r="F97" s="564" t="s">
        <v>283</v>
      </c>
      <c r="G97" s="564" t="s">
        <v>56</v>
      </c>
      <c r="H97" s="565">
        <v>44391</v>
      </c>
      <c r="I97" s="652">
        <v>45778</v>
      </c>
      <c r="J97" s="653">
        <v>224631</v>
      </c>
      <c r="K97" s="603">
        <v>0.5</v>
      </c>
      <c r="L97" s="646">
        <v>112316</v>
      </c>
      <c r="M97" s="654">
        <f>VLOOKUP(G:G,list!B:E,4,FALSE)</f>
        <v>0.1</v>
      </c>
      <c r="N97" s="655">
        <f t="shared" si="0"/>
        <v>11232</v>
      </c>
      <c r="O97" s="655">
        <f t="shared" si="1"/>
        <v>101084</v>
      </c>
      <c r="P97" s="564"/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182</v>
      </c>
      <c r="E98" s="564" t="s">
        <v>115</v>
      </c>
      <c r="F98" s="564" t="s">
        <v>283</v>
      </c>
      <c r="G98" s="564" t="s">
        <v>316</v>
      </c>
      <c r="H98" s="565">
        <v>44969</v>
      </c>
      <c r="I98" s="652">
        <v>45778</v>
      </c>
      <c r="J98" s="653">
        <v>56976</v>
      </c>
      <c r="K98" s="603">
        <v>0.5</v>
      </c>
      <c r="L98" s="646">
        <v>28488</v>
      </c>
      <c r="M98" s="654">
        <f>VLOOKUP(G:G,list!B:E,4,FALSE)</f>
        <v>0.1</v>
      </c>
      <c r="N98" s="655">
        <f t="shared" si="0"/>
        <v>2849</v>
      </c>
      <c r="O98" s="655">
        <f t="shared" si="1"/>
        <v>25639</v>
      </c>
      <c r="P98" s="564"/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작가기획</v>
      </c>
      <c r="D99" s="564" t="s">
        <v>182</v>
      </c>
      <c r="E99" s="564" t="s">
        <v>115</v>
      </c>
      <c r="F99" s="564" t="s">
        <v>550</v>
      </c>
      <c r="G99" s="564" t="s">
        <v>308</v>
      </c>
      <c r="H99" s="565">
        <v>45347</v>
      </c>
      <c r="I99" s="652">
        <v>45778</v>
      </c>
      <c r="J99" s="653">
        <v>0</v>
      </c>
      <c r="K99" s="603">
        <v>0.5</v>
      </c>
      <c r="L99" s="646">
        <v>0</v>
      </c>
      <c r="M99" s="654" t="str">
        <f>VLOOKUP(G:G,list!B:E,4,FALSE)</f>
        <v>-</v>
      </c>
      <c r="N99" s="655">
        <f t="shared" si="0"/>
        <v>0</v>
      </c>
      <c r="O99" s="655">
        <f t="shared" si="1"/>
        <v>0</v>
      </c>
      <c r="P99" s="564" t="s">
        <v>366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182</v>
      </c>
      <c r="E100" s="564" t="s">
        <v>115</v>
      </c>
      <c r="F100" s="564" t="s">
        <v>550</v>
      </c>
      <c r="G100" s="564" t="s">
        <v>316</v>
      </c>
      <c r="H100" s="565">
        <v>45359</v>
      </c>
      <c r="I100" s="652">
        <v>45778</v>
      </c>
      <c r="J100" s="653">
        <v>0</v>
      </c>
      <c r="K100" s="603">
        <v>0.5</v>
      </c>
      <c r="L100" s="646">
        <v>0</v>
      </c>
      <c r="M100" s="654">
        <f>VLOOKUP(G:G,list!B:E,4,FALSE)</f>
        <v>0.1</v>
      </c>
      <c r="N100" s="655">
        <f t="shared" si="0"/>
        <v>0</v>
      </c>
      <c r="O100" s="655">
        <f t="shared" si="1"/>
        <v>0</v>
      </c>
      <c r="P100" s="564" t="s">
        <v>366</v>
      </c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32</v>
      </c>
      <c r="E101" s="564" t="s">
        <v>9</v>
      </c>
      <c r="F101" s="564" t="s">
        <v>31</v>
      </c>
      <c r="G101" s="564" t="s">
        <v>30</v>
      </c>
      <c r="H101" s="565">
        <v>44239</v>
      </c>
      <c r="I101" s="652">
        <v>45809</v>
      </c>
      <c r="J101" s="653">
        <v>14722</v>
      </c>
      <c r="K101" s="603">
        <v>0.4</v>
      </c>
      <c r="L101" s="646">
        <v>5591</v>
      </c>
      <c r="M101" s="654">
        <f>VLOOKUP(G:G,list!B:E,4,FALSE)</f>
        <v>0.1</v>
      </c>
      <c r="N101" s="655">
        <f t="shared" si="0"/>
        <v>559</v>
      </c>
      <c r="O101" s="655">
        <f t="shared" si="1"/>
        <v>5032</v>
      </c>
      <c r="P101" s="564"/>
      <c r="Q101" s="672" t="str">
        <f>VLOOKUP(G:G,list!B:F,5,FALSE)</f>
        <v>웹소설본부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123</v>
      </c>
      <c r="E102" s="564" t="s">
        <v>9</v>
      </c>
      <c r="F102" s="564" t="s">
        <v>213</v>
      </c>
      <c r="G102" s="564" t="s">
        <v>56</v>
      </c>
      <c r="H102" s="565">
        <v>44581</v>
      </c>
      <c r="I102" s="652">
        <v>45839</v>
      </c>
      <c r="J102" s="653">
        <v>1218190</v>
      </c>
      <c r="K102" s="603">
        <v>0.3</v>
      </c>
      <c r="L102" s="568">
        <v>365457</v>
      </c>
      <c r="M102" s="654">
        <f>VLOOKUP(G:G,list!B:E,4,FALSE)</f>
        <v>0.1</v>
      </c>
      <c r="N102" s="655">
        <f t="shared" si="0"/>
        <v>36546</v>
      </c>
      <c r="O102" s="655">
        <f t="shared" si="1"/>
        <v>328911</v>
      </c>
      <c r="P102" s="564" t="s">
        <v>186</v>
      </c>
      <c r="Q102" s="672" t="str">
        <f>VLOOKUP(G:G,list!B:F,5,FALSE)</f>
        <v>웹소설본부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183</v>
      </c>
      <c r="E103" s="564" t="s">
        <v>9</v>
      </c>
      <c r="F103" s="564" t="s">
        <v>213</v>
      </c>
      <c r="G103" s="564" t="s">
        <v>56</v>
      </c>
      <c r="H103" s="565">
        <v>44829</v>
      </c>
      <c r="I103" s="652">
        <v>45839</v>
      </c>
      <c r="J103" s="653">
        <v>793620</v>
      </c>
      <c r="K103" s="603">
        <v>0.3</v>
      </c>
      <c r="L103" s="568">
        <v>238086</v>
      </c>
      <c r="M103" s="654">
        <f>VLOOKUP(G:G,list!B:E,4,FALSE)</f>
        <v>0.1</v>
      </c>
      <c r="N103" s="655">
        <f t="shared" si="0"/>
        <v>23809</v>
      </c>
      <c r="O103" s="655">
        <f t="shared" si="1"/>
        <v>214277</v>
      </c>
      <c r="P103" s="564" t="s">
        <v>186</v>
      </c>
      <c r="Q103" s="672" t="str">
        <f>VLOOKUP(G:G,list!B:F,5,FALSE)</f>
        <v>웹소설본부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123</v>
      </c>
      <c r="E104" s="564" t="s">
        <v>9</v>
      </c>
      <c r="F104" s="564" t="s">
        <v>213</v>
      </c>
      <c r="G104" s="564" t="s">
        <v>454</v>
      </c>
      <c r="H104" s="565">
        <v>44854</v>
      </c>
      <c r="I104" s="652">
        <v>45839</v>
      </c>
      <c r="J104" s="653">
        <v>1445453</v>
      </c>
      <c r="K104" s="603">
        <v>0.3</v>
      </c>
      <c r="L104" s="568">
        <v>433636</v>
      </c>
      <c r="M104" s="654">
        <f>VLOOKUP(G:G,list!B:E,4,FALSE)</f>
        <v>0.1</v>
      </c>
      <c r="N104" s="655">
        <f t="shared" si="0"/>
        <v>43364</v>
      </c>
      <c r="O104" s="655">
        <f t="shared" si="1"/>
        <v>390272</v>
      </c>
      <c r="P104" s="564" t="s">
        <v>186</v>
      </c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123</v>
      </c>
      <c r="E105" s="564" t="s">
        <v>9</v>
      </c>
      <c r="F105" s="564" t="s">
        <v>213</v>
      </c>
      <c r="G105" s="564" t="s">
        <v>481</v>
      </c>
      <c r="H105" s="565">
        <v>44981</v>
      </c>
      <c r="I105" s="652">
        <v>45839</v>
      </c>
      <c r="J105" s="653">
        <v>136123</v>
      </c>
      <c r="K105" s="603">
        <v>0.3</v>
      </c>
      <c r="L105" s="568">
        <v>40837</v>
      </c>
      <c r="M105" s="654">
        <f>VLOOKUP(G:G,list!B:E,4,FALSE)</f>
        <v>0.1</v>
      </c>
      <c r="N105" s="655">
        <f t="shared" si="0"/>
        <v>4084</v>
      </c>
      <c r="O105" s="655">
        <f t="shared" si="1"/>
        <v>36753</v>
      </c>
      <c r="P105" s="564" t="s">
        <v>186</v>
      </c>
      <c r="Q105" s="672" t="str">
        <f>VLOOKUP(G:G,list!B:F,5,FALSE)</f>
        <v>웹소설본부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123</v>
      </c>
      <c r="E106" s="564" t="s">
        <v>9</v>
      </c>
      <c r="F106" s="564" t="s">
        <v>213</v>
      </c>
      <c r="G106" s="564" t="s">
        <v>352</v>
      </c>
      <c r="H106" s="565">
        <v>44984</v>
      </c>
      <c r="I106" s="652">
        <v>45839</v>
      </c>
      <c r="J106" s="653">
        <v>396917</v>
      </c>
      <c r="K106" s="603">
        <v>0.3</v>
      </c>
      <c r="L106" s="568">
        <v>119075</v>
      </c>
      <c r="M106" s="654">
        <f>VLOOKUP(G:G,list!B:E,4,FALSE)</f>
        <v>0.1</v>
      </c>
      <c r="N106" s="655">
        <f t="shared" si="0"/>
        <v>11908</v>
      </c>
      <c r="O106" s="655">
        <f t="shared" si="1"/>
        <v>107167</v>
      </c>
      <c r="P106" s="564" t="s">
        <v>186</v>
      </c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72</v>
      </c>
      <c r="E107" s="564" t="s">
        <v>9</v>
      </c>
      <c r="F107" s="564" t="s">
        <v>213</v>
      </c>
      <c r="G107" s="564" t="s">
        <v>454</v>
      </c>
      <c r="H107" s="565">
        <v>44902</v>
      </c>
      <c r="I107" s="652">
        <v>45809</v>
      </c>
      <c r="J107" s="653">
        <v>489373</v>
      </c>
      <c r="K107" s="603">
        <v>0.3</v>
      </c>
      <c r="L107" s="568">
        <v>146812</v>
      </c>
      <c r="M107" s="654">
        <f>VLOOKUP(G:G,list!B:E,4,FALSE)</f>
        <v>0.1</v>
      </c>
      <c r="N107" s="655">
        <f t="shared" ref="N107:N138" si="6">ROUND(IF(M107="-",0,L107*M107),0)</f>
        <v>14681</v>
      </c>
      <c r="O107" s="655">
        <f t="shared" ref="O107:O138" si="7">L107-N107</f>
        <v>132131</v>
      </c>
      <c r="P107" s="564" t="s">
        <v>282</v>
      </c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72</v>
      </c>
      <c r="E108" s="564" t="s">
        <v>9</v>
      </c>
      <c r="F108" s="564" t="s">
        <v>213</v>
      </c>
      <c r="G108" s="564" t="s">
        <v>454</v>
      </c>
      <c r="H108" s="565">
        <v>45257</v>
      </c>
      <c r="I108" s="652">
        <v>45809</v>
      </c>
      <c r="J108" s="653">
        <v>60413</v>
      </c>
      <c r="K108" s="603">
        <v>0.3</v>
      </c>
      <c r="L108" s="568">
        <v>18124</v>
      </c>
      <c r="M108" s="654">
        <f>VLOOKUP(G:G,list!B:E,4,FALSE)</f>
        <v>0.1</v>
      </c>
      <c r="N108" s="655">
        <f t="shared" si="6"/>
        <v>1812</v>
      </c>
      <c r="O108" s="655">
        <f t="shared" si="7"/>
        <v>16312</v>
      </c>
      <c r="P108" s="564" t="s">
        <v>546</v>
      </c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229</v>
      </c>
      <c r="E109" s="564" t="s">
        <v>9</v>
      </c>
      <c r="F109" s="564" t="s">
        <v>230</v>
      </c>
      <c r="G109" s="564" t="s">
        <v>353</v>
      </c>
      <c r="H109" s="565">
        <v>44916</v>
      </c>
      <c r="I109" s="652">
        <v>45748</v>
      </c>
      <c r="J109" s="653">
        <v>500482</v>
      </c>
      <c r="K109" s="603">
        <v>0.35</v>
      </c>
      <c r="L109" s="568">
        <v>157651</v>
      </c>
      <c r="M109" s="654">
        <f>VLOOKUP(G:G,list!B:E,4,FALSE)</f>
        <v>0.11</v>
      </c>
      <c r="N109" s="655">
        <f t="shared" si="6"/>
        <v>17342</v>
      </c>
      <c r="O109" s="655">
        <f t="shared" si="7"/>
        <v>140309</v>
      </c>
      <c r="P109" s="564"/>
      <c r="Q109" s="672" t="str">
        <f>VLOOKUP(G:G,list!B:F,5,FALSE)</f>
        <v>-</v>
      </c>
      <c r="R109" s="656" t="str">
        <f>VLOOKUP(G:G,list!B:D,3,FALSE)</f>
        <v>N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229</v>
      </c>
      <c r="E110" s="564" t="s">
        <v>9</v>
      </c>
      <c r="F110" s="564" t="s">
        <v>230</v>
      </c>
      <c r="G110" s="564" t="s">
        <v>352</v>
      </c>
      <c r="H110" s="565">
        <v>45106</v>
      </c>
      <c r="I110" s="652">
        <v>45748</v>
      </c>
      <c r="J110" s="653">
        <v>266504</v>
      </c>
      <c r="K110" s="603">
        <v>0.35</v>
      </c>
      <c r="L110" s="568">
        <v>83948</v>
      </c>
      <c r="M110" s="654">
        <f>VLOOKUP(G:G,list!B:E,4,FALSE)</f>
        <v>0.1</v>
      </c>
      <c r="N110" s="655">
        <f t="shared" si="6"/>
        <v>8395</v>
      </c>
      <c r="O110" s="655">
        <f t="shared" si="7"/>
        <v>75553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229</v>
      </c>
      <c r="E111" s="564" t="s">
        <v>9</v>
      </c>
      <c r="F111" s="564" t="s">
        <v>230</v>
      </c>
      <c r="G111" s="564" t="s">
        <v>353</v>
      </c>
      <c r="H111" s="565">
        <v>44916</v>
      </c>
      <c r="I111" s="652">
        <v>45778</v>
      </c>
      <c r="J111" s="653">
        <v>147704</v>
      </c>
      <c r="K111" s="603">
        <v>0.35</v>
      </c>
      <c r="L111" s="568">
        <v>46526</v>
      </c>
      <c r="M111" s="654">
        <f>VLOOKUP(G:G,list!B:E,4,FALSE)</f>
        <v>0.11</v>
      </c>
      <c r="N111" s="655">
        <f t="shared" si="6"/>
        <v>5118</v>
      </c>
      <c r="O111" s="655">
        <f t="shared" si="7"/>
        <v>41408</v>
      </c>
      <c r="P111" s="564"/>
      <c r="Q111" s="672" t="str">
        <f>VLOOKUP(G:G,list!B:F,5,FALSE)</f>
        <v>-</v>
      </c>
      <c r="R111" s="656" t="str">
        <f>VLOOKUP(G:G,list!B:D,3,FALSE)</f>
        <v>N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229</v>
      </c>
      <c r="E112" s="564" t="s">
        <v>9</v>
      </c>
      <c r="F112" s="564" t="s">
        <v>230</v>
      </c>
      <c r="G112" s="564" t="s">
        <v>352</v>
      </c>
      <c r="H112" s="565">
        <v>45106</v>
      </c>
      <c r="I112" s="652">
        <v>45778</v>
      </c>
      <c r="J112" s="653">
        <v>294125</v>
      </c>
      <c r="K112" s="603">
        <v>0.35</v>
      </c>
      <c r="L112" s="568">
        <v>92649</v>
      </c>
      <c r="M112" s="654">
        <f>VLOOKUP(G:G,list!B:E,4,FALSE)</f>
        <v>0.1</v>
      </c>
      <c r="N112" s="655">
        <f t="shared" si="6"/>
        <v>9265</v>
      </c>
      <c r="O112" s="655">
        <f t="shared" si="7"/>
        <v>83384</v>
      </c>
      <c r="P112" s="564"/>
      <c r="Q112" s="672" t="str">
        <f>VLOOKUP(G:G,list!B:F,5,FALSE)</f>
        <v>웹소설본부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229</v>
      </c>
      <c r="E113" s="564" t="s">
        <v>9</v>
      </c>
      <c r="F113" s="564" t="s">
        <v>230</v>
      </c>
      <c r="G113" s="564" t="s">
        <v>353</v>
      </c>
      <c r="H113" s="565">
        <v>44916</v>
      </c>
      <c r="I113" s="652">
        <v>45809</v>
      </c>
      <c r="J113" s="653">
        <v>208746</v>
      </c>
      <c r="K113" s="603">
        <v>0.35</v>
      </c>
      <c r="L113" s="568">
        <v>65755</v>
      </c>
      <c r="M113" s="654">
        <f>VLOOKUP(G:G,list!B:E,4,FALSE)</f>
        <v>0.11</v>
      </c>
      <c r="N113" s="655">
        <f t="shared" si="6"/>
        <v>7233</v>
      </c>
      <c r="O113" s="655">
        <f t="shared" si="7"/>
        <v>58522</v>
      </c>
      <c r="P113" s="564"/>
      <c r="Q113" s="672" t="str">
        <f>VLOOKUP(G:G,list!B:F,5,FALSE)</f>
        <v>-</v>
      </c>
      <c r="R113" s="656" t="str">
        <f>VLOOKUP(G:G,list!B:D,3,FALSE)</f>
        <v>N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229</v>
      </c>
      <c r="E114" s="564" t="s">
        <v>9</v>
      </c>
      <c r="F114" s="564" t="s">
        <v>230</v>
      </c>
      <c r="G114" s="564" t="s">
        <v>352</v>
      </c>
      <c r="H114" s="565">
        <v>45106</v>
      </c>
      <c r="I114" s="652">
        <v>45809</v>
      </c>
      <c r="J114" s="653">
        <v>865593</v>
      </c>
      <c r="K114" s="603">
        <v>0.35</v>
      </c>
      <c r="L114" s="568">
        <v>272662</v>
      </c>
      <c r="M114" s="654">
        <f>VLOOKUP(G:G,list!B:E,4,FALSE)</f>
        <v>0.1</v>
      </c>
      <c r="N114" s="655">
        <f t="shared" si="6"/>
        <v>27266</v>
      </c>
      <c r="O114" s="655">
        <f t="shared" si="7"/>
        <v>245396</v>
      </c>
      <c r="P114" s="564"/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79</v>
      </c>
      <c r="E115" s="564" t="s">
        <v>9</v>
      </c>
      <c r="F115" s="564" t="s">
        <v>297</v>
      </c>
      <c r="G115" s="564" t="s">
        <v>56</v>
      </c>
      <c r="H115" s="565">
        <v>44625</v>
      </c>
      <c r="I115" s="652">
        <v>45748</v>
      </c>
      <c r="J115" s="653">
        <v>34828</v>
      </c>
      <c r="K115" s="603">
        <v>0.28000000000000003</v>
      </c>
      <c r="L115" s="568">
        <v>7800</v>
      </c>
      <c r="M115" s="654">
        <f>VLOOKUP(G:G,list!B:E,4,FALSE)</f>
        <v>0.1</v>
      </c>
      <c r="N115" s="655">
        <f t="shared" si="6"/>
        <v>780</v>
      </c>
      <c r="O115" s="655">
        <f t="shared" si="7"/>
        <v>7020</v>
      </c>
      <c r="P115" s="564"/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79</v>
      </c>
      <c r="E116" s="564" t="s">
        <v>9</v>
      </c>
      <c r="F116" s="564" t="s">
        <v>297</v>
      </c>
      <c r="G116" s="564" t="s">
        <v>316</v>
      </c>
      <c r="H116" s="565">
        <v>44802</v>
      </c>
      <c r="I116" s="652">
        <v>45748</v>
      </c>
      <c r="J116" s="653">
        <v>9995</v>
      </c>
      <c r="K116" s="603">
        <v>0.28000000000000003</v>
      </c>
      <c r="L116" s="568">
        <v>2240</v>
      </c>
      <c r="M116" s="654">
        <f>VLOOKUP(G:G,list!B:E,4,FALSE)</f>
        <v>0.1</v>
      </c>
      <c r="N116" s="655">
        <f t="shared" si="6"/>
        <v>224</v>
      </c>
      <c r="O116" s="655">
        <f t="shared" si="7"/>
        <v>2016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79</v>
      </c>
      <c r="E117" s="564" t="s">
        <v>9</v>
      </c>
      <c r="F117" s="564" t="s">
        <v>297</v>
      </c>
      <c r="G117" s="564" t="s">
        <v>352</v>
      </c>
      <c r="H117" s="565">
        <v>44916</v>
      </c>
      <c r="I117" s="652">
        <v>45748</v>
      </c>
      <c r="J117" s="653">
        <v>7965</v>
      </c>
      <c r="K117" s="603">
        <v>0.28000000000000003</v>
      </c>
      <c r="L117" s="568">
        <v>1857</v>
      </c>
      <c r="M117" s="654">
        <f>VLOOKUP(G:G,list!B:E,4,FALSE)</f>
        <v>0.1</v>
      </c>
      <c r="N117" s="655">
        <f t="shared" si="6"/>
        <v>186</v>
      </c>
      <c r="O117" s="655">
        <f t="shared" si="7"/>
        <v>1671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작가기획</v>
      </c>
      <c r="D118" s="564" t="s">
        <v>72</v>
      </c>
      <c r="E118" s="564" t="s">
        <v>9</v>
      </c>
      <c r="F118" s="564" t="s">
        <v>73</v>
      </c>
      <c r="G118" s="564" t="s">
        <v>308</v>
      </c>
      <c r="H118" s="565" t="s">
        <v>168</v>
      </c>
      <c r="I118" s="652">
        <v>45748</v>
      </c>
      <c r="J118" s="653">
        <v>0</v>
      </c>
      <c r="K118" s="605">
        <v>0.78900000000000003</v>
      </c>
      <c r="L118" s="568">
        <v>0</v>
      </c>
      <c r="M118" s="654" t="str">
        <f>VLOOKUP(G:G,list!B:E,4,FALSE)</f>
        <v>-</v>
      </c>
      <c r="N118" s="655">
        <f t="shared" si="6"/>
        <v>0</v>
      </c>
      <c r="O118" s="655">
        <f t="shared" si="7"/>
        <v>0</v>
      </c>
      <c r="P118" s="564" t="s">
        <v>581</v>
      </c>
      <c r="Q118" s="672" t="str">
        <f>VLOOKUP(G:G,list!B:F,5,FALSE)</f>
        <v>-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작가기획</v>
      </c>
      <c r="D119" s="564" t="s">
        <v>72</v>
      </c>
      <c r="E119" s="564" t="s">
        <v>9</v>
      </c>
      <c r="F119" s="564" t="s">
        <v>73</v>
      </c>
      <c r="G119" s="564" t="s">
        <v>308</v>
      </c>
      <c r="H119" s="565" t="s">
        <v>168</v>
      </c>
      <c r="I119" s="652">
        <v>45778</v>
      </c>
      <c r="J119" s="653">
        <v>144</v>
      </c>
      <c r="K119" s="605">
        <v>0.78900000000000003</v>
      </c>
      <c r="L119" s="568">
        <v>102</v>
      </c>
      <c r="M119" s="654" t="str">
        <f>VLOOKUP(G:G,list!B:E,4,FALSE)</f>
        <v>-</v>
      </c>
      <c r="N119" s="655">
        <f t="shared" si="6"/>
        <v>0</v>
      </c>
      <c r="O119" s="655">
        <f t="shared" si="7"/>
        <v>102</v>
      </c>
      <c r="P119" s="564"/>
      <c r="Q119" s="672" t="str">
        <f>VLOOKUP(G:G,list!B:F,5,FALSE)</f>
        <v>-</v>
      </c>
      <c r="R119" s="656" t="str">
        <f>VLOOKUP(G:G,list!B:D,3,FALSE)</f>
        <v>Y</v>
      </c>
    </row>
    <row r="120" spans="2:18" ht="18" customHeight="1">
      <c r="B120" s="563">
        <v>115</v>
      </c>
      <c r="C120" s="651" t="str">
        <f>VLOOKUP(G:G,list!B:D,2,FALSE)</f>
        <v>작가기획</v>
      </c>
      <c r="D120" s="564" t="s">
        <v>72</v>
      </c>
      <c r="E120" s="564" t="s">
        <v>9</v>
      </c>
      <c r="F120" s="564" t="s">
        <v>73</v>
      </c>
      <c r="G120" s="564" t="s">
        <v>308</v>
      </c>
      <c r="H120" s="565" t="s">
        <v>168</v>
      </c>
      <c r="I120" s="652">
        <v>45809</v>
      </c>
      <c r="J120" s="653">
        <v>0</v>
      </c>
      <c r="K120" s="605">
        <v>0.78900000000000003</v>
      </c>
      <c r="L120" s="568">
        <v>0</v>
      </c>
      <c r="M120" s="654" t="str">
        <f>VLOOKUP(G:G,list!B:E,4,FALSE)</f>
        <v>-</v>
      </c>
      <c r="N120" s="655">
        <f t="shared" si="6"/>
        <v>0</v>
      </c>
      <c r="O120" s="655">
        <f t="shared" si="7"/>
        <v>0</v>
      </c>
      <c r="P120" s="564" t="s">
        <v>581</v>
      </c>
      <c r="Q120" s="672" t="str">
        <f>VLOOKUP(G:G,list!B:F,5,FALSE)</f>
        <v>-</v>
      </c>
      <c r="R120" s="656" t="str">
        <f>VLOOKUP(G:G,list!B:D,3,FALSE)</f>
        <v>Y</v>
      </c>
    </row>
    <row r="121" spans="2:18" ht="18" customHeight="1">
      <c r="B121" s="650">
        <v>116</v>
      </c>
      <c r="C121" s="651" t="str">
        <f>VLOOKUP(G:G,list!B:D,2,FALSE)</f>
        <v>작가기획</v>
      </c>
      <c r="D121" s="564" t="s">
        <v>177</v>
      </c>
      <c r="E121" s="564" t="s">
        <v>9</v>
      </c>
      <c r="F121" s="564" t="s">
        <v>246</v>
      </c>
      <c r="G121" s="564" t="s">
        <v>36</v>
      </c>
      <c r="H121" s="565">
        <v>44505</v>
      </c>
      <c r="I121" s="652">
        <v>45748</v>
      </c>
      <c r="J121" s="653">
        <v>3914</v>
      </c>
      <c r="K121" s="603">
        <v>0.4</v>
      </c>
      <c r="L121" s="568">
        <v>1566</v>
      </c>
      <c r="M121" s="654" t="str">
        <f>VLOOKUP(G:G,list!B:E,4,FALSE)</f>
        <v>-</v>
      </c>
      <c r="N121" s="655">
        <f t="shared" si="6"/>
        <v>0</v>
      </c>
      <c r="O121" s="655">
        <f t="shared" si="7"/>
        <v>1566</v>
      </c>
      <c r="P121" s="564"/>
      <c r="Q121" s="672" t="str">
        <f>VLOOKUP(G:G,list!B:F,5,FALSE)</f>
        <v>-</v>
      </c>
      <c r="R121" s="656" t="str">
        <f>VLOOKUP(G:G,list!B:D,3,FALSE)</f>
        <v>Y</v>
      </c>
    </row>
    <row r="122" spans="2:18" ht="18" customHeight="1">
      <c r="B122" s="563">
        <v>117</v>
      </c>
      <c r="C122" s="651" t="str">
        <f>VLOOKUP(G:G,list!B:D,2,FALSE)</f>
        <v>작가기획</v>
      </c>
      <c r="D122" s="564" t="s">
        <v>177</v>
      </c>
      <c r="E122" s="564" t="s">
        <v>9</v>
      </c>
      <c r="F122" s="564" t="s">
        <v>246</v>
      </c>
      <c r="G122" s="564" t="s">
        <v>36</v>
      </c>
      <c r="H122" s="565">
        <v>44505</v>
      </c>
      <c r="I122" s="652">
        <v>45778</v>
      </c>
      <c r="J122" s="653">
        <v>839</v>
      </c>
      <c r="K122" s="603">
        <v>0.4</v>
      </c>
      <c r="L122" s="568">
        <v>336</v>
      </c>
      <c r="M122" s="654" t="str">
        <f>VLOOKUP(G:G,list!B:E,4,FALSE)</f>
        <v>-</v>
      </c>
      <c r="N122" s="655">
        <f t="shared" si="6"/>
        <v>0</v>
      </c>
      <c r="O122" s="655">
        <f t="shared" si="7"/>
        <v>336</v>
      </c>
      <c r="P122" s="564"/>
      <c r="Q122" s="672" t="str">
        <f>VLOOKUP(G:G,list!B:F,5,FALSE)</f>
        <v>-</v>
      </c>
      <c r="R122" s="656" t="str">
        <f>VLOOKUP(G:G,list!B:D,3,FALSE)</f>
        <v>Y</v>
      </c>
    </row>
    <row r="123" spans="2:18" ht="18" customHeight="1">
      <c r="B123" s="650">
        <v>118</v>
      </c>
      <c r="C123" s="651" t="str">
        <f>VLOOKUP(G:G,list!B:D,2,FALSE)</f>
        <v>작가기획</v>
      </c>
      <c r="D123" s="564" t="s">
        <v>177</v>
      </c>
      <c r="E123" s="564" t="s">
        <v>9</v>
      </c>
      <c r="F123" s="564" t="s">
        <v>246</v>
      </c>
      <c r="G123" s="564" t="s">
        <v>36</v>
      </c>
      <c r="H123" s="565">
        <v>44505</v>
      </c>
      <c r="I123" s="652">
        <v>45809</v>
      </c>
      <c r="J123" s="653">
        <v>197188</v>
      </c>
      <c r="K123" s="603">
        <v>0.4</v>
      </c>
      <c r="L123" s="568">
        <v>78875</v>
      </c>
      <c r="M123" s="654" t="str">
        <f>VLOOKUP(G:G,list!B:E,4,FALSE)</f>
        <v>-</v>
      </c>
      <c r="N123" s="655">
        <f t="shared" si="6"/>
        <v>0</v>
      </c>
      <c r="O123" s="655">
        <f t="shared" si="7"/>
        <v>78875</v>
      </c>
      <c r="P123" s="564"/>
      <c r="Q123" s="672" t="str">
        <f>VLOOKUP(G:G,list!B:F,5,FALSE)</f>
        <v>-</v>
      </c>
      <c r="R123" s="656" t="str">
        <f>VLOOKUP(G:G,list!B:D,3,FALSE)</f>
        <v>Y</v>
      </c>
    </row>
    <row r="124" spans="2:18" ht="18" customHeight="1">
      <c r="B124" s="563">
        <v>119</v>
      </c>
      <c r="C124" s="651" t="str">
        <f>VLOOKUP(G:G,list!B:D,2,FALSE)</f>
        <v>작가기획</v>
      </c>
      <c r="D124" s="564" t="s">
        <v>72</v>
      </c>
      <c r="E124" s="564" t="s">
        <v>9</v>
      </c>
      <c r="F124" s="564" t="s">
        <v>332</v>
      </c>
      <c r="G124" s="564" t="s">
        <v>36</v>
      </c>
      <c r="H124" s="565">
        <v>44556</v>
      </c>
      <c r="I124" s="652" t="s">
        <v>590</v>
      </c>
      <c r="J124" s="653">
        <v>8353</v>
      </c>
      <c r="K124" s="603">
        <v>0.5</v>
      </c>
      <c r="L124" s="568">
        <v>4177</v>
      </c>
      <c r="M124" s="654" t="str">
        <f>VLOOKUP(G:G,list!B:E,4,FALSE)</f>
        <v>-</v>
      </c>
      <c r="N124" s="655">
        <f t="shared" si="6"/>
        <v>0</v>
      </c>
      <c r="O124" s="655">
        <f t="shared" si="7"/>
        <v>4177</v>
      </c>
      <c r="P124" s="564"/>
      <c r="Q124" s="672" t="str">
        <f>VLOOKUP(G:G,list!B:F,5,FALSE)</f>
        <v>-</v>
      </c>
      <c r="R124" s="656" t="str">
        <f>VLOOKUP(G:G,list!B:D,3,FALSE)</f>
        <v>Y</v>
      </c>
    </row>
    <row r="125" spans="2:18" ht="18" customHeight="1">
      <c r="B125" s="650">
        <v>120</v>
      </c>
      <c r="C125" s="651" t="str">
        <f>VLOOKUP(G:G,list!B:D,2,FALSE)</f>
        <v>작가기획</v>
      </c>
      <c r="D125" s="564" t="s">
        <v>72</v>
      </c>
      <c r="E125" s="564" t="s">
        <v>9</v>
      </c>
      <c r="F125" s="564" t="s">
        <v>569</v>
      </c>
      <c r="G125" s="564" t="s">
        <v>36</v>
      </c>
      <c r="H125" s="565">
        <v>44753</v>
      </c>
      <c r="I125" s="652" t="s">
        <v>590</v>
      </c>
      <c r="J125" s="653">
        <v>10789</v>
      </c>
      <c r="K125" s="603">
        <v>0.5</v>
      </c>
      <c r="L125" s="568">
        <v>5395</v>
      </c>
      <c r="M125" s="654" t="str">
        <f>VLOOKUP(G:G,list!B:E,4,FALSE)</f>
        <v>-</v>
      </c>
      <c r="N125" s="655">
        <f t="shared" si="6"/>
        <v>0</v>
      </c>
      <c r="O125" s="655">
        <f t="shared" si="7"/>
        <v>5395</v>
      </c>
      <c r="P125" s="564"/>
      <c r="Q125" s="672" t="str">
        <f>VLOOKUP(G:G,list!B:F,5,FALSE)</f>
        <v>-</v>
      </c>
      <c r="R125" s="656" t="str">
        <f>VLOOKUP(G:G,list!B:D,3,FALSE)</f>
        <v>Y</v>
      </c>
    </row>
    <row r="126" spans="2:18" ht="18" customHeight="1">
      <c r="B126" s="563">
        <v>121</v>
      </c>
      <c r="C126" s="651" t="str">
        <f>VLOOKUP(G:G,list!B:D,2,FALSE)</f>
        <v>원작료</v>
      </c>
      <c r="D126" s="564" t="s">
        <v>67</v>
      </c>
      <c r="E126" s="564" t="s">
        <v>9</v>
      </c>
      <c r="F126" s="564" t="s">
        <v>559</v>
      </c>
      <c r="G126" s="564" t="s">
        <v>30</v>
      </c>
      <c r="H126" s="565">
        <v>45275</v>
      </c>
      <c r="I126" s="652">
        <v>45748</v>
      </c>
      <c r="J126" s="653">
        <v>65433</v>
      </c>
      <c r="K126" s="603">
        <v>0.4</v>
      </c>
      <c r="L126" s="568">
        <v>23555</v>
      </c>
      <c r="M126" s="654">
        <f>VLOOKUP(G:G,list!B:E,4,FALSE)</f>
        <v>0.1</v>
      </c>
      <c r="N126" s="655">
        <f t="shared" si="6"/>
        <v>2356</v>
      </c>
      <c r="O126" s="655">
        <f t="shared" si="7"/>
        <v>21199</v>
      </c>
      <c r="P126" s="564"/>
      <c r="Q126" s="672" t="str">
        <f>VLOOKUP(G:G,list!B:F,5,FALSE)</f>
        <v>웹소설본부</v>
      </c>
      <c r="R126" s="656" t="str">
        <f>VLOOKUP(G:G,list!B:D,3,FALSE)</f>
        <v>Y</v>
      </c>
    </row>
    <row r="127" spans="2:18" ht="18" customHeight="1">
      <c r="B127" s="650">
        <v>122</v>
      </c>
      <c r="C127" s="651" t="str">
        <f>VLOOKUP(G:G,list!B:D,2,FALSE)</f>
        <v>원작료</v>
      </c>
      <c r="D127" s="564" t="s">
        <v>67</v>
      </c>
      <c r="E127" s="564" t="s">
        <v>9</v>
      </c>
      <c r="F127" s="564" t="s">
        <v>559</v>
      </c>
      <c r="G127" s="564" t="s">
        <v>30</v>
      </c>
      <c r="H127" s="565">
        <v>45275</v>
      </c>
      <c r="I127" s="652">
        <v>45778</v>
      </c>
      <c r="J127" s="653">
        <v>57540</v>
      </c>
      <c r="K127" s="603">
        <v>0.4</v>
      </c>
      <c r="L127" s="568">
        <v>20713</v>
      </c>
      <c r="M127" s="654">
        <f>VLOOKUP(G:G,list!B:E,4,FALSE)</f>
        <v>0.1</v>
      </c>
      <c r="N127" s="655">
        <f t="shared" si="6"/>
        <v>2071</v>
      </c>
      <c r="O127" s="655">
        <f t="shared" si="7"/>
        <v>18642</v>
      </c>
      <c r="P127" s="564"/>
      <c r="Q127" s="672" t="str">
        <f>VLOOKUP(G:G,list!B:F,5,FALSE)</f>
        <v>웹소설본부</v>
      </c>
      <c r="R127" s="656" t="str">
        <f>VLOOKUP(G:G,list!B:D,3,FALSE)</f>
        <v>Y</v>
      </c>
    </row>
    <row r="128" spans="2:18" ht="18" customHeight="1">
      <c r="B128" s="563">
        <v>123</v>
      </c>
      <c r="C128" s="651" t="str">
        <f>VLOOKUP(G:G,list!B:D,2,FALSE)</f>
        <v>원작료</v>
      </c>
      <c r="D128" s="564" t="s">
        <v>67</v>
      </c>
      <c r="E128" s="564" t="s">
        <v>9</v>
      </c>
      <c r="F128" s="564" t="s">
        <v>559</v>
      </c>
      <c r="G128" s="564" t="s">
        <v>30</v>
      </c>
      <c r="H128" s="565">
        <v>45275</v>
      </c>
      <c r="I128" s="652">
        <v>45809</v>
      </c>
      <c r="J128" s="653">
        <v>60383</v>
      </c>
      <c r="K128" s="603">
        <v>0.4</v>
      </c>
      <c r="L128" s="568">
        <v>21738</v>
      </c>
      <c r="M128" s="654">
        <f>VLOOKUP(G:G,list!B:E,4,FALSE)</f>
        <v>0.1</v>
      </c>
      <c r="N128" s="655">
        <f t="shared" si="6"/>
        <v>2174</v>
      </c>
      <c r="O128" s="655">
        <f t="shared" si="7"/>
        <v>19564</v>
      </c>
      <c r="P128" s="564"/>
      <c r="Q128" s="672" t="str">
        <f>VLOOKUP(G:G,list!B:F,5,FALSE)</f>
        <v>웹소설본부</v>
      </c>
      <c r="R128" s="656" t="str">
        <f>VLOOKUP(G:G,list!B:D,3,FALSE)</f>
        <v>Y</v>
      </c>
    </row>
    <row r="129" spans="2:18" ht="18" customHeight="1">
      <c r="B129" s="650">
        <v>124</v>
      </c>
      <c r="C129" s="651" t="str">
        <f>VLOOKUP(G:G,list!B:D,2,FALSE)</f>
        <v>작가기획</v>
      </c>
      <c r="D129" s="564" t="s">
        <v>72</v>
      </c>
      <c r="E129" s="564" t="s">
        <v>9</v>
      </c>
      <c r="F129" s="564" t="s">
        <v>598</v>
      </c>
      <c r="G129" s="564" t="s">
        <v>180</v>
      </c>
      <c r="H129" s="565" t="s">
        <v>203</v>
      </c>
      <c r="I129" s="652" t="s">
        <v>590</v>
      </c>
      <c r="J129" s="653">
        <v>136959.34</v>
      </c>
      <c r="K129" s="603">
        <v>0.5</v>
      </c>
      <c r="L129" s="568">
        <v>68480</v>
      </c>
      <c r="M129" s="654" t="str">
        <f>VLOOKUP(G:G,list!B:E,4,FALSE)</f>
        <v>-</v>
      </c>
      <c r="N129" s="655">
        <f t="shared" ref="N129" si="8">ROUND(IF(M129="-",0,L129*M129),0)</f>
        <v>0</v>
      </c>
      <c r="O129" s="655">
        <f t="shared" ref="O129" si="9">L129-N129</f>
        <v>68480</v>
      </c>
      <c r="P129" s="564" t="s">
        <v>287</v>
      </c>
      <c r="Q129" s="672" t="str">
        <f>VLOOKUP(G:G,list!B:F,5,FALSE)</f>
        <v>-</v>
      </c>
      <c r="R129" s="656" t="str">
        <f>VLOOKUP(G:G,list!B:D,3,FALSE)</f>
        <v>Y</v>
      </c>
    </row>
    <row r="130" spans="2:18" ht="18" customHeight="1">
      <c r="B130" s="563">
        <v>125</v>
      </c>
      <c r="C130" s="651" t="str">
        <f>VLOOKUP(G:G,list!B:D,2,FALSE)</f>
        <v>원작료</v>
      </c>
      <c r="D130" s="564" t="s">
        <v>182</v>
      </c>
      <c r="E130" s="564" t="s">
        <v>115</v>
      </c>
      <c r="F130" s="564" t="s">
        <v>230</v>
      </c>
      <c r="G130" s="564" t="s">
        <v>30</v>
      </c>
      <c r="H130" s="565">
        <v>45248</v>
      </c>
      <c r="I130" s="652">
        <v>45748</v>
      </c>
      <c r="J130" s="653">
        <v>190049</v>
      </c>
      <c r="K130" s="603">
        <v>0.5</v>
      </c>
      <c r="L130" s="568">
        <v>95025</v>
      </c>
      <c r="M130" s="654">
        <f>VLOOKUP(G:G,list!B:E,4,FALSE)</f>
        <v>0.1</v>
      </c>
      <c r="N130" s="655">
        <f t="shared" si="6"/>
        <v>9503</v>
      </c>
      <c r="O130" s="655">
        <f t="shared" si="7"/>
        <v>85522</v>
      </c>
      <c r="P130" s="564"/>
      <c r="Q130" s="672" t="str">
        <f>VLOOKUP(G:G,list!B:F,5,FALSE)</f>
        <v>웹소설본부</v>
      </c>
      <c r="R130" s="656" t="str">
        <f>VLOOKUP(G:G,list!B:D,3,FALSE)</f>
        <v>Y</v>
      </c>
    </row>
    <row r="131" spans="2:18" ht="18" customHeight="1">
      <c r="B131" s="650">
        <v>126</v>
      </c>
      <c r="C131" s="651" t="str">
        <f>VLOOKUP(G:G,list!B:D,2,FALSE)</f>
        <v>원작료</v>
      </c>
      <c r="D131" s="564" t="s">
        <v>182</v>
      </c>
      <c r="E131" s="564" t="s">
        <v>115</v>
      </c>
      <c r="F131" s="564" t="s">
        <v>230</v>
      </c>
      <c r="G131" s="564" t="s">
        <v>30</v>
      </c>
      <c r="H131" s="565">
        <v>45248</v>
      </c>
      <c r="I131" s="652">
        <v>45778</v>
      </c>
      <c r="J131" s="653">
        <v>63675</v>
      </c>
      <c r="K131" s="603">
        <v>0.5</v>
      </c>
      <c r="L131" s="568">
        <v>31838</v>
      </c>
      <c r="M131" s="654">
        <f>VLOOKUP(G:G,list!B:E,4,FALSE)</f>
        <v>0.1</v>
      </c>
      <c r="N131" s="655">
        <f t="shared" si="6"/>
        <v>3184</v>
      </c>
      <c r="O131" s="655">
        <f t="shared" si="7"/>
        <v>28654</v>
      </c>
      <c r="P131" s="564"/>
      <c r="Q131" s="672" t="str">
        <f>VLOOKUP(G:G,list!B:F,5,FALSE)</f>
        <v>웹소설본부</v>
      </c>
      <c r="R131" s="656" t="str">
        <f>VLOOKUP(G:G,list!B:D,3,FALSE)</f>
        <v>Y</v>
      </c>
    </row>
    <row r="132" spans="2:18" ht="18" customHeight="1">
      <c r="B132" s="563">
        <v>127</v>
      </c>
      <c r="C132" s="651" t="str">
        <f>VLOOKUP(G:G,list!B:D,2,FALSE)</f>
        <v>원작료</v>
      </c>
      <c r="D132" s="564" t="s">
        <v>182</v>
      </c>
      <c r="E132" s="564" t="s">
        <v>115</v>
      </c>
      <c r="F132" s="564" t="s">
        <v>230</v>
      </c>
      <c r="G132" s="564" t="s">
        <v>30</v>
      </c>
      <c r="H132" s="565">
        <v>45248</v>
      </c>
      <c r="I132" s="652">
        <v>45809</v>
      </c>
      <c r="J132" s="653">
        <v>60243</v>
      </c>
      <c r="K132" s="603">
        <v>0.5</v>
      </c>
      <c r="L132" s="568">
        <v>30122</v>
      </c>
      <c r="M132" s="654">
        <f>VLOOKUP(G:G,list!B:E,4,FALSE)</f>
        <v>0.1</v>
      </c>
      <c r="N132" s="655">
        <f t="shared" si="6"/>
        <v>3012</v>
      </c>
      <c r="O132" s="655">
        <f t="shared" si="7"/>
        <v>27110</v>
      </c>
      <c r="P132" s="564"/>
      <c r="Q132" s="672" t="str">
        <f>VLOOKUP(G:G,list!B:F,5,FALSE)</f>
        <v>웹소설본부</v>
      </c>
      <c r="R132" s="656" t="str">
        <f>VLOOKUP(G:G,list!B:D,3,FALSE)</f>
        <v>Y</v>
      </c>
    </row>
    <row r="133" spans="2:18" ht="18" customHeight="1">
      <c r="B133" s="650">
        <v>128</v>
      </c>
      <c r="C133" s="651" t="str">
        <f>VLOOKUP(G:G,list!B:D,2,FALSE)</f>
        <v>원작료</v>
      </c>
      <c r="D133" s="564" t="s">
        <v>182</v>
      </c>
      <c r="E133" s="564" t="s">
        <v>115</v>
      </c>
      <c r="F133" s="564" t="s">
        <v>230</v>
      </c>
      <c r="G133" s="564" t="s">
        <v>56</v>
      </c>
      <c r="H133" s="565">
        <v>45414</v>
      </c>
      <c r="I133" s="652">
        <v>45748</v>
      </c>
      <c r="J133" s="653">
        <v>88775</v>
      </c>
      <c r="K133" s="603">
        <v>0.5</v>
      </c>
      <c r="L133" s="568">
        <v>44388</v>
      </c>
      <c r="M133" s="654">
        <f>VLOOKUP(G:G,list!B:E,4,FALSE)</f>
        <v>0.1</v>
      </c>
      <c r="N133" s="655">
        <f t="shared" si="6"/>
        <v>4439</v>
      </c>
      <c r="O133" s="655">
        <f t="shared" si="7"/>
        <v>39949</v>
      </c>
      <c r="P133" s="564"/>
      <c r="Q133" s="672" t="str">
        <f>VLOOKUP(G:G,list!B:F,5,FALSE)</f>
        <v>웹소설본부</v>
      </c>
      <c r="R133" s="656" t="str">
        <f>VLOOKUP(G:G,list!B:D,3,FALSE)</f>
        <v>Y</v>
      </c>
    </row>
    <row r="134" spans="2:18" ht="18" customHeight="1">
      <c r="B134" s="563">
        <v>129</v>
      </c>
      <c r="C134" s="651" t="str">
        <f>VLOOKUP(G:G,list!B:D,2,FALSE)</f>
        <v>원작료</v>
      </c>
      <c r="D134" s="564" t="s">
        <v>182</v>
      </c>
      <c r="E134" s="564" t="s">
        <v>115</v>
      </c>
      <c r="F134" s="564" t="s">
        <v>230</v>
      </c>
      <c r="G134" s="564" t="s">
        <v>56</v>
      </c>
      <c r="H134" s="565">
        <v>45414</v>
      </c>
      <c r="I134" s="652">
        <v>45778</v>
      </c>
      <c r="J134" s="653">
        <v>52496</v>
      </c>
      <c r="K134" s="603">
        <v>0.5</v>
      </c>
      <c r="L134" s="568">
        <v>26248</v>
      </c>
      <c r="M134" s="654">
        <f>VLOOKUP(G:G,list!B:E,4,FALSE)</f>
        <v>0.1</v>
      </c>
      <c r="N134" s="655">
        <f t="shared" si="6"/>
        <v>2625</v>
      </c>
      <c r="O134" s="655">
        <f t="shared" si="7"/>
        <v>23623</v>
      </c>
      <c r="P134" s="564"/>
      <c r="Q134" s="672" t="str">
        <f>VLOOKUP(G:G,list!B:F,5,FALSE)</f>
        <v>웹소설본부</v>
      </c>
      <c r="R134" s="656" t="str">
        <f>VLOOKUP(G:G,list!B:D,3,FALSE)</f>
        <v>Y</v>
      </c>
    </row>
    <row r="135" spans="2:18" ht="18" customHeight="1">
      <c r="B135" s="650">
        <v>130</v>
      </c>
      <c r="C135" s="651" t="str">
        <f>VLOOKUP(G:G,list!B:D,2,FALSE)</f>
        <v>원작료</v>
      </c>
      <c r="D135" s="564" t="s">
        <v>182</v>
      </c>
      <c r="E135" s="564" t="s">
        <v>115</v>
      </c>
      <c r="F135" s="564" t="s">
        <v>230</v>
      </c>
      <c r="G135" s="564" t="s">
        <v>56</v>
      </c>
      <c r="H135" s="565">
        <v>45414</v>
      </c>
      <c r="I135" s="652">
        <v>45809</v>
      </c>
      <c r="J135" s="653">
        <v>44858</v>
      </c>
      <c r="K135" s="603">
        <v>0.5</v>
      </c>
      <c r="L135" s="568">
        <v>22429</v>
      </c>
      <c r="M135" s="654">
        <f>VLOOKUP(G:G,list!B:E,4,FALSE)</f>
        <v>0.1</v>
      </c>
      <c r="N135" s="655">
        <f t="shared" si="6"/>
        <v>2243</v>
      </c>
      <c r="O135" s="655">
        <f t="shared" si="7"/>
        <v>20186</v>
      </c>
      <c r="P135" s="564"/>
      <c r="Q135" s="672" t="str">
        <f>VLOOKUP(G:G,list!B:F,5,FALSE)</f>
        <v>웹소설본부</v>
      </c>
      <c r="R135" s="656" t="str">
        <f>VLOOKUP(G:G,list!B:D,3,FALSE)</f>
        <v>Y</v>
      </c>
    </row>
    <row r="136" spans="2:18" ht="18" customHeight="1">
      <c r="B136" s="563">
        <v>131</v>
      </c>
      <c r="C136" s="651" t="str">
        <f>VLOOKUP(G:G,list!B:D,2,FALSE)</f>
        <v>작가기획</v>
      </c>
      <c r="D136" s="564" t="s">
        <v>182</v>
      </c>
      <c r="E136" s="564" t="s">
        <v>115</v>
      </c>
      <c r="F136" s="564" t="s">
        <v>230</v>
      </c>
      <c r="G136" s="564" t="s">
        <v>308</v>
      </c>
      <c r="H136" s="565">
        <v>45569</v>
      </c>
      <c r="I136" s="652">
        <v>45748</v>
      </c>
      <c r="J136" s="653">
        <v>12320</v>
      </c>
      <c r="K136" s="603">
        <v>0.5</v>
      </c>
      <c r="L136" s="568">
        <v>6160</v>
      </c>
      <c r="M136" s="654" t="str">
        <f>VLOOKUP(G:G,list!B:E,4,FALSE)</f>
        <v>-</v>
      </c>
      <c r="N136" s="655">
        <f t="shared" si="6"/>
        <v>0</v>
      </c>
      <c r="O136" s="655">
        <f t="shared" si="7"/>
        <v>6160</v>
      </c>
      <c r="P136" s="564"/>
      <c r="Q136" s="672" t="str">
        <f>VLOOKUP(G:G,list!B:F,5,FALSE)</f>
        <v>-</v>
      </c>
      <c r="R136" s="656" t="str">
        <f>VLOOKUP(G:G,list!B:D,3,FALSE)</f>
        <v>Y</v>
      </c>
    </row>
    <row r="137" spans="2:18" ht="18" customHeight="1">
      <c r="B137" s="650">
        <v>132</v>
      </c>
      <c r="C137" s="651" t="str">
        <f>VLOOKUP(G:G,list!B:D,2,FALSE)</f>
        <v>작가기획</v>
      </c>
      <c r="D137" s="564" t="s">
        <v>182</v>
      </c>
      <c r="E137" s="564" t="s">
        <v>115</v>
      </c>
      <c r="F137" s="564" t="s">
        <v>230</v>
      </c>
      <c r="G137" s="564" t="s">
        <v>308</v>
      </c>
      <c r="H137" s="565">
        <v>45569</v>
      </c>
      <c r="I137" s="652">
        <v>45778</v>
      </c>
      <c r="J137" s="653">
        <v>3162</v>
      </c>
      <c r="K137" s="603">
        <v>0.5</v>
      </c>
      <c r="L137" s="568">
        <v>1581</v>
      </c>
      <c r="M137" s="654" t="str">
        <f>VLOOKUP(G:G,list!B:E,4,FALSE)</f>
        <v>-</v>
      </c>
      <c r="N137" s="655">
        <f t="shared" si="6"/>
        <v>0</v>
      </c>
      <c r="O137" s="655">
        <f t="shared" si="7"/>
        <v>1581</v>
      </c>
      <c r="P137" s="564"/>
      <c r="Q137" s="672" t="str">
        <f>VLOOKUP(G:G,list!B:F,5,FALSE)</f>
        <v>-</v>
      </c>
      <c r="R137" s="656" t="str">
        <f>VLOOKUP(G:G,list!B:D,3,FALSE)</f>
        <v>Y</v>
      </c>
    </row>
    <row r="138" spans="2:18" ht="18" customHeight="1">
      <c r="B138" s="563">
        <v>133</v>
      </c>
      <c r="C138" s="651" t="str">
        <f>VLOOKUP(G:G,list!B:D,2,FALSE)</f>
        <v>작가기획</v>
      </c>
      <c r="D138" s="564" t="s">
        <v>182</v>
      </c>
      <c r="E138" s="564" t="s">
        <v>115</v>
      </c>
      <c r="F138" s="564" t="s">
        <v>230</v>
      </c>
      <c r="G138" s="564" t="s">
        <v>308</v>
      </c>
      <c r="H138" s="565">
        <v>45569</v>
      </c>
      <c r="I138" s="652">
        <v>45809</v>
      </c>
      <c r="J138" s="653">
        <v>16883</v>
      </c>
      <c r="K138" s="603">
        <v>0.5</v>
      </c>
      <c r="L138" s="568">
        <v>8442</v>
      </c>
      <c r="M138" s="654" t="str">
        <f>VLOOKUP(G:G,list!B:E,4,FALSE)</f>
        <v>-</v>
      </c>
      <c r="N138" s="655">
        <f t="shared" si="6"/>
        <v>0</v>
      </c>
      <c r="O138" s="655">
        <f t="shared" si="7"/>
        <v>8442</v>
      </c>
      <c r="P138" s="564"/>
      <c r="Q138" s="672" t="str">
        <f>VLOOKUP(G:G,list!B:F,5,FALSE)</f>
        <v>-</v>
      </c>
      <c r="R138" s="656" t="str">
        <f>VLOOKUP(G:G,list!B:D,3,FALSE)</f>
        <v>Y</v>
      </c>
    </row>
    <row r="139" spans="2:18" ht="11.25" customHeight="1">
      <c r="B139" s="52"/>
      <c r="C139" s="551"/>
      <c r="D139" s="551"/>
      <c r="E139" s="551"/>
      <c r="F139" s="551"/>
      <c r="G139" s="551"/>
      <c r="H139" s="622"/>
      <c r="I139" s="551"/>
      <c r="J139" s="435"/>
      <c r="K139" s="623"/>
      <c r="L139"/>
      <c r="M139" s="438"/>
      <c r="N139" s="439"/>
      <c r="O139" s="440"/>
      <c r="P139" s="633"/>
      <c r="Q139" s="438"/>
      <c r="R139" s="486"/>
    </row>
    <row r="140" spans="2:18" s="7" customFormat="1" ht="16.5" customHeight="1">
      <c r="B140" s="624" t="s">
        <v>387</v>
      </c>
      <c r="C140" s="625"/>
      <c r="D140" s="625"/>
      <c r="E140" s="626"/>
      <c r="F140" s="625"/>
      <c r="G140" s="625"/>
      <c r="H140" s="625"/>
      <c r="I140" s="311"/>
      <c r="J140" s="311"/>
      <c r="K140" s="311"/>
      <c r="M140" s="424"/>
      <c r="N140"/>
      <c r="O140" s="333"/>
      <c r="P140" s="631"/>
      <c r="Q140" s="424"/>
      <c r="R140" s="484"/>
    </row>
    <row r="141" spans="2:18" s="7" customFormat="1" ht="16.5" customHeight="1">
      <c r="B141" s="629" t="s">
        <v>299</v>
      </c>
      <c r="C141" s="625"/>
      <c r="D141" s="625"/>
      <c r="E141" s="626"/>
      <c r="F141" s="625"/>
      <c r="G141" s="625"/>
      <c r="H141" s="625"/>
      <c r="I141" s="311"/>
      <c r="K141" s="311"/>
      <c r="L141" s="311"/>
      <c r="M141" s="424"/>
      <c r="N141"/>
      <c r="O141" s="333"/>
      <c r="P141" s="631"/>
      <c r="Q141" s="424"/>
      <c r="R141" s="484"/>
    </row>
    <row r="142" spans="2:18" s="7" customFormat="1" ht="16.5" customHeight="1">
      <c r="B142" s="628" t="s">
        <v>302</v>
      </c>
      <c r="C142" s="627"/>
      <c r="D142" s="625"/>
      <c r="E142" s="626"/>
      <c r="F142" s="625"/>
      <c r="G142" s="625"/>
      <c r="H142" s="625"/>
      <c r="I142" s="311"/>
      <c r="J142" s="311"/>
      <c r="L142" s="311"/>
      <c r="M142" s="424"/>
      <c r="N142"/>
      <c r="O142" s="333"/>
      <c r="P142" s="631"/>
      <c r="Q142" s="424"/>
      <c r="R142" s="484"/>
    </row>
    <row r="143" spans="2:18" s="7" customFormat="1" ht="16.5" customHeight="1">
      <c r="B143" s="630" t="s">
        <v>303</v>
      </c>
      <c r="C143" s="627"/>
      <c r="D143" s="625"/>
      <c r="E143" s="626"/>
      <c r="F143" s="625"/>
      <c r="G143" s="625"/>
      <c r="H143" s="625"/>
      <c r="I143" s="311"/>
      <c r="J143" s="311"/>
      <c r="K143" s="311"/>
      <c r="L143" s="311"/>
      <c r="M143" s="424"/>
      <c r="N143"/>
      <c r="O143" s="333"/>
      <c r="P143" s="631"/>
      <c r="Q143" s="424"/>
      <c r="R143" s="484"/>
    </row>
    <row r="144" spans="2:18" ht="16.5" customHeight="1">
      <c r="B144" s="629" t="s">
        <v>340</v>
      </c>
      <c r="C144" s="625"/>
      <c r="D144" s="625"/>
      <c r="E144" s="626"/>
      <c r="F144" s="625"/>
      <c r="G144" s="625"/>
      <c r="H144" s="625"/>
      <c r="I144" s="311"/>
      <c r="J144" s="311"/>
      <c r="K144" s="311"/>
    </row>
    <row r="145" spans="2:18" ht="16.5" customHeight="1">
      <c r="B145" s="629" t="s">
        <v>512</v>
      </c>
      <c r="C145" s="625"/>
      <c r="D145" s="625"/>
      <c r="E145" s="626"/>
      <c r="F145" s="625"/>
      <c r="G145" s="625"/>
      <c r="H145" s="625"/>
      <c r="I145" s="311"/>
      <c r="J145" s="311"/>
      <c r="K145" s="311"/>
    </row>
    <row r="146" spans="2:18" ht="16.5" customHeight="1">
      <c r="B146" s="629" t="s">
        <v>522</v>
      </c>
      <c r="C146" s="625"/>
      <c r="D146" s="625"/>
      <c r="E146" s="626"/>
      <c r="F146" s="625"/>
      <c r="G146" s="625"/>
      <c r="H146" s="625"/>
      <c r="I146" s="311"/>
      <c r="J146" s="311"/>
      <c r="K146" s="311"/>
    </row>
    <row r="147" spans="2:18" ht="16.5" customHeight="1">
      <c r="B147" s="629" t="s">
        <v>520</v>
      </c>
      <c r="C147" s="625"/>
      <c r="D147" s="625"/>
      <c r="E147" s="626"/>
      <c r="F147" s="625"/>
      <c r="G147" s="625"/>
      <c r="H147" s="625"/>
      <c r="I147" s="311"/>
      <c r="J147" s="311"/>
      <c r="K147" s="311"/>
    </row>
    <row r="148" spans="2:18" ht="16.5" customHeight="1">
      <c r="B148" s="629" t="s">
        <v>521</v>
      </c>
      <c r="C148" s="625"/>
      <c r="D148" s="625"/>
      <c r="E148" s="626"/>
      <c r="F148" s="625"/>
      <c r="G148" s="625"/>
      <c r="H148" s="625"/>
      <c r="I148" s="311"/>
      <c r="J148" s="311"/>
      <c r="K148" s="311"/>
    </row>
    <row r="149" spans="2:18" s="311" customFormat="1" ht="16.5" customHeight="1">
      <c r="B149" s="629" t="s">
        <v>529</v>
      </c>
      <c r="C149" s="625"/>
      <c r="D149" s="625"/>
      <c r="E149" s="626"/>
      <c r="F149" s="625"/>
      <c r="G149" s="625"/>
      <c r="H149" s="625"/>
      <c r="M149" s="424"/>
      <c r="N149"/>
      <c r="O149" s="333"/>
      <c r="P149" s="631"/>
      <c r="Q149" s="424"/>
      <c r="R149" s="484"/>
    </row>
  </sheetData>
  <autoFilter ref="B5:R138" xr:uid="{6BCF6E47-FA4B-4772-A4CE-8E1B50F6C0BA}"/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B880-5EBE-4293-B7CC-58CE006F5FB4}">
  <dimension ref="B1:R132"/>
  <sheetViews>
    <sheetView showGridLines="0" zoomScaleNormal="100" workbookViewId="0">
      <pane xSplit="1" ySplit="5" topLeftCell="B105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591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592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22119036.368182</v>
      </c>
      <c r="K4" s="52"/>
      <c r="L4" s="648">
        <f>SUBTOTAL(109,L6:L1048576)</f>
        <v>8425027.4000000004</v>
      </c>
      <c r="M4" s="543"/>
      <c r="N4" s="649">
        <f>SUBTOTAL(109,N6:N1048576)</f>
        <v>694394</v>
      </c>
      <c r="O4" s="649">
        <f>SUBTOTAL(109,O6:O1048576)</f>
        <v>7730633.4000000004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45809</v>
      </c>
      <c r="J6" s="653">
        <v>307751</v>
      </c>
      <c r="K6" s="567">
        <v>0.6</v>
      </c>
      <c r="L6" s="646">
        <v>184651</v>
      </c>
      <c r="M6" s="654" t="str">
        <f>VLOOKUP(G:G,list!B:E,4,FALSE)</f>
        <v>-</v>
      </c>
      <c r="N6" s="655">
        <f t="shared" ref="N6:N101" si="0">ROUND(IF(M6="-",0,L6*M6),0)</f>
        <v>0</v>
      </c>
      <c r="O6" s="655">
        <f t="shared" ref="O6:O101" si="1">L6-N6</f>
        <v>184651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45809</v>
      </c>
      <c r="J7" s="653">
        <v>53157</v>
      </c>
      <c r="K7" s="600">
        <v>0.6</v>
      </c>
      <c r="L7" s="646">
        <v>31895</v>
      </c>
      <c r="M7" s="654" t="str">
        <f>VLOOKUP(G:G,list!B:E,4,FALSE)</f>
        <v>-</v>
      </c>
      <c r="N7" s="655">
        <f t="shared" si="0"/>
        <v>0</v>
      </c>
      <c r="O7" s="655">
        <f t="shared" si="1"/>
        <v>31895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45809</v>
      </c>
      <c r="J8" s="653">
        <v>143443.5</v>
      </c>
      <c r="K8" s="567">
        <v>0.6</v>
      </c>
      <c r="L8" s="646">
        <v>86066</v>
      </c>
      <c r="M8" s="654" t="str">
        <f>VLOOKUP(G:G,list!B:E,4,FALSE)</f>
        <v>-</v>
      </c>
      <c r="N8" s="655">
        <f t="shared" si="0"/>
        <v>0</v>
      </c>
      <c r="O8" s="655">
        <f t="shared" si="1"/>
        <v>86066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45809</v>
      </c>
      <c r="J9" s="653">
        <v>114818</v>
      </c>
      <c r="K9" s="606">
        <v>0.6</v>
      </c>
      <c r="L9" s="646">
        <v>68892</v>
      </c>
      <c r="M9" s="654">
        <f>VLOOKUP(G:G,list!B:E,4,FALSE)</f>
        <v>0.1</v>
      </c>
      <c r="N9" s="655">
        <f t="shared" si="0"/>
        <v>6889</v>
      </c>
      <c r="O9" s="655">
        <f t="shared" si="1"/>
        <v>62003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45809</v>
      </c>
      <c r="J10" s="653">
        <v>239452.3</v>
      </c>
      <c r="K10" s="600">
        <v>0.6</v>
      </c>
      <c r="L10" s="646">
        <v>143673</v>
      </c>
      <c r="M10" s="654">
        <f>VLOOKUP(G:G,list!B:E,4,FALSE)</f>
        <v>0.1</v>
      </c>
      <c r="N10" s="655">
        <f t="shared" si="0"/>
        <v>14367</v>
      </c>
      <c r="O10" s="655">
        <f t="shared" si="1"/>
        <v>129306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45809</v>
      </c>
      <c r="J11" s="653">
        <v>8910</v>
      </c>
      <c r="K11" s="603">
        <v>0.6</v>
      </c>
      <c r="L11" s="646">
        <v>5346</v>
      </c>
      <c r="M11" s="654" t="str">
        <f>VLOOKUP(G:G,list!B:E,4,FALSE)</f>
        <v>-</v>
      </c>
      <c r="N11" s="655">
        <f t="shared" si="0"/>
        <v>0</v>
      </c>
      <c r="O11" s="655">
        <f t="shared" si="1"/>
        <v>5346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45809</v>
      </c>
      <c r="J12" s="653">
        <v>337176.5</v>
      </c>
      <c r="K12" s="603">
        <v>0.6</v>
      </c>
      <c r="L12" s="646">
        <v>202305</v>
      </c>
      <c r="M12" s="654">
        <f>VLOOKUP(G:G,list!B:E,4,FALSE)</f>
        <v>0.1</v>
      </c>
      <c r="N12" s="655">
        <f t="shared" si="0"/>
        <v>20231</v>
      </c>
      <c r="O12" s="655">
        <f t="shared" si="1"/>
        <v>182074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45809</v>
      </c>
      <c r="J13" s="653">
        <v>17557</v>
      </c>
      <c r="K13" s="600">
        <v>0.6</v>
      </c>
      <c r="L13" s="646">
        <v>10534</v>
      </c>
      <c r="M13" s="654">
        <f>VLOOKUP(G:G,list!B:E,4,FALSE)</f>
        <v>0.1</v>
      </c>
      <c r="N13" s="655">
        <f t="shared" si="0"/>
        <v>1053</v>
      </c>
      <c r="O13" s="655">
        <f t="shared" si="1"/>
        <v>9481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45809</v>
      </c>
      <c r="J14" s="653">
        <v>251470.8</v>
      </c>
      <c r="K14" s="606">
        <v>0.6</v>
      </c>
      <c r="L14" s="646">
        <v>150883</v>
      </c>
      <c r="M14" s="654">
        <f>VLOOKUP(G:G,list!B:E,4,FALSE)</f>
        <v>0.11</v>
      </c>
      <c r="N14" s="655">
        <f t="shared" si="0"/>
        <v>16597</v>
      </c>
      <c r="O14" s="655">
        <f t="shared" si="1"/>
        <v>134286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45809</v>
      </c>
      <c r="J15" s="653">
        <v>474302.2</v>
      </c>
      <c r="K15" s="567">
        <v>0.6</v>
      </c>
      <c r="L15" s="646">
        <v>284582</v>
      </c>
      <c r="M15" s="654">
        <f>VLOOKUP(G:G,list!B:E,4,FALSE)</f>
        <v>0.1</v>
      </c>
      <c r="N15" s="655">
        <f t="shared" si="0"/>
        <v>28458</v>
      </c>
      <c r="O15" s="655">
        <f t="shared" si="1"/>
        <v>256124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45809</v>
      </c>
      <c r="J16" s="653">
        <v>55575</v>
      </c>
      <c r="K16" s="567">
        <v>0.6</v>
      </c>
      <c r="L16" s="646">
        <v>33345</v>
      </c>
      <c r="M16" s="654">
        <f>VLOOKUP(G:G,list!B:E,4,FALSE)</f>
        <v>0.1</v>
      </c>
      <c r="N16" s="655">
        <f t="shared" si="0"/>
        <v>3335</v>
      </c>
      <c r="O16" s="655">
        <f t="shared" si="1"/>
        <v>30010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45809</v>
      </c>
      <c r="J17" s="653">
        <v>1260</v>
      </c>
      <c r="K17" s="600">
        <v>0.7</v>
      </c>
      <c r="L17" s="646">
        <v>882</v>
      </c>
      <c r="M17" s="654" t="str">
        <f>VLOOKUP(G:G,list!B:E,4,FALSE)</f>
        <v>-</v>
      </c>
      <c r="N17" s="655">
        <f t="shared" si="0"/>
        <v>0</v>
      </c>
      <c r="O17" s="655">
        <f t="shared" si="1"/>
        <v>882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45809</v>
      </c>
      <c r="J18" s="653">
        <v>2132777.2000000002</v>
      </c>
      <c r="K18" s="603">
        <v>0.6</v>
      </c>
      <c r="L18" s="646">
        <v>1279665</v>
      </c>
      <c r="M18" s="654">
        <f>VLOOKUP(G:G,list!B:E,4,FALSE)</f>
        <v>0.1</v>
      </c>
      <c r="N18" s="655">
        <f t="shared" si="0"/>
        <v>127967</v>
      </c>
      <c r="O18" s="655">
        <f t="shared" si="1"/>
        <v>1151698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45809</v>
      </c>
      <c r="J19" s="653">
        <v>158565.5</v>
      </c>
      <c r="K19" s="603">
        <v>0.7</v>
      </c>
      <c r="L19" s="646">
        <v>110997</v>
      </c>
      <c r="M19" s="654">
        <f>VLOOKUP(G:G,list!B:E,4,FALSE)</f>
        <v>0.1</v>
      </c>
      <c r="N19" s="655">
        <f t="shared" si="0"/>
        <v>11100</v>
      </c>
      <c r="O19" s="655">
        <f t="shared" si="1"/>
        <v>99897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45809</v>
      </c>
      <c r="J20" s="653">
        <v>32098.9</v>
      </c>
      <c r="K20" s="603">
        <v>0.6</v>
      </c>
      <c r="L20" s="646">
        <v>19259</v>
      </c>
      <c r="M20" s="654">
        <f>VLOOKUP(G:G,list!B:E,4,FALSE)</f>
        <v>0.1</v>
      </c>
      <c r="N20" s="655">
        <f t="shared" si="0"/>
        <v>1926</v>
      </c>
      <c r="O20" s="655">
        <f t="shared" si="1"/>
        <v>17333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45809</v>
      </c>
      <c r="J21" s="653">
        <v>900</v>
      </c>
      <c r="K21" s="567">
        <v>0.6</v>
      </c>
      <c r="L21" s="646">
        <v>630</v>
      </c>
      <c r="M21" s="654" t="str">
        <f>VLOOKUP(G:G,list!B:E,4,FALSE)</f>
        <v>-</v>
      </c>
      <c r="N21" s="655">
        <f t="shared" si="0"/>
        <v>0</v>
      </c>
      <c r="O21" s="655">
        <f t="shared" si="1"/>
        <v>630</v>
      </c>
      <c r="P21" s="564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45809</v>
      </c>
      <c r="J22" s="653">
        <v>17986</v>
      </c>
      <c r="K22" s="567">
        <v>0.6</v>
      </c>
      <c r="L22" s="646">
        <v>10792</v>
      </c>
      <c r="M22" s="654">
        <f>VLOOKUP(G:G,list!B:E,4,FALSE)</f>
        <v>0.1</v>
      </c>
      <c r="N22" s="655">
        <f t="shared" si="0"/>
        <v>1079</v>
      </c>
      <c r="O22" s="655">
        <f t="shared" si="1"/>
        <v>9713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45809</v>
      </c>
      <c r="J23" s="653">
        <v>3780</v>
      </c>
      <c r="K23" s="567">
        <v>0.6</v>
      </c>
      <c r="L23" s="646">
        <v>2268</v>
      </c>
      <c r="M23" s="654" t="str">
        <f>VLOOKUP(G:G,list!B:E,4,FALSE)</f>
        <v>-</v>
      </c>
      <c r="N23" s="655">
        <f t="shared" si="0"/>
        <v>0</v>
      </c>
      <c r="O23" s="655">
        <f t="shared" si="1"/>
        <v>2268</v>
      </c>
      <c r="P23" s="564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45809</v>
      </c>
      <c r="J24" s="653">
        <v>61360.9</v>
      </c>
      <c r="K24" s="603">
        <v>0.6</v>
      </c>
      <c r="L24" s="646">
        <v>36816</v>
      </c>
      <c r="M24" s="654">
        <f>VLOOKUP(G:G,list!B:E,4,FALSE)</f>
        <v>0.1</v>
      </c>
      <c r="N24" s="655">
        <f t="shared" si="0"/>
        <v>3682</v>
      </c>
      <c r="O24" s="655">
        <f t="shared" si="1"/>
        <v>33134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45809</v>
      </c>
      <c r="J25" s="653">
        <v>180</v>
      </c>
      <c r="K25" s="603">
        <v>0.6</v>
      </c>
      <c r="L25" s="646">
        <v>108</v>
      </c>
      <c r="M25" s="654">
        <f>VLOOKUP(G:G,list!B:E,4,FALSE)</f>
        <v>0.1</v>
      </c>
      <c r="N25" s="655">
        <f t="shared" si="0"/>
        <v>11</v>
      </c>
      <c r="O25" s="655">
        <f t="shared" si="1"/>
        <v>97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45809</v>
      </c>
      <c r="J26" s="653">
        <v>32684.7</v>
      </c>
      <c r="K26" s="567">
        <v>0.6</v>
      </c>
      <c r="L26" s="646">
        <v>19610</v>
      </c>
      <c r="M26" s="654">
        <f>VLOOKUP(G:G,list!B:E,4,FALSE)</f>
        <v>0.1</v>
      </c>
      <c r="N26" s="655">
        <f t="shared" si="0"/>
        <v>1961</v>
      </c>
      <c r="O26" s="655">
        <f t="shared" si="1"/>
        <v>17649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45809</v>
      </c>
      <c r="J27" s="653">
        <v>20008</v>
      </c>
      <c r="K27" s="567">
        <v>0.6</v>
      </c>
      <c r="L27" s="646">
        <v>12005</v>
      </c>
      <c r="M27" s="654">
        <f>VLOOKUP(G:G,list!B:E,4,FALSE)</f>
        <v>0.1</v>
      </c>
      <c r="N27" s="655">
        <f t="shared" si="0"/>
        <v>1201</v>
      </c>
      <c r="O27" s="655">
        <f t="shared" si="1"/>
        <v>10804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45809</v>
      </c>
      <c r="J28" s="653">
        <v>4320</v>
      </c>
      <c r="K28" s="567">
        <v>0.6</v>
      </c>
      <c r="L28" s="646">
        <v>2592</v>
      </c>
      <c r="M28" s="654" t="str">
        <f>VLOOKUP(G:G,list!B:E,4,FALSE)</f>
        <v>-</v>
      </c>
      <c r="N28" s="655">
        <f t="shared" si="0"/>
        <v>0</v>
      </c>
      <c r="O28" s="655">
        <f t="shared" si="1"/>
        <v>2592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45809</v>
      </c>
      <c r="J29" s="653">
        <v>86367.6</v>
      </c>
      <c r="K29" s="567">
        <v>0.6</v>
      </c>
      <c r="L29" s="646">
        <v>51821</v>
      </c>
      <c r="M29" s="654">
        <f>VLOOKUP(G:G,list!B:E,4,FALSE)</f>
        <v>0.11</v>
      </c>
      <c r="N29" s="655">
        <f t="shared" si="0"/>
        <v>5700</v>
      </c>
      <c r="O29" s="655">
        <f t="shared" si="1"/>
        <v>46121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45809</v>
      </c>
      <c r="J30" s="653">
        <v>128252.2</v>
      </c>
      <c r="K30" s="567">
        <v>0.6</v>
      </c>
      <c r="L30" s="646">
        <v>76951</v>
      </c>
      <c r="M30" s="654" t="str">
        <f>VLOOKUP(G:G,list!B:E,4,FALSE)</f>
        <v>-</v>
      </c>
      <c r="N30" s="655">
        <f t="shared" si="0"/>
        <v>0</v>
      </c>
      <c r="O30" s="655">
        <f t="shared" si="1"/>
        <v>76951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45809</v>
      </c>
      <c r="J31" s="653">
        <v>80464.800000000003</v>
      </c>
      <c r="K31" s="567">
        <v>0.6</v>
      </c>
      <c r="L31" s="646">
        <v>48279</v>
      </c>
      <c r="M31" s="654" t="str">
        <f>VLOOKUP(G:G,list!B:E,4,FALSE)</f>
        <v>-</v>
      </c>
      <c r="N31" s="655">
        <f t="shared" si="0"/>
        <v>0</v>
      </c>
      <c r="O31" s="655">
        <f t="shared" si="1"/>
        <v>48279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45809</v>
      </c>
      <c r="J32" s="653">
        <v>332416</v>
      </c>
      <c r="K32" s="567">
        <v>0.6</v>
      </c>
      <c r="L32" s="646">
        <v>199450</v>
      </c>
      <c r="M32" s="654">
        <f>VLOOKUP(G:G,list!B:E,4,FALSE)</f>
        <v>0.1</v>
      </c>
      <c r="N32" s="655">
        <f t="shared" si="0"/>
        <v>19945</v>
      </c>
      <c r="O32" s="655">
        <f t="shared" si="1"/>
        <v>179505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45778</v>
      </c>
      <c r="J33" s="653">
        <v>88635</v>
      </c>
      <c r="K33" s="674">
        <v>0.224</v>
      </c>
      <c r="L33" s="646">
        <v>17872</v>
      </c>
      <c r="M33" s="654">
        <f>VLOOKUP(G:G,list!B:E,4,FALSE)</f>
        <v>0.1</v>
      </c>
      <c r="N33" s="655">
        <f t="shared" si="0"/>
        <v>1787</v>
      </c>
      <c r="O33" s="655">
        <f t="shared" si="1"/>
        <v>16085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45778</v>
      </c>
      <c r="J34" s="653">
        <v>1382950</v>
      </c>
      <c r="K34" s="674">
        <v>0.224</v>
      </c>
      <c r="L34" s="646">
        <v>278805</v>
      </c>
      <c r="M34" s="654">
        <f>VLOOKUP(G:G,list!B:E,4,FALSE)</f>
        <v>0.1</v>
      </c>
      <c r="N34" s="655">
        <f t="shared" si="0"/>
        <v>27881</v>
      </c>
      <c r="O34" s="655">
        <f t="shared" si="1"/>
        <v>250924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45778</v>
      </c>
      <c r="J35" s="653">
        <v>44024</v>
      </c>
      <c r="K35" s="674">
        <v>0.224</v>
      </c>
      <c r="L35" s="646">
        <v>8832</v>
      </c>
      <c r="M35" s="654" t="str">
        <f>VLOOKUP(G:G,list!B:E,4,FALSE)</f>
        <v>-</v>
      </c>
      <c r="N35" s="655">
        <f t="shared" si="0"/>
        <v>0</v>
      </c>
      <c r="O35" s="655">
        <f t="shared" si="1"/>
        <v>8832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45778</v>
      </c>
      <c r="J36" s="653">
        <v>169053</v>
      </c>
      <c r="K36" s="674">
        <v>0.224</v>
      </c>
      <c r="L36" s="646">
        <v>34086</v>
      </c>
      <c r="M36" s="654">
        <f>VLOOKUP(G:G,list!B:E,4,FALSE)</f>
        <v>0.1</v>
      </c>
      <c r="N36" s="655">
        <f t="shared" si="0"/>
        <v>3409</v>
      </c>
      <c r="O36" s="655">
        <f t="shared" si="1"/>
        <v>30677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45778</v>
      </c>
      <c r="J37" s="653">
        <v>196641</v>
      </c>
      <c r="K37" s="674">
        <v>0.224</v>
      </c>
      <c r="L37" s="646">
        <v>39650</v>
      </c>
      <c r="M37" s="654">
        <f>VLOOKUP(G:G,list!B:E,4,FALSE)</f>
        <v>0.11</v>
      </c>
      <c r="N37" s="655">
        <f t="shared" si="0"/>
        <v>4362</v>
      </c>
      <c r="O37" s="655">
        <f t="shared" si="1"/>
        <v>35288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45778</v>
      </c>
      <c r="J38" s="653">
        <v>214838</v>
      </c>
      <c r="K38" s="674">
        <v>0.224</v>
      </c>
      <c r="L38" s="646">
        <v>43312</v>
      </c>
      <c r="M38" s="654">
        <f>VLOOKUP(G:G,list!B:E,4,FALSE)</f>
        <v>0.1</v>
      </c>
      <c r="N38" s="655">
        <f t="shared" si="0"/>
        <v>4331</v>
      </c>
      <c r="O38" s="655">
        <f t="shared" si="1"/>
        <v>38981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45778</v>
      </c>
      <c r="J39" s="653">
        <v>235383</v>
      </c>
      <c r="K39" s="674">
        <v>0.224</v>
      </c>
      <c r="L39" s="646">
        <v>47462</v>
      </c>
      <c r="M39" s="654" t="str">
        <f>VLOOKUP(G:G,list!B:E,4,FALSE)</f>
        <v>-</v>
      </c>
      <c r="N39" s="655">
        <f t="shared" si="0"/>
        <v>0</v>
      </c>
      <c r="O39" s="655">
        <f t="shared" si="1"/>
        <v>47462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45778</v>
      </c>
      <c r="J40" s="653">
        <v>4543895</v>
      </c>
      <c r="K40" s="674">
        <v>0.224</v>
      </c>
      <c r="L40" s="646">
        <v>916052</v>
      </c>
      <c r="M40" s="654">
        <f>VLOOKUP(G:G,list!B:E,4,FALSE)</f>
        <v>0.1</v>
      </c>
      <c r="N40" s="655">
        <f t="shared" si="0"/>
        <v>91605</v>
      </c>
      <c r="O40" s="655">
        <f t="shared" si="1"/>
        <v>824447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45778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45778</v>
      </c>
      <c r="J42" s="653">
        <v>63981</v>
      </c>
      <c r="K42" s="674">
        <v>0.224</v>
      </c>
      <c r="L42" s="646">
        <v>12907</v>
      </c>
      <c r="M42" s="654">
        <f>VLOOKUP(G:G,list!B:E,4,FALSE)</f>
        <v>0.1</v>
      </c>
      <c r="N42" s="655">
        <f t="shared" si="0"/>
        <v>1291</v>
      </c>
      <c r="O42" s="655">
        <f t="shared" si="1"/>
        <v>11616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45778</v>
      </c>
      <c r="J43" s="653">
        <v>579946</v>
      </c>
      <c r="K43" s="674">
        <v>0.224</v>
      </c>
      <c r="L43" s="646">
        <v>116917</v>
      </c>
      <c r="M43" s="654">
        <f>VLOOKUP(G:G,list!B:E,4,FALSE)</f>
        <v>0.1</v>
      </c>
      <c r="N43" s="655">
        <f t="shared" si="0"/>
        <v>11692</v>
      </c>
      <c r="O43" s="655">
        <f t="shared" si="1"/>
        <v>105225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45778</v>
      </c>
      <c r="J44" s="653">
        <v>548249</v>
      </c>
      <c r="K44" s="674">
        <v>0.224</v>
      </c>
      <c r="L44" s="646">
        <v>110529</v>
      </c>
      <c r="M44" s="654" t="str">
        <f>VLOOKUP(G:G,list!B:E,4,FALSE)</f>
        <v>-</v>
      </c>
      <c r="N44" s="655">
        <f t="shared" si="0"/>
        <v>0</v>
      </c>
      <c r="O44" s="655">
        <f t="shared" si="1"/>
        <v>110529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25</v>
      </c>
      <c r="E45" s="564" t="s">
        <v>62</v>
      </c>
      <c r="F45" s="564" t="s">
        <v>257</v>
      </c>
      <c r="G45" s="564" t="s">
        <v>316</v>
      </c>
      <c r="H45" s="565">
        <v>45577</v>
      </c>
      <c r="I45" s="652">
        <v>45809</v>
      </c>
      <c r="J45" s="653">
        <v>25494</v>
      </c>
      <c r="K45" s="567">
        <v>0.35</v>
      </c>
      <c r="L45" s="646">
        <v>8924</v>
      </c>
      <c r="M45" s="654">
        <f>VLOOKUP(G:G,list!B:E,4,FALSE)</f>
        <v>0.1</v>
      </c>
      <c r="N45" s="655">
        <f t="shared" si="0"/>
        <v>892</v>
      </c>
      <c r="O45" s="655">
        <f t="shared" si="1"/>
        <v>8032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25</v>
      </c>
      <c r="E46" s="564" t="s">
        <v>62</v>
      </c>
      <c r="F46" s="564" t="s">
        <v>257</v>
      </c>
      <c r="G46" s="564" t="s">
        <v>353</v>
      </c>
      <c r="H46" s="565">
        <v>44916</v>
      </c>
      <c r="I46" s="652">
        <v>45809</v>
      </c>
      <c r="J46" s="653">
        <v>53984</v>
      </c>
      <c r="K46" s="567">
        <v>0.35</v>
      </c>
      <c r="L46" s="646">
        <v>18895</v>
      </c>
      <c r="M46" s="654">
        <f>VLOOKUP(G:G,list!B:E,4,FALSE)</f>
        <v>0.11</v>
      </c>
      <c r="N46" s="655">
        <f t="shared" si="0"/>
        <v>2078</v>
      </c>
      <c r="O46" s="655">
        <f t="shared" si="1"/>
        <v>16817</v>
      </c>
      <c r="P46" s="564"/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25</v>
      </c>
      <c r="E47" s="564" t="s">
        <v>62</v>
      </c>
      <c r="F47" s="564" t="s">
        <v>257</v>
      </c>
      <c r="G47" s="564" t="s">
        <v>352</v>
      </c>
      <c r="H47" s="565">
        <v>45098</v>
      </c>
      <c r="I47" s="652">
        <v>45809</v>
      </c>
      <c r="J47" s="653">
        <v>-5197</v>
      </c>
      <c r="K47" s="600">
        <v>0.35</v>
      </c>
      <c r="L47" s="646">
        <v>-1819</v>
      </c>
      <c r="M47" s="654">
        <f>VLOOKUP(G:G,list!B:E,4,FALSE)</f>
        <v>0.1</v>
      </c>
      <c r="N47" s="655">
        <f t="shared" si="0"/>
        <v>-182</v>
      </c>
      <c r="O47" s="655">
        <f t="shared" si="1"/>
        <v>-1637</v>
      </c>
      <c r="P47" s="564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246</v>
      </c>
      <c r="G48" s="564" t="s">
        <v>36</v>
      </c>
      <c r="H48" s="565">
        <v>43810</v>
      </c>
      <c r="I48" s="652">
        <v>45809</v>
      </c>
      <c r="J48" s="653">
        <v>5220</v>
      </c>
      <c r="K48" s="600" t="s">
        <v>532</v>
      </c>
      <c r="L48" s="646">
        <v>2007</v>
      </c>
      <c r="M48" s="654" t="str">
        <f>VLOOKUP(G:G,list!B:E,4,FALSE)</f>
        <v>-</v>
      </c>
      <c r="N48" s="655">
        <f t="shared" si="0"/>
        <v>0</v>
      </c>
      <c r="O48" s="655">
        <f t="shared" si="1"/>
        <v>2007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246</v>
      </c>
      <c r="G49" s="564" t="s">
        <v>139</v>
      </c>
      <c r="H49" s="565">
        <v>43852</v>
      </c>
      <c r="I49" s="652">
        <v>45809</v>
      </c>
      <c r="J49" s="653">
        <v>1440</v>
      </c>
      <c r="K49" s="600" t="s">
        <v>532</v>
      </c>
      <c r="L49" s="646">
        <v>648</v>
      </c>
      <c r="M49" s="654" t="str">
        <f>VLOOKUP(G:G,list!B:E,4,FALSE)</f>
        <v>-</v>
      </c>
      <c r="N49" s="655">
        <f t="shared" si="0"/>
        <v>0</v>
      </c>
      <c r="O49" s="655">
        <f t="shared" si="1"/>
        <v>648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78</v>
      </c>
      <c r="E50" s="564" t="s">
        <v>9</v>
      </c>
      <c r="F50" s="564" t="s">
        <v>544</v>
      </c>
      <c r="G50" s="564" t="s">
        <v>36</v>
      </c>
      <c r="H50" s="565">
        <v>45124</v>
      </c>
      <c r="I50" s="652">
        <v>45778</v>
      </c>
      <c r="J50" s="653">
        <v>210358</v>
      </c>
      <c r="K50" s="600">
        <v>0.5</v>
      </c>
      <c r="L50" s="646">
        <v>105179</v>
      </c>
      <c r="M50" s="654" t="str">
        <f>VLOOKUP(G:G,list!B:E,4,FALSE)</f>
        <v>-</v>
      </c>
      <c r="N50" s="655">
        <f t="shared" si="0"/>
        <v>0</v>
      </c>
      <c r="O50" s="655">
        <f t="shared" si="1"/>
        <v>105179</v>
      </c>
      <c r="P50" s="564"/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78</v>
      </c>
      <c r="E51" s="564" t="s">
        <v>9</v>
      </c>
      <c r="F51" s="564" t="s">
        <v>544</v>
      </c>
      <c r="G51" s="564" t="s">
        <v>139</v>
      </c>
      <c r="H51" s="565">
        <v>44513</v>
      </c>
      <c r="I51" s="652">
        <v>45778</v>
      </c>
      <c r="J51" s="653">
        <v>32831</v>
      </c>
      <c r="K51" s="600">
        <v>0.5</v>
      </c>
      <c r="L51" s="646">
        <v>16416</v>
      </c>
      <c r="M51" s="654" t="str">
        <f>VLOOKUP(G:G,list!B:E,4,FALSE)</f>
        <v>-</v>
      </c>
      <c r="N51" s="655">
        <f t="shared" si="0"/>
        <v>0</v>
      </c>
      <c r="O51" s="655">
        <f t="shared" si="1"/>
        <v>16416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66</v>
      </c>
      <c r="E52" s="564" t="s">
        <v>64</v>
      </c>
      <c r="F52" s="564" t="s">
        <v>593</v>
      </c>
      <c r="G52" s="564" t="s">
        <v>30</v>
      </c>
      <c r="H52" s="565">
        <v>44586</v>
      </c>
      <c r="I52" s="652">
        <v>45809</v>
      </c>
      <c r="J52" s="653">
        <v>82733</v>
      </c>
      <c r="K52" s="567">
        <v>0.4</v>
      </c>
      <c r="L52" s="646">
        <v>33093</v>
      </c>
      <c r="M52" s="654">
        <f>VLOOKUP(G:G,list!B:E,4,FALSE)</f>
        <v>0.1</v>
      </c>
      <c r="N52" s="655">
        <f t="shared" si="0"/>
        <v>3309</v>
      </c>
      <c r="O52" s="655">
        <f t="shared" si="1"/>
        <v>29784</v>
      </c>
      <c r="P52" s="564" t="s">
        <v>594</v>
      </c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66</v>
      </c>
      <c r="E53" s="564" t="s">
        <v>9</v>
      </c>
      <c r="F53" s="564" t="s">
        <v>593</v>
      </c>
      <c r="G53" s="564" t="s">
        <v>36</v>
      </c>
      <c r="H53" s="565">
        <v>44992</v>
      </c>
      <c r="I53" s="652">
        <v>45809</v>
      </c>
      <c r="J53" s="653">
        <v>23798</v>
      </c>
      <c r="K53" s="600">
        <v>0.4</v>
      </c>
      <c r="L53" s="646">
        <v>9519</v>
      </c>
      <c r="M53" s="654" t="str">
        <f>VLOOKUP(G:G,list!B:E,4,FALSE)</f>
        <v>-</v>
      </c>
      <c r="N53" s="655">
        <f t="shared" si="0"/>
        <v>0</v>
      </c>
      <c r="O53" s="655">
        <f t="shared" si="1"/>
        <v>9519</v>
      </c>
      <c r="P53" s="564" t="s">
        <v>594</v>
      </c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66</v>
      </c>
      <c r="E54" s="564" t="s">
        <v>9</v>
      </c>
      <c r="F54" s="564" t="s">
        <v>593</v>
      </c>
      <c r="G54" s="564" t="s">
        <v>37</v>
      </c>
      <c r="H54" s="565">
        <v>45169</v>
      </c>
      <c r="I54" s="652">
        <v>45809</v>
      </c>
      <c r="J54" s="653">
        <v>0</v>
      </c>
      <c r="K54" s="600">
        <v>0.4</v>
      </c>
      <c r="L54" s="646">
        <v>0</v>
      </c>
      <c r="M54" s="654" t="str">
        <f>VLOOKUP(G:G,list!B:E,4,FALSE)</f>
        <v>-</v>
      </c>
      <c r="N54" s="655">
        <f t="shared" si="0"/>
        <v>0</v>
      </c>
      <c r="O54" s="655">
        <f t="shared" si="1"/>
        <v>0</v>
      </c>
      <c r="P54" s="564" t="s">
        <v>594</v>
      </c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67</v>
      </c>
      <c r="E55" s="564" t="s">
        <v>9</v>
      </c>
      <c r="F55" s="564" t="s">
        <v>593</v>
      </c>
      <c r="G55" s="564" t="s">
        <v>37</v>
      </c>
      <c r="H55" s="565">
        <v>43921</v>
      </c>
      <c r="I55" s="652">
        <v>45809</v>
      </c>
      <c r="J55" s="653">
        <v>3298</v>
      </c>
      <c r="K55" s="600">
        <v>0.4</v>
      </c>
      <c r="L55" s="646">
        <v>1319</v>
      </c>
      <c r="M55" s="654" t="str">
        <f>VLOOKUP(G:G,list!B:E,4,FALSE)</f>
        <v>-</v>
      </c>
      <c r="N55" s="655">
        <f t="shared" si="0"/>
        <v>0</v>
      </c>
      <c r="O55" s="655">
        <f t="shared" si="1"/>
        <v>1319</v>
      </c>
      <c r="P55" s="564" t="s">
        <v>594</v>
      </c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67</v>
      </c>
      <c r="E56" s="564" t="s">
        <v>9</v>
      </c>
      <c r="F56" s="564" t="s">
        <v>593</v>
      </c>
      <c r="G56" s="564" t="s">
        <v>36</v>
      </c>
      <c r="H56" s="565">
        <v>43941</v>
      </c>
      <c r="I56" s="652">
        <v>45809</v>
      </c>
      <c r="J56" s="653">
        <v>95678</v>
      </c>
      <c r="K56" s="600">
        <v>0.4</v>
      </c>
      <c r="L56" s="646">
        <v>38271</v>
      </c>
      <c r="M56" s="654" t="str">
        <f>VLOOKUP(G:G,list!B:E,4,FALSE)</f>
        <v>-</v>
      </c>
      <c r="N56" s="655">
        <f t="shared" si="0"/>
        <v>0</v>
      </c>
      <c r="O56" s="655">
        <f t="shared" si="1"/>
        <v>38271</v>
      </c>
      <c r="P56" s="564" t="s">
        <v>594</v>
      </c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67</v>
      </c>
      <c r="E57" s="564" t="s">
        <v>64</v>
      </c>
      <c r="F57" s="564" t="s">
        <v>593</v>
      </c>
      <c r="G57" s="564" t="s">
        <v>30</v>
      </c>
      <c r="H57" s="565">
        <v>44258</v>
      </c>
      <c r="I57" s="652">
        <v>45809</v>
      </c>
      <c r="J57" s="653">
        <v>22393</v>
      </c>
      <c r="K57" s="600">
        <v>0.4</v>
      </c>
      <c r="L57" s="646">
        <v>8957</v>
      </c>
      <c r="M57" s="654">
        <f>VLOOKUP(G:G,list!B:E,4,FALSE)</f>
        <v>0.1</v>
      </c>
      <c r="N57" s="655">
        <f t="shared" si="0"/>
        <v>896</v>
      </c>
      <c r="O57" s="655">
        <f t="shared" si="1"/>
        <v>8061</v>
      </c>
      <c r="P57" s="564" t="s">
        <v>594</v>
      </c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131</v>
      </c>
      <c r="G58" s="564" t="s">
        <v>60</v>
      </c>
      <c r="H58" s="565">
        <v>44333</v>
      </c>
      <c r="I58" s="652">
        <v>45809</v>
      </c>
      <c r="J58" s="653">
        <v>16380</v>
      </c>
      <c r="K58" s="603">
        <v>0.5</v>
      </c>
      <c r="L58" s="646">
        <v>8190</v>
      </c>
      <c r="M58" s="654" t="str">
        <f>VLOOKUP(G:G,list!B:E,4,FALSE)</f>
        <v>-</v>
      </c>
      <c r="N58" s="655">
        <f t="shared" si="0"/>
        <v>0</v>
      </c>
      <c r="O58" s="655">
        <f t="shared" si="1"/>
        <v>8190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115</v>
      </c>
      <c r="F59" s="564" t="s">
        <v>131</v>
      </c>
      <c r="G59" s="564" t="s">
        <v>518</v>
      </c>
      <c r="H59" s="565">
        <v>44897</v>
      </c>
      <c r="I59" s="652">
        <v>45809</v>
      </c>
      <c r="J59" s="653">
        <v>28728</v>
      </c>
      <c r="K59" s="603">
        <v>0.5</v>
      </c>
      <c r="L59" s="646">
        <v>14364</v>
      </c>
      <c r="M59" s="654" t="str">
        <f>VLOOKUP(G:G,list!B:E,4,FALSE)</f>
        <v>-</v>
      </c>
      <c r="N59" s="655">
        <f t="shared" si="0"/>
        <v>0</v>
      </c>
      <c r="O59" s="655">
        <f t="shared" si="1"/>
        <v>14364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182</v>
      </c>
      <c r="E60" s="564" t="s">
        <v>115</v>
      </c>
      <c r="F60" s="564" t="s">
        <v>587</v>
      </c>
      <c r="G60" s="564" t="s">
        <v>518</v>
      </c>
      <c r="H60" s="565">
        <v>45049</v>
      </c>
      <c r="I60" s="652">
        <v>45778</v>
      </c>
      <c r="J60" s="653">
        <v>88680</v>
      </c>
      <c r="K60" s="603">
        <v>0.3</v>
      </c>
      <c r="L60" s="646">
        <v>26604</v>
      </c>
      <c r="M60" s="654" t="str">
        <f>VLOOKUP(G:G,list!B:E,4,FALSE)</f>
        <v>-</v>
      </c>
      <c r="N60" s="655">
        <f t="shared" si="0"/>
        <v>0</v>
      </c>
      <c r="O60" s="655">
        <f t="shared" si="1"/>
        <v>26604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182</v>
      </c>
      <c r="E61" s="564" t="s">
        <v>115</v>
      </c>
      <c r="F61" s="564" t="s">
        <v>587</v>
      </c>
      <c r="G61" s="564" t="s">
        <v>541</v>
      </c>
      <c r="H61" s="565">
        <v>45591</v>
      </c>
      <c r="I61" s="652">
        <v>45778</v>
      </c>
      <c r="J61" s="653">
        <v>19518</v>
      </c>
      <c r="K61" s="603">
        <v>0.5</v>
      </c>
      <c r="L61" s="646">
        <v>9759</v>
      </c>
      <c r="M61" s="654">
        <f>VLOOKUP(G:G,list!B:E,4,FALSE)</f>
        <v>0.1</v>
      </c>
      <c r="N61" s="655">
        <f t="shared" si="0"/>
        <v>976</v>
      </c>
      <c r="O61" s="655">
        <f t="shared" si="1"/>
        <v>8783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외부제작</v>
      </c>
      <c r="D62" s="564" t="s">
        <v>182</v>
      </c>
      <c r="E62" s="564" t="s">
        <v>115</v>
      </c>
      <c r="F62" s="564" t="s">
        <v>587</v>
      </c>
      <c r="G62" s="564" t="s">
        <v>315</v>
      </c>
      <c r="H62" s="565">
        <v>45673</v>
      </c>
      <c r="I62" s="652">
        <v>45778</v>
      </c>
      <c r="J62" s="653">
        <v>11984</v>
      </c>
      <c r="K62" s="603">
        <v>0.5</v>
      </c>
      <c r="L62" s="646">
        <v>5992</v>
      </c>
      <c r="M62" s="654" t="str">
        <f>VLOOKUP(G:G,list!B:E,4,FALSE)</f>
        <v>-</v>
      </c>
      <c r="N62" s="655">
        <f t="shared" si="0"/>
        <v>0</v>
      </c>
      <c r="O62" s="655">
        <f t="shared" si="1"/>
        <v>5992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45778</v>
      </c>
      <c r="J63" s="653">
        <v>891662</v>
      </c>
      <c r="K63" s="603">
        <v>0.7</v>
      </c>
      <c r="L63" s="646">
        <v>625100</v>
      </c>
      <c r="M63" s="654">
        <f>VLOOKUP(G:G,list!B:E,4,FALSE)</f>
        <v>0.1</v>
      </c>
      <c r="N63" s="655">
        <f t="shared" si="0"/>
        <v>62510</v>
      </c>
      <c r="O63" s="655">
        <f t="shared" si="1"/>
        <v>562590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45778</v>
      </c>
      <c r="J64" s="653">
        <v>222277.40818200001</v>
      </c>
      <c r="K64" s="603">
        <v>0.25</v>
      </c>
      <c r="L64" s="646">
        <v>55569</v>
      </c>
      <c r="M64" s="654">
        <f>VLOOKUP(G:G,list!B:E,4,FALSE)</f>
        <v>0.1</v>
      </c>
      <c r="N64" s="655">
        <f t="shared" si="0"/>
        <v>5557</v>
      </c>
      <c r="O64" s="655">
        <f t="shared" si="1"/>
        <v>50012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32</v>
      </c>
      <c r="E65" s="564" t="s">
        <v>9</v>
      </c>
      <c r="F65" s="564" t="s">
        <v>154</v>
      </c>
      <c r="G65" s="564" t="s">
        <v>36</v>
      </c>
      <c r="H65" s="565">
        <v>44106</v>
      </c>
      <c r="I65" s="652">
        <v>45778</v>
      </c>
      <c r="J65" s="653">
        <v>11730</v>
      </c>
      <c r="K65" s="603">
        <v>0.4</v>
      </c>
      <c r="L65" s="646">
        <v>4458</v>
      </c>
      <c r="M65" s="654" t="str">
        <f>VLOOKUP(G:G,list!B:E,4,FALSE)</f>
        <v>-</v>
      </c>
      <c r="N65" s="655">
        <f t="shared" si="0"/>
        <v>0</v>
      </c>
      <c r="O65" s="655">
        <f t="shared" si="1"/>
        <v>4458</v>
      </c>
      <c r="P65" s="564"/>
      <c r="Q65" s="672" t="str">
        <f>VLOOKUP(G:G,list!B:F,5,FALSE)</f>
        <v>-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32</v>
      </c>
      <c r="E66" s="564" t="s">
        <v>9</v>
      </c>
      <c r="F66" s="564" t="s">
        <v>154</v>
      </c>
      <c r="G66" s="564" t="s">
        <v>37</v>
      </c>
      <c r="H66" s="565">
        <v>44113</v>
      </c>
      <c r="I66" s="652">
        <v>45778</v>
      </c>
      <c r="J66" s="653">
        <v>0</v>
      </c>
      <c r="K66" s="603">
        <v>0.4</v>
      </c>
      <c r="L66" s="646">
        <v>0</v>
      </c>
      <c r="M66" s="654" t="str">
        <f>VLOOKUP(G:G,list!B:E,4,FALSE)</f>
        <v>-</v>
      </c>
      <c r="N66" s="655">
        <f t="shared" si="0"/>
        <v>0</v>
      </c>
      <c r="O66" s="655">
        <f t="shared" si="1"/>
        <v>0</v>
      </c>
      <c r="P66" s="564" t="s">
        <v>366</v>
      </c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32</v>
      </c>
      <c r="E67" s="564" t="s">
        <v>9</v>
      </c>
      <c r="F67" s="564" t="s">
        <v>154</v>
      </c>
      <c r="G67" s="564" t="s">
        <v>454</v>
      </c>
      <c r="H67" s="565">
        <v>44869</v>
      </c>
      <c r="I67" s="652">
        <v>45778</v>
      </c>
      <c r="J67" s="653">
        <v>20626</v>
      </c>
      <c r="K67" s="603">
        <v>0.4</v>
      </c>
      <c r="L67" s="646">
        <v>7838</v>
      </c>
      <c r="M67" s="654">
        <f>VLOOKUP(G:G,list!B:E,4,FALSE)</f>
        <v>0.1</v>
      </c>
      <c r="N67" s="655">
        <f t="shared" si="0"/>
        <v>784</v>
      </c>
      <c r="O67" s="655">
        <f t="shared" si="1"/>
        <v>7054</v>
      </c>
      <c r="P67" s="564"/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182</v>
      </c>
      <c r="E68" s="564" t="s">
        <v>115</v>
      </c>
      <c r="F68" s="564" t="s">
        <v>386</v>
      </c>
      <c r="G68" s="564" t="s">
        <v>30</v>
      </c>
      <c r="H68" s="565">
        <v>44591</v>
      </c>
      <c r="I68" s="652">
        <v>45748</v>
      </c>
      <c r="J68" s="653">
        <v>582</v>
      </c>
      <c r="K68" s="603">
        <v>0.5</v>
      </c>
      <c r="L68" s="646">
        <v>291</v>
      </c>
      <c r="M68" s="654">
        <f>VLOOKUP(G:G,list!B:E,4,FALSE)</f>
        <v>0.1</v>
      </c>
      <c r="N68" s="655">
        <f t="shared" si="0"/>
        <v>29</v>
      </c>
      <c r="O68" s="655">
        <f t="shared" si="1"/>
        <v>262</v>
      </c>
      <c r="P68" s="564"/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작가기획</v>
      </c>
      <c r="D69" s="564" t="s">
        <v>182</v>
      </c>
      <c r="E69" s="564" t="s">
        <v>115</v>
      </c>
      <c r="F69" s="564" t="s">
        <v>386</v>
      </c>
      <c r="G69" s="564" t="s">
        <v>36</v>
      </c>
      <c r="H69" s="565">
        <v>44643</v>
      </c>
      <c r="I69" s="652">
        <v>45748</v>
      </c>
      <c r="J69" s="653">
        <v>6604</v>
      </c>
      <c r="K69" s="603">
        <v>0.5</v>
      </c>
      <c r="L69" s="646">
        <v>3302</v>
      </c>
      <c r="M69" s="654" t="str">
        <f>VLOOKUP(G:G,list!B:E,4,FALSE)</f>
        <v>-</v>
      </c>
      <c r="N69" s="655">
        <f t="shared" si="0"/>
        <v>0</v>
      </c>
      <c r="O69" s="655">
        <f t="shared" si="1"/>
        <v>3302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작가기획</v>
      </c>
      <c r="D70" s="564" t="s">
        <v>182</v>
      </c>
      <c r="E70" s="564" t="s">
        <v>115</v>
      </c>
      <c r="F70" s="564" t="s">
        <v>386</v>
      </c>
      <c r="G70" s="564" t="s">
        <v>37</v>
      </c>
      <c r="H70" s="565">
        <v>44643</v>
      </c>
      <c r="I70" s="652">
        <v>45748</v>
      </c>
      <c r="J70" s="653">
        <v>0</v>
      </c>
      <c r="K70" s="603">
        <v>0.5</v>
      </c>
      <c r="L70" s="646">
        <v>0</v>
      </c>
      <c r="M70" s="654" t="str">
        <f>VLOOKUP(G:G,list!B:E,4,FALSE)</f>
        <v>-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-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182</v>
      </c>
      <c r="E71" s="564" t="s">
        <v>115</v>
      </c>
      <c r="F71" s="564" t="s">
        <v>386</v>
      </c>
      <c r="G71" s="564" t="s">
        <v>56</v>
      </c>
      <c r="H71" s="565">
        <v>44599</v>
      </c>
      <c r="I71" s="652">
        <v>45748</v>
      </c>
      <c r="J71" s="653">
        <v>94619</v>
      </c>
      <c r="K71" s="603">
        <v>0.5</v>
      </c>
      <c r="L71" s="646">
        <v>47310</v>
      </c>
      <c r="M71" s="654">
        <f>VLOOKUP(G:G,list!B:E,4,FALSE)</f>
        <v>0.1</v>
      </c>
      <c r="N71" s="655">
        <f t="shared" si="0"/>
        <v>4731</v>
      </c>
      <c r="O71" s="655">
        <f t="shared" si="1"/>
        <v>42579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316</v>
      </c>
      <c r="H72" s="565">
        <v>45446</v>
      </c>
      <c r="I72" s="652">
        <v>45809</v>
      </c>
      <c r="J72" s="653">
        <v>0</v>
      </c>
      <c r="K72" s="603">
        <v>0.7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316</v>
      </c>
      <c r="H73" s="565">
        <v>45524</v>
      </c>
      <c r="I73" s="652">
        <v>45809</v>
      </c>
      <c r="J73" s="653">
        <v>0</v>
      </c>
      <c r="K73" s="603">
        <v>0.7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123</v>
      </c>
      <c r="E74" s="564" t="s">
        <v>9</v>
      </c>
      <c r="F74" s="564" t="s">
        <v>519</v>
      </c>
      <c r="G74" s="564" t="s">
        <v>316</v>
      </c>
      <c r="H74" s="565">
        <v>45536</v>
      </c>
      <c r="I74" s="652">
        <v>45809</v>
      </c>
      <c r="J74" s="653">
        <v>0</v>
      </c>
      <c r="K74" s="603">
        <v>0.7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132</v>
      </c>
      <c r="E75" s="564" t="s">
        <v>9</v>
      </c>
      <c r="F75" s="564" t="s">
        <v>519</v>
      </c>
      <c r="G75" s="564" t="s">
        <v>316</v>
      </c>
      <c r="H75" s="565">
        <v>44945</v>
      </c>
      <c r="I75" s="652">
        <v>45809</v>
      </c>
      <c r="J75" s="653">
        <v>0</v>
      </c>
      <c r="K75" s="603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183</v>
      </c>
      <c r="E76" s="564" t="s">
        <v>9</v>
      </c>
      <c r="F76" s="564" t="s">
        <v>519</v>
      </c>
      <c r="G76" s="564" t="s">
        <v>316</v>
      </c>
      <c r="H76" s="565">
        <v>45702</v>
      </c>
      <c r="I76" s="652">
        <v>45809</v>
      </c>
      <c r="J76" s="653">
        <v>5187.0000000000009</v>
      </c>
      <c r="K76" s="603">
        <v>0.7</v>
      </c>
      <c r="L76" s="646">
        <v>3630.9</v>
      </c>
      <c r="M76" s="654">
        <f>VLOOKUP(G:G,list!B:E,4,FALSE)</f>
        <v>0.1</v>
      </c>
      <c r="N76" s="655">
        <f t="shared" si="0"/>
        <v>363</v>
      </c>
      <c r="O76" s="655">
        <f t="shared" si="1"/>
        <v>3267.9</v>
      </c>
      <c r="P76" s="564"/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132</v>
      </c>
      <c r="E77" s="564" t="s">
        <v>9</v>
      </c>
      <c r="F77" s="564" t="s">
        <v>519</v>
      </c>
      <c r="G77" s="564" t="s">
        <v>56</v>
      </c>
      <c r="H77" s="565">
        <v>44952</v>
      </c>
      <c r="I77" s="652">
        <v>45809</v>
      </c>
      <c r="J77" s="653">
        <v>0</v>
      </c>
      <c r="K77" s="567">
        <v>0.5</v>
      </c>
      <c r="L77" s="646">
        <v>0</v>
      </c>
      <c r="M77" s="654">
        <f>VLOOKUP(G:G,list!B:E,4,FALSE)</f>
        <v>0.1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538</v>
      </c>
      <c r="E78" s="564" t="s">
        <v>9</v>
      </c>
      <c r="F78" s="564" t="s">
        <v>519</v>
      </c>
      <c r="G78" s="564" t="s">
        <v>56</v>
      </c>
      <c r="H78" s="565">
        <v>45503</v>
      </c>
      <c r="I78" s="652">
        <v>45809</v>
      </c>
      <c r="J78" s="653">
        <v>0</v>
      </c>
      <c r="K78" s="567">
        <v>0.5</v>
      </c>
      <c r="L78" s="646">
        <v>0</v>
      </c>
      <c r="M78" s="654">
        <f>VLOOKUP(G:G,list!B:E,4,FALSE)</f>
        <v>0.1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549</v>
      </c>
      <c r="E79" s="564" t="s">
        <v>9</v>
      </c>
      <c r="F79" s="564" t="s">
        <v>519</v>
      </c>
      <c r="G79" s="564" t="s">
        <v>56</v>
      </c>
      <c r="H79" s="565">
        <v>45547</v>
      </c>
      <c r="I79" s="652">
        <v>45809</v>
      </c>
      <c r="J79" s="653">
        <v>0</v>
      </c>
      <c r="K79" s="567">
        <v>0.5</v>
      </c>
      <c r="L79" s="646">
        <v>0</v>
      </c>
      <c r="M79" s="654">
        <f>VLOOKUP(G:G,list!B:E,4,FALSE)</f>
        <v>0.1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132</v>
      </c>
      <c r="E80" s="564" t="s">
        <v>9</v>
      </c>
      <c r="F80" s="564" t="s">
        <v>519</v>
      </c>
      <c r="G80" s="564" t="s">
        <v>30</v>
      </c>
      <c r="H80" s="565">
        <v>44953</v>
      </c>
      <c r="I80" s="652">
        <v>45809</v>
      </c>
      <c r="J80" s="653">
        <v>0</v>
      </c>
      <c r="K80" s="567">
        <v>0.5</v>
      </c>
      <c r="L80" s="646">
        <v>0</v>
      </c>
      <c r="M80" s="654">
        <f>VLOOKUP(G:G,list!B:E,4,FALSE)</f>
        <v>0.1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308</v>
      </c>
      <c r="H81" s="565">
        <v>44992</v>
      </c>
      <c r="I81" s="652">
        <v>45809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308</v>
      </c>
      <c r="H82" s="565">
        <v>45610</v>
      </c>
      <c r="I82" s="652">
        <v>45809</v>
      </c>
      <c r="J82" s="653">
        <v>0</v>
      </c>
      <c r="K82" s="603">
        <v>0.5</v>
      </c>
      <c r="L82" s="646">
        <v>0</v>
      </c>
      <c r="M82" s="654" t="str">
        <f>VLOOKUP(G:G,list!B:E,4,FALSE)</f>
        <v>-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132</v>
      </c>
      <c r="E83" s="564" t="s">
        <v>9</v>
      </c>
      <c r="F83" s="564" t="s">
        <v>519</v>
      </c>
      <c r="G83" s="564" t="s">
        <v>36</v>
      </c>
      <c r="H83" s="565">
        <v>45198</v>
      </c>
      <c r="I83" s="652">
        <v>45809</v>
      </c>
      <c r="J83" s="653">
        <v>25669</v>
      </c>
      <c r="K83" s="603">
        <v>0.5</v>
      </c>
      <c r="L83" s="646">
        <v>12834.5</v>
      </c>
      <c r="M83" s="654" t="str">
        <f>VLOOKUP(G:G,list!B:E,4,FALSE)</f>
        <v>-</v>
      </c>
      <c r="N83" s="655">
        <f t="shared" si="0"/>
        <v>0</v>
      </c>
      <c r="O83" s="655">
        <f t="shared" si="1"/>
        <v>12834.5</v>
      </c>
      <c r="P83" s="564"/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538</v>
      </c>
      <c r="E84" s="564" t="s">
        <v>9</v>
      </c>
      <c r="F84" s="564" t="s">
        <v>519</v>
      </c>
      <c r="G84" s="564" t="s">
        <v>36</v>
      </c>
      <c r="H84" s="565">
        <v>45479</v>
      </c>
      <c r="I84" s="652">
        <v>45809</v>
      </c>
      <c r="J84" s="653">
        <v>399</v>
      </c>
      <c r="K84" s="603">
        <v>0.5</v>
      </c>
      <c r="L84" s="646">
        <v>199.5</v>
      </c>
      <c r="M84" s="654" t="str">
        <f>VLOOKUP(G:G,list!B:E,4,FALSE)</f>
        <v>-</v>
      </c>
      <c r="N84" s="655">
        <f t="shared" si="0"/>
        <v>0</v>
      </c>
      <c r="O84" s="655">
        <f t="shared" si="1"/>
        <v>199.5</v>
      </c>
      <c r="P84" s="564"/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549</v>
      </c>
      <c r="E85" s="564" t="s">
        <v>9</v>
      </c>
      <c r="F85" s="564" t="s">
        <v>519</v>
      </c>
      <c r="G85" s="564" t="s">
        <v>36</v>
      </c>
      <c r="H85" s="565">
        <v>45531</v>
      </c>
      <c r="I85" s="652">
        <v>45809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123</v>
      </c>
      <c r="E86" s="564" t="s">
        <v>9</v>
      </c>
      <c r="F86" s="564" t="s">
        <v>519</v>
      </c>
      <c r="G86" s="564" t="s">
        <v>36</v>
      </c>
      <c r="H86" s="565">
        <v>45555</v>
      </c>
      <c r="I86" s="652">
        <v>45809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132</v>
      </c>
      <c r="E87" s="564" t="s">
        <v>9</v>
      </c>
      <c r="F87" s="564" t="s">
        <v>519</v>
      </c>
      <c r="G87" s="564" t="s">
        <v>139</v>
      </c>
      <c r="H87" s="565">
        <v>45276</v>
      </c>
      <c r="I87" s="652">
        <v>45809</v>
      </c>
      <c r="J87" s="653">
        <v>21147</v>
      </c>
      <c r="K87" s="603">
        <v>0.5</v>
      </c>
      <c r="L87" s="646">
        <v>10573.5</v>
      </c>
      <c r="M87" s="654" t="str">
        <f>VLOOKUP(G:G,list!B:E,4,FALSE)</f>
        <v>-</v>
      </c>
      <c r="N87" s="655">
        <f t="shared" si="0"/>
        <v>0</v>
      </c>
      <c r="O87" s="655">
        <f t="shared" si="1"/>
        <v>10573.5</v>
      </c>
      <c r="P87" s="564"/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538</v>
      </c>
      <c r="E88" s="564" t="s">
        <v>9</v>
      </c>
      <c r="F88" s="564" t="s">
        <v>519</v>
      </c>
      <c r="G88" s="564" t="s">
        <v>139</v>
      </c>
      <c r="H88" s="565">
        <v>45534</v>
      </c>
      <c r="I88" s="652">
        <v>45809</v>
      </c>
      <c r="J88" s="653">
        <v>0</v>
      </c>
      <c r="K88" s="603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564" t="s">
        <v>366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작가기획</v>
      </c>
      <c r="D89" s="564" t="s">
        <v>123</v>
      </c>
      <c r="E89" s="564" t="s">
        <v>9</v>
      </c>
      <c r="F89" s="564" t="s">
        <v>519</v>
      </c>
      <c r="G89" s="564" t="s">
        <v>139</v>
      </c>
      <c r="H89" s="565">
        <v>45656</v>
      </c>
      <c r="I89" s="652">
        <v>45809</v>
      </c>
      <c r="J89" s="653">
        <v>0</v>
      </c>
      <c r="K89" s="603">
        <v>0.5</v>
      </c>
      <c r="L89" s="646">
        <v>0</v>
      </c>
      <c r="M89" s="654" t="str">
        <f>VLOOKUP(G:G,list!B:E,4,FALSE)</f>
        <v>-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-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외부제작</v>
      </c>
      <c r="D90" s="564" t="s">
        <v>123</v>
      </c>
      <c r="E90" s="564" t="s">
        <v>9</v>
      </c>
      <c r="F90" s="564" t="s">
        <v>519</v>
      </c>
      <c r="G90" s="564" t="s">
        <v>315</v>
      </c>
      <c r="H90" s="565">
        <v>45673</v>
      </c>
      <c r="I90" s="652">
        <v>45809</v>
      </c>
      <c r="J90" s="653">
        <v>0</v>
      </c>
      <c r="K90" s="603">
        <v>0.5</v>
      </c>
      <c r="L90" s="646">
        <v>0</v>
      </c>
      <c r="M90" s="654" t="str">
        <f>VLOOKUP(G:G,list!B:E,4,FALSE)</f>
        <v>-</v>
      </c>
      <c r="N90" s="655">
        <f t="shared" si="0"/>
        <v>0</v>
      </c>
      <c r="O90" s="655">
        <f t="shared" si="1"/>
        <v>0</v>
      </c>
      <c r="P90" s="564" t="s">
        <v>366</v>
      </c>
      <c r="Q90" s="672" t="str">
        <f>VLOOKUP(G:G,list!B:F,5,FALSE)</f>
        <v>-</v>
      </c>
      <c r="R90" s="656" t="str">
        <f>VLOOKUP(G:G,list!B:D,3,FALSE)</f>
        <v>N</v>
      </c>
    </row>
    <row r="91" spans="2:18" ht="18" customHeight="1">
      <c r="B91" s="650"/>
      <c r="C91" s="651" t="str">
        <f>VLOOKUP(G:G,list!B:D,2,FALSE)</f>
        <v>원작료</v>
      </c>
      <c r="D91" s="564" t="s">
        <v>182</v>
      </c>
      <c r="E91" s="564" t="s">
        <v>115</v>
      </c>
      <c r="F91" s="564" t="s">
        <v>283</v>
      </c>
      <c r="G91" s="564" t="s">
        <v>30</v>
      </c>
      <c r="H91" s="565">
        <v>44358</v>
      </c>
      <c r="I91" s="652">
        <v>45748</v>
      </c>
      <c r="J91" s="653">
        <v>48588</v>
      </c>
      <c r="K91" s="603">
        <v>0.5</v>
      </c>
      <c r="L91" s="646">
        <v>24294</v>
      </c>
      <c r="M91" s="654">
        <f>VLOOKUP(G:G,list!B:E,4,FALSE)</f>
        <v>0.1</v>
      </c>
      <c r="N91" s="655">
        <f t="shared" ref="N91:N93" si="2">ROUND(IF(M91="-",0,L91*M91),0)</f>
        <v>2429</v>
      </c>
      <c r="O91" s="655">
        <f t="shared" ref="O91:O93" si="3">L91-N91</f>
        <v>21865</v>
      </c>
      <c r="P91" s="564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650"/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283</v>
      </c>
      <c r="G92" s="564" t="s">
        <v>56</v>
      </c>
      <c r="H92" s="565">
        <v>44391</v>
      </c>
      <c r="I92" s="652">
        <v>45748</v>
      </c>
      <c r="J92" s="653">
        <v>656412</v>
      </c>
      <c r="K92" s="603">
        <v>0.5</v>
      </c>
      <c r="L92" s="646">
        <v>328206</v>
      </c>
      <c r="M92" s="654">
        <f>VLOOKUP(G:G,list!B:E,4,FALSE)</f>
        <v>0.1</v>
      </c>
      <c r="N92" s="655">
        <f t="shared" si="2"/>
        <v>32821</v>
      </c>
      <c r="O92" s="655">
        <f t="shared" si="3"/>
        <v>295385</v>
      </c>
      <c r="P92" s="564"/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/>
      <c r="C93" s="651" t="str">
        <f>VLOOKUP(G:G,list!B:D,2,FALSE)</f>
        <v>원작료</v>
      </c>
      <c r="D93" s="564" t="s">
        <v>182</v>
      </c>
      <c r="E93" s="564" t="s">
        <v>115</v>
      </c>
      <c r="F93" s="564" t="s">
        <v>283</v>
      </c>
      <c r="G93" s="564" t="s">
        <v>316</v>
      </c>
      <c r="H93" s="565">
        <v>44969</v>
      </c>
      <c r="I93" s="652">
        <v>45748</v>
      </c>
      <c r="J93" s="653">
        <v>560552</v>
      </c>
      <c r="K93" s="603">
        <v>0.5</v>
      </c>
      <c r="L93" s="646">
        <v>280276</v>
      </c>
      <c r="M93" s="654">
        <f>VLOOKUP(G:G,list!B:E,4,FALSE)</f>
        <v>0.1</v>
      </c>
      <c r="N93" s="655">
        <f t="shared" si="2"/>
        <v>28028</v>
      </c>
      <c r="O93" s="655">
        <f t="shared" si="3"/>
        <v>252248</v>
      </c>
      <c r="P93" s="564"/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650">
        <v>86</v>
      </c>
      <c r="C94" s="651" t="str">
        <f>VLOOKUP(G:G,list!B:D,2,FALSE)</f>
        <v>작가기획</v>
      </c>
      <c r="D94" s="564" t="s">
        <v>182</v>
      </c>
      <c r="E94" s="564" t="s">
        <v>115</v>
      </c>
      <c r="F94" s="564" t="s">
        <v>550</v>
      </c>
      <c r="G94" s="564" t="s">
        <v>308</v>
      </c>
      <c r="H94" s="565">
        <v>45347</v>
      </c>
      <c r="I94" s="652">
        <v>45748</v>
      </c>
      <c r="J94" s="653">
        <v>0</v>
      </c>
      <c r="K94" s="603">
        <v>0.5</v>
      </c>
      <c r="L94" s="646">
        <v>0</v>
      </c>
      <c r="M94" s="654" t="str">
        <f>VLOOKUP(G:G,list!B:E,4,FALSE)</f>
        <v>-</v>
      </c>
      <c r="N94" s="655">
        <f t="shared" si="0"/>
        <v>0</v>
      </c>
      <c r="O94" s="655">
        <f t="shared" si="1"/>
        <v>0</v>
      </c>
      <c r="P94" s="564" t="s">
        <v>366</v>
      </c>
      <c r="Q94" s="672" t="str">
        <f>VLOOKUP(G:G,list!B:F,5,FALSE)</f>
        <v>-</v>
      </c>
      <c r="R94" s="656" t="str">
        <f>VLOOKUP(G:G,list!B:D,3,FALSE)</f>
        <v>Y</v>
      </c>
    </row>
    <row r="95" spans="2:18" ht="18" customHeight="1">
      <c r="B95" s="563">
        <v>87</v>
      </c>
      <c r="C95" s="651" t="str">
        <f>VLOOKUP(G:G,list!B:D,2,FALSE)</f>
        <v>원작료</v>
      </c>
      <c r="D95" s="564" t="s">
        <v>182</v>
      </c>
      <c r="E95" s="564" t="s">
        <v>115</v>
      </c>
      <c r="F95" s="564" t="s">
        <v>550</v>
      </c>
      <c r="G95" s="564" t="s">
        <v>316</v>
      </c>
      <c r="H95" s="565">
        <v>45359</v>
      </c>
      <c r="I95" s="652">
        <v>45748</v>
      </c>
      <c r="J95" s="653">
        <v>0</v>
      </c>
      <c r="K95" s="603">
        <v>0.5</v>
      </c>
      <c r="L95" s="646">
        <v>0</v>
      </c>
      <c r="M95" s="654">
        <f>VLOOKUP(G:G,list!B:E,4,FALSE)</f>
        <v>0.1</v>
      </c>
      <c r="N95" s="655">
        <f t="shared" si="0"/>
        <v>0</v>
      </c>
      <c r="O95" s="655">
        <f t="shared" si="1"/>
        <v>0</v>
      </c>
      <c r="P95" s="564" t="s">
        <v>366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650">
        <v>88</v>
      </c>
      <c r="C96" s="651" t="str">
        <f>VLOOKUP(G:G,list!B:D,2,FALSE)</f>
        <v>원작료</v>
      </c>
      <c r="D96" s="564" t="s">
        <v>32</v>
      </c>
      <c r="E96" s="564" t="s">
        <v>9</v>
      </c>
      <c r="F96" s="564" t="s">
        <v>31</v>
      </c>
      <c r="G96" s="564" t="s">
        <v>30</v>
      </c>
      <c r="H96" s="565">
        <v>44239</v>
      </c>
      <c r="I96" s="652">
        <v>45778</v>
      </c>
      <c r="J96" s="653">
        <v>22549</v>
      </c>
      <c r="K96" s="603">
        <v>0.4</v>
      </c>
      <c r="L96" s="646">
        <v>8576</v>
      </c>
      <c r="M96" s="654">
        <f>VLOOKUP(G:G,list!B:E,4,FALSE)</f>
        <v>0.1</v>
      </c>
      <c r="N96" s="655">
        <f t="shared" si="0"/>
        <v>858</v>
      </c>
      <c r="O96" s="655">
        <f t="shared" si="1"/>
        <v>7718</v>
      </c>
      <c r="P96" s="564"/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563">
        <v>89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56</v>
      </c>
      <c r="H97" s="565">
        <v>44581</v>
      </c>
      <c r="I97" s="652">
        <v>45809</v>
      </c>
      <c r="J97" s="653">
        <v>1956127</v>
      </c>
      <c r="K97" s="603">
        <v>0.3</v>
      </c>
      <c r="L97" s="568">
        <v>586838</v>
      </c>
      <c r="M97" s="654">
        <f>VLOOKUP(G:G,list!B:E,4,FALSE)</f>
        <v>0.1</v>
      </c>
      <c r="N97" s="655">
        <f t="shared" si="0"/>
        <v>58684</v>
      </c>
      <c r="O97" s="655">
        <f t="shared" si="1"/>
        <v>528154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650">
        <v>90</v>
      </c>
      <c r="C98" s="651" t="str">
        <f>VLOOKUP(G:G,list!B:D,2,FALSE)</f>
        <v>원작료</v>
      </c>
      <c r="D98" s="564" t="s">
        <v>183</v>
      </c>
      <c r="E98" s="564" t="s">
        <v>9</v>
      </c>
      <c r="F98" s="564" t="s">
        <v>213</v>
      </c>
      <c r="G98" s="564" t="s">
        <v>56</v>
      </c>
      <c r="H98" s="565">
        <v>44829</v>
      </c>
      <c r="I98" s="652">
        <v>45809</v>
      </c>
      <c r="J98" s="653">
        <v>860530</v>
      </c>
      <c r="K98" s="603">
        <v>0.3</v>
      </c>
      <c r="L98" s="568">
        <v>258159</v>
      </c>
      <c r="M98" s="654">
        <f>VLOOKUP(G:G,list!B:E,4,FALSE)</f>
        <v>0.1</v>
      </c>
      <c r="N98" s="655">
        <f t="shared" si="0"/>
        <v>25816</v>
      </c>
      <c r="O98" s="655">
        <f t="shared" si="1"/>
        <v>232343</v>
      </c>
      <c r="P98" s="564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563">
        <v>91</v>
      </c>
      <c r="C99" s="651" t="str">
        <f>VLOOKUP(G:G,list!B:D,2,FALSE)</f>
        <v>원작료</v>
      </c>
      <c r="D99" s="564" t="s">
        <v>123</v>
      </c>
      <c r="E99" s="564" t="s">
        <v>9</v>
      </c>
      <c r="F99" s="564" t="s">
        <v>213</v>
      </c>
      <c r="G99" s="564" t="s">
        <v>454</v>
      </c>
      <c r="H99" s="565">
        <v>44854</v>
      </c>
      <c r="I99" s="652">
        <v>45809</v>
      </c>
      <c r="J99" s="653">
        <v>284327</v>
      </c>
      <c r="K99" s="603">
        <v>0.3</v>
      </c>
      <c r="L99" s="568">
        <v>85298</v>
      </c>
      <c r="M99" s="654">
        <f>VLOOKUP(G:G,list!B:E,4,FALSE)</f>
        <v>0.1</v>
      </c>
      <c r="N99" s="655">
        <f t="shared" si="0"/>
        <v>8530</v>
      </c>
      <c r="O99" s="655">
        <f t="shared" si="1"/>
        <v>76768</v>
      </c>
      <c r="P99" s="564" t="s">
        <v>186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650">
        <v>92</v>
      </c>
      <c r="C100" s="651" t="str">
        <f>VLOOKUP(G:G,list!B:D,2,FALSE)</f>
        <v>원작료</v>
      </c>
      <c r="D100" s="564" t="s">
        <v>123</v>
      </c>
      <c r="E100" s="564" t="s">
        <v>9</v>
      </c>
      <c r="F100" s="564" t="s">
        <v>213</v>
      </c>
      <c r="G100" s="564" t="s">
        <v>481</v>
      </c>
      <c r="H100" s="565">
        <v>44981</v>
      </c>
      <c r="I100" s="652">
        <v>45809</v>
      </c>
      <c r="J100" s="653">
        <v>110590</v>
      </c>
      <c r="K100" s="603">
        <v>0.3</v>
      </c>
      <c r="L100" s="568">
        <v>33177</v>
      </c>
      <c r="M100" s="654">
        <f>VLOOKUP(G:G,list!B:E,4,FALSE)</f>
        <v>0.1</v>
      </c>
      <c r="N100" s="655">
        <f t="shared" si="0"/>
        <v>3318</v>
      </c>
      <c r="O100" s="655">
        <f t="shared" si="1"/>
        <v>29859</v>
      </c>
      <c r="P100" s="564" t="s">
        <v>186</v>
      </c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563">
        <v>93</v>
      </c>
      <c r="C101" s="651" t="str">
        <f>VLOOKUP(G:G,list!B:D,2,FALSE)</f>
        <v>원작료</v>
      </c>
      <c r="D101" s="564" t="s">
        <v>123</v>
      </c>
      <c r="E101" s="564" t="s">
        <v>9</v>
      </c>
      <c r="F101" s="564" t="s">
        <v>213</v>
      </c>
      <c r="G101" s="564" t="s">
        <v>352</v>
      </c>
      <c r="H101" s="565">
        <v>44984</v>
      </c>
      <c r="I101" s="652">
        <v>45809</v>
      </c>
      <c r="J101" s="653">
        <v>277073</v>
      </c>
      <c r="K101" s="603">
        <v>0.3</v>
      </c>
      <c r="L101" s="568">
        <v>83122</v>
      </c>
      <c r="M101" s="654">
        <f>VLOOKUP(G:G,list!B:E,4,FALSE)</f>
        <v>0.1</v>
      </c>
      <c r="N101" s="655">
        <f t="shared" si="0"/>
        <v>8312</v>
      </c>
      <c r="O101" s="655">
        <f t="shared" si="1"/>
        <v>74810</v>
      </c>
      <c r="P101" s="564" t="s">
        <v>186</v>
      </c>
      <c r="Q101" s="672" t="str">
        <f>VLOOKUP(G:G,list!B:F,5,FALSE)</f>
        <v>웹소설본부</v>
      </c>
      <c r="R101" s="656" t="str">
        <f>VLOOKUP(G:G,list!B:D,3,FALSE)</f>
        <v>Y</v>
      </c>
    </row>
    <row r="102" spans="2:18" ht="18" customHeight="1">
      <c r="B102" s="650">
        <v>94</v>
      </c>
      <c r="C102" s="651" t="str">
        <f>VLOOKUP(G:G,list!B:D,2,FALSE)</f>
        <v>원작료</v>
      </c>
      <c r="D102" s="564" t="s">
        <v>72</v>
      </c>
      <c r="E102" s="564" t="s">
        <v>9</v>
      </c>
      <c r="F102" s="564" t="s">
        <v>213</v>
      </c>
      <c r="G102" s="564" t="s">
        <v>454</v>
      </c>
      <c r="H102" s="565">
        <v>44902</v>
      </c>
      <c r="I102" s="652">
        <v>45778</v>
      </c>
      <c r="J102" s="653">
        <v>585357</v>
      </c>
      <c r="K102" s="603">
        <v>0.3</v>
      </c>
      <c r="L102" s="568">
        <v>175607</v>
      </c>
      <c r="M102" s="654">
        <f>VLOOKUP(G:G,list!B:E,4,FALSE)</f>
        <v>0.1</v>
      </c>
      <c r="N102" s="655">
        <f t="shared" ref="N102:N121" si="4">ROUND(IF(M102="-",0,L102*M102),0)</f>
        <v>17561</v>
      </c>
      <c r="O102" s="655">
        <f t="shared" ref="O102:O121" si="5">L102-N102</f>
        <v>158046</v>
      </c>
      <c r="P102" s="564" t="s">
        <v>282</v>
      </c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563">
        <v>95</v>
      </c>
      <c r="C103" s="651" t="str">
        <f>VLOOKUP(G:G,list!B:D,2,FALSE)</f>
        <v>원작료</v>
      </c>
      <c r="D103" s="564" t="s">
        <v>72</v>
      </c>
      <c r="E103" s="564" t="s">
        <v>9</v>
      </c>
      <c r="F103" s="564" t="s">
        <v>213</v>
      </c>
      <c r="G103" s="564" t="s">
        <v>454</v>
      </c>
      <c r="H103" s="565">
        <v>45257</v>
      </c>
      <c r="I103" s="652">
        <v>45778</v>
      </c>
      <c r="J103" s="653">
        <v>19547</v>
      </c>
      <c r="K103" s="603">
        <v>0.3</v>
      </c>
      <c r="L103" s="568">
        <v>5864</v>
      </c>
      <c r="M103" s="654">
        <f>VLOOKUP(G:G,list!B:E,4,FALSE)</f>
        <v>0.1</v>
      </c>
      <c r="N103" s="655">
        <f t="shared" si="4"/>
        <v>586</v>
      </c>
      <c r="O103" s="655">
        <f t="shared" si="5"/>
        <v>5278</v>
      </c>
      <c r="P103" s="564" t="s">
        <v>546</v>
      </c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563">
        <v>97</v>
      </c>
      <c r="C104" s="651" t="str">
        <f>VLOOKUP(G:G,list!B:D,2,FALSE)</f>
        <v>작가기획</v>
      </c>
      <c r="D104" s="564" t="s">
        <v>182</v>
      </c>
      <c r="E104" s="564" t="s">
        <v>115</v>
      </c>
      <c r="F104" s="564" t="s">
        <v>565</v>
      </c>
      <c r="G104" s="564" t="s">
        <v>36</v>
      </c>
      <c r="H104" s="565">
        <v>45364</v>
      </c>
      <c r="I104" s="652">
        <v>45658</v>
      </c>
      <c r="J104" s="653">
        <v>1116863.1612582307</v>
      </c>
      <c r="K104" s="603">
        <v>0.5</v>
      </c>
      <c r="L104" s="568">
        <v>558432</v>
      </c>
      <c r="M104" s="654" t="str">
        <f>VLOOKUP(G:G,list!B:E,4,FALSE)</f>
        <v>-</v>
      </c>
      <c r="N104" s="655">
        <f t="shared" si="4"/>
        <v>0</v>
      </c>
      <c r="O104" s="655">
        <f t="shared" si="5"/>
        <v>558432</v>
      </c>
      <c r="P104" s="564"/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650">
        <v>98</v>
      </c>
      <c r="C105" s="651" t="str">
        <f>VLOOKUP(G:G,list!B:D,2,FALSE)</f>
        <v>작가기획</v>
      </c>
      <c r="D105" s="564" t="s">
        <v>182</v>
      </c>
      <c r="E105" s="564" t="s">
        <v>115</v>
      </c>
      <c r="F105" s="564" t="s">
        <v>565</v>
      </c>
      <c r="G105" s="564" t="s">
        <v>36</v>
      </c>
      <c r="H105" s="565">
        <v>45364</v>
      </c>
      <c r="I105" s="652">
        <v>45689</v>
      </c>
      <c r="J105" s="653">
        <v>80601.753727100862</v>
      </c>
      <c r="K105" s="603">
        <v>0.5</v>
      </c>
      <c r="L105" s="568">
        <v>40301</v>
      </c>
      <c r="M105" s="654" t="str">
        <f>VLOOKUP(G:G,list!B:E,4,FALSE)</f>
        <v>-</v>
      </c>
      <c r="N105" s="655">
        <f t="shared" si="4"/>
        <v>0</v>
      </c>
      <c r="O105" s="655">
        <f t="shared" si="5"/>
        <v>40301</v>
      </c>
      <c r="P105" s="564"/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563">
        <v>99</v>
      </c>
      <c r="C106" s="651" t="str">
        <f>VLOOKUP(G:G,list!B:D,2,FALSE)</f>
        <v>작가기획</v>
      </c>
      <c r="D106" s="564" t="s">
        <v>182</v>
      </c>
      <c r="E106" s="564" t="s">
        <v>115</v>
      </c>
      <c r="F106" s="564" t="s">
        <v>565</v>
      </c>
      <c r="G106" s="564" t="s">
        <v>36</v>
      </c>
      <c r="H106" s="565">
        <v>45364</v>
      </c>
      <c r="I106" s="652">
        <v>45717</v>
      </c>
      <c r="J106" s="653">
        <v>60266.825014668495</v>
      </c>
      <c r="K106" s="603">
        <v>0.5</v>
      </c>
      <c r="L106" s="568">
        <v>30133</v>
      </c>
      <c r="M106" s="654" t="str">
        <f>VLOOKUP(G:G,list!B:E,4,FALSE)</f>
        <v>-</v>
      </c>
      <c r="N106" s="655">
        <f t="shared" si="4"/>
        <v>0</v>
      </c>
      <c r="O106" s="655">
        <f t="shared" si="5"/>
        <v>30133</v>
      </c>
      <c r="P106" s="564"/>
      <c r="Q106" s="672" t="str">
        <f>VLOOKUP(G:G,list!B:F,5,FALSE)</f>
        <v>-</v>
      </c>
      <c r="R106" s="656" t="str">
        <f>VLOOKUP(G:G,list!B:D,3,FALSE)</f>
        <v>Y</v>
      </c>
    </row>
    <row r="107" spans="2:18" ht="18" customHeight="1">
      <c r="B107" s="650">
        <v>100</v>
      </c>
      <c r="C107" s="651" t="str">
        <f>VLOOKUP(G:G,list!B:D,2,FALSE)</f>
        <v>작가기획</v>
      </c>
      <c r="D107" s="564" t="s">
        <v>182</v>
      </c>
      <c r="E107" s="564" t="s">
        <v>115</v>
      </c>
      <c r="F107" s="564" t="s">
        <v>565</v>
      </c>
      <c r="G107" s="564" t="s">
        <v>37</v>
      </c>
      <c r="H107" s="565">
        <v>45362</v>
      </c>
      <c r="I107" s="652">
        <v>45658</v>
      </c>
      <c r="J107" s="653">
        <v>5218.2153846153851</v>
      </c>
      <c r="K107" s="603">
        <v>0.5</v>
      </c>
      <c r="L107" s="568">
        <v>2609</v>
      </c>
      <c r="M107" s="654" t="str">
        <f>VLOOKUP(G:G,list!B:E,4,FALSE)</f>
        <v>-</v>
      </c>
      <c r="N107" s="655">
        <f t="shared" si="4"/>
        <v>0</v>
      </c>
      <c r="O107" s="655">
        <f t="shared" si="5"/>
        <v>2609</v>
      </c>
      <c r="P107" s="564"/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101</v>
      </c>
      <c r="C108" s="651" t="str">
        <f>VLOOKUP(G:G,list!B:D,2,FALSE)</f>
        <v>작가기획</v>
      </c>
      <c r="D108" s="564" t="s">
        <v>182</v>
      </c>
      <c r="E108" s="564" t="s">
        <v>115</v>
      </c>
      <c r="F108" s="564" t="s">
        <v>565</v>
      </c>
      <c r="G108" s="564" t="s">
        <v>37</v>
      </c>
      <c r="H108" s="565">
        <v>45362</v>
      </c>
      <c r="I108" s="652">
        <v>45689</v>
      </c>
      <c r="J108" s="653">
        <v>6522.7692307692314</v>
      </c>
      <c r="K108" s="603">
        <v>0.5</v>
      </c>
      <c r="L108" s="568">
        <v>3261</v>
      </c>
      <c r="M108" s="654" t="str">
        <f>VLOOKUP(G:G,list!B:E,4,FALSE)</f>
        <v>-</v>
      </c>
      <c r="N108" s="655">
        <f t="shared" si="4"/>
        <v>0</v>
      </c>
      <c r="O108" s="655">
        <f t="shared" si="5"/>
        <v>3261</v>
      </c>
      <c r="P108" s="564"/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102</v>
      </c>
      <c r="C109" s="651" t="str">
        <f>VLOOKUP(G:G,list!B:D,2,FALSE)</f>
        <v>작가기획</v>
      </c>
      <c r="D109" s="564" t="s">
        <v>182</v>
      </c>
      <c r="E109" s="564" t="s">
        <v>115</v>
      </c>
      <c r="F109" s="564" t="s">
        <v>565</v>
      </c>
      <c r="G109" s="564" t="s">
        <v>37</v>
      </c>
      <c r="H109" s="565">
        <v>45362</v>
      </c>
      <c r="I109" s="652">
        <v>45717</v>
      </c>
      <c r="J109" s="653">
        <v>5218.2153846153851</v>
      </c>
      <c r="K109" s="603">
        <v>0.5</v>
      </c>
      <c r="L109" s="568">
        <v>2609</v>
      </c>
      <c r="M109" s="654" t="str">
        <f>VLOOKUP(G:G,list!B:E,4,FALSE)</f>
        <v>-</v>
      </c>
      <c r="N109" s="655">
        <f t="shared" si="4"/>
        <v>0</v>
      </c>
      <c r="O109" s="655">
        <f t="shared" si="5"/>
        <v>2609</v>
      </c>
      <c r="P109" s="564"/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103</v>
      </c>
      <c r="C110" s="651" t="str">
        <f>VLOOKUP(G:G,list!B:D,2,FALSE)</f>
        <v>원작료</v>
      </c>
      <c r="D110" s="564" t="s">
        <v>182</v>
      </c>
      <c r="E110" s="564" t="s">
        <v>115</v>
      </c>
      <c r="F110" s="564" t="s">
        <v>565</v>
      </c>
      <c r="G110" s="564" t="s">
        <v>30</v>
      </c>
      <c r="H110" s="565">
        <v>45379</v>
      </c>
      <c r="I110" s="652">
        <v>45658</v>
      </c>
      <c r="J110" s="653">
        <v>11354.53287671233</v>
      </c>
      <c r="K110" s="603">
        <v>0.5</v>
      </c>
      <c r="L110" s="568">
        <v>5677</v>
      </c>
      <c r="M110" s="654">
        <f>VLOOKUP(G:G,list!B:E,4,FALSE)</f>
        <v>0.1</v>
      </c>
      <c r="N110" s="655">
        <f t="shared" si="4"/>
        <v>568</v>
      </c>
      <c r="O110" s="655">
        <f t="shared" si="5"/>
        <v>5109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104</v>
      </c>
      <c r="C111" s="651" t="str">
        <f>VLOOKUP(G:G,list!B:D,2,FALSE)</f>
        <v>원작료</v>
      </c>
      <c r="D111" s="564" t="s">
        <v>182</v>
      </c>
      <c r="E111" s="564" t="s">
        <v>115</v>
      </c>
      <c r="F111" s="564" t="s">
        <v>565</v>
      </c>
      <c r="G111" s="564" t="s">
        <v>30</v>
      </c>
      <c r="H111" s="565">
        <v>45379</v>
      </c>
      <c r="I111" s="652">
        <v>45689</v>
      </c>
      <c r="J111" s="653">
        <v>801.49643835616439</v>
      </c>
      <c r="K111" s="603">
        <v>0.5</v>
      </c>
      <c r="L111" s="568">
        <v>401</v>
      </c>
      <c r="M111" s="654">
        <f>VLOOKUP(G:G,list!B:E,4,FALSE)</f>
        <v>0.1</v>
      </c>
      <c r="N111" s="655">
        <f t="shared" si="4"/>
        <v>40</v>
      </c>
      <c r="O111" s="655">
        <f t="shared" si="5"/>
        <v>361</v>
      </c>
      <c r="P111" s="564"/>
      <c r="Q111" s="672" t="str">
        <f>VLOOKUP(G:G,list!B:F,5,FALSE)</f>
        <v>웹소설본부</v>
      </c>
      <c r="R111" s="656" t="str">
        <f>VLOOKUP(G:G,list!B:D,3,FALSE)</f>
        <v>Y</v>
      </c>
    </row>
    <row r="112" spans="2:18" ht="18" customHeight="1">
      <c r="B112" s="563">
        <v>105</v>
      </c>
      <c r="C112" s="651" t="str">
        <f>VLOOKUP(G:G,list!B:D,2,FALSE)</f>
        <v>원작료</v>
      </c>
      <c r="D112" s="564" t="s">
        <v>182</v>
      </c>
      <c r="E112" s="564" t="s">
        <v>115</v>
      </c>
      <c r="F112" s="564" t="s">
        <v>565</v>
      </c>
      <c r="G112" s="564" t="s">
        <v>30</v>
      </c>
      <c r="H112" s="565">
        <v>45379</v>
      </c>
      <c r="I112" s="652">
        <v>45717</v>
      </c>
      <c r="J112" s="653">
        <v>26850.130684931508</v>
      </c>
      <c r="K112" s="603">
        <v>0.5</v>
      </c>
      <c r="L112" s="568">
        <v>13425</v>
      </c>
      <c r="M112" s="654">
        <f>VLOOKUP(G:G,list!B:E,4,FALSE)</f>
        <v>0.1</v>
      </c>
      <c r="N112" s="655">
        <f t="shared" si="4"/>
        <v>1343</v>
      </c>
      <c r="O112" s="655">
        <f t="shared" si="5"/>
        <v>12082</v>
      </c>
      <c r="P112" s="564"/>
      <c r="Q112" s="672" t="str">
        <f>VLOOKUP(G:G,list!B:F,5,FALSE)</f>
        <v>웹소설본부</v>
      </c>
      <c r="R112" s="656" t="str">
        <f>VLOOKUP(G:G,list!B:D,3,FALSE)</f>
        <v>Y</v>
      </c>
    </row>
    <row r="113" spans="2:18" ht="18" customHeight="1">
      <c r="B113" s="650">
        <v>106</v>
      </c>
      <c r="C113" s="651" t="str">
        <f>VLOOKUP(G:G,list!B:D,2,FALSE)</f>
        <v>작가기획</v>
      </c>
      <c r="D113" s="564" t="s">
        <v>182</v>
      </c>
      <c r="E113" s="564" t="s">
        <v>115</v>
      </c>
      <c r="F113" s="564" t="s">
        <v>565</v>
      </c>
      <c r="G113" s="564" t="s">
        <v>308</v>
      </c>
      <c r="H113" s="565">
        <v>45382</v>
      </c>
      <c r="I113" s="652">
        <v>45658</v>
      </c>
      <c r="J113" s="653">
        <v>6237.2451612903224</v>
      </c>
      <c r="K113" s="603">
        <v>0.5</v>
      </c>
      <c r="L113" s="568">
        <v>3119</v>
      </c>
      <c r="M113" s="654" t="str">
        <f>VLOOKUP(G:G,list!B:E,4,FALSE)</f>
        <v>-</v>
      </c>
      <c r="N113" s="655">
        <f t="shared" si="4"/>
        <v>0</v>
      </c>
      <c r="O113" s="655">
        <f t="shared" si="5"/>
        <v>3119</v>
      </c>
      <c r="P113" s="564"/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107</v>
      </c>
      <c r="C114" s="651" t="str">
        <f>VLOOKUP(G:G,list!B:D,2,FALSE)</f>
        <v>작가기획</v>
      </c>
      <c r="D114" s="564" t="s">
        <v>182</v>
      </c>
      <c r="E114" s="564" t="s">
        <v>115</v>
      </c>
      <c r="F114" s="564" t="s">
        <v>565</v>
      </c>
      <c r="G114" s="564" t="s">
        <v>308</v>
      </c>
      <c r="H114" s="565">
        <v>45382</v>
      </c>
      <c r="I114" s="652">
        <v>45689</v>
      </c>
      <c r="J114" s="653">
        <v>941.4709677419354</v>
      </c>
      <c r="K114" s="603">
        <v>0.5</v>
      </c>
      <c r="L114" s="568">
        <v>471</v>
      </c>
      <c r="M114" s="654" t="str">
        <f>VLOOKUP(G:G,list!B:E,4,FALSE)</f>
        <v>-</v>
      </c>
      <c r="N114" s="655">
        <f t="shared" si="4"/>
        <v>0</v>
      </c>
      <c r="O114" s="655">
        <f t="shared" si="5"/>
        <v>471</v>
      </c>
      <c r="P114" s="564"/>
      <c r="Q114" s="672" t="str">
        <f>VLOOKUP(G:G,list!B:F,5,FALSE)</f>
        <v>-</v>
      </c>
      <c r="R114" s="656" t="str">
        <f>VLOOKUP(G:G,list!B:D,3,FALSE)</f>
        <v>Y</v>
      </c>
    </row>
    <row r="115" spans="2:18" ht="18" customHeight="1">
      <c r="B115" s="650">
        <v>108</v>
      </c>
      <c r="C115" s="651" t="str">
        <f>VLOOKUP(G:G,list!B:D,2,FALSE)</f>
        <v>작가기획</v>
      </c>
      <c r="D115" s="564" t="s">
        <v>182</v>
      </c>
      <c r="E115" s="564" t="s">
        <v>115</v>
      </c>
      <c r="F115" s="564" t="s">
        <v>565</v>
      </c>
      <c r="G115" s="564" t="s">
        <v>308</v>
      </c>
      <c r="H115" s="565">
        <v>45382</v>
      </c>
      <c r="I115" s="652">
        <v>45717</v>
      </c>
      <c r="J115" s="653">
        <v>117.68387096774192</v>
      </c>
      <c r="K115" s="603">
        <v>0.5</v>
      </c>
      <c r="L115" s="568">
        <v>59</v>
      </c>
      <c r="M115" s="654" t="str">
        <f>VLOOKUP(G:G,list!B:E,4,FALSE)</f>
        <v>-</v>
      </c>
      <c r="N115" s="655">
        <f t="shared" si="4"/>
        <v>0</v>
      </c>
      <c r="O115" s="655">
        <f t="shared" si="5"/>
        <v>59</v>
      </c>
      <c r="P115" s="564"/>
      <c r="Q115" s="672" t="str">
        <f>VLOOKUP(G:G,list!B:F,5,FALSE)</f>
        <v>-</v>
      </c>
      <c r="R115" s="656" t="str">
        <f>VLOOKUP(G:G,list!B:D,3,FALSE)</f>
        <v>Y</v>
      </c>
    </row>
    <row r="116" spans="2:18" ht="18" customHeight="1">
      <c r="B116" s="563">
        <v>109</v>
      </c>
      <c r="C116" s="651" t="str">
        <f>VLOOKUP(G:G,list!B:D,2,FALSE)</f>
        <v>원작료</v>
      </c>
      <c r="D116" s="564" t="s">
        <v>182</v>
      </c>
      <c r="E116" s="564" t="s">
        <v>115</v>
      </c>
      <c r="F116" s="564" t="s">
        <v>565</v>
      </c>
      <c r="G116" s="564" t="s">
        <v>316</v>
      </c>
      <c r="H116" s="565">
        <v>45390</v>
      </c>
      <c r="I116" s="652">
        <v>45658</v>
      </c>
      <c r="J116" s="653">
        <v>53000.170523045046</v>
      </c>
      <c r="K116" s="603">
        <v>0.5</v>
      </c>
      <c r="L116" s="568">
        <v>26500</v>
      </c>
      <c r="M116" s="654">
        <f>VLOOKUP(G:G,list!B:E,4,FALSE)</f>
        <v>0.1</v>
      </c>
      <c r="N116" s="655">
        <f t="shared" si="4"/>
        <v>2650</v>
      </c>
      <c r="O116" s="655">
        <f t="shared" si="5"/>
        <v>23850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110</v>
      </c>
      <c r="C117" s="651" t="str">
        <f>VLOOKUP(G:G,list!B:D,2,FALSE)</f>
        <v>원작료</v>
      </c>
      <c r="D117" s="564" t="s">
        <v>182</v>
      </c>
      <c r="E117" s="564" t="s">
        <v>115</v>
      </c>
      <c r="F117" s="564" t="s">
        <v>565</v>
      </c>
      <c r="G117" s="564" t="s">
        <v>316</v>
      </c>
      <c r="H117" s="565">
        <v>45390</v>
      </c>
      <c r="I117" s="652">
        <v>45689</v>
      </c>
      <c r="J117" s="653">
        <v>40251.920704298296</v>
      </c>
      <c r="K117" s="603">
        <v>0.5</v>
      </c>
      <c r="L117" s="568">
        <v>20126</v>
      </c>
      <c r="M117" s="654">
        <f>VLOOKUP(G:G,list!B:E,4,FALSE)</f>
        <v>0.1</v>
      </c>
      <c r="N117" s="655">
        <f t="shared" si="4"/>
        <v>2013</v>
      </c>
      <c r="O117" s="655">
        <f t="shared" si="5"/>
        <v>18113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111</v>
      </c>
      <c r="C118" s="651" t="str">
        <f>VLOOKUP(G:G,list!B:D,2,FALSE)</f>
        <v>원작료</v>
      </c>
      <c r="D118" s="564" t="s">
        <v>182</v>
      </c>
      <c r="E118" s="564" t="s">
        <v>115</v>
      </c>
      <c r="F118" s="564" t="s">
        <v>565</v>
      </c>
      <c r="G118" s="564" t="s">
        <v>316</v>
      </c>
      <c r="H118" s="565">
        <v>45390</v>
      </c>
      <c r="I118" s="652">
        <v>45717</v>
      </c>
      <c r="J118" s="653">
        <v>11500.548772656653</v>
      </c>
      <c r="K118" s="603">
        <v>0.5</v>
      </c>
      <c r="L118" s="568">
        <v>5750</v>
      </c>
      <c r="M118" s="654">
        <f>VLOOKUP(G:G,list!B:E,4,FALSE)</f>
        <v>0.1</v>
      </c>
      <c r="N118" s="655">
        <f t="shared" si="4"/>
        <v>575</v>
      </c>
      <c r="O118" s="655">
        <f t="shared" si="5"/>
        <v>5175</v>
      </c>
      <c r="P118" s="564"/>
      <c r="Q118" s="672" t="str">
        <f>VLOOKUP(G:G,list!B:F,5,FALSE)</f>
        <v>웹소설본부</v>
      </c>
      <c r="R118" s="656" t="str">
        <f>VLOOKUP(G:G,list!B:D,3,FALSE)</f>
        <v>Y</v>
      </c>
    </row>
    <row r="119" spans="2:18" ht="18" customHeight="1">
      <c r="B119" s="650">
        <v>112</v>
      </c>
      <c r="C119" s="651" t="str">
        <f>VLOOKUP(G:G,list!B:D,2,FALSE)</f>
        <v>원작료</v>
      </c>
      <c r="D119" s="564" t="s">
        <v>182</v>
      </c>
      <c r="E119" s="564" t="s">
        <v>115</v>
      </c>
      <c r="F119" s="564" t="s">
        <v>565</v>
      </c>
      <c r="G119" s="564" t="s">
        <v>56</v>
      </c>
      <c r="H119" s="565">
        <v>45391</v>
      </c>
      <c r="I119" s="652">
        <v>45658</v>
      </c>
      <c r="J119" s="653">
        <v>26306.910254545455</v>
      </c>
      <c r="K119" s="603">
        <v>0.5</v>
      </c>
      <c r="L119" s="568">
        <v>13153</v>
      </c>
      <c r="M119" s="654">
        <f>VLOOKUP(G:G,list!B:E,4,FALSE)</f>
        <v>0.1</v>
      </c>
      <c r="N119" s="655">
        <f t="shared" si="4"/>
        <v>1315</v>
      </c>
      <c r="O119" s="655">
        <f t="shared" si="5"/>
        <v>11838</v>
      </c>
      <c r="P119" s="564"/>
      <c r="Q119" s="672" t="str">
        <f>VLOOKUP(G:G,list!B:F,5,FALSE)</f>
        <v>웹소설본부</v>
      </c>
      <c r="R119" s="656" t="str">
        <f>VLOOKUP(G:G,list!B:D,3,FALSE)</f>
        <v>Y</v>
      </c>
    </row>
    <row r="120" spans="2:18" ht="18" customHeight="1">
      <c r="B120" s="563">
        <v>113</v>
      </c>
      <c r="C120" s="651" t="str">
        <f>VLOOKUP(G:G,list!B:D,2,FALSE)</f>
        <v>원작료</v>
      </c>
      <c r="D120" s="564" t="s">
        <v>182</v>
      </c>
      <c r="E120" s="564" t="s">
        <v>115</v>
      </c>
      <c r="F120" s="564" t="s">
        <v>565</v>
      </c>
      <c r="G120" s="564" t="s">
        <v>56</v>
      </c>
      <c r="H120" s="565">
        <v>45391</v>
      </c>
      <c r="I120" s="652">
        <v>45689</v>
      </c>
      <c r="J120" s="653">
        <v>58838.223381818178</v>
      </c>
      <c r="K120" s="603">
        <v>0.5</v>
      </c>
      <c r="L120" s="568">
        <v>29419</v>
      </c>
      <c r="M120" s="654">
        <f>VLOOKUP(G:G,list!B:E,4,FALSE)</f>
        <v>0.1</v>
      </c>
      <c r="N120" s="655">
        <f t="shared" si="4"/>
        <v>2942</v>
      </c>
      <c r="O120" s="655">
        <f t="shared" si="5"/>
        <v>26477</v>
      </c>
      <c r="P120" s="564"/>
      <c r="Q120" s="672" t="str">
        <f>VLOOKUP(G:G,list!B:F,5,FALSE)</f>
        <v>웹소설본부</v>
      </c>
      <c r="R120" s="656" t="str">
        <f>VLOOKUP(G:G,list!B:D,3,FALSE)</f>
        <v>Y</v>
      </c>
    </row>
    <row r="121" spans="2:18" ht="18" customHeight="1">
      <c r="B121" s="650">
        <v>114</v>
      </c>
      <c r="C121" s="651" t="str">
        <f>VLOOKUP(G:G,list!B:D,2,FALSE)</f>
        <v>원작료</v>
      </c>
      <c r="D121" s="564" t="s">
        <v>182</v>
      </c>
      <c r="E121" s="564" t="s">
        <v>115</v>
      </c>
      <c r="F121" s="564" t="s">
        <v>565</v>
      </c>
      <c r="G121" s="564" t="s">
        <v>56</v>
      </c>
      <c r="H121" s="565">
        <v>45391</v>
      </c>
      <c r="I121" s="652">
        <v>45717</v>
      </c>
      <c r="J121" s="653">
        <v>44040.586363636357</v>
      </c>
      <c r="K121" s="603">
        <v>0.5</v>
      </c>
      <c r="L121" s="568">
        <v>22020</v>
      </c>
      <c r="M121" s="654">
        <f>VLOOKUP(G:G,list!B:E,4,FALSE)</f>
        <v>0.1</v>
      </c>
      <c r="N121" s="655">
        <f t="shared" si="4"/>
        <v>2202</v>
      </c>
      <c r="O121" s="655">
        <f t="shared" si="5"/>
        <v>19818</v>
      </c>
      <c r="P121" s="564"/>
      <c r="Q121" s="672" t="str">
        <f>VLOOKUP(G:G,list!B:F,5,FALSE)</f>
        <v>웹소설본부</v>
      </c>
      <c r="R121" s="656" t="str">
        <f>VLOOKUP(G:G,list!B:D,3,FALSE)</f>
        <v>Y</v>
      </c>
    </row>
    <row r="122" spans="2:18" ht="11.25" customHeight="1">
      <c r="B122" s="52"/>
      <c r="C122" s="551"/>
      <c r="D122" s="551"/>
      <c r="E122" s="551"/>
      <c r="F122" s="551"/>
      <c r="G122" s="551"/>
      <c r="H122" s="622"/>
      <c r="I122" s="551"/>
      <c r="J122" s="435"/>
      <c r="K122" s="623"/>
      <c r="L122"/>
      <c r="M122" s="438"/>
      <c r="N122" s="439"/>
      <c r="O122" s="440"/>
      <c r="P122" s="633"/>
      <c r="Q122" s="438"/>
      <c r="R122" s="486"/>
    </row>
    <row r="123" spans="2:18" s="7" customFormat="1" ht="16.5" customHeight="1">
      <c r="B123" s="624" t="s">
        <v>387</v>
      </c>
      <c r="C123" s="625"/>
      <c r="D123" s="625"/>
      <c r="E123" s="626"/>
      <c r="F123" s="625"/>
      <c r="G123" s="625"/>
      <c r="H123" s="625"/>
      <c r="I123" s="311"/>
      <c r="J123" s="311"/>
      <c r="K123" s="311"/>
      <c r="M123" s="424"/>
      <c r="N123"/>
      <c r="O123" s="333"/>
      <c r="P123" s="631"/>
      <c r="Q123" s="424"/>
      <c r="R123" s="484"/>
    </row>
    <row r="124" spans="2:18" s="7" customFormat="1" ht="16.5" customHeight="1">
      <c r="B124" s="629" t="s">
        <v>299</v>
      </c>
      <c r="C124" s="625"/>
      <c r="D124" s="625"/>
      <c r="E124" s="626"/>
      <c r="F124" s="625"/>
      <c r="G124" s="625"/>
      <c r="H124" s="625"/>
      <c r="I124" s="311"/>
      <c r="K124" s="311"/>
      <c r="L124" s="311"/>
      <c r="M124" s="424"/>
      <c r="N124"/>
      <c r="O124" s="333"/>
      <c r="P124" s="631"/>
      <c r="Q124" s="424"/>
      <c r="R124" s="484"/>
    </row>
    <row r="125" spans="2:18" s="7" customFormat="1" ht="16.5" customHeight="1">
      <c r="B125" s="628" t="s">
        <v>302</v>
      </c>
      <c r="C125" s="627"/>
      <c r="D125" s="625"/>
      <c r="E125" s="626"/>
      <c r="F125" s="625"/>
      <c r="G125" s="625"/>
      <c r="H125" s="625"/>
      <c r="I125" s="311"/>
      <c r="J125" s="311"/>
      <c r="L125" s="311"/>
      <c r="M125" s="424"/>
      <c r="N125"/>
      <c r="O125" s="333"/>
      <c r="P125" s="631"/>
      <c r="Q125" s="424"/>
      <c r="R125" s="484"/>
    </row>
    <row r="126" spans="2:18" s="7" customFormat="1" ht="16.5" customHeight="1">
      <c r="B126" s="630" t="s">
        <v>303</v>
      </c>
      <c r="C126" s="627"/>
      <c r="D126" s="625"/>
      <c r="E126" s="626"/>
      <c r="F126" s="625"/>
      <c r="G126" s="625"/>
      <c r="H126" s="625"/>
      <c r="I126" s="311"/>
      <c r="J126" s="311"/>
      <c r="K126" s="311"/>
      <c r="L126" s="311"/>
      <c r="M126" s="424"/>
      <c r="N126"/>
      <c r="O126" s="333"/>
      <c r="P126" s="631"/>
      <c r="Q126" s="424"/>
      <c r="R126" s="484"/>
    </row>
    <row r="127" spans="2:18" ht="16.5" customHeight="1">
      <c r="B127" s="629" t="s">
        <v>340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512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8" ht="16.5" customHeight="1">
      <c r="B129" s="629" t="s">
        <v>522</v>
      </c>
      <c r="C129" s="625"/>
      <c r="D129" s="625"/>
      <c r="E129" s="626"/>
      <c r="F129" s="625"/>
      <c r="G129" s="625"/>
      <c r="H129" s="625"/>
      <c r="I129" s="311"/>
      <c r="J129" s="311"/>
      <c r="K129" s="311"/>
    </row>
    <row r="130" spans="2:18" ht="16.5" customHeight="1">
      <c r="B130" s="629" t="s">
        <v>520</v>
      </c>
      <c r="C130" s="625"/>
      <c r="D130" s="625"/>
      <c r="E130" s="626"/>
      <c r="F130" s="625"/>
      <c r="G130" s="625"/>
      <c r="H130" s="625"/>
      <c r="I130" s="311"/>
      <c r="J130" s="311"/>
      <c r="K130" s="311"/>
    </row>
    <row r="131" spans="2:18" ht="16.5" customHeight="1">
      <c r="B131" s="629" t="s">
        <v>521</v>
      </c>
      <c r="C131" s="625"/>
      <c r="D131" s="625"/>
      <c r="E131" s="626"/>
      <c r="F131" s="625"/>
      <c r="G131" s="625"/>
      <c r="H131" s="625"/>
      <c r="I131" s="311"/>
      <c r="J131" s="311"/>
      <c r="K131" s="311"/>
    </row>
    <row r="132" spans="2:18" s="311" customFormat="1" ht="16.5" customHeight="1">
      <c r="B132" s="629" t="s">
        <v>529</v>
      </c>
      <c r="C132" s="625"/>
      <c r="D132" s="625"/>
      <c r="E132" s="626"/>
      <c r="F132" s="625"/>
      <c r="G132" s="625"/>
      <c r="H132" s="625"/>
      <c r="M132" s="424"/>
      <c r="N132"/>
      <c r="O132" s="333"/>
      <c r="P132" s="631"/>
      <c r="Q132" s="424"/>
      <c r="R132" s="484"/>
    </row>
  </sheetData>
  <autoFilter ref="B5:R120" xr:uid="{6BCF6E47-FA4B-4772-A4CE-8E1B50F6C0BA}"/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F31A-255B-49E1-8401-7C38C7A8A4F6}">
  <dimension ref="B1:R129"/>
  <sheetViews>
    <sheetView showGridLines="0" zoomScaleNormal="100" workbookViewId="0">
      <pane xSplit="1" ySplit="5" topLeftCell="B97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588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589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27573955.923971999</v>
      </c>
      <c r="K4" s="52"/>
      <c r="L4" s="648">
        <f>SUBTOTAL(109,L6:L1048576)</f>
        <v>9514001</v>
      </c>
      <c r="M4" s="543"/>
      <c r="N4" s="649">
        <f>SUBTOTAL(109,N6:N1048576)</f>
        <v>828382</v>
      </c>
      <c r="O4" s="649">
        <f>SUBTOTAL(109,O6:O1048576)</f>
        <v>8685619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45778</v>
      </c>
      <c r="J6" s="653">
        <v>475098.6</v>
      </c>
      <c r="K6" s="567">
        <v>0.6</v>
      </c>
      <c r="L6" s="646">
        <v>285058</v>
      </c>
      <c r="M6" s="654" t="str">
        <f>VLOOKUP(G:G,list!B:E,4,FALSE)</f>
        <v>-</v>
      </c>
      <c r="N6" s="655">
        <f t="shared" ref="N6:N98" si="0">ROUND(IF(M6="-",0,L6*M6),0)</f>
        <v>0</v>
      </c>
      <c r="O6" s="655">
        <f t="shared" ref="O6:O98" si="1">L6-N6</f>
        <v>285058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45778</v>
      </c>
      <c r="J7" s="653">
        <v>102795</v>
      </c>
      <c r="K7" s="600">
        <v>0.6</v>
      </c>
      <c r="L7" s="646">
        <v>61676</v>
      </c>
      <c r="M7" s="654" t="str">
        <f>VLOOKUP(G:G,list!B:E,4,FALSE)</f>
        <v>-</v>
      </c>
      <c r="N7" s="655">
        <f t="shared" si="0"/>
        <v>0</v>
      </c>
      <c r="O7" s="655">
        <f t="shared" si="1"/>
        <v>61676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45778</v>
      </c>
      <c r="J8" s="653">
        <v>257890.4</v>
      </c>
      <c r="K8" s="567">
        <v>0.6</v>
      </c>
      <c r="L8" s="646">
        <v>154734</v>
      </c>
      <c r="M8" s="654" t="str">
        <f>VLOOKUP(G:G,list!B:E,4,FALSE)</f>
        <v>-</v>
      </c>
      <c r="N8" s="655">
        <f t="shared" si="0"/>
        <v>0</v>
      </c>
      <c r="O8" s="655">
        <f t="shared" si="1"/>
        <v>154734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45778</v>
      </c>
      <c r="J9" s="653">
        <v>47989</v>
      </c>
      <c r="K9" s="606">
        <v>0.6</v>
      </c>
      <c r="L9" s="646">
        <v>28792</v>
      </c>
      <c r="M9" s="654">
        <f>VLOOKUP(G:G,list!B:E,4,FALSE)</f>
        <v>0.1</v>
      </c>
      <c r="N9" s="655">
        <f t="shared" si="0"/>
        <v>2879</v>
      </c>
      <c r="O9" s="655">
        <f t="shared" si="1"/>
        <v>25913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45778</v>
      </c>
      <c r="J10" s="653">
        <v>292338</v>
      </c>
      <c r="K10" s="600">
        <v>0.6</v>
      </c>
      <c r="L10" s="646">
        <v>175404</v>
      </c>
      <c r="M10" s="654">
        <f>VLOOKUP(G:G,list!B:E,4,FALSE)</f>
        <v>0.1</v>
      </c>
      <c r="N10" s="655">
        <f t="shared" si="0"/>
        <v>17540</v>
      </c>
      <c r="O10" s="655">
        <f t="shared" si="1"/>
        <v>157864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45778</v>
      </c>
      <c r="J11" s="653">
        <v>11436.2</v>
      </c>
      <c r="K11" s="603">
        <v>0.6</v>
      </c>
      <c r="L11" s="646">
        <v>6861</v>
      </c>
      <c r="M11" s="654" t="str">
        <f>VLOOKUP(G:G,list!B:E,4,FALSE)</f>
        <v>-</v>
      </c>
      <c r="N11" s="655">
        <f t="shared" si="0"/>
        <v>0</v>
      </c>
      <c r="O11" s="655">
        <f t="shared" si="1"/>
        <v>6861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45778</v>
      </c>
      <c r="J12" s="653">
        <v>218853.2</v>
      </c>
      <c r="K12" s="603">
        <v>0.6</v>
      </c>
      <c r="L12" s="646">
        <v>131312</v>
      </c>
      <c r="M12" s="654">
        <f>VLOOKUP(G:G,list!B:E,4,FALSE)</f>
        <v>0.1</v>
      </c>
      <c r="N12" s="655">
        <f t="shared" si="0"/>
        <v>13131</v>
      </c>
      <c r="O12" s="655">
        <f t="shared" si="1"/>
        <v>118181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45778</v>
      </c>
      <c r="J13" s="653">
        <v>110818</v>
      </c>
      <c r="K13" s="600">
        <v>0.6</v>
      </c>
      <c r="L13" s="646">
        <v>66492</v>
      </c>
      <c r="M13" s="654">
        <f>VLOOKUP(G:G,list!B:E,4,FALSE)</f>
        <v>0.1</v>
      </c>
      <c r="N13" s="655">
        <f t="shared" si="0"/>
        <v>6649</v>
      </c>
      <c r="O13" s="655">
        <f t="shared" si="1"/>
        <v>59843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45778</v>
      </c>
      <c r="J14" s="653">
        <v>138947.5</v>
      </c>
      <c r="K14" s="606">
        <v>0.6</v>
      </c>
      <c r="L14" s="646">
        <v>83369</v>
      </c>
      <c r="M14" s="654">
        <f>VLOOKUP(G:G,list!B:E,4,FALSE)</f>
        <v>0.11</v>
      </c>
      <c r="N14" s="655">
        <f t="shared" si="0"/>
        <v>9171</v>
      </c>
      <c r="O14" s="655">
        <f t="shared" si="1"/>
        <v>74198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45778</v>
      </c>
      <c r="J15" s="653">
        <v>697397</v>
      </c>
      <c r="K15" s="567">
        <v>0.6</v>
      </c>
      <c r="L15" s="646">
        <v>418438</v>
      </c>
      <c r="M15" s="654">
        <f>VLOOKUP(G:G,list!B:E,4,FALSE)</f>
        <v>0.1</v>
      </c>
      <c r="N15" s="655">
        <f t="shared" si="0"/>
        <v>41844</v>
      </c>
      <c r="O15" s="655">
        <f t="shared" si="1"/>
        <v>376594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45778</v>
      </c>
      <c r="J16" s="653">
        <v>76391.199999999997</v>
      </c>
      <c r="K16" s="567">
        <v>0.6</v>
      </c>
      <c r="L16" s="646">
        <v>45835</v>
      </c>
      <c r="M16" s="654">
        <f>VLOOKUP(G:G,list!B:E,4,FALSE)</f>
        <v>0.1</v>
      </c>
      <c r="N16" s="655">
        <f t="shared" si="0"/>
        <v>4584</v>
      </c>
      <c r="O16" s="655">
        <f t="shared" si="1"/>
        <v>41251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45778</v>
      </c>
      <c r="J17" s="653">
        <v>540</v>
      </c>
      <c r="K17" s="600">
        <v>0.7</v>
      </c>
      <c r="L17" s="646">
        <v>378</v>
      </c>
      <c r="M17" s="654" t="str">
        <f>VLOOKUP(G:G,list!B:E,4,FALSE)</f>
        <v>-</v>
      </c>
      <c r="N17" s="655">
        <f t="shared" si="0"/>
        <v>0</v>
      </c>
      <c r="O17" s="655">
        <f t="shared" si="1"/>
        <v>378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45778</v>
      </c>
      <c r="J18" s="653">
        <v>475676.6</v>
      </c>
      <c r="K18" s="603">
        <v>0.6</v>
      </c>
      <c r="L18" s="646">
        <v>285403</v>
      </c>
      <c r="M18" s="654">
        <f>VLOOKUP(G:G,list!B:E,4,FALSE)</f>
        <v>0.1</v>
      </c>
      <c r="N18" s="655">
        <f t="shared" si="0"/>
        <v>28540</v>
      </c>
      <c r="O18" s="655">
        <f t="shared" si="1"/>
        <v>256863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45778</v>
      </c>
      <c r="J19" s="653">
        <v>228827.8</v>
      </c>
      <c r="K19" s="603">
        <v>0.7</v>
      </c>
      <c r="L19" s="646">
        <v>160179</v>
      </c>
      <c r="M19" s="654">
        <f>VLOOKUP(G:G,list!B:E,4,FALSE)</f>
        <v>0.1</v>
      </c>
      <c r="N19" s="655">
        <f t="shared" si="0"/>
        <v>16018</v>
      </c>
      <c r="O19" s="655">
        <f t="shared" si="1"/>
        <v>144161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45778</v>
      </c>
      <c r="J20" s="653">
        <v>49291</v>
      </c>
      <c r="K20" s="603">
        <v>0.6</v>
      </c>
      <c r="L20" s="646">
        <v>29574</v>
      </c>
      <c r="M20" s="654">
        <f>VLOOKUP(G:G,list!B:E,4,FALSE)</f>
        <v>0.1</v>
      </c>
      <c r="N20" s="655">
        <f t="shared" si="0"/>
        <v>2957</v>
      </c>
      <c r="O20" s="655">
        <f t="shared" si="1"/>
        <v>26617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45778</v>
      </c>
      <c r="J21" s="653">
        <v>720</v>
      </c>
      <c r="K21" s="567">
        <v>0.6</v>
      </c>
      <c r="L21" s="646">
        <v>504</v>
      </c>
      <c r="M21" s="654" t="str">
        <f>VLOOKUP(G:G,list!B:E,4,FALSE)</f>
        <v>-</v>
      </c>
      <c r="N21" s="655">
        <f t="shared" si="0"/>
        <v>0</v>
      </c>
      <c r="O21" s="655">
        <f t="shared" si="1"/>
        <v>504</v>
      </c>
      <c r="P21" s="564" t="s">
        <v>366</v>
      </c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45778</v>
      </c>
      <c r="J22" s="653">
        <v>3382</v>
      </c>
      <c r="K22" s="567">
        <v>0.6</v>
      </c>
      <c r="L22" s="646">
        <v>2029</v>
      </c>
      <c r="M22" s="654">
        <f>VLOOKUP(G:G,list!B:E,4,FALSE)</f>
        <v>0.1</v>
      </c>
      <c r="N22" s="655">
        <f t="shared" si="0"/>
        <v>203</v>
      </c>
      <c r="O22" s="655">
        <f t="shared" si="1"/>
        <v>1826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45778</v>
      </c>
      <c r="J23" s="653">
        <v>0</v>
      </c>
      <c r="K23" s="567">
        <v>0.6</v>
      </c>
      <c r="L23" s="646">
        <v>0</v>
      </c>
      <c r="M23" s="654" t="str">
        <f>VLOOKUP(G:G,list!B:E,4,FALSE)</f>
        <v>-</v>
      </c>
      <c r="N23" s="655">
        <f t="shared" si="0"/>
        <v>0</v>
      </c>
      <c r="O23" s="655">
        <f t="shared" si="1"/>
        <v>0</v>
      </c>
      <c r="P23" s="564" t="s">
        <v>366</v>
      </c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45778</v>
      </c>
      <c r="J24" s="653">
        <v>98466.8</v>
      </c>
      <c r="K24" s="603">
        <v>0.6</v>
      </c>
      <c r="L24" s="646">
        <v>59080</v>
      </c>
      <c r="M24" s="654">
        <f>VLOOKUP(G:G,list!B:E,4,FALSE)</f>
        <v>0.1</v>
      </c>
      <c r="N24" s="655">
        <f t="shared" si="0"/>
        <v>5908</v>
      </c>
      <c r="O24" s="655">
        <f t="shared" si="1"/>
        <v>53172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45778</v>
      </c>
      <c r="J25" s="653">
        <v>2230</v>
      </c>
      <c r="K25" s="603">
        <v>0.6</v>
      </c>
      <c r="L25" s="646">
        <v>1338</v>
      </c>
      <c r="M25" s="654">
        <f>VLOOKUP(G:G,list!B:E,4,FALSE)</f>
        <v>0.1</v>
      </c>
      <c r="N25" s="655">
        <f t="shared" si="0"/>
        <v>134</v>
      </c>
      <c r="O25" s="655">
        <f t="shared" si="1"/>
        <v>1204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45778</v>
      </c>
      <c r="J26" s="653">
        <v>21559</v>
      </c>
      <c r="K26" s="567">
        <v>0.6</v>
      </c>
      <c r="L26" s="646">
        <v>12935</v>
      </c>
      <c r="M26" s="654">
        <f>VLOOKUP(G:G,list!B:E,4,FALSE)</f>
        <v>0.1</v>
      </c>
      <c r="N26" s="655">
        <f t="shared" si="0"/>
        <v>1294</v>
      </c>
      <c r="O26" s="655">
        <f t="shared" si="1"/>
        <v>11641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45778</v>
      </c>
      <c r="J27" s="653">
        <v>3420</v>
      </c>
      <c r="K27" s="567">
        <v>0.6</v>
      </c>
      <c r="L27" s="646">
        <v>2052</v>
      </c>
      <c r="M27" s="654">
        <f>VLOOKUP(G:G,list!B:E,4,FALSE)</f>
        <v>0.1</v>
      </c>
      <c r="N27" s="655">
        <f t="shared" si="0"/>
        <v>205</v>
      </c>
      <c r="O27" s="655">
        <f t="shared" si="1"/>
        <v>1847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45778</v>
      </c>
      <c r="J28" s="653">
        <v>31200.9</v>
      </c>
      <c r="K28" s="567">
        <v>0.6</v>
      </c>
      <c r="L28" s="646">
        <v>18720</v>
      </c>
      <c r="M28" s="654" t="str">
        <f>VLOOKUP(G:G,list!B:E,4,FALSE)</f>
        <v>-</v>
      </c>
      <c r="N28" s="655">
        <f t="shared" si="0"/>
        <v>0</v>
      </c>
      <c r="O28" s="655">
        <f t="shared" si="1"/>
        <v>18720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45778</v>
      </c>
      <c r="J29" s="653">
        <v>74267.7</v>
      </c>
      <c r="K29" s="567">
        <v>0.6</v>
      </c>
      <c r="L29" s="646">
        <v>44560</v>
      </c>
      <c r="M29" s="654">
        <f>VLOOKUP(G:G,list!B:E,4,FALSE)</f>
        <v>0.11</v>
      </c>
      <c r="N29" s="655">
        <f t="shared" si="0"/>
        <v>4902</v>
      </c>
      <c r="O29" s="655">
        <f t="shared" si="1"/>
        <v>39658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45778</v>
      </c>
      <c r="J30" s="653">
        <v>101736.7</v>
      </c>
      <c r="K30" s="567">
        <v>0.6</v>
      </c>
      <c r="L30" s="646">
        <v>61043</v>
      </c>
      <c r="M30" s="654" t="str">
        <f>VLOOKUP(G:G,list!B:E,4,FALSE)</f>
        <v>-</v>
      </c>
      <c r="N30" s="655">
        <f t="shared" si="0"/>
        <v>0</v>
      </c>
      <c r="O30" s="655">
        <f t="shared" si="1"/>
        <v>61043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45778</v>
      </c>
      <c r="J31" s="653">
        <v>110553.60000000001</v>
      </c>
      <c r="K31" s="567">
        <v>0.6</v>
      </c>
      <c r="L31" s="646">
        <v>66332</v>
      </c>
      <c r="M31" s="654" t="str">
        <f>VLOOKUP(G:G,list!B:E,4,FALSE)</f>
        <v>-</v>
      </c>
      <c r="N31" s="655">
        <f t="shared" si="0"/>
        <v>0</v>
      </c>
      <c r="O31" s="655">
        <f t="shared" si="1"/>
        <v>66332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45778</v>
      </c>
      <c r="J32" s="653">
        <v>54919.1</v>
      </c>
      <c r="K32" s="567">
        <v>0.6</v>
      </c>
      <c r="L32" s="646">
        <v>32952</v>
      </c>
      <c r="M32" s="654">
        <f>VLOOKUP(G:G,list!B:E,4,FALSE)</f>
        <v>0.1</v>
      </c>
      <c r="N32" s="655">
        <f t="shared" si="0"/>
        <v>3295</v>
      </c>
      <c r="O32" s="655">
        <f t="shared" si="1"/>
        <v>29657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45748</v>
      </c>
      <c r="J33" s="653">
        <v>237890</v>
      </c>
      <c r="K33" s="674">
        <v>0.224</v>
      </c>
      <c r="L33" s="646">
        <v>47967</v>
      </c>
      <c r="M33" s="654">
        <f>VLOOKUP(G:G,list!B:E,4,FALSE)</f>
        <v>0.1</v>
      </c>
      <c r="N33" s="655">
        <f t="shared" si="0"/>
        <v>4797</v>
      </c>
      <c r="O33" s="655">
        <f t="shared" si="1"/>
        <v>43170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45748</v>
      </c>
      <c r="J34" s="653">
        <v>2231900</v>
      </c>
      <c r="K34" s="674">
        <v>0.224</v>
      </c>
      <c r="L34" s="646">
        <v>449957</v>
      </c>
      <c r="M34" s="654">
        <f>VLOOKUP(G:G,list!B:E,4,FALSE)</f>
        <v>0.1</v>
      </c>
      <c r="N34" s="655">
        <f t="shared" si="0"/>
        <v>44996</v>
      </c>
      <c r="O34" s="655">
        <f t="shared" si="1"/>
        <v>404961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45748</v>
      </c>
      <c r="J35" s="653">
        <v>2439</v>
      </c>
      <c r="K35" s="674">
        <v>0.224</v>
      </c>
      <c r="L35" s="646">
        <v>475</v>
      </c>
      <c r="M35" s="654" t="str">
        <f>VLOOKUP(G:G,list!B:E,4,FALSE)</f>
        <v>-</v>
      </c>
      <c r="N35" s="655">
        <f t="shared" si="0"/>
        <v>0</v>
      </c>
      <c r="O35" s="655">
        <f t="shared" si="1"/>
        <v>475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45748</v>
      </c>
      <c r="J36" s="653">
        <v>364765</v>
      </c>
      <c r="K36" s="674">
        <v>0.224</v>
      </c>
      <c r="L36" s="646">
        <v>73537</v>
      </c>
      <c r="M36" s="654">
        <f>VLOOKUP(G:G,list!B:E,4,FALSE)</f>
        <v>0.1</v>
      </c>
      <c r="N36" s="655">
        <f t="shared" si="0"/>
        <v>7354</v>
      </c>
      <c r="O36" s="655">
        <f t="shared" si="1"/>
        <v>66183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45748</v>
      </c>
      <c r="J37" s="653">
        <v>54287</v>
      </c>
      <c r="K37" s="674">
        <v>0.224</v>
      </c>
      <c r="L37" s="646">
        <v>10950</v>
      </c>
      <c r="M37" s="654">
        <f>VLOOKUP(G:G,list!B:E,4,FALSE)</f>
        <v>0.11</v>
      </c>
      <c r="N37" s="655">
        <f t="shared" si="0"/>
        <v>1205</v>
      </c>
      <c r="O37" s="655">
        <f t="shared" si="1"/>
        <v>9745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45748</v>
      </c>
      <c r="J38" s="653">
        <v>257409</v>
      </c>
      <c r="K38" s="674">
        <v>0.224</v>
      </c>
      <c r="L38" s="646">
        <v>51900</v>
      </c>
      <c r="M38" s="654">
        <f>VLOOKUP(G:G,list!B:E,4,FALSE)</f>
        <v>0.1</v>
      </c>
      <c r="N38" s="655">
        <f t="shared" si="0"/>
        <v>5190</v>
      </c>
      <c r="O38" s="655">
        <f t="shared" si="1"/>
        <v>46710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45748</v>
      </c>
      <c r="J39" s="653">
        <v>268999</v>
      </c>
      <c r="K39" s="674">
        <v>0.224</v>
      </c>
      <c r="L39" s="646">
        <v>54236</v>
      </c>
      <c r="M39" s="654" t="str">
        <f>VLOOKUP(G:G,list!B:E,4,FALSE)</f>
        <v>-</v>
      </c>
      <c r="N39" s="655">
        <f t="shared" si="0"/>
        <v>0</v>
      </c>
      <c r="O39" s="655">
        <f t="shared" si="1"/>
        <v>54236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45748</v>
      </c>
      <c r="J40" s="653">
        <v>6252249</v>
      </c>
      <c r="K40" s="674">
        <v>0.224</v>
      </c>
      <c r="L40" s="646">
        <v>1260459</v>
      </c>
      <c r="M40" s="654">
        <f>VLOOKUP(G:G,list!B:E,4,FALSE)</f>
        <v>0.1</v>
      </c>
      <c r="N40" s="655">
        <f t="shared" si="0"/>
        <v>126046</v>
      </c>
      <c r="O40" s="655">
        <f t="shared" si="1"/>
        <v>1134413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45748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45748</v>
      </c>
      <c r="J42" s="653">
        <v>159813</v>
      </c>
      <c r="K42" s="674">
        <v>0.224</v>
      </c>
      <c r="L42" s="646">
        <v>32228</v>
      </c>
      <c r="M42" s="654">
        <f>VLOOKUP(G:G,list!B:E,4,FALSE)</f>
        <v>0.1</v>
      </c>
      <c r="N42" s="655">
        <f t="shared" si="0"/>
        <v>3223</v>
      </c>
      <c r="O42" s="655">
        <f t="shared" si="1"/>
        <v>29005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45748</v>
      </c>
      <c r="J43" s="653">
        <v>456871</v>
      </c>
      <c r="K43" s="674">
        <v>0.224</v>
      </c>
      <c r="L43" s="646">
        <v>92109</v>
      </c>
      <c r="M43" s="654">
        <f>VLOOKUP(G:G,list!B:E,4,FALSE)</f>
        <v>0.1</v>
      </c>
      <c r="N43" s="655">
        <f t="shared" si="0"/>
        <v>9211</v>
      </c>
      <c r="O43" s="655">
        <f t="shared" si="1"/>
        <v>82898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45748</v>
      </c>
      <c r="J44" s="653">
        <v>552027</v>
      </c>
      <c r="K44" s="674">
        <v>0.224</v>
      </c>
      <c r="L44" s="646">
        <v>111294</v>
      </c>
      <c r="M44" s="654" t="str">
        <f>VLOOKUP(G:G,list!B:E,4,FALSE)</f>
        <v>-</v>
      </c>
      <c r="N44" s="655">
        <f t="shared" si="0"/>
        <v>0</v>
      </c>
      <c r="O44" s="655">
        <f t="shared" si="1"/>
        <v>111294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25</v>
      </c>
      <c r="E45" s="564" t="s">
        <v>62</v>
      </c>
      <c r="F45" s="564" t="s">
        <v>257</v>
      </c>
      <c r="G45" s="564" t="s">
        <v>316</v>
      </c>
      <c r="H45" s="565">
        <v>45577</v>
      </c>
      <c r="I45" s="652">
        <v>45778</v>
      </c>
      <c r="J45" s="653">
        <v>62459</v>
      </c>
      <c r="K45" s="567">
        <v>0.35</v>
      </c>
      <c r="L45" s="646">
        <v>21861</v>
      </c>
      <c r="M45" s="654">
        <f>VLOOKUP(G:G,list!B:E,4,FALSE)</f>
        <v>0.1</v>
      </c>
      <c r="N45" s="655">
        <f t="shared" si="0"/>
        <v>2186</v>
      </c>
      <c r="O45" s="655">
        <f t="shared" si="1"/>
        <v>19675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25</v>
      </c>
      <c r="E46" s="564" t="s">
        <v>62</v>
      </c>
      <c r="F46" s="564" t="s">
        <v>257</v>
      </c>
      <c r="G46" s="564" t="s">
        <v>353</v>
      </c>
      <c r="H46" s="565">
        <v>44916</v>
      </c>
      <c r="I46" s="652">
        <v>45778</v>
      </c>
      <c r="J46" s="653">
        <v>133675</v>
      </c>
      <c r="K46" s="567">
        <v>0.35</v>
      </c>
      <c r="L46" s="646">
        <v>46787</v>
      </c>
      <c r="M46" s="654">
        <f>VLOOKUP(G:G,list!B:E,4,FALSE)</f>
        <v>0.11</v>
      </c>
      <c r="N46" s="655">
        <f t="shared" si="0"/>
        <v>5147</v>
      </c>
      <c r="O46" s="655">
        <f t="shared" si="1"/>
        <v>41640</v>
      </c>
      <c r="P46" s="564"/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25</v>
      </c>
      <c r="E47" s="564" t="s">
        <v>62</v>
      </c>
      <c r="F47" s="564" t="s">
        <v>257</v>
      </c>
      <c r="G47" s="564" t="s">
        <v>352</v>
      </c>
      <c r="H47" s="565">
        <v>45098</v>
      </c>
      <c r="I47" s="652">
        <v>45778</v>
      </c>
      <c r="J47" s="653">
        <v>19556</v>
      </c>
      <c r="K47" s="600">
        <v>0.35</v>
      </c>
      <c r="L47" s="646">
        <v>6845</v>
      </c>
      <c r="M47" s="654">
        <f>VLOOKUP(G:G,list!B:E,4,FALSE)</f>
        <v>0.1</v>
      </c>
      <c r="N47" s="655">
        <f t="shared" si="0"/>
        <v>685</v>
      </c>
      <c r="O47" s="655">
        <f t="shared" si="1"/>
        <v>6160</v>
      </c>
      <c r="P47" s="564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246</v>
      </c>
      <c r="G48" s="564" t="s">
        <v>36</v>
      </c>
      <c r="H48" s="565">
        <v>43810</v>
      </c>
      <c r="I48" s="652">
        <v>45778</v>
      </c>
      <c r="J48" s="653">
        <v>44280</v>
      </c>
      <c r="K48" s="600" t="s">
        <v>532</v>
      </c>
      <c r="L48" s="646">
        <v>18558</v>
      </c>
      <c r="M48" s="654" t="str">
        <f>VLOOKUP(G:G,list!B:E,4,FALSE)</f>
        <v>-</v>
      </c>
      <c r="N48" s="655">
        <f t="shared" si="0"/>
        <v>0</v>
      </c>
      <c r="O48" s="655">
        <f t="shared" si="1"/>
        <v>18558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246</v>
      </c>
      <c r="G49" s="564" t="s">
        <v>139</v>
      </c>
      <c r="H49" s="565">
        <v>43852</v>
      </c>
      <c r="I49" s="652">
        <v>45778</v>
      </c>
      <c r="J49" s="653">
        <v>10260</v>
      </c>
      <c r="K49" s="600" t="s">
        <v>532</v>
      </c>
      <c r="L49" s="646">
        <v>3753</v>
      </c>
      <c r="M49" s="654" t="str">
        <f>VLOOKUP(G:G,list!B:E,4,FALSE)</f>
        <v>-</v>
      </c>
      <c r="N49" s="655">
        <f t="shared" si="0"/>
        <v>0</v>
      </c>
      <c r="O49" s="655">
        <f t="shared" si="1"/>
        <v>3753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78</v>
      </c>
      <c r="E50" s="564" t="s">
        <v>9</v>
      </c>
      <c r="F50" s="564" t="s">
        <v>544</v>
      </c>
      <c r="G50" s="564" t="s">
        <v>36</v>
      </c>
      <c r="H50" s="565">
        <v>45124</v>
      </c>
      <c r="I50" s="652">
        <v>45748</v>
      </c>
      <c r="J50" s="653">
        <v>141083</v>
      </c>
      <c r="K50" s="600">
        <v>0.5</v>
      </c>
      <c r="L50" s="646">
        <v>70542</v>
      </c>
      <c r="M50" s="654" t="str">
        <f>VLOOKUP(G:G,list!B:E,4,FALSE)</f>
        <v>-</v>
      </c>
      <c r="N50" s="655">
        <f t="shared" si="0"/>
        <v>0</v>
      </c>
      <c r="O50" s="655">
        <f t="shared" si="1"/>
        <v>70542</v>
      </c>
      <c r="P50" s="564"/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78</v>
      </c>
      <c r="E51" s="564" t="s">
        <v>9</v>
      </c>
      <c r="F51" s="564" t="s">
        <v>544</v>
      </c>
      <c r="G51" s="564" t="s">
        <v>139</v>
      </c>
      <c r="H51" s="565">
        <v>44513</v>
      </c>
      <c r="I51" s="652">
        <v>45748</v>
      </c>
      <c r="J51" s="653">
        <v>43166</v>
      </c>
      <c r="K51" s="600">
        <v>0.5</v>
      </c>
      <c r="L51" s="646">
        <v>21583</v>
      </c>
      <c r="M51" s="654" t="str">
        <f>VLOOKUP(G:G,list!B:E,4,FALSE)</f>
        <v>-</v>
      </c>
      <c r="N51" s="655">
        <f t="shared" si="0"/>
        <v>0</v>
      </c>
      <c r="O51" s="655">
        <f t="shared" si="1"/>
        <v>21583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66</v>
      </c>
      <c r="E52" s="564" t="s">
        <v>64</v>
      </c>
      <c r="F52" s="564" t="s">
        <v>65</v>
      </c>
      <c r="G52" s="564" t="s">
        <v>30</v>
      </c>
      <c r="H52" s="565">
        <v>44586</v>
      </c>
      <c r="I52" s="652">
        <v>45778</v>
      </c>
      <c r="J52" s="653">
        <v>15720</v>
      </c>
      <c r="K52" s="567">
        <v>0.4</v>
      </c>
      <c r="L52" s="646">
        <v>6288</v>
      </c>
      <c r="M52" s="654">
        <f>VLOOKUP(G:G,list!B:E,4,FALSE)</f>
        <v>0.1</v>
      </c>
      <c r="N52" s="655">
        <f t="shared" si="0"/>
        <v>629</v>
      </c>
      <c r="O52" s="655">
        <f t="shared" si="1"/>
        <v>5659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66</v>
      </c>
      <c r="E53" s="564" t="s">
        <v>9</v>
      </c>
      <c r="F53" s="564" t="s">
        <v>65</v>
      </c>
      <c r="G53" s="564" t="s">
        <v>36</v>
      </c>
      <c r="H53" s="565">
        <v>44992</v>
      </c>
      <c r="I53" s="652">
        <v>45778</v>
      </c>
      <c r="J53" s="653">
        <v>259720</v>
      </c>
      <c r="K53" s="600">
        <v>0.4</v>
      </c>
      <c r="L53" s="646">
        <v>103888</v>
      </c>
      <c r="M53" s="654" t="str">
        <f>VLOOKUP(G:G,list!B:E,4,FALSE)</f>
        <v>-</v>
      </c>
      <c r="N53" s="655">
        <f t="shared" si="0"/>
        <v>0</v>
      </c>
      <c r="O53" s="655">
        <f t="shared" si="1"/>
        <v>103888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66</v>
      </c>
      <c r="E54" s="564" t="s">
        <v>9</v>
      </c>
      <c r="F54" s="564" t="s">
        <v>65</v>
      </c>
      <c r="G54" s="564" t="s">
        <v>37</v>
      </c>
      <c r="H54" s="565">
        <v>45169</v>
      </c>
      <c r="I54" s="652">
        <v>45778</v>
      </c>
      <c r="J54" s="653">
        <v>0</v>
      </c>
      <c r="K54" s="600">
        <v>0.4</v>
      </c>
      <c r="L54" s="646">
        <v>0</v>
      </c>
      <c r="M54" s="654" t="str">
        <f>VLOOKUP(G:G,list!B:E,4,FALSE)</f>
        <v>-</v>
      </c>
      <c r="N54" s="655">
        <f t="shared" si="0"/>
        <v>0</v>
      </c>
      <c r="O54" s="655">
        <f t="shared" si="1"/>
        <v>0</v>
      </c>
      <c r="P54" s="564" t="s">
        <v>366</v>
      </c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67</v>
      </c>
      <c r="E55" s="564" t="s">
        <v>9</v>
      </c>
      <c r="F55" s="564" t="s">
        <v>65</v>
      </c>
      <c r="G55" s="564" t="s">
        <v>37</v>
      </c>
      <c r="H55" s="565">
        <v>43921</v>
      </c>
      <c r="I55" s="652">
        <v>45778</v>
      </c>
      <c r="J55" s="653">
        <v>118170</v>
      </c>
      <c r="K55" s="600">
        <v>0.4</v>
      </c>
      <c r="L55" s="646">
        <v>47268</v>
      </c>
      <c r="M55" s="654" t="str">
        <f>VLOOKUP(G:G,list!B:E,4,FALSE)</f>
        <v>-</v>
      </c>
      <c r="N55" s="655">
        <f t="shared" si="0"/>
        <v>0</v>
      </c>
      <c r="O55" s="655">
        <f t="shared" si="1"/>
        <v>47268</v>
      </c>
      <c r="P55" s="564"/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67</v>
      </c>
      <c r="E56" s="564" t="s">
        <v>9</v>
      </c>
      <c r="F56" s="564" t="s">
        <v>65</v>
      </c>
      <c r="G56" s="564" t="s">
        <v>36</v>
      </c>
      <c r="H56" s="565">
        <v>43941</v>
      </c>
      <c r="I56" s="652">
        <v>45778</v>
      </c>
      <c r="J56" s="653">
        <v>120343</v>
      </c>
      <c r="K56" s="600">
        <v>0.4</v>
      </c>
      <c r="L56" s="646">
        <v>48137</v>
      </c>
      <c r="M56" s="654" t="str">
        <f>VLOOKUP(G:G,list!B:E,4,FALSE)</f>
        <v>-</v>
      </c>
      <c r="N56" s="655">
        <f t="shared" si="0"/>
        <v>0</v>
      </c>
      <c r="O56" s="655">
        <f t="shared" si="1"/>
        <v>48137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67</v>
      </c>
      <c r="E57" s="564" t="s">
        <v>64</v>
      </c>
      <c r="F57" s="564" t="s">
        <v>65</v>
      </c>
      <c r="G57" s="564" t="s">
        <v>30</v>
      </c>
      <c r="H57" s="565">
        <v>44258</v>
      </c>
      <c r="I57" s="652">
        <v>45778</v>
      </c>
      <c r="J57" s="653">
        <v>19708</v>
      </c>
      <c r="K57" s="600">
        <v>0.4</v>
      </c>
      <c r="L57" s="646">
        <v>7883</v>
      </c>
      <c r="M57" s="654">
        <f>VLOOKUP(G:G,list!B:E,4,FALSE)</f>
        <v>0.1</v>
      </c>
      <c r="N57" s="655">
        <f t="shared" si="0"/>
        <v>788</v>
      </c>
      <c r="O57" s="655">
        <f t="shared" si="1"/>
        <v>7095</v>
      </c>
      <c r="P57" s="564"/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131</v>
      </c>
      <c r="G58" s="564" t="s">
        <v>60</v>
      </c>
      <c r="H58" s="565">
        <v>44333</v>
      </c>
      <c r="I58" s="652">
        <v>45778</v>
      </c>
      <c r="J58" s="653">
        <v>1422</v>
      </c>
      <c r="K58" s="603">
        <v>0.5</v>
      </c>
      <c r="L58" s="646">
        <v>711</v>
      </c>
      <c r="M58" s="654" t="str">
        <f>VLOOKUP(G:G,list!B:E,4,FALSE)</f>
        <v>-</v>
      </c>
      <c r="N58" s="655">
        <f t="shared" si="0"/>
        <v>0</v>
      </c>
      <c r="O58" s="655">
        <f t="shared" si="1"/>
        <v>711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115</v>
      </c>
      <c r="F59" s="564" t="s">
        <v>131</v>
      </c>
      <c r="G59" s="564" t="s">
        <v>518</v>
      </c>
      <c r="H59" s="565">
        <v>44897</v>
      </c>
      <c r="I59" s="652">
        <v>45778</v>
      </c>
      <c r="J59" s="653">
        <v>51156</v>
      </c>
      <c r="K59" s="603">
        <v>0.5</v>
      </c>
      <c r="L59" s="646">
        <v>25578</v>
      </c>
      <c r="M59" s="654" t="str">
        <f>VLOOKUP(G:G,list!B:E,4,FALSE)</f>
        <v>-</v>
      </c>
      <c r="N59" s="655">
        <f t="shared" si="0"/>
        <v>0</v>
      </c>
      <c r="O59" s="655">
        <f t="shared" si="1"/>
        <v>25578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182</v>
      </c>
      <c r="E60" s="564" t="s">
        <v>115</v>
      </c>
      <c r="F60" s="564" t="s">
        <v>587</v>
      </c>
      <c r="G60" s="564" t="s">
        <v>518</v>
      </c>
      <c r="H60" s="565">
        <v>45049</v>
      </c>
      <c r="I60" s="652">
        <v>45748</v>
      </c>
      <c r="J60" s="653">
        <v>83367</v>
      </c>
      <c r="K60" s="603">
        <v>0.3</v>
      </c>
      <c r="L60" s="646">
        <v>25010</v>
      </c>
      <c r="M60" s="654" t="str">
        <f>VLOOKUP(G:G,list!B:E,4,FALSE)</f>
        <v>-</v>
      </c>
      <c r="N60" s="655">
        <f t="shared" si="0"/>
        <v>0</v>
      </c>
      <c r="O60" s="655">
        <f t="shared" si="1"/>
        <v>25010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182</v>
      </c>
      <c r="E61" s="564" t="s">
        <v>115</v>
      </c>
      <c r="F61" s="564" t="s">
        <v>587</v>
      </c>
      <c r="G61" s="564" t="s">
        <v>541</v>
      </c>
      <c r="H61" s="565">
        <v>45591</v>
      </c>
      <c r="I61" s="652">
        <v>45748</v>
      </c>
      <c r="J61" s="653">
        <v>20548</v>
      </c>
      <c r="K61" s="603">
        <v>0.5</v>
      </c>
      <c r="L61" s="646">
        <v>10274</v>
      </c>
      <c r="M61" s="654">
        <f>VLOOKUP(G:G,list!B:E,4,FALSE)</f>
        <v>0.1</v>
      </c>
      <c r="N61" s="655">
        <f t="shared" si="0"/>
        <v>1027</v>
      </c>
      <c r="O61" s="655">
        <f t="shared" si="1"/>
        <v>9247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외부제작</v>
      </c>
      <c r="D62" s="564" t="s">
        <v>182</v>
      </c>
      <c r="E62" s="564" t="s">
        <v>115</v>
      </c>
      <c r="F62" s="564" t="s">
        <v>587</v>
      </c>
      <c r="G62" s="564" t="s">
        <v>315</v>
      </c>
      <c r="H62" s="565">
        <v>45673</v>
      </c>
      <c r="I62" s="652">
        <v>45748</v>
      </c>
      <c r="J62" s="653">
        <v>9496</v>
      </c>
      <c r="K62" s="603">
        <v>0.5</v>
      </c>
      <c r="L62" s="646">
        <v>4748</v>
      </c>
      <c r="M62" s="654" t="str">
        <f>VLOOKUP(G:G,list!B:E,4,FALSE)</f>
        <v>-</v>
      </c>
      <c r="N62" s="655">
        <f t="shared" si="0"/>
        <v>0</v>
      </c>
      <c r="O62" s="655">
        <f t="shared" si="1"/>
        <v>4748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45748</v>
      </c>
      <c r="J63" s="653">
        <v>1018272</v>
      </c>
      <c r="K63" s="603">
        <v>0.7</v>
      </c>
      <c r="L63" s="646">
        <v>713172</v>
      </c>
      <c r="M63" s="654">
        <f>VLOOKUP(G:G,list!B:E,4,FALSE)</f>
        <v>0.1</v>
      </c>
      <c r="N63" s="655">
        <f t="shared" si="0"/>
        <v>71317</v>
      </c>
      <c r="O63" s="655">
        <f t="shared" si="1"/>
        <v>641855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45748</v>
      </c>
      <c r="J64" s="653">
        <v>211307.623972</v>
      </c>
      <c r="K64" s="603">
        <v>0.25</v>
      </c>
      <c r="L64" s="646">
        <v>52827</v>
      </c>
      <c r="M64" s="654">
        <f>VLOOKUP(G:G,list!B:E,4,FALSE)</f>
        <v>0.1</v>
      </c>
      <c r="N64" s="655">
        <f t="shared" si="0"/>
        <v>5283</v>
      </c>
      <c r="O64" s="655">
        <f t="shared" si="1"/>
        <v>47544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32</v>
      </c>
      <c r="E65" s="564" t="s">
        <v>9</v>
      </c>
      <c r="F65" s="564" t="s">
        <v>154</v>
      </c>
      <c r="G65" s="564" t="s">
        <v>36</v>
      </c>
      <c r="H65" s="565">
        <v>44106</v>
      </c>
      <c r="I65" s="652">
        <v>45748</v>
      </c>
      <c r="J65" s="653">
        <v>2731</v>
      </c>
      <c r="K65" s="603">
        <v>0.4</v>
      </c>
      <c r="L65" s="646">
        <v>1038</v>
      </c>
      <c r="M65" s="654" t="str">
        <f>VLOOKUP(G:G,list!B:E,4,FALSE)</f>
        <v>-</v>
      </c>
      <c r="N65" s="655">
        <f t="shared" si="0"/>
        <v>0</v>
      </c>
      <c r="O65" s="655">
        <f t="shared" si="1"/>
        <v>1038</v>
      </c>
      <c r="P65" s="564"/>
      <c r="Q65" s="672" t="str">
        <f>VLOOKUP(G:G,list!B:F,5,FALSE)</f>
        <v>-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32</v>
      </c>
      <c r="E66" s="564" t="s">
        <v>9</v>
      </c>
      <c r="F66" s="564" t="s">
        <v>154</v>
      </c>
      <c r="G66" s="564" t="s">
        <v>37</v>
      </c>
      <c r="H66" s="565">
        <v>44113</v>
      </c>
      <c r="I66" s="652">
        <v>45748</v>
      </c>
      <c r="J66" s="653">
        <v>789</v>
      </c>
      <c r="K66" s="603">
        <v>0.4</v>
      </c>
      <c r="L66" s="646">
        <v>300</v>
      </c>
      <c r="M66" s="654" t="str">
        <f>VLOOKUP(G:G,list!B:E,4,FALSE)</f>
        <v>-</v>
      </c>
      <c r="N66" s="655">
        <f t="shared" si="0"/>
        <v>0</v>
      </c>
      <c r="O66" s="655">
        <f t="shared" si="1"/>
        <v>300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32</v>
      </c>
      <c r="E67" s="564" t="s">
        <v>9</v>
      </c>
      <c r="F67" s="564" t="s">
        <v>154</v>
      </c>
      <c r="G67" s="564" t="s">
        <v>454</v>
      </c>
      <c r="H67" s="565">
        <v>44869</v>
      </c>
      <c r="I67" s="652">
        <v>45748</v>
      </c>
      <c r="J67" s="653">
        <v>63862</v>
      </c>
      <c r="K67" s="603">
        <v>0.4</v>
      </c>
      <c r="L67" s="646">
        <v>24268</v>
      </c>
      <c r="M67" s="654">
        <f>VLOOKUP(G:G,list!B:E,4,FALSE)</f>
        <v>0.1</v>
      </c>
      <c r="N67" s="655">
        <f t="shared" si="0"/>
        <v>2427</v>
      </c>
      <c r="O67" s="655">
        <f t="shared" si="1"/>
        <v>21841</v>
      </c>
      <c r="P67" s="564"/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182</v>
      </c>
      <c r="E68" s="564" t="s">
        <v>115</v>
      </c>
      <c r="F68" s="564" t="s">
        <v>386</v>
      </c>
      <c r="G68" s="564" t="s">
        <v>30</v>
      </c>
      <c r="H68" s="565">
        <v>44591</v>
      </c>
      <c r="I68" s="652">
        <v>45717</v>
      </c>
      <c r="J68" s="653">
        <v>3088</v>
      </c>
      <c r="K68" s="603">
        <v>0.5</v>
      </c>
      <c r="L68" s="646">
        <v>1544</v>
      </c>
      <c r="M68" s="654">
        <f>VLOOKUP(G:G,list!B:E,4,FALSE)</f>
        <v>0.1</v>
      </c>
      <c r="N68" s="655">
        <f t="shared" si="0"/>
        <v>154</v>
      </c>
      <c r="O68" s="655">
        <f t="shared" si="1"/>
        <v>1390</v>
      </c>
      <c r="P68" s="564"/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작가기획</v>
      </c>
      <c r="D69" s="564" t="s">
        <v>182</v>
      </c>
      <c r="E69" s="564" t="s">
        <v>115</v>
      </c>
      <c r="F69" s="564" t="s">
        <v>386</v>
      </c>
      <c r="G69" s="564" t="s">
        <v>36</v>
      </c>
      <c r="H69" s="565">
        <v>44643</v>
      </c>
      <c r="I69" s="652">
        <v>45717</v>
      </c>
      <c r="J69" s="653">
        <v>8154</v>
      </c>
      <c r="K69" s="603">
        <v>0.5</v>
      </c>
      <c r="L69" s="646">
        <v>4077</v>
      </c>
      <c r="M69" s="654" t="str">
        <f>VLOOKUP(G:G,list!B:E,4,FALSE)</f>
        <v>-</v>
      </c>
      <c r="N69" s="655">
        <f t="shared" si="0"/>
        <v>0</v>
      </c>
      <c r="O69" s="655">
        <f t="shared" si="1"/>
        <v>4077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작가기획</v>
      </c>
      <c r="D70" s="564" t="s">
        <v>182</v>
      </c>
      <c r="E70" s="564" t="s">
        <v>115</v>
      </c>
      <c r="F70" s="564" t="s">
        <v>386</v>
      </c>
      <c r="G70" s="564" t="s">
        <v>37</v>
      </c>
      <c r="H70" s="565">
        <v>44643</v>
      </c>
      <c r="I70" s="652">
        <v>45717</v>
      </c>
      <c r="J70" s="653">
        <v>0</v>
      </c>
      <c r="K70" s="603">
        <v>0.5</v>
      </c>
      <c r="L70" s="646">
        <v>0</v>
      </c>
      <c r="M70" s="654" t="str">
        <f>VLOOKUP(G:G,list!B:E,4,FALSE)</f>
        <v>-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-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182</v>
      </c>
      <c r="E71" s="564" t="s">
        <v>115</v>
      </c>
      <c r="F71" s="564" t="s">
        <v>386</v>
      </c>
      <c r="G71" s="564" t="s">
        <v>56</v>
      </c>
      <c r="H71" s="565">
        <v>44599</v>
      </c>
      <c r="I71" s="652">
        <v>45717</v>
      </c>
      <c r="J71" s="653">
        <v>372211</v>
      </c>
      <c r="K71" s="603">
        <v>0.5</v>
      </c>
      <c r="L71" s="646">
        <v>186106</v>
      </c>
      <c r="M71" s="654">
        <f>VLOOKUP(G:G,list!B:E,4,FALSE)</f>
        <v>0.1</v>
      </c>
      <c r="N71" s="655">
        <f t="shared" si="0"/>
        <v>18611</v>
      </c>
      <c r="O71" s="655">
        <f t="shared" si="1"/>
        <v>167495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316</v>
      </c>
      <c r="H72" s="565">
        <v>45446</v>
      </c>
      <c r="I72" s="652">
        <v>45778</v>
      </c>
      <c r="J72" s="653">
        <v>1596.0000000000002</v>
      </c>
      <c r="K72" s="603">
        <v>0.7</v>
      </c>
      <c r="L72" s="646">
        <v>1117.2</v>
      </c>
      <c r="M72" s="654">
        <f>VLOOKUP(G:G,list!B:E,4,FALSE)</f>
        <v>0.1</v>
      </c>
      <c r="N72" s="655">
        <f t="shared" si="0"/>
        <v>112</v>
      </c>
      <c r="O72" s="655">
        <f t="shared" si="1"/>
        <v>1005.2</v>
      </c>
      <c r="P72" s="564"/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316</v>
      </c>
      <c r="H73" s="565">
        <v>45524</v>
      </c>
      <c r="I73" s="652">
        <v>45778</v>
      </c>
      <c r="J73" s="653">
        <v>0</v>
      </c>
      <c r="K73" s="603">
        <v>0.7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123</v>
      </c>
      <c r="E74" s="564" t="s">
        <v>9</v>
      </c>
      <c r="F74" s="564" t="s">
        <v>519</v>
      </c>
      <c r="G74" s="564" t="s">
        <v>316</v>
      </c>
      <c r="H74" s="565">
        <v>45536</v>
      </c>
      <c r="I74" s="652">
        <v>45778</v>
      </c>
      <c r="J74" s="653">
        <v>399.00000000000006</v>
      </c>
      <c r="K74" s="603">
        <v>0.7</v>
      </c>
      <c r="L74" s="646">
        <v>279.3</v>
      </c>
      <c r="M74" s="654">
        <f>VLOOKUP(G:G,list!B:E,4,FALSE)</f>
        <v>0.1</v>
      </c>
      <c r="N74" s="655">
        <f t="shared" si="0"/>
        <v>28</v>
      </c>
      <c r="O74" s="655">
        <f t="shared" si="1"/>
        <v>251.3</v>
      </c>
      <c r="P74" s="564"/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132</v>
      </c>
      <c r="E75" s="564" t="s">
        <v>9</v>
      </c>
      <c r="F75" s="564" t="s">
        <v>519</v>
      </c>
      <c r="G75" s="564" t="s">
        <v>316</v>
      </c>
      <c r="H75" s="565">
        <v>44945</v>
      </c>
      <c r="I75" s="652">
        <v>45778</v>
      </c>
      <c r="J75" s="653">
        <v>0</v>
      </c>
      <c r="K75" s="603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183</v>
      </c>
      <c r="E76" s="564" t="s">
        <v>9</v>
      </c>
      <c r="F76" s="564" t="s">
        <v>519</v>
      </c>
      <c r="G76" s="564" t="s">
        <v>316</v>
      </c>
      <c r="H76" s="565">
        <v>45702</v>
      </c>
      <c r="I76" s="652">
        <v>45778</v>
      </c>
      <c r="J76" s="653">
        <v>0</v>
      </c>
      <c r="K76" s="603">
        <v>0.7</v>
      </c>
      <c r="L76" s="646">
        <v>0</v>
      </c>
      <c r="M76" s="654">
        <f>VLOOKUP(G:G,list!B:E,4,FALSE)</f>
        <v>0.1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132</v>
      </c>
      <c r="E77" s="564" t="s">
        <v>9</v>
      </c>
      <c r="F77" s="564" t="s">
        <v>519</v>
      </c>
      <c r="G77" s="564" t="s">
        <v>56</v>
      </c>
      <c r="H77" s="565">
        <v>44952</v>
      </c>
      <c r="I77" s="652">
        <v>45778</v>
      </c>
      <c r="J77" s="653">
        <v>0</v>
      </c>
      <c r="K77" s="567">
        <v>0.5</v>
      </c>
      <c r="L77" s="646">
        <v>0</v>
      </c>
      <c r="M77" s="654">
        <f>VLOOKUP(G:G,list!B:E,4,FALSE)</f>
        <v>0.1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538</v>
      </c>
      <c r="E78" s="564" t="s">
        <v>9</v>
      </c>
      <c r="F78" s="564" t="s">
        <v>519</v>
      </c>
      <c r="G78" s="564" t="s">
        <v>56</v>
      </c>
      <c r="H78" s="565">
        <v>45503</v>
      </c>
      <c r="I78" s="652">
        <v>45778</v>
      </c>
      <c r="J78" s="653">
        <v>3192</v>
      </c>
      <c r="K78" s="567">
        <v>0.5</v>
      </c>
      <c r="L78" s="646">
        <v>1596</v>
      </c>
      <c r="M78" s="654">
        <f>VLOOKUP(G:G,list!B:E,4,FALSE)</f>
        <v>0.1</v>
      </c>
      <c r="N78" s="655">
        <f t="shared" si="0"/>
        <v>160</v>
      </c>
      <c r="O78" s="655">
        <f t="shared" si="1"/>
        <v>1436</v>
      </c>
      <c r="P78" s="564"/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549</v>
      </c>
      <c r="E79" s="564" t="s">
        <v>9</v>
      </c>
      <c r="F79" s="564" t="s">
        <v>519</v>
      </c>
      <c r="G79" s="564" t="s">
        <v>56</v>
      </c>
      <c r="H79" s="565">
        <v>45547</v>
      </c>
      <c r="I79" s="652">
        <v>45778</v>
      </c>
      <c r="J79" s="653">
        <v>0</v>
      </c>
      <c r="K79" s="567">
        <v>0.5</v>
      </c>
      <c r="L79" s="646">
        <v>0</v>
      </c>
      <c r="M79" s="654">
        <f>VLOOKUP(G:G,list!B:E,4,FALSE)</f>
        <v>0.1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132</v>
      </c>
      <c r="E80" s="564" t="s">
        <v>9</v>
      </c>
      <c r="F80" s="564" t="s">
        <v>519</v>
      </c>
      <c r="G80" s="564" t="s">
        <v>30</v>
      </c>
      <c r="H80" s="565">
        <v>44953</v>
      </c>
      <c r="I80" s="652">
        <v>45778</v>
      </c>
      <c r="J80" s="653">
        <v>0</v>
      </c>
      <c r="K80" s="567">
        <v>0.5</v>
      </c>
      <c r="L80" s="646">
        <v>0</v>
      </c>
      <c r="M80" s="654">
        <f>VLOOKUP(G:G,list!B:E,4,FALSE)</f>
        <v>0.1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308</v>
      </c>
      <c r="H81" s="565">
        <v>44992</v>
      </c>
      <c r="I81" s="652">
        <v>45778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308</v>
      </c>
      <c r="H82" s="565">
        <v>45610</v>
      </c>
      <c r="I82" s="652">
        <v>45778</v>
      </c>
      <c r="J82" s="653">
        <v>1995</v>
      </c>
      <c r="K82" s="603">
        <v>0.5</v>
      </c>
      <c r="L82" s="646">
        <v>997.5</v>
      </c>
      <c r="M82" s="654" t="str">
        <f>VLOOKUP(G:G,list!B:E,4,FALSE)</f>
        <v>-</v>
      </c>
      <c r="N82" s="655">
        <f t="shared" si="0"/>
        <v>0</v>
      </c>
      <c r="O82" s="655">
        <f t="shared" si="1"/>
        <v>997.5</v>
      </c>
      <c r="P82" s="564"/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132</v>
      </c>
      <c r="E83" s="564" t="s">
        <v>9</v>
      </c>
      <c r="F83" s="564" t="s">
        <v>519</v>
      </c>
      <c r="G83" s="564" t="s">
        <v>36</v>
      </c>
      <c r="H83" s="565">
        <v>45198</v>
      </c>
      <c r="I83" s="652">
        <v>45778</v>
      </c>
      <c r="J83" s="653">
        <v>48944</v>
      </c>
      <c r="K83" s="603">
        <v>0.5</v>
      </c>
      <c r="L83" s="646">
        <v>24472</v>
      </c>
      <c r="M83" s="654" t="str">
        <f>VLOOKUP(G:G,list!B:E,4,FALSE)</f>
        <v>-</v>
      </c>
      <c r="N83" s="655">
        <f t="shared" si="0"/>
        <v>0</v>
      </c>
      <c r="O83" s="655">
        <f t="shared" si="1"/>
        <v>24472</v>
      </c>
      <c r="P83" s="564"/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538</v>
      </c>
      <c r="E84" s="564" t="s">
        <v>9</v>
      </c>
      <c r="F84" s="564" t="s">
        <v>519</v>
      </c>
      <c r="G84" s="564" t="s">
        <v>36</v>
      </c>
      <c r="H84" s="565">
        <v>45479</v>
      </c>
      <c r="I84" s="652">
        <v>45778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549</v>
      </c>
      <c r="E85" s="564" t="s">
        <v>9</v>
      </c>
      <c r="F85" s="564" t="s">
        <v>519</v>
      </c>
      <c r="G85" s="564" t="s">
        <v>36</v>
      </c>
      <c r="H85" s="565">
        <v>45531</v>
      </c>
      <c r="I85" s="652">
        <v>45778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123</v>
      </c>
      <c r="E86" s="564" t="s">
        <v>9</v>
      </c>
      <c r="F86" s="564" t="s">
        <v>519</v>
      </c>
      <c r="G86" s="564" t="s">
        <v>36</v>
      </c>
      <c r="H86" s="565">
        <v>45555</v>
      </c>
      <c r="I86" s="652">
        <v>45778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132</v>
      </c>
      <c r="E87" s="564" t="s">
        <v>9</v>
      </c>
      <c r="F87" s="564" t="s">
        <v>519</v>
      </c>
      <c r="G87" s="564" t="s">
        <v>139</v>
      </c>
      <c r="H87" s="565">
        <v>45276</v>
      </c>
      <c r="I87" s="652">
        <v>45778</v>
      </c>
      <c r="J87" s="653">
        <v>10108</v>
      </c>
      <c r="K87" s="603">
        <v>0.5</v>
      </c>
      <c r="L87" s="646">
        <v>5054</v>
      </c>
      <c r="M87" s="654" t="str">
        <f>VLOOKUP(G:G,list!B:E,4,FALSE)</f>
        <v>-</v>
      </c>
      <c r="N87" s="655">
        <f t="shared" si="0"/>
        <v>0</v>
      </c>
      <c r="O87" s="655">
        <f t="shared" si="1"/>
        <v>5054</v>
      </c>
      <c r="P87" s="564"/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538</v>
      </c>
      <c r="E88" s="564" t="s">
        <v>9</v>
      </c>
      <c r="F88" s="564" t="s">
        <v>519</v>
      </c>
      <c r="G88" s="564" t="s">
        <v>139</v>
      </c>
      <c r="H88" s="565">
        <v>45534</v>
      </c>
      <c r="I88" s="652">
        <v>45778</v>
      </c>
      <c r="J88" s="653">
        <v>0</v>
      </c>
      <c r="K88" s="603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564" t="s">
        <v>366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작가기획</v>
      </c>
      <c r="D89" s="564" t="s">
        <v>123</v>
      </c>
      <c r="E89" s="564" t="s">
        <v>9</v>
      </c>
      <c r="F89" s="564" t="s">
        <v>519</v>
      </c>
      <c r="G89" s="564" t="s">
        <v>139</v>
      </c>
      <c r="H89" s="565">
        <v>45656</v>
      </c>
      <c r="I89" s="652">
        <v>45778</v>
      </c>
      <c r="J89" s="653">
        <v>0</v>
      </c>
      <c r="K89" s="603">
        <v>0.5</v>
      </c>
      <c r="L89" s="646">
        <v>0</v>
      </c>
      <c r="M89" s="654" t="str">
        <f>VLOOKUP(G:G,list!B:E,4,FALSE)</f>
        <v>-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-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외부제작</v>
      </c>
      <c r="D90" s="564" t="s">
        <v>123</v>
      </c>
      <c r="E90" s="564" t="s">
        <v>9</v>
      </c>
      <c r="F90" s="564" t="s">
        <v>519</v>
      </c>
      <c r="G90" s="564" t="s">
        <v>315</v>
      </c>
      <c r="H90" s="565">
        <v>45673</v>
      </c>
      <c r="I90" s="652">
        <v>45778</v>
      </c>
      <c r="J90" s="653">
        <v>3990</v>
      </c>
      <c r="K90" s="603">
        <v>0.5</v>
      </c>
      <c r="L90" s="646">
        <v>1995</v>
      </c>
      <c r="M90" s="654" t="str">
        <f>VLOOKUP(G:G,list!B:E,4,FALSE)</f>
        <v>-</v>
      </c>
      <c r="N90" s="655">
        <f t="shared" ref="N90" si="2">ROUND(IF(M90="-",0,L90*M90),0)</f>
        <v>0</v>
      </c>
      <c r="O90" s="655">
        <f t="shared" ref="O90" si="3">L90-N90</f>
        <v>1995</v>
      </c>
      <c r="P90" s="564"/>
      <c r="Q90" s="672" t="str">
        <f>VLOOKUP(G:G,list!B:F,5,FALSE)</f>
        <v>-</v>
      </c>
      <c r="R90" s="656" t="str">
        <f>VLOOKUP(G:G,list!B:D,3,FALSE)</f>
        <v>N</v>
      </c>
    </row>
    <row r="91" spans="2:18" ht="18" customHeight="1">
      <c r="B91" s="650">
        <v>86</v>
      </c>
      <c r="C91" s="651" t="str">
        <f>VLOOKUP(G:G,list!B:D,2,FALSE)</f>
        <v>작가기획</v>
      </c>
      <c r="D91" s="564" t="s">
        <v>182</v>
      </c>
      <c r="E91" s="564" t="s">
        <v>115</v>
      </c>
      <c r="F91" s="564" t="s">
        <v>550</v>
      </c>
      <c r="G91" s="564" t="s">
        <v>308</v>
      </c>
      <c r="H91" s="565">
        <v>45347</v>
      </c>
      <c r="I91" s="652">
        <v>45717</v>
      </c>
      <c r="J91" s="653">
        <v>0</v>
      </c>
      <c r="K91" s="603">
        <v>0.5</v>
      </c>
      <c r="L91" s="646">
        <v>0</v>
      </c>
      <c r="M91" s="654" t="str">
        <f>VLOOKUP(G:G,list!B:E,4,FALSE)</f>
        <v>-</v>
      </c>
      <c r="N91" s="655">
        <f t="shared" si="0"/>
        <v>0</v>
      </c>
      <c r="O91" s="655">
        <f t="shared" si="1"/>
        <v>0</v>
      </c>
      <c r="P91" s="564" t="s">
        <v>366</v>
      </c>
      <c r="Q91" s="672" t="str">
        <f>VLOOKUP(G:G,list!B:F,5,FALSE)</f>
        <v>-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550</v>
      </c>
      <c r="G92" s="564" t="s">
        <v>316</v>
      </c>
      <c r="H92" s="565">
        <v>45359</v>
      </c>
      <c r="I92" s="652">
        <v>45717</v>
      </c>
      <c r="J92" s="653">
        <v>2141</v>
      </c>
      <c r="K92" s="603">
        <v>0.5</v>
      </c>
      <c r="L92" s="646">
        <v>1071</v>
      </c>
      <c r="M92" s="654">
        <f>VLOOKUP(G:G,list!B:E,4,FALSE)</f>
        <v>0.1</v>
      </c>
      <c r="N92" s="655">
        <f t="shared" si="0"/>
        <v>107</v>
      </c>
      <c r="O92" s="655">
        <f t="shared" si="1"/>
        <v>964</v>
      </c>
      <c r="P92" s="564"/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32</v>
      </c>
      <c r="E93" s="564" t="s">
        <v>9</v>
      </c>
      <c r="F93" s="564" t="s">
        <v>31</v>
      </c>
      <c r="G93" s="564" t="s">
        <v>30</v>
      </c>
      <c r="H93" s="565">
        <v>44239</v>
      </c>
      <c r="I93" s="652">
        <v>45748</v>
      </c>
      <c r="J93" s="653">
        <v>2571</v>
      </c>
      <c r="K93" s="603">
        <v>0.4</v>
      </c>
      <c r="L93" s="646">
        <v>968</v>
      </c>
      <c r="M93" s="654">
        <f>VLOOKUP(G:G,list!B:E,4,FALSE)</f>
        <v>0.1</v>
      </c>
      <c r="N93" s="655">
        <f t="shared" si="0"/>
        <v>97</v>
      </c>
      <c r="O93" s="655">
        <f t="shared" si="1"/>
        <v>871</v>
      </c>
      <c r="P93" s="564"/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56</v>
      </c>
      <c r="H94" s="565">
        <v>44581</v>
      </c>
      <c r="I94" s="652">
        <v>45778</v>
      </c>
      <c r="J94" s="653">
        <v>1122683</v>
      </c>
      <c r="K94" s="603">
        <v>0.3</v>
      </c>
      <c r="L94" s="568">
        <v>336805</v>
      </c>
      <c r="M94" s="654">
        <f>VLOOKUP(G:G,list!B:E,4,FALSE)</f>
        <v>0.1</v>
      </c>
      <c r="N94" s="655">
        <f t="shared" si="0"/>
        <v>33681</v>
      </c>
      <c r="O94" s="655">
        <f t="shared" si="1"/>
        <v>303124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183</v>
      </c>
      <c r="E95" s="564" t="s">
        <v>9</v>
      </c>
      <c r="F95" s="564" t="s">
        <v>213</v>
      </c>
      <c r="G95" s="564" t="s">
        <v>56</v>
      </c>
      <c r="H95" s="565">
        <v>44829</v>
      </c>
      <c r="I95" s="652">
        <v>45778</v>
      </c>
      <c r="J95" s="653">
        <v>1188477</v>
      </c>
      <c r="K95" s="603">
        <v>0.3</v>
      </c>
      <c r="L95" s="568">
        <v>356543</v>
      </c>
      <c r="M95" s="654">
        <f>VLOOKUP(G:G,list!B:E,4,FALSE)</f>
        <v>0.1</v>
      </c>
      <c r="N95" s="655">
        <f t="shared" si="0"/>
        <v>35654</v>
      </c>
      <c r="O95" s="655">
        <f t="shared" si="1"/>
        <v>320889</v>
      </c>
      <c r="P95" s="564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454</v>
      </c>
      <c r="H96" s="565">
        <v>44854</v>
      </c>
      <c r="I96" s="652">
        <v>45778</v>
      </c>
      <c r="J96" s="653">
        <v>1530783</v>
      </c>
      <c r="K96" s="603">
        <v>0.3</v>
      </c>
      <c r="L96" s="568">
        <v>459235</v>
      </c>
      <c r="M96" s="654">
        <f>VLOOKUP(G:G,list!B:E,4,FALSE)</f>
        <v>0.1</v>
      </c>
      <c r="N96" s="655">
        <f t="shared" si="0"/>
        <v>45924</v>
      </c>
      <c r="O96" s="655">
        <f t="shared" si="1"/>
        <v>413311</v>
      </c>
      <c r="P96" s="564" t="s">
        <v>186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481</v>
      </c>
      <c r="H97" s="565">
        <v>44981</v>
      </c>
      <c r="I97" s="652">
        <v>45778</v>
      </c>
      <c r="J97" s="653">
        <v>162883</v>
      </c>
      <c r="K97" s="603">
        <v>0.3</v>
      </c>
      <c r="L97" s="568">
        <v>48865</v>
      </c>
      <c r="M97" s="654">
        <f>VLOOKUP(G:G,list!B:E,4,FALSE)</f>
        <v>0.1</v>
      </c>
      <c r="N97" s="655">
        <f t="shared" si="0"/>
        <v>4887</v>
      </c>
      <c r="O97" s="655">
        <f t="shared" si="1"/>
        <v>43978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213</v>
      </c>
      <c r="G98" s="564" t="s">
        <v>352</v>
      </c>
      <c r="H98" s="565">
        <v>44984</v>
      </c>
      <c r="I98" s="652">
        <v>45778</v>
      </c>
      <c r="J98" s="653">
        <v>442613</v>
      </c>
      <c r="K98" s="603">
        <v>0.3</v>
      </c>
      <c r="L98" s="568">
        <v>132784</v>
      </c>
      <c r="M98" s="654">
        <f>VLOOKUP(G:G,list!B:E,4,FALSE)</f>
        <v>0.1</v>
      </c>
      <c r="N98" s="655">
        <f t="shared" si="0"/>
        <v>13278</v>
      </c>
      <c r="O98" s="655">
        <f t="shared" si="1"/>
        <v>119506</v>
      </c>
      <c r="P98" s="564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213</v>
      </c>
      <c r="G99" s="564" t="s">
        <v>454</v>
      </c>
      <c r="H99" s="565">
        <v>44902</v>
      </c>
      <c r="I99" s="652">
        <v>45748</v>
      </c>
      <c r="J99" s="653">
        <v>931817</v>
      </c>
      <c r="K99" s="603">
        <v>0.3</v>
      </c>
      <c r="L99" s="568">
        <v>279545</v>
      </c>
      <c r="M99" s="654">
        <f>VLOOKUP(G:G,list!B:E,4,FALSE)</f>
        <v>0.1</v>
      </c>
      <c r="N99" s="655">
        <f t="shared" ref="N99:N117" si="4">ROUND(IF(M99="-",0,L99*M99),0)</f>
        <v>27955</v>
      </c>
      <c r="O99" s="655">
        <f t="shared" ref="O99:O117" si="5">L99-N99</f>
        <v>251590</v>
      </c>
      <c r="P99" s="564" t="s">
        <v>282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72</v>
      </c>
      <c r="E100" s="564" t="s">
        <v>9</v>
      </c>
      <c r="F100" s="564" t="s">
        <v>213</v>
      </c>
      <c r="G100" s="564" t="s">
        <v>454</v>
      </c>
      <c r="H100" s="565">
        <v>45257</v>
      </c>
      <c r="I100" s="652">
        <v>45748</v>
      </c>
      <c r="J100" s="653">
        <v>50330</v>
      </c>
      <c r="K100" s="603">
        <v>0.3</v>
      </c>
      <c r="L100" s="568">
        <v>15099</v>
      </c>
      <c r="M100" s="654">
        <f>VLOOKUP(G:G,list!B:E,4,FALSE)</f>
        <v>0.1</v>
      </c>
      <c r="N100" s="655">
        <f t="shared" si="4"/>
        <v>1510</v>
      </c>
      <c r="O100" s="655">
        <f t="shared" si="5"/>
        <v>13589</v>
      </c>
      <c r="P100" s="564" t="s">
        <v>546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작가기획</v>
      </c>
      <c r="D101" s="564" t="s">
        <v>72</v>
      </c>
      <c r="E101" s="564" t="s">
        <v>9</v>
      </c>
      <c r="F101" s="564" t="s">
        <v>73</v>
      </c>
      <c r="G101" s="564" t="s">
        <v>308</v>
      </c>
      <c r="H101" s="565" t="s">
        <v>168</v>
      </c>
      <c r="I101" s="652">
        <v>45658</v>
      </c>
      <c r="J101" s="653">
        <v>0</v>
      </c>
      <c r="K101" s="605">
        <v>0.78900000000000003</v>
      </c>
      <c r="L101" s="568">
        <v>0</v>
      </c>
      <c r="M101" s="654" t="str">
        <f>VLOOKUP(G:G,list!B:E,4,FALSE)</f>
        <v>-</v>
      </c>
      <c r="N101" s="655">
        <f t="shared" si="4"/>
        <v>0</v>
      </c>
      <c r="O101" s="655">
        <f t="shared" si="5"/>
        <v>0</v>
      </c>
      <c r="P101" s="564" t="s">
        <v>581</v>
      </c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작가기획</v>
      </c>
      <c r="D102" s="564" t="s">
        <v>72</v>
      </c>
      <c r="E102" s="564" t="s">
        <v>9</v>
      </c>
      <c r="F102" s="564" t="s">
        <v>73</v>
      </c>
      <c r="G102" s="564" t="s">
        <v>308</v>
      </c>
      <c r="H102" s="565" t="s">
        <v>168</v>
      </c>
      <c r="I102" s="652">
        <v>45689</v>
      </c>
      <c r="J102" s="653">
        <v>0</v>
      </c>
      <c r="K102" s="605">
        <v>0.78900000000000003</v>
      </c>
      <c r="L102" s="568">
        <v>0</v>
      </c>
      <c r="M102" s="654" t="str">
        <f>VLOOKUP(G:G,list!B:E,4,FALSE)</f>
        <v>-</v>
      </c>
      <c r="N102" s="655">
        <f t="shared" si="4"/>
        <v>0</v>
      </c>
      <c r="O102" s="655">
        <f t="shared" si="5"/>
        <v>0</v>
      </c>
      <c r="P102" s="564" t="s">
        <v>581</v>
      </c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작가기획</v>
      </c>
      <c r="D103" s="564" t="s">
        <v>72</v>
      </c>
      <c r="E103" s="564" t="s">
        <v>9</v>
      </c>
      <c r="F103" s="564" t="s">
        <v>73</v>
      </c>
      <c r="G103" s="564" t="s">
        <v>308</v>
      </c>
      <c r="H103" s="565" t="s">
        <v>168</v>
      </c>
      <c r="I103" s="652">
        <v>45717</v>
      </c>
      <c r="J103" s="653">
        <v>0</v>
      </c>
      <c r="K103" s="605">
        <v>0.78900000000000003</v>
      </c>
      <c r="L103" s="568">
        <v>0</v>
      </c>
      <c r="M103" s="654" t="str">
        <f>VLOOKUP(G:G,list!B:E,4,FALSE)</f>
        <v>-</v>
      </c>
      <c r="N103" s="655">
        <f t="shared" si="4"/>
        <v>0</v>
      </c>
      <c r="O103" s="655">
        <f t="shared" si="5"/>
        <v>0</v>
      </c>
      <c r="P103" s="564" t="s">
        <v>581</v>
      </c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67</v>
      </c>
      <c r="E104" s="564" t="s">
        <v>9</v>
      </c>
      <c r="F104" s="564" t="s">
        <v>559</v>
      </c>
      <c r="G104" s="564" t="s">
        <v>30</v>
      </c>
      <c r="H104" s="565">
        <v>45275</v>
      </c>
      <c r="I104" s="652">
        <v>45658</v>
      </c>
      <c r="J104" s="653">
        <v>114838</v>
      </c>
      <c r="K104" s="603">
        <v>0.4</v>
      </c>
      <c r="L104" s="568">
        <v>41341</v>
      </c>
      <c r="M104" s="654">
        <f>VLOOKUP(G:G,list!B:E,4,FALSE)</f>
        <v>0.1</v>
      </c>
      <c r="N104" s="655">
        <f t="shared" si="4"/>
        <v>4134</v>
      </c>
      <c r="O104" s="655">
        <f t="shared" si="5"/>
        <v>37207</v>
      </c>
      <c r="P104" s="564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67</v>
      </c>
      <c r="E105" s="564" t="s">
        <v>9</v>
      </c>
      <c r="F105" s="564" t="s">
        <v>559</v>
      </c>
      <c r="G105" s="564" t="s">
        <v>30</v>
      </c>
      <c r="H105" s="565">
        <v>45275</v>
      </c>
      <c r="I105" s="652">
        <v>45689</v>
      </c>
      <c r="J105" s="653">
        <v>235140</v>
      </c>
      <c r="K105" s="603">
        <v>0.4</v>
      </c>
      <c r="L105" s="568">
        <v>84649</v>
      </c>
      <c r="M105" s="654">
        <f>VLOOKUP(G:G,list!B:E,4,FALSE)</f>
        <v>0.1</v>
      </c>
      <c r="N105" s="655">
        <f t="shared" si="4"/>
        <v>8465</v>
      </c>
      <c r="O105" s="655">
        <f t="shared" si="5"/>
        <v>76184</v>
      </c>
      <c r="P105" s="564"/>
      <c r="Q105" s="672" t="str">
        <f>VLOOKUP(G:G,list!B:F,5,FALSE)</f>
        <v>웹소설본부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67</v>
      </c>
      <c r="E106" s="564" t="s">
        <v>9</v>
      </c>
      <c r="F106" s="564" t="s">
        <v>559</v>
      </c>
      <c r="G106" s="564" t="s">
        <v>30</v>
      </c>
      <c r="H106" s="565">
        <v>45275</v>
      </c>
      <c r="I106" s="652">
        <v>45717</v>
      </c>
      <c r="J106" s="653">
        <v>106184</v>
      </c>
      <c r="K106" s="603">
        <v>0.4</v>
      </c>
      <c r="L106" s="568">
        <v>38226</v>
      </c>
      <c r="M106" s="654">
        <f>VLOOKUP(G:G,list!B:E,4,FALSE)</f>
        <v>0.1</v>
      </c>
      <c r="N106" s="655">
        <f t="shared" si="4"/>
        <v>3823</v>
      </c>
      <c r="O106" s="655">
        <f t="shared" si="5"/>
        <v>34403</v>
      </c>
      <c r="P106" s="564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작가기획</v>
      </c>
      <c r="D107" s="564" t="s">
        <v>32</v>
      </c>
      <c r="E107" s="564" t="s">
        <v>9</v>
      </c>
      <c r="F107" s="564" t="s">
        <v>567</v>
      </c>
      <c r="G107" s="564" t="s">
        <v>36</v>
      </c>
      <c r="H107" s="565">
        <v>45158</v>
      </c>
      <c r="I107" s="652" t="s">
        <v>590</v>
      </c>
      <c r="J107" s="653">
        <v>6192</v>
      </c>
      <c r="K107" s="603">
        <v>0.4</v>
      </c>
      <c r="L107" s="568">
        <v>5883</v>
      </c>
      <c r="M107" s="654" t="str">
        <f>VLOOKUP(G:G,list!B:E,4,FALSE)</f>
        <v>-</v>
      </c>
      <c r="N107" s="655">
        <f t="shared" si="4"/>
        <v>0</v>
      </c>
      <c r="O107" s="655">
        <f t="shared" si="5"/>
        <v>5883</v>
      </c>
      <c r="P107" s="564" t="s">
        <v>568</v>
      </c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작가기획</v>
      </c>
      <c r="D108" s="564" t="s">
        <v>32</v>
      </c>
      <c r="E108" s="564" t="s">
        <v>9</v>
      </c>
      <c r="F108" s="564" t="s">
        <v>567</v>
      </c>
      <c r="G108" s="564" t="s">
        <v>37</v>
      </c>
      <c r="H108" s="565">
        <v>45157</v>
      </c>
      <c r="I108" s="652" t="s">
        <v>590</v>
      </c>
      <c r="J108" s="653">
        <v>2683</v>
      </c>
      <c r="K108" s="603">
        <v>0.4</v>
      </c>
      <c r="L108" s="568">
        <v>2549</v>
      </c>
      <c r="M108" s="654" t="str">
        <f>VLOOKUP(G:G,list!B:E,4,FALSE)</f>
        <v>-</v>
      </c>
      <c r="N108" s="655">
        <f t="shared" si="4"/>
        <v>0</v>
      </c>
      <c r="O108" s="655">
        <f t="shared" si="5"/>
        <v>2549</v>
      </c>
      <c r="P108" s="564" t="s">
        <v>568</v>
      </c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79</v>
      </c>
      <c r="E109" s="564" t="s">
        <v>9</v>
      </c>
      <c r="F109" s="564" t="s">
        <v>235</v>
      </c>
      <c r="G109" s="564" t="s">
        <v>30</v>
      </c>
      <c r="H109" s="565">
        <v>44281</v>
      </c>
      <c r="I109" s="652">
        <v>45658</v>
      </c>
      <c r="J109" s="653">
        <v>13651</v>
      </c>
      <c r="K109" s="603">
        <v>0.5</v>
      </c>
      <c r="L109" s="568">
        <v>5749</v>
      </c>
      <c r="M109" s="654">
        <f>VLOOKUP(G:G,list!B:E,4,FALSE)</f>
        <v>0.1</v>
      </c>
      <c r="N109" s="655">
        <f t="shared" si="4"/>
        <v>575</v>
      </c>
      <c r="O109" s="655">
        <f t="shared" si="5"/>
        <v>5174</v>
      </c>
      <c r="P109" s="564"/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작가기획</v>
      </c>
      <c r="D110" s="564" t="s">
        <v>79</v>
      </c>
      <c r="E110" s="564" t="s">
        <v>9</v>
      </c>
      <c r="F110" s="564" t="s">
        <v>235</v>
      </c>
      <c r="G110" s="564" t="s">
        <v>36</v>
      </c>
      <c r="H110" s="565">
        <v>44293</v>
      </c>
      <c r="I110" s="652">
        <v>45658</v>
      </c>
      <c r="J110" s="653">
        <v>8268</v>
      </c>
      <c r="K110" s="603">
        <v>0.5</v>
      </c>
      <c r="L110" s="568">
        <v>3481</v>
      </c>
      <c r="M110" s="654" t="str">
        <f>VLOOKUP(G:G,list!B:E,4,FALSE)</f>
        <v>-</v>
      </c>
      <c r="N110" s="655">
        <f t="shared" si="4"/>
        <v>0</v>
      </c>
      <c r="O110" s="655">
        <f t="shared" si="5"/>
        <v>3481</v>
      </c>
      <c r="P110" s="564"/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79</v>
      </c>
      <c r="E111" s="564" t="s">
        <v>9</v>
      </c>
      <c r="F111" s="564" t="s">
        <v>235</v>
      </c>
      <c r="G111" s="564" t="s">
        <v>454</v>
      </c>
      <c r="H111" s="565">
        <v>44840</v>
      </c>
      <c r="I111" s="652">
        <v>45658</v>
      </c>
      <c r="J111" s="653">
        <v>1087289</v>
      </c>
      <c r="K111" s="603">
        <v>0.5</v>
      </c>
      <c r="L111" s="568">
        <v>461585</v>
      </c>
      <c r="M111" s="654">
        <f>VLOOKUP(G:G,list!B:E,4,FALSE)</f>
        <v>0.1</v>
      </c>
      <c r="N111" s="655">
        <f t="shared" si="4"/>
        <v>46159</v>
      </c>
      <c r="O111" s="655">
        <f t="shared" si="5"/>
        <v>415426</v>
      </c>
      <c r="P111" s="564"/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79</v>
      </c>
      <c r="E112" s="564" t="s">
        <v>9</v>
      </c>
      <c r="F112" s="564" t="s">
        <v>235</v>
      </c>
      <c r="G112" s="564" t="s">
        <v>30</v>
      </c>
      <c r="H112" s="565">
        <v>44281</v>
      </c>
      <c r="I112" s="652">
        <v>45689</v>
      </c>
      <c r="J112" s="653">
        <v>11142</v>
      </c>
      <c r="K112" s="603">
        <v>0.5</v>
      </c>
      <c r="L112" s="568">
        <v>4693</v>
      </c>
      <c r="M112" s="654">
        <f>VLOOKUP(G:G,list!B:E,4,FALSE)</f>
        <v>0.1</v>
      </c>
      <c r="N112" s="655">
        <f t="shared" si="4"/>
        <v>469</v>
      </c>
      <c r="O112" s="655">
        <f t="shared" si="5"/>
        <v>4224</v>
      </c>
      <c r="P112" s="564"/>
      <c r="Q112" s="672" t="str">
        <f>VLOOKUP(G:G,list!B:F,5,FALSE)</f>
        <v>웹소설본부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작가기획</v>
      </c>
      <c r="D113" s="564" t="s">
        <v>79</v>
      </c>
      <c r="E113" s="564" t="s">
        <v>9</v>
      </c>
      <c r="F113" s="564" t="s">
        <v>235</v>
      </c>
      <c r="G113" s="564" t="s">
        <v>36</v>
      </c>
      <c r="H113" s="565">
        <v>44293</v>
      </c>
      <c r="I113" s="652">
        <v>45689</v>
      </c>
      <c r="J113" s="653">
        <v>10618</v>
      </c>
      <c r="K113" s="603">
        <v>0.5</v>
      </c>
      <c r="L113" s="568">
        <v>4473</v>
      </c>
      <c r="M113" s="654" t="str">
        <f>VLOOKUP(G:G,list!B:E,4,FALSE)</f>
        <v>-</v>
      </c>
      <c r="N113" s="655">
        <f t="shared" si="4"/>
        <v>0</v>
      </c>
      <c r="O113" s="655">
        <f t="shared" si="5"/>
        <v>4473</v>
      </c>
      <c r="P113" s="564"/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79</v>
      </c>
      <c r="E114" s="564" t="s">
        <v>9</v>
      </c>
      <c r="F114" s="564" t="s">
        <v>235</v>
      </c>
      <c r="G114" s="564" t="s">
        <v>454</v>
      </c>
      <c r="H114" s="565">
        <v>44840</v>
      </c>
      <c r="I114" s="652">
        <v>45689</v>
      </c>
      <c r="J114" s="653">
        <v>2139377</v>
      </c>
      <c r="K114" s="603">
        <v>0.5</v>
      </c>
      <c r="L114" s="568">
        <v>908226</v>
      </c>
      <c r="M114" s="654">
        <f>VLOOKUP(G:G,list!B:E,4,FALSE)</f>
        <v>0.1</v>
      </c>
      <c r="N114" s="655">
        <f t="shared" si="4"/>
        <v>90823</v>
      </c>
      <c r="O114" s="655">
        <f t="shared" si="5"/>
        <v>817403</v>
      </c>
      <c r="P114" s="564"/>
      <c r="Q114" s="672" t="str">
        <f>VLOOKUP(G:G,list!B:F,5,FALSE)</f>
        <v>-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79</v>
      </c>
      <c r="E115" s="564" t="s">
        <v>9</v>
      </c>
      <c r="F115" s="564" t="s">
        <v>235</v>
      </c>
      <c r="G115" s="564" t="s">
        <v>30</v>
      </c>
      <c r="H115" s="565">
        <v>44281</v>
      </c>
      <c r="I115" s="652">
        <v>45717</v>
      </c>
      <c r="J115" s="653">
        <v>86</v>
      </c>
      <c r="K115" s="603">
        <v>0.5</v>
      </c>
      <c r="L115" s="568">
        <v>38</v>
      </c>
      <c r="M115" s="654">
        <f>VLOOKUP(G:G,list!B:E,4,FALSE)</f>
        <v>0.1</v>
      </c>
      <c r="N115" s="655">
        <f t="shared" si="4"/>
        <v>4</v>
      </c>
      <c r="O115" s="655">
        <f t="shared" si="5"/>
        <v>34</v>
      </c>
      <c r="P115" s="564"/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작가기획</v>
      </c>
      <c r="D116" s="564" t="s">
        <v>79</v>
      </c>
      <c r="E116" s="564" t="s">
        <v>9</v>
      </c>
      <c r="F116" s="564" t="s">
        <v>235</v>
      </c>
      <c r="G116" s="564" t="s">
        <v>36</v>
      </c>
      <c r="H116" s="565">
        <v>44293</v>
      </c>
      <c r="I116" s="652">
        <v>45717</v>
      </c>
      <c r="J116" s="653">
        <v>8092</v>
      </c>
      <c r="K116" s="603">
        <v>0.5</v>
      </c>
      <c r="L116" s="568">
        <v>3407</v>
      </c>
      <c r="M116" s="654" t="str">
        <f>VLOOKUP(G:G,list!B:E,4,FALSE)</f>
        <v>-</v>
      </c>
      <c r="N116" s="655">
        <f t="shared" si="4"/>
        <v>0</v>
      </c>
      <c r="O116" s="655">
        <f t="shared" si="5"/>
        <v>3407</v>
      </c>
      <c r="P116" s="564"/>
      <c r="Q116" s="672" t="str">
        <f>VLOOKUP(G:G,list!B:F,5,FALSE)</f>
        <v>-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79</v>
      </c>
      <c r="E117" s="564" t="s">
        <v>9</v>
      </c>
      <c r="F117" s="564" t="s">
        <v>235</v>
      </c>
      <c r="G117" s="564" t="s">
        <v>454</v>
      </c>
      <c r="H117" s="565">
        <v>44840</v>
      </c>
      <c r="I117" s="652">
        <v>45717</v>
      </c>
      <c r="J117" s="653">
        <v>965936</v>
      </c>
      <c r="K117" s="603">
        <v>0.5</v>
      </c>
      <c r="L117" s="568">
        <v>410067</v>
      </c>
      <c r="M117" s="654">
        <f>VLOOKUP(G:G,list!B:E,4,FALSE)</f>
        <v>0.1</v>
      </c>
      <c r="N117" s="655">
        <f t="shared" si="4"/>
        <v>41007</v>
      </c>
      <c r="O117" s="655">
        <f t="shared" si="5"/>
        <v>369060</v>
      </c>
      <c r="P117" s="564"/>
      <c r="Q117" s="672" t="str">
        <f>VLOOKUP(G:G,list!B:F,5,FALSE)</f>
        <v>-</v>
      </c>
      <c r="R117" s="656" t="str">
        <f>VLOOKUP(G:G,list!B:D,3,FALSE)</f>
        <v>Y</v>
      </c>
    </row>
    <row r="118" spans="2:18" ht="18" customHeight="1">
      <c r="B118" s="52"/>
      <c r="C118" s="551"/>
      <c r="D118" s="551"/>
      <c r="E118" s="551"/>
      <c r="F118" s="551"/>
      <c r="G118" s="551"/>
      <c r="H118" s="622"/>
      <c r="I118" s="675"/>
      <c r="J118" s="676"/>
      <c r="K118" s="436"/>
      <c r="L118" s="7"/>
      <c r="M118" s="438"/>
      <c r="N118" s="677"/>
      <c r="O118" s="677"/>
      <c r="P118" s="551"/>
      <c r="Q118" s="678"/>
      <c r="R118" s="679"/>
    </row>
    <row r="119" spans="2:18" ht="11.25" customHeight="1">
      <c r="B119" s="52"/>
      <c r="C119" s="551"/>
      <c r="D119" s="551"/>
      <c r="E119" s="551"/>
      <c r="F119" s="551"/>
      <c r="G119" s="551"/>
      <c r="H119" s="622"/>
      <c r="I119" s="551"/>
      <c r="J119" s="435"/>
      <c r="K119" s="623"/>
      <c r="L119"/>
      <c r="M119" s="438"/>
      <c r="N119" s="439"/>
      <c r="O119" s="440"/>
      <c r="P119" s="633"/>
      <c r="Q119" s="438"/>
      <c r="R119" s="486"/>
    </row>
    <row r="120" spans="2:18" s="7" customFormat="1" ht="16.5" customHeight="1">
      <c r="B120" s="624" t="s">
        <v>387</v>
      </c>
      <c r="C120" s="625"/>
      <c r="D120" s="625"/>
      <c r="E120" s="626"/>
      <c r="F120" s="625"/>
      <c r="G120" s="625"/>
      <c r="H120" s="625"/>
      <c r="I120" s="311"/>
      <c r="J120" s="311"/>
      <c r="K120" s="311"/>
      <c r="M120" s="424"/>
      <c r="N120"/>
      <c r="O120" s="333"/>
      <c r="P120" s="631"/>
      <c r="Q120" s="424"/>
      <c r="R120" s="484"/>
    </row>
    <row r="121" spans="2:18" s="7" customFormat="1" ht="16.5" customHeight="1">
      <c r="B121" s="629" t="s">
        <v>299</v>
      </c>
      <c r="C121" s="625"/>
      <c r="D121" s="625"/>
      <c r="E121" s="626"/>
      <c r="F121" s="625"/>
      <c r="G121" s="625"/>
      <c r="H121" s="625"/>
      <c r="I121" s="311"/>
      <c r="K121" s="311"/>
      <c r="L121" s="311"/>
      <c r="M121" s="424"/>
      <c r="N121"/>
      <c r="O121" s="333"/>
      <c r="P121" s="631"/>
      <c r="Q121" s="424"/>
      <c r="R121" s="484"/>
    </row>
    <row r="122" spans="2:18" s="7" customFormat="1" ht="16.5" customHeight="1">
      <c r="B122" s="628" t="s">
        <v>302</v>
      </c>
      <c r="C122" s="627"/>
      <c r="D122" s="625"/>
      <c r="E122" s="626"/>
      <c r="F122" s="625"/>
      <c r="G122" s="625"/>
      <c r="H122" s="625"/>
      <c r="I122" s="311"/>
      <c r="J122" s="311"/>
      <c r="L122" s="311"/>
      <c r="M122" s="424"/>
      <c r="N122"/>
      <c r="O122" s="333"/>
      <c r="P122" s="631"/>
      <c r="Q122" s="424"/>
      <c r="R122" s="484"/>
    </row>
    <row r="123" spans="2:18" s="7" customFormat="1" ht="16.5" customHeight="1">
      <c r="B123" s="630" t="s">
        <v>303</v>
      </c>
      <c r="C123" s="627"/>
      <c r="D123" s="625"/>
      <c r="E123" s="626"/>
      <c r="F123" s="625"/>
      <c r="G123" s="625"/>
      <c r="H123" s="625"/>
      <c r="I123" s="311"/>
      <c r="J123" s="311"/>
      <c r="K123" s="311"/>
      <c r="L123" s="311"/>
      <c r="M123" s="424"/>
      <c r="N123"/>
      <c r="O123" s="333"/>
      <c r="P123" s="631"/>
      <c r="Q123" s="424"/>
      <c r="R123" s="484"/>
    </row>
    <row r="124" spans="2:18" ht="16.5" customHeight="1">
      <c r="B124" s="629" t="s">
        <v>340</v>
      </c>
      <c r="C124" s="625"/>
      <c r="D124" s="625"/>
      <c r="E124" s="626"/>
      <c r="F124" s="625"/>
      <c r="G124" s="625"/>
      <c r="H124" s="625"/>
      <c r="I124" s="311"/>
      <c r="J124" s="311"/>
      <c r="K124" s="311"/>
    </row>
    <row r="125" spans="2:18" ht="16.5" customHeight="1">
      <c r="B125" s="629" t="s">
        <v>512</v>
      </c>
      <c r="C125" s="625"/>
      <c r="D125" s="625"/>
      <c r="E125" s="626"/>
      <c r="F125" s="625"/>
      <c r="G125" s="625"/>
      <c r="H125" s="625"/>
      <c r="I125" s="311"/>
      <c r="J125" s="311"/>
      <c r="K125" s="311"/>
    </row>
    <row r="126" spans="2:18" ht="16.5" customHeight="1">
      <c r="B126" s="629" t="s">
        <v>522</v>
      </c>
      <c r="C126" s="625"/>
      <c r="D126" s="625"/>
      <c r="E126" s="626"/>
      <c r="F126" s="625"/>
      <c r="G126" s="625"/>
      <c r="H126" s="625"/>
      <c r="I126" s="311"/>
      <c r="J126" s="311"/>
      <c r="K126" s="311"/>
    </row>
    <row r="127" spans="2:18" ht="16.5" customHeight="1">
      <c r="B127" s="629" t="s">
        <v>520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521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8" s="311" customFormat="1" ht="16.5" customHeight="1">
      <c r="B129" s="629" t="s">
        <v>529</v>
      </c>
      <c r="C129" s="625"/>
      <c r="D129" s="625"/>
      <c r="E129" s="626"/>
      <c r="F129" s="625"/>
      <c r="G129" s="625"/>
      <c r="H129" s="625"/>
      <c r="M129" s="424"/>
      <c r="N129"/>
      <c r="O129" s="333"/>
      <c r="P129" s="631"/>
      <c r="Q129" s="424"/>
      <c r="R129" s="484"/>
    </row>
  </sheetData>
  <autoFilter ref="B5:R117" xr:uid="{6BCF6E47-FA4B-4772-A4CE-8E1B50F6C0BA}"/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6E47-FA4B-4772-A4CE-8E1B50F6C0BA}">
  <dimension ref="B1:R152"/>
  <sheetViews>
    <sheetView showGridLines="0" zoomScaleNormal="100" workbookViewId="0">
      <pane xSplit="1" ySplit="5" topLeftCell="B95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584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583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35922846.770218998</v>
      </c>
      <c r="K4" s="52"/>
      <c r="L4" s="648">
        <f>SUBTOTAL(109,L6:L1048576)</f>
        <v>11905117.100000001</v>
      </c>
      <c r="M4" s="543"/>
      <c r="N4" s="649">
        <f>SUBTOTAL(109,N6:N1048576)</f>
        <v>1042829</v>
      </c>
      <c r="O4" s="649">
        <f>SUBTOTAL(109,O6:O1048576)</f>
        <v>10862288.100000001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45748</v>
      </c>
      <c r="J6" s="653">
        <v>409747.20000000001</v>
      </c>
      <c r="K6" s="567">
        <v>0.6</v>
      </c>
      <c r="L6" s="646">
        <v>245847</v>
      </c>
      <c r="M6" s="654" t="str">
        <f>VLOOKUP(G:G,list!B:E,4,FALSE)</f>
        <v>-</v>
      </c>
      <c r="N6" s="655">
        <f t="shared" ref="N6:N100" si="0">ROUND(IF(M6="-",0,L6*M6),0)</f>
        <v>0</v>
      </c>
      <c r="O6" s="655">
        <f t="shared" ref="O6:O100" si="1">L6-N6</f>
        <v>245847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45748</v>
      </c>
      <c r="J7" s="653">
        <v>111622.6</v>
      </c>
      <c r="K7" s="600">
        <v>0.6</v>
      </c>
      <c r="L7" s="646">
        <v>66974</v>
      </c>
      <c r="M7" s="654" t="str">
        <f>VLOOKUP(G:G,list!B:E,4,FALSE)</f>
        <v>-</v>
      </c>
      <c r="N7" s="655">
        <f t="shared" si="0"/>
        <v>0</v>
      </c>
      <c r="O7" s="655">
        <f t="shared" si="1"/>
        <v>66974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45748</v>
      </c>
      <c r="J8" s="653">
        <v>225965.1</v>
      </c>
      <c r="K8" s="567">
        <v>0.6</v>
      </c>
      <c r="L8" s="646">
        <v>135579</v>
      </c>
      <c r="M8" s="654" t="str">
        <f>VLOOKUP(G:G,list!B:E,4,FALSE)</f>
        <v>-</v>
      </c>
      <c r="N8" s="655">
        <f t="shared" si="0"/>
        <v>0</v>
      </c>
      <c r="O8" s="655">
        <f t="shared" si="1"/>
        <v>135579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45748</v>
      </c>
      <c r="J9" s="653">
        <v>168471</v>
      </c>
      <c r="K9" s="606">
        <v>0.6</v>
      </c>
      <c r="L9" s="646">
        <v>101080</v>
      </c>
      <c r="M9" s="654">
        <f>VLOOKUP(G:G,list!B:E,4,FALSE)</f>
        <v>0.1</v>
      </c>
      <c r="N9" s="655">
        <f t="shared" si="0"/>
        <v>10108</v>
      </c>
      <c r="O9" s="655">
        <f t="shared" si="1"/>
        <v>90972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45748</v>
      </c>
      <c r="J10" s="653">
        <v>267884.7</v>
      </c>
      <c r="K10" s="600">
        <v>0.6</v>
      </c>
      <c r="L10" s="646">
        <v>160732</v>
      </c>
      <c r="M10" s="654">
        <f>VLOOKUP(G:G,list!B:E,4,FALSE)</f>
        <v>0.1</v>
      </c>
      <c r="N10" s="655">
        <f t="shared" si="0"/>
        <v>16073</v>
      </c>
      <c r="O10" s="655">
        <f t="shared" si="1"/>
        <v>144659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45748</v>
      </c>
      <c r="J11" s="653">
        <v>4374</v>
      </c>
      <c r="K11" s="603">
        <v>0.6</v>
      </c>
      <c r="L11" s="646">
        <v>2624</v>
      </c>
      <c r="M11" s="654" t="str">
        <f>VLOOKUP(G:G,list!B:E,4,FALSE)</f>
        <v>-</v>
      </c>
      <c r="N11" s="655">
        <f t="shared" si="0"/>
        <v>0</v>
      </c>
      <c r="O11" s="655">
        <f t="shared" si="1"/>
        <v>2624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45748</v>
      </c>
      <c r="J12" s="653">
        <v>334080.5</v>
      </c>
      <c r="K12" s="603">
        <v>0.6</v>
      </c>
      <c r="L12" s="646">
        <v>200447</v>
      </c>
      <c r="M12" s="654">
        <f>VLOOKUP(G:G,list!B:E,4,FALSE)</f>
        <v>0.1</v>
      </c>
      <c r="N12" s="655">
        <f t="shared" si="0"/>
        <v>20045</v>
      </c>
      <c r="O12" s="655">
        <f t="shared" si="1"/>
        <v>180402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45748</v>
      </c>
      <c r="J13" s="653">
        <v>111173.6</v>
      </c>
      <c r="K13" s="600">
        <v>0.6</v>
      </c>
      <c r="L13" s="646">
        <v>66704</v>
      </c>
      <c r="M13" s="654">
        <f>VLOOKUP(G:G,list!B:E,4,FALSE)</f>
        <v>0.1</v>
      </c>
      <c r="N13" s="655">
        <f t="shared" si="0"/>
        <v>6670</v>
      </c>
      <c r="O13" s="655">
        <f t="shared" si="1"/>
        <v>60034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45748</v>
      </c>
      <c r="J14" s="653">
        <v>192233.8</v>
      </c>
      <c r="K14" s="606">
        <v>0.6</v>
      </c>
      <c r="L14" s="646">
        <v>115340</v>
      </c>
      <c r="M14" s="654">
        <f>VLOOKUP(G:G,list!B:E,4,FALSE)</f>
        <v>0.11</v>
      </c>
      <c r="N14" s="655">
        <f t="shared" si="0"/>
        <v>12687</v>
      </c>
      <c r="O14" s="655">
        <f t="shared" si="1"/>
        <v>102653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45748</v>
      </c>
      <c r="J15" s="653">
        <v>707597.7</v>
      </c>
      <c r="K15" s="567">
        <v>0.6</v>
      </c>
      <c r="L15" s="646">
        <v>424558</v>
      </c>
      <c r="M15" s="654">
        <f>VLOOKUP(G:G,list!B:E,4,FALSE)</f>
        <v>0.1</v>
      </c>
      <c r="N15" s="655">
        <f t="shared" si="0"/>
        <v>42456</v>
      </c>
      <c r="O15" s="655">
        <f t="shared" si="1"/>
        <v>382102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45748</v>
      </c>
      <c r="J16" s="653">
        <v>139579</v>
      </c>
      <c r="K16" s="567">
        <v>0.6</v>
      </c>
      <c r="L16" s="646">
        <v>83748</v>
      </c>
      <c r="M16" s="654">
        <f>VLOOKUP(G:G,list!B:E,4,FALSE)</f>
        <v>0.1</v>
      </c>
      <c r="N16" s="655">
        <f t="shared" si="0"/>
        <v>8375</v>
      </c>
      <c r="O16" s="655">
        <f t="shared" si="1"/>
        <v>75373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45748</v>
      </c>
      <c r="J17" s="653">
        <v>1166</v>
      </c>
      <c r="K17" s="600">
        <v>0.7</v>
      </c>
      <c r="L17" s="646">
        <v>816</v>
      </c>
      <c r="M17" s="654" t="str">
        <f>VLOOKUP(G:G,list!B:E,4,FALSE)</f>
        <v>-</v>
      </c>
      <c r="N17" s="655">
        <f t="shared" si="0"/>
        <v>0</v>
      </c>
      <c r="O17" s="655">
        <f t="shared" si="1"/>
        <v>816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45748</v>
      </c>
      <c r="J18" s="653">
        <v>461410</v>
      </c>
      <c r="K18" s="603">
        <v>0.6</v>
      </c>
      <c r="L18" s="646">
        <v>276846</v>
      </c>
      <c r="M18" s="654">
        <f>VLOOKUP(G:G,list!B:E,4,FALSE)</f>
        <v>0.1</v>
      </c>
      <c r="N18" s="655">
        <f t="shared" si="0"/>
        <v>27685</v>
      </c>
      <c r="O18" s="655">
        <f t="shared" si="1"/>
        <v>249161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45748</v>
      </c>
      <c r="J19" s="653">
        <v>222938.9</v>
      </c>
      <c r="K19" s="603">
        <v>0.7</v>
      </c>
      <c r="L19" s="646">
        <v>156057</v>
      </c>
      <c r="M19" s="654">
        <f>VLOOKUP(G:G,list!B:E,4,FALSE)</f>
        <v>0.1</v>
      </c>
      <c r="N19" s="655">
        <f t="shared" si="0"/>
        <v>15606</v>
      </c>
      <c r="O19" s="655">
        <f t="shared" si="1"/>
        <v>140451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45748</v>
      </c>
      <c r="J20" s="653">
        <v>21654.9</v>
      </c>
      <c r="K20" s="603">
        <v>0.6</v>
      </c>
      <c r="L20" s="646">
        <v>12993</v>
      </c>
      <c r="M20" s="654">
        <f>VLOOKUP(G:G,list!B:E,4,FALSE)</f>
        <v>0.1</v>
      </c>
      <c r="N20" s="655">
        <f t="shared" si="0"/>
        <v>1299</v>
      </c>
      <c r="O20" s="655">
        <f t="shared" si="1"/>
        <v>11694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45748</v>
      </c>
      <c r="J21" s="653">
        <v>0</v>
      </c>
      <c r="K21" s="567">
        <v>0.6</v>
      </c>
      <c r="L21" s="646">
        <v>0</v>
      </c>
      <c r="M21" s="654" t="str">
        <f>VLOOKUP(G:G,list!B:E,4,FALSE)</f>
        <v>-</v>
      </c>
      <c r="N21" s="655">
        <f t="shared" si="0"/>
        <v>0</v>
      </c>
      <c r="O21" s="655">
        <f t="shared" si="1"/>
        <v>0</v>
      </c>
      <c r="P21" s="564" t="s">
        <v>366</v>
      </c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45748</v>
      </c>
      <c r="J22" s="653">
        <v>33775.699999999997</v>
      </c>
      <c r="K22" s="567">
        <v>0.6</v>
      </c>
      <c r="L22" s="646">
        <v>20265</v>
      </c>
      <c r="M22" s="654">
        <f>VLOOKUP(G:G,list!B:E,4,FALSE)</f>
        <v>0.1</v>
      </c>
      <c r="N22" s="655">
        <f t="shared" si="0"/>
        <v>2027</v>
      </c>
      <c r="O22" s="655">
        <f t="shared" si="1"/>
        <v>18238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45748</v>
      </c>
      <c r="J23" s="653">
        <v>360</v>
      </c>
      <c r="K23" s="567">
        <v>0.6</v>
      </c>
      <c r="L23" s="646">
        <v>216</v>
      </c>
      <c r="M23" s="654" t="str">
        <f>VLOOKUP(G:G,list!B:E,4,FALSE)</f>
        <v>-</v>
      </c>
      <c r="N23" s="655">
        <f t="shared" si="0"/>
        <v>0</v>
      </c>
      <c r="O23" s="655">
        <f t="shared" si="1"/>
        <v>216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45748</v>
      </c>
      <c r="J24" s="653">
        <v>63723.8</v>
      </c>
      <c r="K24" s="603">
        <v>0.6</v>
      </c>
      <c r="L24" s="646">
        <v>38235</v>
      </c>
      <c r="M24" s="654">
        <f>VLOOKUP(G:G,list!B:E,4,FALSE)</f>
        <v>0.1</v>
      </c>
      <c r="N24" s="655">
        <f t="shared" si="0"/>
        <v>3824</v>
      </c>
      <c r="O24" s="655">
        <f t="shared" si="1"/>
        <v>34411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45748</v>
      </c>
      <c r="J25" s="653">
        <v>17490</v>
      </c>
      <c r="K25" s="603">
        <v>0.6</v>
      </c>
      <c r="L25" s="646">
        <v>10494</v>
      </c>
      <c r="M25" s="654">
        <f>VLOOKUP(G:G,list!B:E,4,FALSE)</f>
        <v>0.1</v>
      </c>
      <c r="N25" s="655">
        <f t="shared" si="0"/>
        <v>1049</v>
      </c>
      <c r="O25" s="655">
        <f t="shared" si="1"/>
        <v>9445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45748</v>
      </c>
      <c r="J26" s="653">
        <v>-5276</v>
      </c>
      <c r="K26" s="567">
        <v>0.6</v>
      </c>
      <c r="L26" s="646">
        <v>-3166</v>
      </c>
      <c r="M26" s="654">
        <f>VLOOKUP(G:G,list!B:E,4,FALSE)</f>
        <v>0.1</v>
      </c>
      <c r="N26" s="655">
        <f t="shared" si="0"/>
        <v>-317</v>
      </c>
      <c r="O26" s="655">
        <f t="shared" si="1"/>
        <v>-2849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45748</v>
      </c>
      <c r="J27" s="653">
        <v>1908</v>
      </c>
      <c r="K27" s="567">
        <v>0.6</v>
      </c>
      <c r="L27" s="646">
        <v>1145</v>
      </c>
      <c r="M27" s="654">
        <f>VLOOKUP(G:G,list!B:E,4,FALSE)</f>
        <v>0.1</v>
      </c>
      <c r="N27" s="655">
        <f t="shared" si="0"/>
        <v>115</v>
      </c>
      <c r="O27" s="655">
        <f t="shared" si="1"/>
        <v>1030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45748</v>
      </c>
      <c r="J28" s="653">
        <v>10556</v>
      </c>
      <c r="K28" s="567">
        <v>0.6</v>
      </c>
      <c r="L28" s="646">
        <v>6334</v>
      </c>
      <c r="M28" s="654" t="str">
        <f>VLOOKUP(G:G,list!B:E,4,FALSE)</f>
        <v>-</v>
      </c>
      <c r="N28" s="655">
        <f t="shared" si="0"/>
        <v>0</v>
      </c>
      <c r="O28" s="655">
        <f t="shared" si="1"/>
        <v>6334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45748</v>
      </c>
      <c r="J29" s="653">
        <v>54459.9</v>
      </c>
      <c r="K29" s="567">
        <v>0.6</v>
      </c>
      <c r="L29" s="646">
        <v>32676</v>
      </c>
      <c r="M29" s="654">
        <f>VLOOKUP(G:G,list!B:E,4,FALSE)</f>
        <v>0.11</v>
      </c>
      <c r="N29" s="655">
        <f t="shared" si="0"/>
        <v>3594</v>
      </c>
      <c r="O29" s="655">
        <f t="shared" si="1"/>
        <v>29082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45748</v>
      </c>
      <c r="J30" s="653">
        <v>186423.5</v>
      </c>
      <c r="K30" s="567">
        <v>0.6</v>
      </c>
      <c r="L30" s="646">
        <v>111854</v>
      </c>
      <c r="M30" s="654" t="str">
        <f>VLOOKUP(G:G,list!B:E,4,FALSE)</f>
        <v>-</v>
      </c>
      <c r="N30" s="655">
        <f t="shared" si="0"/>
        <v>0</v>
      </c>
      <c r="O30" s="655">
        <f t="shared" si="1"/>
        <v>111854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45748</v>
      </c>
      <c r="J31" s="653">
        <v>64555.9</v>
      </c>
      <c r="K31" s="567">
        <v>0.6</v>
      </c>
      <c r="L31" s="646">
        <v>38734</v>
      </c>
      <c r="M31" s="654" t="str">
        <f>VLOOKUP(G:G,list!B:E,4,FALSE)</f>
        <v>-</v>
      </c>
      <c r="N31" s="655">
        <f t="shared" si="0"/>
        <v>0</v>
      </c>
      <c r="O31" s="655">
        <f t="shared" si="1"/>
        <v>38734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45748</v>
      </c>
      <c r="J32" s="653">
        <v>114799.6</v>
      </c>
      <c r="K32" s="567">
        <v>0.6</v>
      </c>
      <c r="L32" s="646">
        <v>68880</v>
      </c>
      <c r="M32" s="654">
        <f>VLOOKUP(G:G,list!B:E,4,FALSE)</f>
        <v>0.1</v>
      </c>
      <c r="N32" s="655">
        <f t="shared" si="0"/>
        <v>6888</v>
      </c>
      <c r="O32" s="655">
        <f t="shared" si="1"/>
        <v>61992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45717</v>
      </c>
      <c r="J33" s="653">
        <v>175353</v>
      </c>
      <c r="K33" s="674">
        <v>0.224</v>
      </c>
      <c r="L33" s="646">
        <v>35358</v>
      </c>
      <c r="M33" s="654">
        <f>VLOOKUP(G:G,list!B:E,4,FALSE)</f>
        <v>0.1</v>
      </c>
      <c r="N33" s="655">
        <f t="shared" si="0"/>
        <v>3536</v>
      </c>
      <c r="O33" s="655">
        <f t="shared" si="1"/>
        <v>31822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45717</v>
      </c>
      <c r="J34" s="653">
        <v>1685538</v>
      </c>
      <c r="K34" s="674">
        <v>0.224</v>
      </c>
      <c r="L34" s="646">
        <v>339808</v>
      </c>
      <c r="M34" s="654">
        <f>VLOOKUP(G:G,list!B:E,4,FALSE)</f>
        <v>0.1</v>
      </c>
      <c r="N34" s="655">
        <f t="shared" si="0"/>
        <v>33981</v>
      </c>
      <c r="O34" s="655">
        <f t="shared" si="1"/>
        <v>305827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45717</v>
      </c>
      <c r="J35" s="653">
        <v>25050</v>
      </c>
      <c r="K35" s="674">
        <v>0.224</v>
      </c>
      <c r="L35" s="646">
        <v>4947</v>
      </c>
      <c r="M35" s="654" t="str">
        <f>VLOOKUP(G:G,list!B:E,4,FALSE)</f>
        <v>-</v>
      </c>
      <c r="N35" s="655">
        <f t="shared" si="0"/>
        <v>0</v>
      </c>
      <c r="O35" s="655">
        <f t="shared" si="1"/>
        <v>4947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45717</v>
      </c>
      <c r="J36" s="653">
        <v>467012</v>
      </c>
      <c r="K36" s="674">
        <v>0.224</v>
      </c>
      <c r="L36" s="646">
        <v>94158</v>
      </c>
      <c r="M36" s="654">
        <f>VLOOKUP(G:G,list!B:E,4,FALSE)</f>
        <v>0.1</v>
      </c>
      <c r="N36" s="655">
        <f t="shared" si="0"/>
        <v>9416</v>
      </c>
      <c r="O36" s="655">
        <f t="shared" si="1"/>
        <v>84742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45717</v>
      </c>
      <c r="J37" s="653">
        <v>178335</v>
      </c>
      <c r="K37" s="674">
        <v>0.224</v>
      </c>
      <c r="L37" s="646">
        <v>35957</v>
      </c>
      <c r="M37" s="654">
        <f>VLOOKUP(G:G,list!B:E,4,FALSE)</f>
        <v>0.11</v>
      </c>
      <c r="N37" s="655">
        <f t="shared" si="0"/>
        <v>3955</v>
      </c>
      <c r="O37" s="655">
        <f t="shared" si="1"/>
        <v>32002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45717</v>
      </c>
      <c r="J38" s="653">
        <v>453294</v>
      </c>
      <c r="K38" s="674">
        <v>0.224</v>
      </c>
      <c r="L38" s="646">
        <v>91388</v>
      </c>
      <c r="M38" s="654">
        <f>VLOOKUP(G:G,list!B:E,4,FALSE)</f>
        <v>0.1</v>
      </c>
      <c r="N38" s="655">
        <f t="shared" si="0"/>
        <v>9139</v>
      </c>
      <c r="O38" s="655">
        <f t="shared" si="1"/>
        <v>82249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45717</v>
      </c>
      <c r="J39" s="653">
        <v>128234</v>
      </c>
      <c r="K39" s="674">
        <v>0.224</v>
      </c>
      <c r="L39" s="646">
        <v>25859</v>
      </c>
      <c r="M39" s="654" t="str">
        <f>VLOOKUP(G:G,list!B:E,4,FALSE)</f>
        <v>-</v>
      </c>
      <c r="N39" s="655">
        <f t="shared" si="0"/>
        <v>0</v>
      </c>
      <c r="O39" s="655">
        <f t="shared" si="1"/>
        <v>25859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45717</v>
      </c>
      <c r="J40" s="653">
        <v>8210588</v>
      </c>
      <c r="K40" s="674">
        <v>0.224</v>
      </c>
      <c r="L40" s="646">
        <v>1655263</v>
      </c>
      <c r="M40" s="654">
        <f>VLOOKUP(G:G,list!B:E,4,FALSE)</f>
        <v>0.1</v>
      </c>
      <c r="N40" s="655">
        <f t="shared" si="0"/>
        <v>165526</v>
      </c>
      <c r="O40" s="655">
        <f t="shared" si="1"/>
        <v>1489737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45717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45717</v>
      </c>
      <c r="J42" s="653">
        <v>144338</v>
      </c>
      <c r="K42" s="674">
        <v>0.224</v>
      </c>
      <c r="L42" s="646">
        <v>29105</v>
      </c>
      <c r="M42" s="654">
        <f>VLOOKUP(G:G,list!B:E,4,FALSE)</f>
        <v>0.1</v>
      </c>
      <c r="N42" s="655">
        <f t="shared" si="0"/>
        <v>2911</v>
      </c>
      <c r="O42" s="655">
        <f t="shared" si="1"/>
        <v>26194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45717</v>
      </c>
      <c r="J43" s="653">
        <v>493852</v>
      </c>
      <c r="K43" s="674">
        <v>0.224</v>
      </c>
      <c r="L43" s="646">
        <v>99564</v>
      </c>
      <c r="M43" s="654">
        <f>VLOOKUP(G:G,list!B:E,4,FALSE)</f>
        <v>0.1</v>
      </c>
      <c r="N43" s="655">
        <f t="shared" si="0"/>
        <v>9956</v>
      </c>
      <c r="O43" s="655">
        <f t="shared" si="1"/>
        <v>89608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45717</v>
      </c>
      <c r="J44" s="653">
        <v>1478574</v>
      </c>
      <c r="K44" s="674">
        <v>0.224</v>
      </c>
      <c r="L44" s="646">
        <v>298083</v>
      </c>
      <c r="M44" s="654" t="str">
        <f>VLOOKUP(G:G,list!B:E,4,FALSE)</f>
        <v>-</v>
      </c>
      <c r="N44" s="655">
        <f t="shared" si="0"/>
        <v>0</v>
      </c>
      <c r="O44" s="655">
        <f t="shared" si="1"/>
        <v>298083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25</v>
      </c>
      <c r="E45" s="564" t="s">
        <v>62</v>
      </c>
      <c r="F45" s="564" t="s">
        <v>257</v>
      </c>
      <c r="G45" s="564" t="s">
        <v>316</v>
      </c>
      <c r="H45" s="565">
        <v>45577</v>
      </c>
      <c r="I45" s="652">
        <v>45748</v>
      </c>
      <c r="J45" s="653">
        <v>24585</v>
      </c>
      <c r="K45" s="567">
        <v>0.35</v>
      </c>
      <c r="L45" s="646">
        <v>8605</v>
      </c>
      <c r="M45" s="654">
        <f>VLOOKUP(G:G,list!B:E,4,FALSE)</f>
        <v>0.1</v>
      </c>
      <c r="N45" s="655">
        <f t="shared" si="0"/>
        <v>861</v>
      </c>
      <c r="O45" s="655">
        <f t="shared" si="1"/>
        <v>7744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25</v>
      </c>
      <c r="E46" s="564" t="s">
        <v>62</v>
      </c>
      <c r="F46" s="564" t="s">
        <v>257</v>
      </c>
      <c r="G46" s="564" t="s">
        <v>353</v>
      </c>
      <c r="H46" s="565">
        <v>44916</v>
      </c>
      <c r="I46" s="652">
        <v>45748</v>
      </c>
      <c r="J46" s="653">
        <v>87509</v>
      </c>
      <c r="K46" s="567">
        <v>0.35</v>
      </c>
      <c r="L46" s="646">
        <v>30628</v>
      </c>
      <c r="M46" s="654">
        <f>VLOOKUP(G:G,list!B:E,4,FALSE)</f>
        <v>0.11</v>
      </c>
      <c r="N46" s="655">
        <f t="shared" si="0"/>
        <v>3369</v>
      </c>
      <c r="O46" s="655">
        <f t="shared" si="1"/>
        <v>27259</v>
      </c>
      <c r="P46" s="564"/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25</v>
      </c>
      <c r="E47" s="564" t="s">
        <v>62</v>
      </c>
      <c r="F47" s="564" t="s">
        <v>257</v>
      </c>
      <c r="G47" s="564" t="s">
        <v>352</v>
      </c>
      <c r="H47" s="565">
        <v>45098</v>
      </c>
      <c r="I47" s="652">
        <v>45748</v>
      </c>
      <c r="J47" s="653">
        <v>-2567</v>
      </c>
      <c r="K47" s="600">
        <v>0.35</v>
      </c>
      <c r="L47" s="646">
        <v>-898</v>
      </c>
      <c r="M47" s="654">
        <f>VLOOKUP(G:G,list!B:E,4,FALSE)</f>
        <v>0.1</v>
      </c>
      <c r="N47" s="655">
        <f t="shared" si="0"/>
        <v>-90</v>
      </c>
      <c r="O47" s="655">
        <f t="shared" si="1"/>
        <v>-808</v>
      </c>
      <c r="P47" s="564" t="s">
        <v>586</v>
      </c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246</v>
      </c>
      <c r="G48" s="564" t="s">
        <v>36</v>
      </c>
      <c r="H48" s="565">
        <v>43810</v>
      </c>
      <c r="I48" s="652">
        <v>45748</v>
      </c>
      <c r="J48" s="653">
        <v>23040</v>
      </c>
      <c r="K48" s="600" t="s">
        <v>532</v>
      </c>
      <c r="L48" s="646">
        <v>10008</v>
      </c>
      <c r="M48" s="654" t="str">
        <f>VLOOKUP(G:G,list!B:E,4,FALSE)</f>
        <v>-</v>
      </c>
      <c r="N48" s="655">
        <f t="shared" si="0"/>
        <v>0</v>
      </c>
      <c r="O48" s="655">
        <f t="shared" si="1"/>
        <v>10008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246</v>
      </c>
      <c r="G49" s="564" t="s">
        <v>139</v>
      </c>
      <c r="H49" s="565">
        <v>43852</v>
      </c>
      <c r="I49" s="652">
        <v>45748</v>
      </c>
      <c r="J49" s="653">
        <v>11700</v>
      </c>
      <c r="K49" s="600" t="s">
        <v>532</v>
      </c>
      <c r="L49" s="646">
        <v>5229</v>
      </c>
      <c r="M49" s="654" t="str">
        <f>VLOOKUP(G:G,list!B:E,4,FALSE)</f>
        <v>-</v>
      </c>
      <c r="N49" s="655">
        <f t="shared" si="0"/>
        <v>0</v>
      </c>
      <c r="O49" s="655">
        <f t="shared" si="1"/>
        <v>5229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78</v>
      </c>
      <c r="E50" s="564" t="s">
        <v>9</v>
      </c>
      <c r="F50" s="564" t="s">
        <v>544</v>
      </c>
      <c r="G50" s="564" t="s">
        <v>36</v>
      </c>
      <c r="H50" s="565">
        <v>45124</v>
      </c>
      <c r="I50" s="652">
        <v>45717</v>
      </c>
      <c r="J50" s="653">
        <v>243247.2</v>
      </c>
      <c r="K50" s="600">
        <v>0.5</v>
      </c>
      <c r="L50" s="646">
        <v>121624</v>
      </c>
      <c r="M50" s="654" t="str">
        <f>VLOOKUP(G:G,list!B:E,4,FALSE)</f>
        <v>-</v>
      </c>
      <c r="N50" s="655">
        <f t="shared" si="0"/>
        <v>0</v>
      </c>
      <c r="O50" s="655">
        <f t="shared" si="1"/>
        <v>121624</v>
      </c>
      <c r="P50" s="564"/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78</v>
      </c>
      <c r="E51" s="564" t="s">
        <v>9</v>
      </c>
      <c r="F51" s="564" t="s">
        <v>544</v>
      </c>
      <c r="G51" s="564" t="s">
        <v>139</v>
      </c>
      <c r="H51" s="565">
        <v>44513</v>
      </c>
      <c r="I51" s="652">
        <v>45717</v>
      </c>
      <c r="J51" s="653">
        <v>78771.8</v>
      </c>
      <c r="K51" s="600">
        <v>0.5</v>
      </c>
      <c r="L51" s="646">
        <v>39386</v>
      </c>
      <c r="M51" s="654" t="str">
        <f>VLOOKUP(G:G,list!B:E,4,FALSE)</f>
        <v>-</v>
      </c>
      <c r="N51" s="655">
        <f t="shared" si="0"/>
        <v>0</v>
      </c>
      <c r="O51" s="655">
        <f t="shared" si="1"/>
        <v>39386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66</v>
      </c>
      <c r="E52" s="564" t="s">
        <v>64</v>
      </c>
      <c r="F52" s="564" t="s">
        <v>65</v>
      </c>
      <c r="G52" s="564" t="s">
        <v>30</v>
      </c>
      <c r="H52" s="565">
        <v>44586</v>
      </c>
      <c r="I52" s="652">
        <v>45748</v>
      </c>
      <c r="J52" s="653">
        <v>123405</v>
      </c>
      <c r="K52" s="567">
        <v>0.4</v>
      </c>
      <c r="L52" s="646">
        <v>49362</v>
      </c>
      <c r="M52" s="654">
        <f>VLOOKUP(G:G,list!B:E,4,FALSE)</f>
        <v>0.1</v>
      </c>
      <c r="N52" s="655">
        <f t="shared" si="0"/>
        <v>4936</v>
      </c>
      <c r="O52" s="655">
        <f t="shared" si="1"/>
        <v>44426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66</v>
      </c>
      <c r="E53" s="564" t="s">
        <v>9</v>
      </c>
      <c r="F53" s="564" t="s">
        <v>65</v>
      </c>
      <c r="G53" s="564" t="s">
        <v>36</v>
      </c>
      <c r="H53" s="565">
        <v>44992</v>
      </c>
      <c r="I53" s="652">
        <v>45748</v>
      </c>
      <c r="J53" s="653">
        <v>119010</v>
      </c>
      <c r="K53" s="600">
        <v>0.4</v>
      </c>
      <c r="L53" s="646">
        <v>47604</v>
      </c>
      <c r="M53" s="654" t="str">
        <f>VLOOKUP(G:G,list!B:E,4,FALSE)</f>
        <v>-</v>
      </c>
      <c r="N53" s="655">
        <f t="shared" si="0"/>
        <v>0</v>
      </c>
      <c r="O53" s="655">
        <f t="shared" si="1"/>
        <v>47604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66</v>
      </c>
      <c r="E54" s="564" t="s">
        <v>9</v>
      </c>
      <c r="F54" s="564" t="s">
        <v>65</v>
      </c>
      <c r="G54" s="564" t="s">
        <v>37</v>
      </c>
      <c r="H54" s="565">
        <v>45169</v>
      </c>
      <c r="I54" s="652">
        <v>45748</v>
      </c>
      <c r="J54" s="653">
        <v>793</v>
      </c>
      <c r="K54" s="600">
        <v>0.4</v>
      </c>
      <c r="L54" s="646">
        <v>317</v>
      </c>
      <c r="M54" s="654" t="str">
        <f>VLOOKUP(G:G,list!B:E,4,FALSE)</f>
        <v>-</v>
      </c>
      <c r="N54" s="655">
        <f t="shared" si="0"/>
        <v>0</v>
      </c>
      <c r="O54" s="655">
        <f t="shared" si="1"/>
        <v>317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67</v>
      </c>
      <c r="E55" s="564" t="s">
        <v>9</v>
      </c>
      <c r="F55" s="564" t="s">
        <v>65</v>
      </c>
      <c r="G55" s="564" t="s">
        <v>37</v>
      </c>
      <c r="H55" s="565">
        <v>43921</v>
      </c>
      <c r="I55" s="652">
        <v>45748</v>
      </c>
      <c r="J55" s="653">
        <v>0</v>
      </c>
      <c r="K55" s="600">
        <v>0.4</v>
      </c>
      <c r="L55" s="646">
        <v>0</v>
      </c>
      <c r="M55" s="654" t="str">
        <f>VLOOKUP(G:G,list!B:E,4,FALSE)</f>
        <v>-</v>
      </c>
      <c r="N55" s="655">
        <f t="shared" si="0"/>
        <v>0</v>
      </c>
      <c r="O55" s="655">
        <f t="shared" si="1"/>
        <v>0</v>
      </c>
      <c r="P55" s="564" t="s">
        <v>366</v>
      </c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67</v>
      </c>
      <c r="E56" s="564" t="s">
        <v>9</v>
      </c>
      <c r="F56" s="564" t="s">
        <v>65</v>
      </c>
      <c r="G56" s="564" t="s">
        <v>36</v>
      </c>
      <c r="H56" s="565">
        <v>43941</v>
      </c>
      <c r="I56" s="652">
        <v>45748</v>
      </c>
      <c r="J56" s="653">
        <v>69720</v>
      </c>
      <c r="K56" s="600">
        <v>0.4</v>
      </c>
      <c r="L56" s="646">
        <v>27888</v>
      </c>
      <c r="M56" s="654" t="str">
        <f>VLOOKUP(G:G,list!B:E,4,FALSE)</f>
        <v>-</v>
      </c>
      <c r="N56" s="655">
        <f t="shared" si="0"/>
        <v>0</v>
      </c>
      <c r="O56" s="655">
        <f t="shared" si="1"/>
        <v>27888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67</v>
      </c>
      <c r="E57" s="564" t="s">
        <v>64</v>
      </c>
      <c r="F57" s="564" t="s">
        <v>65</v>
      </c>
      <c r="G57" s="564" t="s">
        <v>30</v>
      </c>
      <c r="H57" s="565">
        <v>44258</v>
      </c>
      <c r="I57" s="652">
        <v>45748</v>
      </c>
      <c r="J57" s="653">
        <v>79658</v>
      </c>
      <c r="K57" s="600">
        <v>0.4</v>
      </c>
      <c r="L57" s="646">
        <v>31863</v>
      </c>
      <c r="M57" s="654">
        <f>VLOOKUP(G:G,list!B:E,4,FALSE)</f>
        <v>0.1</v>
      </c>
      <c r="N57" s="655">
        <f t="shared" si="0"/>
        <v>3186</v>
      </c>
      <c r="O57" s="655">
        <f t="shared" si="1"/>
        <v>28677</v>
      </c>
      <c r="P57" s="564"/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131</v>
      </c>
      <c r="G58" s="564" t="s">
        <v>60</v>
      </c>
      <c r="H58" s="565">
        <v>44333</v>
      </c>
      <c r="I58" s="652">
        <v>45748</v>
      </c>
      <c r="J58" s="653">
        <v>2520</v>
      </c>
      <c r="K58" s="603">
        <v>0.5</v>
      </c>
      <c r="L58" s="646">
        <v>1260</v>
      </c>
      <c r="M58" s="654" t="str">
        <f>VLOOKUP(G:G,list!B:E,4,FALSE)</f>
        <v>-</v>
      </c>
      <c r="N58" s="655">
        <f t="shared" si="0"/>
        <v>0</v>
      </c>
      <c r="O58" s="655">
        <f t="shared" si="1"/>
        <v>1260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115</v>
      </c>
      <c r="F59" s="564" t="s">
        <v>131</v>
      </c>
      <c r="G59" s="564" t="s">
        <v>518</v>
      </c>
      <c r="H59" s="565">
        <v>44897</v>
      </c>
      <c r="I59" s="652">
        <v>45748</v>
      </c>
      <c r="J59" s="653">
        <v>19656</v>
      </c>
      <c r="K59" s="603">
        <v>0.5</v>
      </c>
      <c r="L59" s="646">
        <v>9828</v>
      </c>
      <c r="M59" s="654" t="str">
        <f>VLOOKUP(G:G,list!B:E,4,FALSE)</f>
        <v>-</v>
      </c>
      <c r="N59" s="655">
        <f t="shared" si="0"/>
        <v>0</v>
      </c>
      <c r="O59" s="655">
        <f t="shared" si="1"/>
        <v>9828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182</v>
      </c>
      <c r="E60" s="564" t="s">
        <v>115</v>
      </c>
      <c r="F60" s="564" t="s">
        <v>587</v>
      </c>
      <c r="G60" s="564" t="s">
        <v>518</v>
      </c>
      <c r="H60" s="565">
        <v>45049</v>
      </c>
      <c r="I60" s="652">
        <v>45689</v>
      </c>
      <c r="J60" s="653">
        <v>86297</v>
      </c>
      <c r="K60" s="603">
        <v>0.3</v>
      </c>
      <c r="L60" s="646">
        <v>25889</v>
      </c>
      <c r="M60" s="654" t="str">
        <f>VLOOKUP(G:G,list!B:E,4,FALSE)</f>
        <v>-</v>
      </c>
      <c r="N60" s="655">
        <f t="shared" ref="N60:N62" si="2">ROUND(IF(M60="-",0,L60*M60),0)</f>
        <v>0</v>
      </c>
      <c r="O60" s="655">
        <f t="shared" ref="O60:O62" si="3">L60-N60</f>
        <v>25889</v>
      </c>
      <c r="P60" s="564" t="s">
        <v>585</v>
      </c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182</v>
      </c>
      <c r="E61" s="564" t="s">
        <v>115</v>
      </c>
      <c r="F61" s="564" t="s">
        <v>587</v>
      </c>
      <c r="G61" s="564" t="s">
        <v>541</v>
      </c>
      <c r="H61" s="565">
        <v>45591</v>
      </c>
      <c r="I61" s="652">
        <v>45689</v>
      </c>
      <c r="J61" s="653">
        <v>9098</v>
      </c>
      <c r="K61" s="603">
        <v>0.5</v>
      </c>
      <c r="L61" s="646">
        <v>4549</v>
      </c>
      <c r="M61" s="654">
        <f>VLOOKUP(G:G,list!B:E,4,FALSE)</f>
        <v>0.1</v>
      </c>
      <c r="N61" s="655">
        <f t="shared" si="2"/>
        <v>455</v>
      </c>
      <c r="O61" s="655">
        <f t="shared" si="3"/>
        <v>4094</v>
      </c>
      <c r="P61" s="564" t="s">
        <v>585</v>
      </c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외부제작</v>
      </c>
      <c r="D62" s="564" t="s">
        <v>182</v>
      </c>
      <c r="E62" s="564" t="s">
        <v>115</v>
      </c>
      <c r="F62" s="564" t="s">
        <v>587</v>
      </c>
      <c r="G62" s="564" t="s">
        <v>315</v>
      </c>
      <c r="H62" s="565">
        <v>45673</v>
      </c>
      <c r="I62" s="652">
        <v>45689</v>
      </c>
      <c r="J62" s="653">
        <v>9974</v>
      </c>
      <c r="K62" s="603">
        <v>0.5</v>
      </c>
      <c r="L62" s="646">
        <v>4987</v>
      </c>
      <c r="M62" s="654" t="str">
        <f>VLOOKUP(G:G,list!B:E,4,FALSE)</f>
        <v>-</v>
      </c>
      <c r="N62" s="655">
        <f t="shared" si="2"/>
        <v>0</v>
      </c>
      <c r="O62" s="655">
        <f t="shared" si="3"/>
        <v>4987</v>
      </c>
      <c r="P62" s="564" t="s">
        <v>585</v>
      </c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작가기획</v>
      </c>
      <c r="D63" s="564" t="s">
        <v>182</v>
      </c>
      <c r="E63" s="564" t="s">
        <v>115</v>
      </c>
      <c r="F63" s="564" t="s">
        <v>587</v>
      </c>
      <c r="G63" s="564" t="s">
        <v>518</v>
      </c>
      <c r="H63" s="565">
        <v>45049</v>
      </c>
      <c r="I63" s="652">
        <v>45717</v>
      </c>
      <c r="J63" s="653">
        <v>108243</v>
      </c>
      <c r="K63" s="603">
        <v>0.3</v>
      </c>
      <c r="L63" s="646">
        <v>32473</v>
      </c>
      <c r="M63" s="654" t="str">
        <f>VLOOKUP(G:G,list!B:E,4,FALSE)</f>
        <v>-</v>
      </c>
      <c r="N63" s="655">
        <f t="shared" si="0"/>
        <v>0</v>
      </c>
      <c r="O63" s="655">
        <f t="shared" si="1"/>
        <v>32473</v>
      </c>
      <c r="P63" s="564"/>
      <c r="Q63" s="672" t="str">
        <f>VLOOKUP(G:G,list!B:F,5,FALSE)</f>
        <v>-</v>
      </c>
      <c r="R63" s="656" t="str">
        <f>VLOOKUP(G:G,list!B:D,3,FALSE)</f>
        <v>N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182</v>
      </c>
      <c r="E64" s="564" t="s">
        <v>115</v>
      </c>
      <c r="F64" s="564" t="s">
        <v>587</v>
      </c>
      <c r="G64" s="564" t="s">
        <v>541</v>
      </c>
      <c r="H64" s="565">
        <v>45591</v>
      </c>
      <c r="I64" s="652">
        <v>45717</v>
      </c>
      <c r="J64" s="653">
        <v>12542</v>
      </c>
      <c r="K64" s="603">
        <v>0.5</v>
      </c>
      <c r="L64" s="646">
        <v>6271</v>
      </c>
      <c r="M64" s="654">
        <f>VLOOKUP(G:G,list!B:E,4,FALSE)</f>
        <v>0.1</v>
      </c>
      <c r="N64" s="655">
        <f t="shared" si="0"/>
        <v>627</v>
      </c>
      <c r="O64" s="655">
        <f t="shared" si="1"/>
        <v>5644</v>
      </c>
      <c r="P64" s="564"/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외부제작</v>
      </c>
      <c r="D65" s="564" t="s">
        <v>182</v>
      </c>
      <c r="E65" s="564" t="s">
        <v>115</v>
      </c>
      <c r="F65" s="564" t="s">
        <v>587</v>
      </c>
      <c r="G65" s="564" t="s">
        <v>315</v>
      </c>
      <c r="H65" s="565">
        <v>45673</v>
      </c>
      <c r="I65" s="652">
        <v>45717</v>
      </c>
      <c r="J65" s="653">
        <v>13540</v>
      </c>
      <c r="K65" s="603">
        <v>0.5</v>
      </c>
      <c r="L65" s="646">
        <v>6770</v>
      </c>
      <c r="M65" s="654" t="str">
        <f>VLOOKUP(G:G,list!B:E,4,FALSE)</f>
        <v>-</v>
      </c>
      <c r="N65" s="655">
        <f t="shared" si="0"/>
        <v>0</v>
      </c>
      <c r="O65" s="655">
        <f t="shared" si="1"/>
        <v>6770</v>
      </c>
      <c r="P65" s="564"/>
      <c r="Q65" s="672" t="str">
        <f>VLOOKUP(G:G,list!B:F,5,FALSE)</f>
        <v>-</v>
      </c>
      <c r="R65" s="656" t="str">
        <f>VLOOKUP(G:G,list!B:D,3,FALSE)</f>
        <v>N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78</v>
      </c>
      <c r="E66" s="564" t="s">
        <v>9</v>
      </c>
      <c r="F66" s="564" t="s">
        <v>545</v>
      </c>
      <c r="G66" s="564" t="s">
        <v>454</v>
      </c>
      <c r="H66" s="565">
        <v>44750</v>
      </c>
      <c r="I66" s="652">
        <v>45717</v>
      </c>
      <c r="J66" s="653">
        <v>1053120</v>
      </c>
      <c r="K66" s="603">
        <v>0.7</v>
      </c>
      <c r="L66" s="646">
        <v>739261</v>
      </c>
      <c r="M66" s="654">
        <f>VLOOKUP(G:G,list!B:E,4,FALSE)</f>
        <v>0.1</v>
      </c>
      <c r="N66" s="655">
        <f t="shared" si="0"/>
        <v>73926</v>
      </c>
      <c r="O66" s="655">
        <f t="shared" si="1"/>
        <v>665335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78</v>
      </c>
      <c r="E67" s="564" t="s">
        <v>9</v>
      </c>
      <c r="F67" s="564" t="s">
        <v>264</v>
      </c>
      <c r="G67" s="564" t="s">
        <v>454</v>
      </c>
      <c r="H67" s="565" t="s">
        <v>203</v>
      </c>
      <c r="I67" s="652">
        <v>45717</v>
      </c>
      <c r="J67" s="653">
        <v>70455.370219000004</v>
      </c>
      <c r="K67" s="603">
        <v>0.25</v>
      </c>
      <c r="L67" s="646">
        <v>17614</v>
      </c>
      <c r="M67" s="654">
        <f>VLOOKUP(G:G,list!B:E,4,FALSE)</f>
        <v>0.1</v>
      </c>
      <c r="N67" s="655">
        <f t="shared" si="0"/>
        <v>1761</v>
      </c>
      <c r="O67" s="655">
        <f t="shared" si="1"/>
        <v>15853</v>
      </c>
      <c r="P67" s="564" t="s">
        <v>554</v>
      </c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작가기획</v>
      </c>
      <c r="D68" s="564" t="s">
        <v>32</v>
      </c>
      <c r="E68" s="564" t="s">
        <v>9</v>
      </c>
      <c r="F68" s="564" t="s">
        <v>154</v>
      </c>
      <c r="G68" s="564" t="s">
        <v>36</v>
      </c>
      <c r="H68" s="565">
        <v>44106</v>
      </c>
      <c r="I68" s="652">
        <v>45717</v>
      </c>
      <c r="J68" s="653">
        <v>4006</v>
      </c>
      <c r="K68" s="603">
        <v>0.4</v>
      </c>
      <c r="L68" s="646">
        <v>1523</v>
      </c>
      <c r="M68" s="654" t="str">
        <f>VLOOKUP(G:G,list!B:E,4,FALSE)</f>
        <v>-</v>
      </c>
      <c r="N68" s="655">
        <f t="shared" si="0"/>
        <v>0</v>
      </c>
      <c r="O68" s="655">
        <f t="shared" si="1"/>
        <v>1523</v>
      </c>
      <c r="P68" s="564"/>
      <c r="Q68" s="672" t="str">
        <f>VLOOKUP(G:G,list!B:F,5,FALSE)</f>
        <v>-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작가기획</v>
      </c>
      <c r="D69" s="564" t="s">
        <v>32</v>
      </c>
      <c r="E69" s="564" t="s">
        <v>9</v>
      </c>
      <c r="F69" s="564" t="s">
        <v>154</v>
      </c>
      <c r="G69" s="564" t="s">
        <v>37</v>
      </c>
      <c r="H69" s="565">
        <v>44113</v>
      </c>
      <c r="I69" s="652">
        <v>45717</v>
      </c>
      <c r="J69" s="653">
        <v>3866</v>
      </c>
      <c r="K69" s="603">
        <v>0.4</v>
      </c>
      <c r="L69" s="646">
        <v>1469</v>
      </c>
      <c r="M69" s="654" t="str">
        <f>VLOOKUP(G:G,list!B:E,4,FALSE)</f>
        <v>-</v>
      </c>
      <c r="N69" s="655">
        <f t="shared" si="0"/>
        <v>0</v>
      </c>
      <c r="O69" s="655">
        <f t="shared" si="1"/>
        <v>1469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32</v>
      </c>
      <c r="E70" s="564" t="s">
        <v>9</v>
      </c>
      <c r="F70" s="564" t="s">
        <v>154</v>
      </c>
      <c r="G70" s="564" t="s">
        <v>454</v>
      </c>
      <c r="H70" s="565">
        <v>44869</v>
      </c>
      <c r="I70" s="652">
        <v>45717</v>
      </c>
      <c r="J70" s="653">
        <v>65405</v>
      </c>
      <c r="K70" s="603">
        <v>0.4</v>
      </c>
      <c r="L70" s="646">
        <v>24854</v>
      </c>
      <c r="M70" s="654">
        <f>VLOOKUP(G:G,list!B:E,4,FALSE)</f>
        <v>0.1</v>
      </c>
      <c r="N70" s="655">
        <f t="shared" si="0"/>
        <v>2485</v>
      </c>
      <c r="O70" s="655">
        <f t="shared" si="1"/>
        <v>22369</v>
      </c>
      <c r="P70" s="564"/>
      <c r="Q70" s="672" t="str">
        <f>VLOOKUP(G:G,list!B:F,5,FALSE)</f>
        <v>-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182</v>
      </c>
      <c r="E71" s="564" t="s">
        <v>115</v>
      </c>
      <c r="F71" s="564" t="s">
        <v>386</v>
      </c>
      <c r="G71" s="564" t="s">
        <v>30</v>
      </c>
      <c r="H71" s="565">
        <v>44591</v>
      </c>
      <c r="I71" s="652">
        <v>45689</v>
      </c>
      <c r="J71" s="653">
        <v>1163</v>
      </c>
      <c r="K71" s="603">
        <v>0.5</v>
      </c>
      <c r="L71" s="646">
        <v>582</v>
      </c>
      <c r="M71" s="654">
        <f>VLOOKUP(G:G,list!B:E,4,FALSE)</f>
        <v>0.1</v>
      </c>
      <c r="N71" s="655">
        <f t="shared" si="0"/>
        <v>58</v>
      </c>
      <c r="O71" s="655">
        <f t="shared" si="1"/>
        <v>524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작가기획</v>
      </c>
      <c r="D72" s="564" t="s">
        <v>182</v>
      </c>
      <c r="E72" s="564" t="s">
        <v>115</v>
      </c>
      <c r="F72" s="564" t="s">
        <v>386</v>
      </c>
      <c r="G72" s="564" t="s">
        <v>36</v>
      </c>
      <c r="H72" s="565">
        <v>44643</v>
      </c>
      <c r="I72" s="652">
        <v>45689</v>
      </c>
      <c r="J72" s="653">
        <v>8048</v>
      </c>
      <c r="K72" s="603">
        <v>0.5</v>
      </c>
      <c r="L72" s="646">
        <v>4024</v>
      </c>
      <c r="M72" s="654" t="str">
        <f>VLOOKUP(G:G,list!B:E,4,FALSE)</f>
        <v>-</v>
      </c>
      <c r="N72" s="655">
        <f t="shared" si="0"/>
        <v>0</v>
      </c>
      <c r="O72" s="655">
        <f t="shared" si="1"/>
        <v>4024</v>
      </c>
      <c r="P72" s="564"/>
      <c r="Q72" s="672" t="str">
        <f>VLOOKUP(G:G,list!B:F,5,FALSE)</f>
        <v>-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작가기획</v>
      </c>
      <c r="D73" s="564" t="s">
        <v>182</v>
      </c>
      <c r="E73" s="564" t="s">
        <v>115</v>
      </c>
      <c r="F73" s="564" t="s">
        <v>386</v>
      </c>
      <c r="G73" s="564" t="s">
        <v>37</v>
      </c>
      <c r="H73" s="565">
        <v>44643</v>
      </c>
      <c r="I73" s="652">
        <v>45689</v>
      </c>
      <c r="J73" s="653">
        <v>0</v>
      </c>
      <c r="K73" s="603">
        <v>0.5</v>
      </c>
      <c r="L73" s="646">
        <v>0</v>
      </c>
      <c r="M73" s="654" t="str">
        <f>VLOOKUP(G:G,list!B:E,4,FALSE)</f>
        <v>-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-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182</v>
      </c>
      <c r="E74" s="564" t="s">
        <v>115</v>
      </c>
      <c r="F74" s="564" t="s">
        <v>386</v>
      </c>
      <c r="G74" s="564" t="s">
        <v>56</v>
      </c>
      <c r="H74" s="565">
        <v>44599</v>
      </c>
      <c r="I74" s="652">
        <v>45689</v>
      </c>
      <c r="J74" s="653">
        <v>64573</v>
      </c>
      <c r="K74" s="603">
        <v>0.5</v>
      </c>
      <c r="L74" s="646">
        <v>32287</v>
      </c>
      <c r="M74" s="654">
        <f>VLOOKUP(G:G,list!B:E,4,FALSE)</f>
        <v>0.1</v>
      </c>
      <c r="N74" s="655">
        <f t="shared" si="0"/>
        <v>3229</v>
      </c>
      <c r="O74" s="655">
        <f t="shared" si="1"/>
        <v>29058</v>
      </c>
      <c r="P74" s="564"/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538</v>
      </c>
      <c r="E75" s="564" t="s">
        <v>9</v>
      </c>
      <c r="F75" s="564" t="s">
        <v>519</v>
      </c>
      <c r="G75" s="564" t="s">
        <v>316</v>
      </c>
      <c r="H75" s="565">
        <v>45446</v>
      </c>
      <c r="I75" s="652">
        <v>45748</v>
      </c>
      <c r="J75" s="653">
        <v>24871.000000000004</v>
      </c>
      <c r="K75" s="603">
        <v>0.7</v>
      </c>
      <c r="L75" s="646">
        <v>17409.7</v>
      </c>
      <c r="M75" s="654">
        <f>VLOOKUP(G:G,list!B:E,4,FALSE)</f>
        <v>0.1</v>
      </c>
      <c r="N75" s="655">
        <f t="shared" si="0"/>
        <v>1741</v>
      </c>
      <c r="O75" s="655">
        <f t="shared" si="1"/>
        <v>15668.7</v>
      </c>
      <c r="P75" s="564"/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549</v>
      </c>
      <c r="E76" s="564" t="s">
        <v>9</v>
      </c>
      <c r="F76" s="564" t="s">
        <v>519</v>
      </c>
      <c r="G76" s="564" t="s">
        <v>316</v>
      </c>
      <c r="H76" s="565">
        <v>45524</v>
      </c>
      <c r="I76" s="652">
        <v>45748</v>
      </c>
      <c r="J76" s="653">
        <v>0</v>
      </c>
      <c r="K76" s="603">
        <v>0.7</v>
      </c>
      <c r="L76" s="646">
        <v>0</v>
      </c>
      <c r="M76" s="654">
        <f>VLOOKUP(G:G,list!B:E,4,FALSE)</f>
        <v>0.1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123</v>
      </c>
      <c r="E77" s="564" t="s">
        <v>9</v>
      </c>
      <c r="F77" s="564" t="s">
        <v>519</v>
      </c>
      <c r="G77" s="564" t="s">
        <v>316</v>
      </c>
      <c r="H77" s="565">
        <v>45536</v>
      </c>
      <c r="I77" s="652">
        <v>45748</v>
      </c>
      <c r="J77" s="653">
        <v>3990.0000000000005</v>
      </c>
      <c r="K77" s="603">
        <v>0.7</v>
      </c>
      <c r="L77" s="646">
        <v>2793</v>
      </c>
      <c r="M77" s="654">
        <f>VLOOKUP(G:G,list!B:E,4,FALSE)</f>
        <v>0.1</v>
      </c>
      <c r="N77" s="655">
        <f t="shared" si="0"/>
        <v>279</v>
      </c>
      <c r="O77" s="655">
        <f t="shared" si="1"/>
        <v>2514</v>
      </c>
      <c r="P77" s="564"/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132</v>
      </c>
      <c r="E78" s="564" t="s">
        <v>9</v>
      </c>
      <c r="F78" s="564" t="s">
        <v>519</v>
      </c>
      <c r="G78" s="564" t="s">
        <v>316</v>
      </c>
      <c r="H78" s="565">
        <v>44945</v>
      </c>
      <c r="I78" s="652">
        <v>45748</v>
      </c>
      <c r="J78" s="653">
        <v>0</v>
      </c>
      <c r="K78" s="603">
        <v>0.5</v>
      </c>
      <c r="L78" s="646">
        <v>0</v>
      </c>
      <c r="M78" s="654">
        <f>VLOOKUP(G:G,list!B:E,4,FALSE)</f>
        <v>0.1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183</v>
      </c>
      <c r="E79" s="564" t="s">
        <v>9</v>
      </c>
      <c r="F79" s="564" t="s">
        <v>519</v>
      </c>
      <c r="G79" s="564" t="s">
        <v>316</v>
      </c>
      <c r="H79" s="565">
        <v>45702</v>
      </c>
      <c r="I79" s="652">
        <v>45748</v>
      </c>
      <c r="J79" s="653">
        <v>9842</v>
      </c>
      <c r="K79" s="603">
        <v>0.7</v>
      </c>
      <c r="L79" s="646">
        <v>6889.4</v>
      </c>
      <c r="M79" s="654">
        <f>VLOOKUP(G:G,list!B:E,4,FALSE)</f>
        <v>0.1</v>
      </c>
      <c r="N79" s="655">
        <f t="shared" si="0"/>
        <v>689</v>
      </c>
      <c r="O79" s="655">
        <f t="shared" si="1"/>
        <v>6200.4</v>
      </c>
      <c r="P79" s="564"/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132</v>
      </c>
      <c r="E80" s="564" t="s">
        <v>9</v>
      </c>
      <c r="F80" s="564" t="s">
        <v>519</v>
      </c>
      <c r="G80" s="564" t="s">
        <v>56</v>
      </c>
      <c r="H80" s="565">
        <v>44952</v>
      </c>
      <c r="I80" s="652">
        <v>45748</v>
      </c>
      <c r="J80" s="653">
        <v>0</v>
      </c>
      <c r="K80" s="567">
        <v>0.5</v>
      </c>
      <c r="L80" s="646">
        <v>0</v>
      </c>
      <c r="M80" s="654">
        <f>VLOOKUP(G:G,list!B:E,4,FALSE)</f>
        <v>0.1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원작료</v>
      </c>
      <c r="D81" s="564" t="s">
        <v>538</v>
      </c>
      <c r="E81" s="564" t="s">
        <v>9</v>
      </c>
      <c r="F81" s="564" t="s">
        <v>519</v>
      </c>
      <c r="G81" s="564" t="s">
        <v>56</v>
      </c>
      <c r="H81" s="565">
        <v>45503</v>
      </c>
      <c r="I81" s="652">
        <v>45748</v>
      </c>
      <c r="J81" s="653">
        <v>17423</v>
      </c>
      <c r="K81" s="567">
        <v>0.5</v>
      </c>
      <c r="L81" s="646">
        <v>8711.5</v>
      </c>
      <c r="M81" s="654">
        <f>VLOOKUP(G:G,list!B:E,4,FALSE)</f>
        <v>0.1</v>
      </c>
      <c r="N81" s="655">
        <f t="shared" si="0"/>
        <v>871</v>
      </c>
      <c r="O81" s="655">
        <f t="shared" si="1"/>
        <v>7840.5</v>
      </c>
      <c r="P81" s="564"/>
      <c r="Q81" s="672" t="str">
        <f>VLOOKUP(G:G,list!B:F,5,FALSE)</f>
        <v>웹소설본부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원작료</v>
      </c>
      <c r="D82" s="564" t="s">
        <v>549</v>
      </c>
      <c r="E82" s="564" t="s">
        <v>9</v>
      </c>
      <c r="F82" s="564" t="s">
        <v>519</v>
      </c>
      <c r="G82" s="564" t="s">
        <v>56</v>
      </c>
      <c r="H82" s="565">
        <v>45547</v>
      </c>
      <c r="I82" s="652">
        <v>45748</v>
      </c>
      <c r="J82" s="653">
        <v>0</v>
      </c>
      <c r="K82" s="567">
        <v>0.5</v>
      </c>
      <c r="L82" s="646">
        <v>0</v>
      </c>
      <c r="M82" s="654">
        <f>VLOOKUP(G:G,list!B:E,4,FALSE)</f>
        <v>0.1</v>
      </c>
      <c r="N82" s="655">
        <f t="shared" si="0"/>
        <v>0</v>
      </c>
      <c r="O82" s="655">
        <f t="shared" si="1"/>
        <v>0</v>
      </c>
      <c r="P82" s="564" t="s">
        <v>366</v>
      </c>
      <c r="Q82" s="672" t="str">
        <f>VLOOKUP(G:G,list!B:F,5,FALSE)</f>
        <v>웹소설본부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원작료</v>
      </c>
      <c r="D83" s="564" t="s">
        <v>132</v>
      </c>
      <c r="E83" s="564" t="s">
        <v>9</v>
      </c>
      <c r="F83" s="564" t="s">
        <v>519</v>
      </c>
      <c r="G83" s="564" t="s">
        <v>30</v>
      </c>
      <c r="H83" s="565">
        <v>44953</v>
      </c>
      <c r="I83" s="652">
        <v>45748</v>
      </c>
      <c r="J83" s="653">
        <v>0</v>
      </c>
      <c r="K83" s="567">
        <v>0.5</v>
      </c>
      <c r="L83" s="646">
        <v>0</v>
      </c>
      <c r="M83" s="654">
        <f>VLOOKUP(G:G,list!B:E,4,FALSE)</f>
        <v>0.1</v>
      </c>
      <c r="N83" s="655">
        <f t="shared" si="0"/>
        <v>0</v>
      </c>
      <c r="O83" s="655">
        <f t="shared" si="1"/>
        <v>0</v>
      </c>
      <c r="P83" s="564" t="s">
        <v>366</v>
      </c>
      <c r="Q83" s="672" t="str">
        <f>VLOOKUP(G:G,list!B:F,5,FALSE)</f>
        <v>웹소설본부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132</v>
      </c>
      <c r="E84" s="564" t="s">
        <v>9</v>
      </c>
      <c r="F84" s="564" t="s">
        <v>519</v>
      </c>
      <c r="G84" s="564" t="s">
        <v>308</v>
      </c>
      <c r="H84" s="565">
        <v>44992</v>
      </c>
      <c r="I84" s="652">
        <v>45748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538</v>
      </c>
      <c r="E85" s="564" t="s">
        <v>9</v>
      </c>
      <c r="F85" s="564" t="s">
        <v>519</v>
      </c>
      <c r="G85" s="564" t="s">
        <v>308</v>
      </c>
      <c r="H85" s="565">
        <v>45610</v>
      </c>
      <c r="I85" s="652">
        <v>45748</v>
      </c>
      <c r="J85" s="653">
        <v>1197</v>
      </c>
      <c r="K85" s="603">
        <v>0.5</v>
      </c>
      <c r="L85" s="646">
        <v>598.5</v>
      </c>
      <c r="M85" s="654" t="str">
        <f>VLOOKUP(G:G,list!B:E,4,FALSE)</f>
        <v>-</v>
      </c>
      <c r="N85" s="655">
        <f t="shared" si="0"/>
        <v>0</v>
      </c>
      <c r="O85" s="655">
        <f t="shared" si="1"/>
        <v>598.5</v>
      </c>
      <c r="P85" s="564"/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132</v>
      </c>
      <c r="E86" s="564" t="s">
        <v>9</v>
      </c>
      <c r="F86" s="564" t="s">
        <v>519</v>
      </c>
      <c r="G86" s="564" t="s">
        <v>36</v>
      </c>
      <c r="H86" s="565">
        <v>45198</v>
      </c>
      <c r="I86" s="652">
        <v>45748</v>
      </c>
      <c r="J86" s="653">
        <v>273315</v>
      </c>
      <c r="K86" s="603">
        <v>0.5</v>
      </c>
      <c r="L86" s="646">
        <v>136657.5</v>
      </c>
      <c r="M86" s="654" t="str">
        <f>VLOOKUP(G:G,list!B:E,4,FALSE)</f>
        <v>-</v>
      </c>
      <c r="N86" s="655">
        <f t="shared" si="0"/>
        <v>0</v>
      </c>
      <c r="O86" s="655">
        <f t="shared" si="1"/>
        <v>136657.5</v>
      </c>
      <c r="P86" s="564"/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538</v>
      </c>
      <c r="E87" s="564" t="s">
        <v>9</v>
      </c>
      <c r="F87" s="564" t="s">
        <v>519</v>
      </c>
      <c r="G87" s="564" t="s">
        <v>36</v>
      </c>
      <c r="H87" s="565">
        <v>45479</v>
      </c>
      <c r="I87" s="652">
        <v>45748</v>
      </c>
      <c r="J87" s="653">
        <v>3990</v>
      </c>
      <c r="K87" s="603">
        <v>0.5</v>
      </c>
      <c r="L87" s="646">
        <v>1995</v>
      </c>
      <c r="M87" s="654" t="str">
        <f>VLOOKUP(G:G,list!B:E,4,FALSE)</f>
        <v>-</v>
      </c>
      <c r="N87" s="655">
        <f t="shared" si="0"/>
        <v>0</v>
      </c>
      <c r="O87" s="655">
        <f t="shared" si="1"/>
        <v>1995</v>
      </c>
      <c r="P87" s="564"/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549</v>
      </c>
      <c r="E88" s="564" t="s">
        <v>9</v>
      </c>
      <c r="F88" s="564" t="s">
        <v>519</v>
      </c>
      <c r="G88" s="564" t="s">
        <v>36</v>
      </c>
      <c r="H88" s="565">
        <v>45531</v>
      </c>
      <c r="I88" s="652">
        <v>45748</v>
      </c>
      <c r="J88" s="653">
        <v>0</v>
      </c>
      <c r="K88" s="603">
        <v>0.5</v>
      </c>
      <c r="L88" s="646">
        <v>0</v>
      </c>
      <c r="M88" s="654" t="str">
        <f>VLOOKUP(G:G,list!B:E,4,FALSE)</f>
        <v>-</v>
      </c>
      <c r="N88" s="655">
        <f t="shared" si="0"/>
        <v>0</v>
      </c>
      <c r="O88" s="655">
        <f t="shared" si="1"/>
        <v>0</v>
      </c>
      <c r="P88" s="564" t="s">
        <v>366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작가기획</v>
      </c>
      <c r="D89" s="564" t="s">
        <v>123</v>
      </c>
      <c r="E89" s="564" t="s">
        <v>9</v>
      </c>
      <c r="F89" s="564" t="s">
        <v>519</v>
      </c>
      <c r="G89" s="564" t="s">
        <v>36</v>
      </c>
      <c r="H89" s="565">
        <v>45555</v>
      </c>
      <c r="I89" s="652">
        <v>45748</v>
      </c>
      <c r="J89" s="653">
        <v>0</v>
      </c>
      <c r="K89" s="603">
        <v>0.5</v>
      </c>
      <c r="L89" s="646">
        <v>0</v>
      </c>
      <c r="M89" s="654" t="str">
        <f>VLOOKUP(G:G,list!B:E,4,FALSE)</f>
        <v>-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-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작가기획</v>
      </c>
      <c r="D90" s="564" t="s">
        <v>132</v>
      </c>
      <c r="E90" s="564" t="s">
        <v>9</v>
      </c>
      <c r="F90" s="564" t="s">
        <v>519</v>
      </c>
      <c r="G90" s="564" t="s">
        <v>139</v>
      </c>
      <c r="H90" s="565">
        <v>45276</v>
      </c>
      <c r="I90" s="652">
        <v>45748</v>
      </c>
      <c r="J90" s="653">
        <v>0</v>
      </c>
      <c r="K90" s="603">
        <v>0.5</v>
      </c>
      <c r="L90" s="646">
        <v>0</v>
      </c>
      <c r="M90" s="654" t="str">
        <f>VLOOKUP(G:G,list!B:E,4,FALSE)</f>
        <v>-</v>
      </c>
      <c r="N90" s="655">
        <f t="shared" si="0"/>
        <v>0</v>
      </c>
      <c r="O90" s="655">
        <f t="shared" si="1"/>
        <v>0</v>
      </c>
      <c r="P90" s="564" t="s">
        <v>366</v>
      </c>
      <c r="Q90" s="672" t="str">
        <f>VLOOKUP(G:G,list!B:F,5,FALSE)</f>
        <v>-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작가기획</v>
      </c>
      <c r="D91" s="564" t="s">
        <v>538</v>
      </c>
      <c r="E91" s="564" t="s">
        <v>9</v>
      </c>
      <c r="F91" s="564" t="s">
        <v>519</v>
      </c>
      <c r="G91" s="564" t="s">
        <v>139</v>
      </c>
      <c r="H91" s="565">
        <v>45534</v>
      </c>
      <c r="I91" s="652">
        <v>45748</v>
      </c>
      <c r="J91" s="653">
        <v>1197</v>
      </c>
      <c r="K91" s="603">
        <v>0.5</v>
      </c>
      <c r="L91" s="646">
        <v>598.5</v>
      </c>
      <c r="M91" s="654" t="str">
        <f>VLOOKUP(G:G,list!B:E,4,FALSE)</f>
        <v>-</v>
      </c>
      <c r="N91" s="655">
        <f t="shared" si="0"/>
        <v>0</v>
      </c>
      <c r="O91" s="655">
        <f t="shared" si="1"/>
        <v>598.5</v>
      </c>
      <c r="P91" s="564"/>
      <c r="Q91" s="672" t="str">
        <f>VLOOKUP(G:G,list!B:F,5,FALSE)</f>
        <v>-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작가기획</v>
      </c>
      <c r="D92" s="564" t="s">
        <v>123</v>
      </c>
      <c r="E92" s="564" t="s">
        <v>9</v>
      </c>
      <c r="F92" s="564" t="s">
        <v>519</v>
      </c>
      <c r="G92" s="564" t="s">
        <v>139</v>
      </c>
      <c r="H92" s="565">
        <v>45656</v>
      </c>
      <c r="I92" s="652">
        <v>45748</v>
      </c>
      <c r="J92" s="653">
        <v>1596</v>
      </c>
      <c r="K92" s="603">
        <v>0.5</v>
      </c>
      <c r="L92" s="646">
        <v>798</v>
      </c>
      <c r="M92" s="654" t="str">
        <f>VLOOKUP(G:G,list!B:E,4,FALSE)</f>
        <v>-</v>
      </c>
      <c r="N92" s="655">
        <f t="shared" ref="N92" si="4">ROUND(IF(M92="-",0,L92*M92),0)</f>
        <v>0</v>
      </c>
      <c r="O92" s="655">
        <f t="shared" ref="O92" si="5">L92-N92</f>
        <v>798</v>
      </c>
      <c r="P92" s="564"/>
      <c r="Q92" s="672" t="str">
        <f>VLOOKUP(G:G,list!B:F,5,FALSE)</f>
        <v>-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작가기획</v>
      </c>
      <c r="D93" s="564" t="s">
        <v>182</v>
      </c>
      <c r="E93" s="564" t="s">
        <v>115</v>
      </c>
      <c r="F93" s="564" t="s">
        <v>550</v>
      </c>
      <c r="G93" s="564" t="s">
        <v>308</v>
      </c>
      <c r="H93" s="565">
        <v>45347</v>
      </c>
      <c r="I93" s="652">
        <v>45689</v>
      </c>
      <c r="J93" s="653">
        <v>544</v>
      </c>
      <c r="K93" s="603">
        <v>0.5</v>
      </c>
      <c r="L93" s="646">
        <v>272</v>
      </c>
      <c r="M93" s="654" t="str">
        <f>VLOOKUP(G:G,list!B:E,4,FALSE)</f>
        <v>-</v>
      </c>
      <c r="N93" s="655">
        <f t="shared" si="0"/>
        <v>0</v>
      </c>
      <c r="O93" s="655">
        <f t="shared" si="1"/>
        <v>272</v>
      </c>
      <c r="P93" s="564"/>
      <c r="Q93" s="672" t="str">
        <f>VLOOKUP(G:G,list!B:F,5,FALSE)</f>
        <v>-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182</v>
      </c>
      <c r="E94" s="564" t="s">
        <v>115</v>
      </c>
      <c r="F94" s="564" t="s">
        <v>550</v>
      </c>
      <c r="G94" s="564" t="s">
        <v>316</v>
      </c>
      <c r="H94" s="565">
        <v>45359</v>
      </c>
      <c r="I94" s="652">
        <v>45689</v>
      </c>
      <c r="J94" s="653">
        <v>2178</v>
      </c>
      <c r="K94" s="603">
        <v>0.5</v>
      </c>
      <c r="L94" s="646">
        <v>1089</v>
      </c>
      <c r="M94" s="654">
        <f>VLOOKUP(G:G,list!B:E,4,FALSE)</f>
        <v>0.1</v>
      </c>
      <c r="N94" s="655">
        <f t="shared" si="0"/>
        <v>109</v>
      </c>
      <c r="O94" s="655">
        <f t="shared" si="1"/>
        <v>980</v>
      </c>
      <c r="P94" s="564"/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32</v>
      </c>
      <c r="E95" s="564" t="s">
        <v>9</v>
      </c>
      <c r="F95" s="564" t="s">
        <v>31</v>
      </c>
      <c r="G95" s="564" t="s">
        <v>30</v>
      </c>
      <c r="H95" s="565">
        <v>44239</v>
      </c>
      <c r="I95" s="652">
        <v>45717</v>
      </c>
      <c r="J95" s="653">
        <v>5944</v>
      </c>
      <c r="K95" s="603">
        <v>0.4</v>
      </c>
      <c r="L95" s="646">
        <v>2258</v>
      </c>
      <c r="M95" s="654">
        <f>VLOOKUP(G:G,list!B:E,4,FALSE)</f>
        <v>0.1</v>
      </c>
      <c r="N95" s="655">
        <f t="shared" si="0"/>
        <v>226</v>
      </c>
      <c r="O95" s="655">
        <f t="shared" si="1"/>
        <v>2032</v>
      </c>
      <c r="P95" s="564"/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56</v>
      </c>
      <c r="H96" s="565">
        <v>44581</v>
      </c>
      <c r="I96" s="652">
        <v>45748</v>
      </c>
      <c r="J96" s="653">
        <v>2047223</v>
      </c>
      <c r="K96" s="603">
        <v>0.3</v>
      </c>
      <c r="L96" s="568">
        <v>614167</v>
      </c>
      <c r="M96" s="654">
        <f>VLOOKUP(G:G,list!B:E,4,FALSE)</f>
        <v>0.1</v>
      </c>
      <c r="N96" s="655">
        <f t="shared" si="0"/>
        <v>61417</v>
      </c>
      <c r="O96" s="655">
        <f t="shared" si="1"/>
        <v>552750</v>
      </c>
      <c r="P96" s="564" t="s">
        <v>186</v>
      </c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183</v>
      </c>
      <c r="E97" s="564" t="s">
        <v>9</v>
      </c>
      <c r="F97" s="564" t="s">
        <v>213</v>
      </c>
      <c r="G97" s="564" t="s">
        <v>56</v>
      </c>
      <c r="H97" s="565">
        <v>44829</v>
      </c>
      <c r="I97" s="652">
        <v>45748</v>
      </c>
      <c r="J97" s="653">
        <v>689543</v>
      </c>
      <c r="K97" s="603">
        <v>0.3</v>
      </c>
      <c r="L97" s="568">
        <v>206863</v>
      </c>
      <c r="M97" s="654">
        <f>VLOOKUP(G:G,list!B:E,4,FALSE)</f>
        <v>0.1</v>
      </c>
      <c r="N97" s="655">
        <f t="shared" si="0"/>
        <v>20686</v>
      </c>
      <c r="O97" s="655">
        <f t="shared" si="1"/>
        <v>186177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213</v>
      </c>
      <c r="G98" s="564" t="s">
        <v>454</v>
      </c>
      <c r="H98" s="565">
        <v>44854</v>
      </c>
      <c r="I98" s="652">
        <v>45748</v>
      </c>
      <c r="J98" s="653">
        <v>722057</v>
      </c>
      <c r="K98" s="603">
        <v>0.3</v>
      </c>
      <c r="L98" s="568">
        <v>216617</v>
      </c>
      <c r="M98" s="654">
        <f>VLOOKUP(G:G,list!B:E,4,FALSE)</f>
        <v>0.1</v>
      </c>
      <c r="N98" s="655">
        <f t="shared" si="0"/>
        <v>21662</v>
      </c>
      <c r="O98" s="655">
        <f t="shared" si="1"/>
        <v>194955</v>
      </c>
      <c r="P98" s="564" t="s">
        <v>186</v>
      </c>
      <c r="Q98" s="672" t="str">
        <f>VLOOKUP(G:G,list!B:F,5,FALSE)</f>
        <v>-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123</v>
      </c>
      <c r="E99" s="564" t="s">
        <v>9</v>
      </c>
      <c r="F99" s="564" t="s">
        <v>213</v>
      </c>
      <c r="G99" s="564" t="s">
        <v>481</v>
      </c>
      <c r="H99" s="565">
        <v>44981</v>
      </c>
      <c r="I99" s="652">
        <v>45748</v>
      </c>
      <c r="J99" s="653">
        <v>150110</v>
      </c>
      <c r="K99" s="603">
        <v>0.3</v>
      </c>
      <c r="L99" s="568">
        <v>45033</v>
      </c>
      <c r="M99" s="654">
        <f>VLOOKUP(G:G,list!B:E,4,FALSE)</f>
        <v>0.1</v>
      </c>
      <c r="N99" s="655">
        <f t="shared" si="0"/>
        <v>4503</v>
      </c>
      <c r="O99" s="655">
        <f t="shared" si="1"/>
        <v>40530</v>
      </c>
      <c r="P99" s="564" t="s">
        <v>186</v>
      </c>
      <c r="Q99" s="672" t="str">
        <f>VLOOKUP(G:G,list!B:F,5,FALSE)</f>
        <v>웹소설본부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123</v>
      </c>
      <c r="E100" s="564" t="s">
        <v>9</v>
      </c>
      <c r="F100" s="564" t="s">
        <v>213</v>
      </c>
      <c r="G100" s="564" t="s">
        <v>352</v>
      </c>
      <c r="H100" s="565">
        <v>44984</v>
      </c>
      <c r="I100" s="652">
        <v>45748</v>
      </c>
      <c r="J100" s="653">
        <v>2334270</v>
      </c>
      <c r="K100" s="603">
        <v>0.3</v>
      </c>
      <c r="L100" s="568">
        <v>700281</v>
      </c>
      <c r="M100" s="654">
        <f>VLOOKUP(G:G,list!B:E,4,FALSE)</f>
        <v>0.1</v>
      </c>
      <c r="N100" s="655">
        <f t="shared" si="0"/>
        <v>70028</v>
      </c>
      <c r="O100" s="655">
        <f t="shared" si="1"/>
        <v>630253</v>
      </c>
      <c r="P100" s="564" t="s">
        <v>186</v>
      </c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72</v>
      </c>
      <c r="E101" s="564" t="s">
        <v>9</v>
      </c>
      <c r="F101" s="564" t="s">
        <v>213</v>
      </c>
      <c r="G101" s="564" t="s">
        <v>454</v>
      </c>
      <c r="H101" s="565">
        <v>44902</v>
      </c>
      <c r="I101" s="652">
        <v>45717</v>
      </c>
      <c r="J101" s="653">
        <v>1182253</v>
      </c>
      <c r="K101" s="603">
        <v>0.3</v>
      </c>
      <c r="L101" s="568">
        <v>354676</v>
      </c>
      <c r="M101" s="654">
        <f>VLOOKUP(G:G,list!B:E,4,FALSE)</f>
        <v>0.1</v>
      </c>
      <c r="N101" s="655">
        <f t="shared" ref="N101:N140" si="6">ROUND(IF(M101="-",0,L101*M101),0)</f>
        <v>35468</v>
      </c>
      <c r="O101" s="655">
        <f t="shared" ref="O101:O140" si="7">L101-N101</f>
        <v>319208</v>
      </c>
      <c r="P101" s="564" t="s">
        <v>282</v>
      </c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72</v>
      </c>
      <c r="E102" s="564" t="s">
        <v>9</v>
      </c>
      <c r="F102" s="564" t="s">
        <v>213</v>
      </c>
      <c r="G102" s="564" t="s">
        <v>454</v>
      </c>
      <c r="H102" s="565">
        <v>45257</v>
      </c>
      <c r="I102" s="652">
        <v>45717</v>
      </c>
      <c r="J102" s="653">
        <v>37957</v>
      </c>
      <c r="K102" s="603">
        <v>0.3</v>
      </c>
      <c r="L102" s="568">
        <v>11387</v>
      </c>
      <c r="M102" s="654">
        <f>VLOOKUP(G:G,list!B:E,4,FALSE)</f>
        <v>0.1</v>
      </c>
      <c r="N102" s="655">
        <f t="shared" si="6"/>
        <v>1139</v>
      </c>
      <c r="O102" s="655">
        <f t="shared" si="7"/>
        <v>10248</v>
      </c>
      <c r="P102" s="564" t="s">
        <v>546</v>
      </c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229</v>
      </c>
      <c r="E103" s="564" t="s">
        <v>9</v>
      </c>
      <c r="F103" s="564" t="s">
        <v>230</v>
      </c>
      <c r="G103" s="564" t="s">
        <v>353</v>
      </c>
      <c r="H103" s="565">
        <v>44916</v>
      </c>
      <c r="I103" s="652">
        <v>45658</v>
      </c>
      <c r="J103" s="653">
        <v>373322</v>
      </c>
      <c r="K103" s="603">
        <v>0.35</v>
      </c>
      <c r="L103" s="568">
        <v>117596</v>
      </c>
      <c r="M103" s="654">
        <f>VLOOKUP(G:G,list!B:E,4,FALSE)</f>
        <v>0.11</v>
      </c>
      <c r="N103" s="655">
        <f t="shared" si="6"/>
        <v>12936</v>
      </c>
      <c r="O103" s="655">
        <f t="shared" si="7"/>
        <v>104660</v>
      </c>
      <c r="P103" s="564"/>
      <c r="Q103" s="672" t="str">
        <f>VLOOKUP(G:G,list!B:F,5,FALSE)</f>
        <v>-</v>
      </c>
      <c r="R103" s="656" t="str">
        <f>VLOOKUP(G:G,list!B:D,3,FALSE)</f>
        <v>N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229</v>
      </c>
      <c r="E104" s="564" t="s">
        <v>9</v>
      </c>
      <c r="F104" s="564" t="s">
        <v>230</v>
      </c>
      <c r="G104" s="564" t="s">
        <v>352</v>
      </c>
      <c r="H104" s="565">
        <v>45106</v>
      </c>
      <c r="I104" s="652">
        <v>45658</v>
      </c>
      <c r="J104" s="653">
        <v>1169538</v>
      </c>
      <c r="K104" s="603">
        <v>0.35</v>
      </c>
      <c r="L104" s="568">
        <v>368404</v>
      </c>
      <c r="M104" s="654">
        <f>VLOOKUP(G:G,list!B:E,4,FALSE)</f>
        <v>0.1</v>
      </c>
      <c r="N104" s="655">
        <f t="shared" si="6"/>
        <v>36840</v>
      </c>
      <c r="O104" s="655">
        <f t="shared" si="7"/>
        <v>331564</v>
      </c>
      <c r="P104" s="564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229</v>
      </c>
      <c r="E105" s="564" t="s">
        <v>9</v>
      </c>
      <c r="F105" s="564" t="s">
        <v>230</v>
      </c>
      <c r="G105" s="564" t="s">
        <v>353</v>
      </c>
      <c r="H105" s="565">
        <v>44916</v>
      </c>
      <c r="I105" s="652">
        <v>45689</v>
      </c>
      <c r="J105" s="653">
        <v>324817</v>
      </c>
      <c r="K105" s="603">
        <v>0.35</v>
      </c>
      <c r="L105" s="568">
        <v>102317</v>
      </c>
      <c r="M105" s="654">
        <f>VLOOKUP(G:G,list!B:E,4,FALSE)</f>
        <v>0.11</v>
      </c>
      <c r="N105" s="655">
        <f t="shared" si="6"/>
        <v>11255</v>
      </c>
      <c r="O105" s="655">
        <f t="shared" si="7"/>
        <v>91062</v>
      </c>
      <c r="P105" s="564"/>
      <c r="Q105" s="672" t="str">
        <f>VLOOKUP(G:G,list!B:F,5,FALSE)</f>
        <v>-</v>
      </c>
      <c r="R105" s="656" t="str">
        <f>VLOOKUP(G:G,list!B:D,3,FALSE)</f>
        <v>N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229</v>
      </c>
      <c r="E106" s="564" t="s">
        <v>9</v>
      </c>
      <c r="F106" s="564" t="s">
        <v>230</v>
      </c>
      <c r="G106" s="564" t="s">
        <v>352</v>
      </c>
      <c r="H106" s="565">
        <v>45106</v>
      </c>
      <c r="I106" s="652">
        <v>45689</v>
      </c>
      <c r="J106" s="653">
        <v>2689464</v>
      </c>
      <c r="K106" s="603">
        <v>0.35</v>
      </c>
      <c r="L106" s="568">
        <v>847181</v>
      </c>
      <c r="M106" s="654">
        <f>VLOOKUP(G:G,list!B:E,4,FALSE)</f>
        <v>0.1</v>
      </c>
      <c r="N106" s="655">
        <f t="shared" si="6"/>
        <v>84718</v>
      </c>
      <c r="O106" s="655">
        <f t="shared" si="7"/>
        <v>762463</v>
      </c>
      <c r="P106" s="564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229</v>
      </c>
      <c r="E107" s="564" t="s">
        <v>9</v>
      </c>
      <c r="F107" s="564" t="s">
        <v>230</v>
      </c>
      <c r="G107" s="564" t="s">
        <v>353</v>
      </c>
      <c r="H107" s="565">
        <v>44916</v>
      </c>
      <c r="I107" s="652">
        <v>45717</v>
      </c>
      <c r="J107" s="653">
        <v>335433</v>
      </c>
      <c r="K107" s="603">
        <v>0.35</v>
      </c>
      <c r="L107" s="568">
        <v>105661</v>
      </c>
      <c r="M107" s="654">
        <f>VLOOKUP(G:G,list!B:E,4,FALSE)</f>
        <v>0.11</v>
      </c>
      <c r="N107" s="655">
        <f t="shared" si="6"/>
        <v>11623</v>
      </c>
      <c r="O107" s="655">
        <f t="shared" si="7"/>
        <v>94038</v>
      </c>
      <c r="P107" s="564"/>
      <c r="Q107" s="672" t="str">
        <f>VLOOKUP(G:G,list!B:F,5,FALSE)</f>
        <v>-</v>
      </c>
      <c r="R107" s="656" t="str">
        <f>VLOOKUP(G:G,list!B:D,3,FALSE)</f>
        <v>N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229</v>
      </c>
      <c r="E108" s="564" t="s">
        <v>9</v>
      </c>
      <c r="F108" s="564" t="s">
        <v>230</v>
      </c>
      <c r="G108" s="564" t="s">
        <v>352</v>
      </c>
      <c r="H108" s="565">
        <v>45106</v>
      </c>
      <c r="I108" s="652">
        <v>45717</v>
      </c>
      <c r="J108" s="653">
        <v>955861</v>
      </c>
      <c r="K108" s="603">
        <v>0.35</v>
      </c>
      <c r="L108" s="568">
        <v>301096</v>
      </c>
      <c r="M108" s="654">
        <f>VLOOKUP(G:G,list!B:E,4,FALSE)</f>
        <v>0.1</v>
      </c>
      <c r="N108" s="655">
        <f t="shared" si="6"/>
        <v>30110</v>
      </c>
      <c r="O108" s="655">
        <f t="shared" si="7"/>
        <v>270986</v>
      </c>
      <c r="P108" s="564"/>
      <c r="Q108" s="672" t="str">
        <f>VLOOKUP(G:G,list!B:F,5,FALSE)</f>
        <v>웹소설본부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79</v>
      </c>
      <c r="E109" s="564" t="s">
        <v>9</v>
      </c>
      <c r="F109" s="564" t="s">
        <v>297</v>
      </c>
      <c r="G109" s="564" t="s">
        <v>56</v>
      </c>
      <c r="H109" s="565">
        <v>44625</v>
      </c>
      <c r="I109" s="652">
        <v>45658</v>
      </c>
      <c r="J109" s="653">
        <v>41529</v>
      </c>
      <c r="K109" s="603">
        <v>0.28000000000000003</v>
      </c>
      <c r="L109" s="568">
        <v>9515</v>
      </c>
      <c r="M109" s="654">
        <f>VLOOKUP(G:G,list!B:E,4,FALSE)</f>
        <v>0.1</v>
      </c>
      <c r="N109" s="655">
        <f t="shared" si="6"/>
        <v>952</v>
      </c>
      <c r="O109" s="655">
        <f t="shared" si="7"/>
        <v>8563</v>
      </c>
      <c r="P109" s="564"/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79</v>
      </c>
      <c r="E110" s="564" t="s">
        <v>9</v>
      </c>
      <c r="F110" s="564" t="s">
        <v>297</v>
      </c>
      <c r="G110" s="564" t="s">
        <v>316</v>
      </c>
      <c r="H110" s="565">
        <v>44802</v>
      </c>
      <c r="I110" s="652">
        <v>45658</v>
      </c>
      <c r="J110" s="653">
        <v>4885</v>
      </c>
      <c r="K110" s="603">
        <v>0.28000000000000003</v>
      </c>
      <c r="L110" s="568">
        <v>1120</v>
      </c>
      <c r="M110" s="654">
        <f>VLOOKUP(G:G,list!B:E,4,FALSE)</f>
        <v>0.1</v>
      </c>
      <c r="N110" s="655">
        <f t="shared" si="6"/>
        <v>112</v>
      </c>
      <c r="O110" s="655">
        <f t="shared" si="7"/>
        <v>1008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79</v>
      </c>
      <c r="E111" s="564" t="s">
        <v>9</v>
      </c>
      <c r="F111" s="564" t="s">
        <v>297</v>
      </c>
      <c r="G111" s="564" t="s">
        <v>352</v>
      </c>
      <c r="H111" s="565">
        <v>44916</v>
      </c>
      <c r="I111" s="652">
        <v>45658</v>
      </c>
      <c r="J111" s="653">
        <v>2137</v>
      </c>
      <c r="K111" s="603">
        <v>0.28000000000000003</v>
      </c>
      <c r="L111" s="568">
        <v>510</v>
      </c>
      <c r="M111" s="654">
        <f>VLOOKUP(G:G,list!B:E,4,FALSE)</f>
        <v>0.1</v>
      </c>
      <c r="N111" s="655">
        <f t="shared" si="6"/>
        <v>51</v>
      </c>
      <c r="O111" s="655">
        <f t="shared" si="7"/>
        <v>459</v>
      </c>
      <c r="P111" s="564"/>
      <c r="Q111" s="672" t="str">
        <f>VLOOKUP(G:G,list!B:F,5,FALSE)</f>
        <v>웹소설본부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79</v>
      </c>
      <c r="E112" s="564" t="s">
        <v>9</v>
      </c>
      <c r="F112" s="564" t="s">
        <v>297</v>
      </c>
      <c r="G112" s="564" t="s">
        <v>56</v>
      </c>
      <c r="H112" s="565">
        <v>44625</v>
      </c>
      <c r="I112" s="652">
        <v>45689</v>
      </c>
      <c r="J112" s="653">
        <v>22573</v>
      </c>
      <c r="K112" s="603">
        <v>0.28000000000000003</v>
      </c>
      <c r="L112" s="568">
        <v>5037</v>
      </c>
      <c r="M112" s="654">
        <f>VLOOKUP(G:G,list!B:E,4,FALSE)</f>
        <v>0.1</v>
      </c>
      <c r="N112" s="655">
        <f t="shared" si="6"/>
        <v>504</v>
      </c>
      <c r="O112" s="655">
        <f t="shared" si="7"/>
        <v>4533</v>
      </c>
      <c r="P112" s="564"/>
      <c r="Q112" s="672" t="str">
        <f>VLOOKUP(G:G,list!B:F,5,FALSE)</f>
        <v>웹소설본부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79</v>
      </c>
      <c r="E113" s="564" t="s">
        <v>9</v>
      </c>
      <c r="F113" s="564" t="s">
        <v>297</v>
      </c>
      <c r="G113" s="564" t="s">
        <v>316</v>
      </c>
      <c r="H113" s="565">
        <v>44802</v>
      </c>
      <c r="I113" s="652">
        <v>45689</v>
      </c>
      <c r="J113" s="653">
        <v>627</v>
      </c>
      <c r="K113" s="603">
        <v>0.28000000000000003</v>
      </c>
      <c r="L113" s="568">
        <v>140</v>
      </c>
      <c r="M113" s="654">
        <f>VLOOKUP(G:G,list!B:E,4,FALSE)</f>
        <v>0.1</v>
      </c>
      <c r="N113" s="655">
        <f t="shared" si="6"/>
        <v>14</v>
      </c>
      <c r="O113" s="655">
        <f t="shared" si="7"/>
        <v>126</v>
      </c>
      <c r="P113" s="564"/>
      <c r="Q113" s="672" t="str">
        <f>VLOOKUP(G:G,list!B:F,5,FALSE)</f>
        <v>웹소설본부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79</v>
      </c>
      <c r="E114" s="564" t="s">
        <v>9</v>
      </c>
      <c r="F114" s="564" t="s">
        <v>297</v>
      </c>
      <c r="G114" s="564" t="s">
        <v>352</v>
      </c>
      <c r="H114" s="565">
        <v>44916</v>
      </c>
      <c r="I114" s="652">
        <v>45689</v>
      </c>
      <c r="J114" s="653">
        <v>7054</v>
      </c>
      <c r="K114" s="603">
        <v>0.28000000000000003</v>
      </c>
      <c r="L114" s="568">
        <v>1639</v>
      </c>
      <c r="M114" s="654">
        <f>VLOOKUP(G:G,list!B:E,4,FALSE)</f>
        <v>0.1</v>
      </c>
      <c r="N114" s="655">
        <f t="shared" si="6"/>
        <v>164</v>
      </c>
      <c r="O114" s="655">
        <f t="shared" si="7"/>
        <v>1475</v>
      </c>
      <c r="P114" s="564"/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79</v>
      </c>
      <c r="E115" s="564" t="s">
        <v>9</v>
      </c>
      <c r="F115" s="564" t="s">
        <v>297</v>
      </c>
      <c r="G115" s="564" t="s">
        <v>56</v>
      </c>
      <c r="H115" s="565">
        <v>44625</v>
      </c>
      <c r="I115" s="652">
        <v>45717</v>
      </c>
      <c r="J115" s="653">
        <v>23952</v>
      </c>
      <c r="K115" s="603">
        <v>0.28000000000000003</v>
      </c>
      <c r="L115" s="568">
        <v>5282</v>
      </c>
      <c r="M115" s="654">
        <f>VLOOKUP(G:G,list!B:E,4,FALSE)</f>
        <v>0.1</v>
      </c>
      <c r="N115" s="655">
        <f t="shared" si="6"/>
        <v>528</v>
      </c>
      <c r="O115" s="655">
        <f t="shared" si="7"/>
        <v>4754</v>
      </c>
      <c r="P115" s="564"/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79</v>
      </c>
      <c r="E116" s="564" t="s">
        <v>9</v>
      </c>
      <c r="F116" s="564" t="s">
        <v>297</v>
      </c>
      <c r="G116" s="564" t="s">
        <v>316</v>
      </c>
      <c r="H116" s="565">
        <v>44802</v>
      </c>
      <c r="I116" s="652">
        <v>45717</v>
      </c>
      <c r="J116" s="653">
        <v>2062</v>
      </c>
      <c r="K116" s="603">
        <v>0.28000000000000003</v>
      </c>
      <c r="L116" s="568">
        <v>455</v>
      </c>
      <c r="M116" s="654">
        <f>VLOOKUP(G:G,list!B:E,4,FALSE)</f>
        <v>0.1</v>
      </c>
      <c r="N116" s="655">
        <f t="shared" si="6"/>
        <v>46</v>
      </c>
      <c r="O116" s="655">
        <f t="shared" si="7"/>
        <v>409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79</v>
      </c>
      <c r="E117" s="564" t="s">
        <v>9</v>
      </c>
      <c r="F117" s="564" t="s">
        <v>297</v>
      </c>
      <c r="G117" s="564" t="s">
        <v>352</v>
      </c>
      <c r="H117" s="565">
        <v>44916</v>
      </c>
      <c r="I117" s="652">
        <v>45717</v>
      </c>
      <c r="J117" s="653">
        <v>27917</v>
      </c>
      <c r="K117" s="603">
        <v>0.28000000000000003</v>
      </c>
      <c r="L117" s="568">
        <v>6411</v>
      </c>
      <c r="M117" s="654">
        <f>VLOOKUP(G:G,list!B:E,4,FALSE)</f>
        <v>0.1</v>
      </c>
      <c r="N117" s="655">
        <f t="shared" si="6"/>
        <v>641</v>
      </c>
      <c r="O117" s="655">
        <f t="shared" si="7"/>
        <v>5770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작가기획</v>
      </c>
      <c r="D118" s="564" t="s">
        <v>177</v>
      </c>
      <c r="E118" s="564" t="s">
        <v>9</v>
      </c>
      <c r="F118" s="564" t="s">
        <v>246</v>
      </c>
      <c r="G118" s="564" t="s">
        <v>36</v>
      </c>
      <c r="H118" s="565">
        <v>44505</v>
      </c>
      <c r="I118" s="652">
        <v>45658</v>
      </c>
      <c r="J118" s="653">
        <v>56648</v>
      </c>
      <c r="K118" s="603">
        <v>0.4</v>
      </c>
      <c r="L118" s="568">
        <v>22659</v>
      </c>
      <c r="M118" s="654" t="str">
        <f>VLOOKUP(G:G,list!B:E,4,FALSE)</f>
        <v>-</v>
      </c>
      <c r="N118" s="655">
        <f t="shared" si="6"/>
        <v>0</v>
      </c>
      <c r="O118" s="655">
        <f t="shared" si="7"/>
        <v>22659</v>
      </c>
      <c r="P118" s="564"/>
      <c r="Q118" s="672" t="str">
        <f>VLOOKUP(G:G,list!B:F,5,FALSE)</f>
        <v>-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작가기획</v>
      </c>
      <c r="D119" s="564" t="s">
        <v>177</v>
      </c>
      <c r="E119" s="564" t="s">
        <v>9</v>
      </c>
      <c r="F119" s="564" t="s">
        <v>246</v>
      </c>
      <c r="G119" s="564" t="s">
        <v>36</v>
      </c>
      <c r="H119" s="565">
        <v>44505</v>
      </c>
      <c r="I119" s="652">
        <v>45689</v>
      </c>
      <c r="J119" s="653">
        <v>596</v>
      </c>
      <c r="K119" s="603">
        <v>0.4</v>
      </c>
      <c r="L119" s="568">
        <v>239</v>
      </c>
      <c r="M119" s="654" t="str">
        <f>VLOOKUP(G:G,list!B:E,4,FALSE)</f>
        <v>-</v>
      </c>
      <c r="N119" s="655">
        <f t="shared" si="6"/>
        <v>0</v>
      </c>
      <c r="O119" s="655">
        <f t="shared" si="7"/>
        <v>239</v>
      </c>
      <c r="P119" s="564"/>
      <c r="Q119" s="672" t="str">
        <f>VLOOKUP(G:G,list!B:F,5,FALSE)</f>
        <v>-</v>
      </c>
      <c r="R119" s="656" t="str">
        <f>VLOOKUP(G:G,list!B:D,3,FALSE)</f>
        <v>Y</v>
      </c>
    </row>
    <row r="120" spans="2:18" ht="18" customHeight="1">
      <c r="B120" s="563">
        <v>115</v>
      </c>
      <c r="C120" s="651" t="str">
        <f>VLOOKUP(G:G,list!B:D,2,FALSE)</f>
        <v>작가기획</v>
      </c>
      <c r="D120" s="564" t="s">
        <v>177</v>
      </c>
      <c r="E120" s="564" t="s">
        <v>9</v>
      </c>
      <c r="F120" s="564" t="s">
        <v>246</v>
      </c>
      <c r="G120" s="564" t="s">
        <v>36</v>
      </c>
      <c r="H120" s="565">
        <v>44505</v>
      </c>
      <c r="I120" s="652">
        <v>45717</v>
      </c>
      <c r="J120" s="653">
        <v>3578</v>
      </c>
      <c r="K120" s="603">
        <v>0.4</v>
      </c>
      <c r="L120" s="568">
        <v>1431</v>
      </c>
      <c r="M120" s="654" t="str">
        <f>VLOOKUP(G:G,list!B:E,4,FALSE)</f>
        <v>-</v>
      </c>
      <c r="N120" s="655">
        <f t="shared" si="6"/>
        <v>0</v>
      </c>
      <c r="O120" s="655">
        <f t="shared" si="7"/>
        <v>1431</v>
      </c>
      <c r="P120" s="564"/>
      <c r="Q120" s="672" t="str">
        <f>VLOOKUP(G:G,list!B:F,5,FALSE)</f>
        <v>-</v>
      </c>
      <c r="R120" s="656" t="str">
        <f>VLOOKUP(G:G,list!B:D,3,FALSE)</f>
        <v>Y</v>
      </c>
    </row>
    <row r="121" spans="2:18" ht="18" customHeight="1">
      <c r="B121" s="650">
        <v>116</v>
      </c>
      <c r="C121" s="651" t="str">
        <f>VLOOKUP(G:G,list!B:D,2,FALSE)</f>
        <v>작가기획</v>
      </c>
      <c r="D121" s="564" t="s">
        <v>72</v>
      </c>
      <c r="E121" s="564" t="s">
        <v>9</v>
      </c>
      <c r="F121" s="564" t="s">
        <v>332</v>
      </c>
      <c r="G121" s="564" t="s">
        <v>36</v>
      </c>
      <c r="H121" s="565">
        <v>44556</v>
      </c>
      <c r="I121" s="652" t="s">
        <v>577</v>
      </c>
      <c r="J121" s="653">
        <v>35560</v>
      </c>
      <c r="K121" s="603">
        <v>0.5</v>
      </c>
      <c r="L121" s="568">
        <v>17780</v>
      </c>
      <c r="M121" s="654" t="str">
        <f>VLOOKUP(G:G,list!B:E,4,FALSE)</f>
        <v>-</v>
      </c>
      <c r="N121" s="655">
        <f t="shared" si="6"/>
        <v>0</v>
      </c>
      <c r="O121" s="655">
        <f t="shared" si="7"/>
        <v>17780</v>
      </c>
      <c r="P121" s="564"/>
      <c r="Q121" s="672" t="str">
        <f>VLOOKUP(G:G,list!B:F,5,FALSE)</f>
        <v>-</v>
      </c>
      <c r="R121" s="656" t="str">
        <f>VLOOKUP(G:G,list!B:D,3,FALSE)</f>
        <v>Y</v>
      </c>
    </row>
    <row r="122" spans="2:18" ht="18" customHeight="1">
      <c r="B122" s="563">
        <v>117</v>
      </c>
      <c r="C122" s="651" t="str">
        <f>VLOOKUP(G:G,list!B:D,2,FALSE)</f>
        <v>작가기획</v>
      </c>
      <c r="D122" s="564" t="s">
        <v>72</v>
      </c>
      <c r="E122" s="564" t="s">
        <v>9</v>
      </c>
      <c r="F122" s="564" t="s">
        <v>569</v>
      </c>
      <c r="G122" s="564" t="s">
        <v>36</v>
      </c>
      <c r="H122" s="565">
        <v>44753</v>
      </c>
      <c r="I122" s="652" t="s">
        <v>577</v>
      </c>
      <c r="J122" s="653">
        <v>28648</v>
      </c>
      <c r="K122" s="603">
        <v>0.5</v>
      </c>
      <c r="L122" s="568">
        <v>14324</v>
      </c>
      <c r="M122" s="654" t="str">
        <f>VLOOKUP(G:G,list!B:E,4,FALSE)</f>
        <v>-</v>
      </c>
      <c r="N122" s="655">
        <f t="shared" si="6"/>
        <v>0</v>
      </c>
      <c r="O122" s="655">
        <f t="shared" si="7"/>
        <v>14324</v>
      </c>
      <c r="P122" s="564"/>
      <c r="Q122" s="672" t="str">
        <f>VLOOKUP(G:G,list!B:F,5,FALSE)</f>
        <v>-</v>
      </c>
      <c r="R122" s="656" t="str">
        <f>VLOOKUP(G:G,list!B:D,3,FALSE)</f>
        <v>Y</v>
      </c>
    </row>
    <row r="123" spans="2:18" ht="18" customHeight="1">
      <c r="B123" s="650">
        <v>118</v>
      </c>
      <c r="C123" s="651" t="str">
        <f>VLOOKUP(G:G,list!B:D,2,FALSE)</f>
        <v>원작료</v>
      </c>
      <c r="D123" s="564" t="s">
        <v>182</v>
      </c>
      <c r="E123" s="564" t="s">
        <v>115</v>
      </c>
      <c r="F123" s="564" t="s">
        <v>283</v>
      </c>
      <c r="G123" s="564" t="s">
        <v>30</v>
      </c>
      <c r="H123" s="565">
        <v>44358</v>
      </c>
      <c r="I123" s="652">
        <v>45658</v>
      </c>
      <c r="J123" s="653">
        <v>24126</v>
      </c>
      <c r="K123" s="603">
        <v>0.5</v>
      </c>
      <c r="L123" s="568">
        <v>12063</v>
      </c>
      <c r="M123" s="654">
        <f>VLOOKUP(G:G,list!B:E,4,FALSE)</f>
        <v>0.1</v>
      </c>
      <c r="N123" s="655">
        <f t="shared" si="6"/>
        <v>1206</v>
      </c>
      <c r="O123" s="655">
        <f t="shared" si="7"/>
        <v>10857</v>
      </c>
      <c r="P123" s="564"/>
      <c r="Q123" s="672" t="str">
        <f>VLOOKUP(G:G,list!B:F,5,FALSE)</f>
        <v>웹소설본부</v>
      </c>
      <c r="R123" s="656" t="str">
        <f>VLOOKUP(G:G,list!B:D,3,FALSE)</f>
        <v>Y</v>
      </c>
    </row>
    <row r="124" spans="2:18" ht="18" customHeight="1">
      <c r="B124" s="563">
        <v>119</v>
      </c>
      <c r="C124" s="651" t="str">
        <f>VLOOKUP(G:G,list!B:D,2,FALSE)</f>
        <v>원작료</v>
      </c>
      <c r="D124" s="564" t="s">
        <v>182</v>
      </c>
      <c r="E124" s="564" t="s">
        <v>115</v>
      </c>
      <c r="F124" s="564" t="s">
        <v>283</v>
      </c>
      <c r="G124" s="564" t="s">
        <v>30</v>
      </c>
      <c r="H124" s="565">
        <v>44358</v>
      </c>
      <c r="I124" s="652">
        <v>45689</v>
      </c>
      <c r="J124" s="653">
        <v>48807</v>
      </c>
      <c r="K124" s="603">
        <v>0.5</v>
      </c>
      <c r="L124" s="568">
        <v>24404</v>
      </c>
      <c r="M124" s="654">
        <f>VLOOKUP(G:G,list!B:E,4,FALSE)</f>
        <v>0.1</v>
      </c>
      <c r="N124" s="655">
        <f t="shared" si="6"/>
        <v>2440</v>
      </c>
      <c r="O124" s="655">
        <f t="shared" si="7"/>
        <v>21964</v>
      </c>
      <c r="P124" s="564"/>
      <c r="Q124" s="672" t="str">
        <f>VLOOKUP(G:G,list!B:F,5,FALSE)</f>
        <v>웹소설본부</v>
      </c>
      <c r="R124" s="656" t="str">
        <f>VLOOKUP(G:G,list!B:D,3,FALSE)</f>
        <v>Y</v>
      </c>
    </row>
    <row r="125" spans="2:18" ht="18" customHeight="1">
      <c r="B125" s="650">
        <v>120</v>
      </c>
      <c r="C125" s="651" t="str">
        <f>VLOOKUP(G:G,list!B:D,2,FALSE)</f>
        <v>원작료</v>
      </c>
      <c r="D125" s="564" t="s">
        <v>182</v>
      </c>
      <c r="E125" s="564" t="s">
        <v>115</v>
      </c>
      <c r="F125" s="564" t="s">
        <v>283</v>
      </c>
      <c r="G125" s="564" t="s">
        <v>30</v>
      </c>
      <c r="H125" s="565">
        <v>44358</v>
      </c>
      <c r="I125" s="652">
        <v>45717</v>
      </c>
      <c r="J125" s="653">
        <v>39570</v>
      </c>
      <c r="K125" s="603">
        <v>0.5</v>
      </c>
      <c r="L125" s="568">
        <v>19785</v>
      </c>
      <c r="M125" s="654">
        <f>VLOOKUP(G:G,list!B:E,4,FALSE)</f>
        <v>0.1</v>
      </c>
      <c r="N125" s="655">
        <f t="shared" si="6"/>
        <v>1979</v>
      </c>
      <c r="O125" s="655">
        <f t="shared" si="7"/>
        <v>17806</v>
      </c>
      <c r="P125" s="564"/>
      <c r="Q125" s="672" t="str">
        <f>VLOOKUP(G:G,list!B:F,5,FALSE)</f>
        <v>웹소설본부</v>
      </c>
      <c r="R125" s="656" t="str">
        <f>VLOOKUP(G:G,list!B:D,3,FALSE)</f>
        <v>Y</v>
      </c>
    </row>
    <row r="126" spans="2:18" ht="18" customHeight="1">
      <c r="B126" s="563">
        <v>121</v>
      </c>
      <c r="C126" s="651" t="str">
        <f>VLOOKUP(G:G,list!B:D,2,FALSE)</f>
        <v>원작료</v>
      </c>
      <c r="D126" s="564" t="s">
        <v>182</v>
      </c>
      <c r="E126" s="564" t="s">
        <v>115</v>
      </c>
      <c r="F126" s="564" t="s">
        <v>283</v>
      </c>
      <c r="G126" s="564" t="s">
        <v>56</v>
      </c>
      <c r="H126" s="565">
        <v>44391</v>
      </c>
      <c r="I126" s="652">
        <v>45658</v>
      </c>
      <c r="J126" s="653">
        <v>332961</v>
      </c>
      <c r="K126" s="603">
        <v>0.5</v>
      </c>
      <c r="L126" s="568">
        <v>166481</v>
      </c>
      <c r="M126" s="654">
        <f>VLOOKUP(G:G,list!B:E,4,FALSE)</f>
        <v>0.1</v>
      </c>
      <c r="N126" s="655">
        <f t="shared" si="6"/>
        <v>16648</v>
      </c>
      <c r="O126" s="655">
        <f t="shared" si="7"/>
        <v>149833</v>
      </c>
      <c r="P126" s="564"/>
      <c r="Q126" s="672" t="str">
        <f>VLOOKUP(G:G,list!B:F,5,FALSE)</f>
        <v>웹소설본부</v>
      </c>
      <c r="R126" s="656" t="str">
        <f>VLOOKUP(G:G,list!B:D,3,FALSE)</f>
        <v>Y</v>
      </c>
    </row>
    <row r="127" spans="2:18" ht="18" customHeight="1">
      <c r="B127" s="650">
        <v>122</v>
      </c>
      <c r="C127" s="651" t="str">
        <f>VLOOKUP(G:G,list!B:D,2,FALSE)</f>
        <v>원작료</v>
      </c>
      <c r="D127" s="564" t="s">
        <v>182</v>
      </c>
      <c r="E127" s="564" t="s">
        <v>115</v>
      </c>
      <c r="F127" s="564" t="s">
        <v>283</v>
      </c>
      <c r="G127" s="564" t="s">
        <v>56</v>
      </c>
      <c r="H127" s="565">
        <v>44391</v>
      </c>
      <c r="I127" s="652">
        <v>45689</v>
      </c>
      <c r="J127" s="653">
        <v>436401</v>
      </c>
      <c r="K127" s="603">
        <v>0.5</v>
      </c>
      <c r="L127" s="568">
        <v>218201</v>
      </c>
      <c r="M127" s="654">
        <f>VLOOKUP(G:G,list!B:E,4,FALSE)</f>
        <v>0.1</v>
      </c>
      <c r="N127" s="655">
        <f t="shared" si="6"/>
        <v>21820</v>
      </c>
      <c r="O127" s="655">
        <f t="shared" si="7"/>
        <v>196381</v>
      </c>
      <c r="P127" s="564"/>
      <c r="Q127" s="672" t="str">
        <f>VLOOKUP(G:G,list!B:F,5,FALSE)</f>
        <v>웹소설본부</v>
      </c>
      <c r="R127" s="656" t="str">
        <f>VLOOKUP(G:G,list!B:D,3,FALSE)</f>
        <v>Y</v>
      </c>
    </row>
    <row r="128" spans="2:18" ht="18" customHeight="1">
      <c r="B128" s="563">
        <v>123</v>
      </c>
      <c r="C128" s="651" t="str">
        <f>VLOOKUP(G:G,list!B:D,2,FALSE)</f>
        <v>원작료</v>
      </c>
      <c r="D128" s="564" t="s">
        <v>182</v>
      </c>
      <c r="E128" s="564" t="s">
        <v>115</v>
      </c>
      <c r="F128" s="564" t="s">
        <v>283</v>
      </c>
      <c r="G128" s="564" t="s">
        <v>56</v>
      </c>
      <c r="H128" s="565">
        <v>44391</v>
      </c>
      <c r="I128" s="652">
        <v>45717</v>
      </c>
      <c r="J128" s="653">
        <v>728987</v>
      </c>
      <c r="K128" s="603">
        <v>0.5</v>
      </c>
      <c r="L128" s="568">
        <v>364494</v>
      </c>
      <c r="M128" s="654">
        <f>VLOOKUP(G:G,list!B:E,4,FALSE)</f>
        <v>0.1</v>
      </c>
      <c r="N128" s="655">
        <f t="shared" si="6"/>
        <v>36449</v>
      </c>
      <c r="O128" s="655">
        <f t="shared" si="7"/>
        <v>328045</v>
      </c>
      <c r="P128" s="564"/>
      <c r="Q128" s="672" t="str">
        <f>VLOOKUP(G:G,list!B:F,5,FALSE)</f>
        <v>웹소설본부</v>
      </c>
      <c r="R128" s="656" t="str">
        <f>VLOOKUP(G:G,list!B:D,3,FALSE)</f>
        <v>Y</v>
      </c>
    </row>
    <row r="129" spans="2:18" ht="18" customHeight="1">
      <c r="B129" s="650">
        <v>124</v>
      </c>
      <c r="C129" s="651" t="str">
        <f>VLOOKUP(G:G,list!B:D,2,FALSE)</f>
        <v>원작료</v>
      </c>
      <c r="D129" s="564" t="s">
        <v>182</v>
      </c>
      <c r="E129" s="564" t="s">
        <v>115</v>
      </c>
      <c r="F129" s="564" t="s">
        <v>283</v>
      </c>
      <c r="G129" s="564" t="s">
        <v>316</v>
      </c>
      <c r="H129" s="565">
        <v>44969</v>
      </c>
      <c r="I129" s="652">
        <v>45658</v>
      </c>
      <c r="J129" s="653">
        <v>15644</v>
      </c>
      <c r="K129" s="603">
        <v>0.5</v>
      </c>
      <c r="L129" s="568">
        <v>7822</v>
      </c>
      <c r="M129" s="654">
        <f>VLOOKUP(G:G,list!B:E,4,FALSE)</f>
        <v>0.1</v>
      </c>
      <c r="N129" s="655">
        <f t="shared" si="6"/>
        <v>782</v>
      </c>
      <c r="O129" s="655">
        <f t="shared" si="7"/>
        <v>7040</v>
      </c>
      <c r="P129" s="564"/>
      <c r="Q129" s="672" t="str">
        <f>VLOOKUP(G:G,list!B:F,5,FALSE)</f>
        <v>웹소설본부</v>
      </c>
      <c r="R129" s="656" t="str">
        <f>VLOOKUP(G:G,list!B:D,3,FALSE)</f>
        <v>Y</v>
      </c>
    </row>
    <row r="130" spans="2:18" ht="18" customHeight="1">
      <c r="B130" s="563">
        <v>125</v>
      </c>
      <c r="C130" s="651" t="str">
        <f>VLOOKUP(G:G,list!B:D,2,FALSE)</f>
        <v>원작료</v>
      </c>
      <c r="D130" s="564" t="s">
        <v>182</v>
      </c>
      <c r="E130" s="564" t="s">
        <v>115</v>
      </c>
      <c r="F130" s="564" t="s">
        <v>283</v>
      </c>
      <c r="G130" s="564" t="s">
        <v>316</v>
      </c>
      <c r="H130" s="565">
        <v>44969</v>
      </c>
      <c r="I130" s="652">
        <v>45689</v>
      </c>
      <c r="J130" s="653">
        <v>43517</v>
      </c>
      <c r="K130" s="603">
        <v>0.5</v>
      </c>
      <c r="L130" s="568">
        <v>21759</v>
      </c>
      <c r="M130" s="654">
        <f>VLOOKUP(G:G,list!B:E,4,FALSE)</f>
        <v>0.1</v>
      </c>
      <c r="N130" s="655">
        <f t="shared" si="6"/>
        <v>2176</v>
      </c>
      <c r="O130" s="655">
        <f t="shared" si="7"/>
        <v>19583</v>
      </c>
      <c r="P130" s="564"/>
      <c r="Q130" s="672" t="str">
        <f>VLOOKUP(G:G,list!B:F,5,FALSE)</f>
        <v>웹소설본부</v>
      </c>
      <c r="R130" s="656" t="str">
        <f>VLOOKUP(G:G,list!B:D,3,FALSE)</f>
        <v>Y</v>
      </c>
    </row>
    <row r="131" spans="2:18" ht="18" customHeight="1">
      <c r="B131" s="650">
        <v>126</v>
      </c>
      <c r="C131" s="651" t="str">
        <f>VLOOKUP(G:G,list!B:D,2,FALSE)</f>
        <v>원작료</v>
      </c>
      <c r="D131" s="564" t="s">
        <v>182</v>
      </c>
      <c r="E131" s="564" t="s">
        <v>115</v>
      </c>
      <c r="F131" s="564" t="s">
        <v>283</v>
      </c>
      <c r="G131" s="564" t="s">
        <v>316</v>
      </c>
      <c r="H131" s="565">
        <v>44969</v>
      </c>
      <c r="I131" s="652">
        <v>45717</v>
      </c>
      <c r="J131" s="653">
        <v>52728</v>
      </c>
      <c r="K131" s="603">
        <v>0.5</v>
      </c>
      <c r="L131" s="568">
        <v>26364</v>
      </c>
      <c r="M131" s="654">
        <f>VLOOKUP(G:G,list!B:E,4,FALSE)</f>
        <v>0.1</v>
      </c>
      <c r="N131" s="655">
        <f t="shared" si="6"/>
        <v>2636</v>
      </c>
      <c r="O131" s="655">
        <f t="shared" si="7"/>
        <v>23728</v>
      </c>
      <c r="P131" s="564"/>
      <c r="Q131" s="672" t="str">
        <f>VLOOKUP(G:G,list!B:F,5,FALSE)</f>
        <v>웹소설본부</v>
      </c>
      <c r="R131" s="656" t="str">
        <f>VLOOKUP(G:G,list!B:D,3,FALSE)</f>
        <v>Y</v>
      </c>
    </row>
    <row r="132" spans="2:18" ht="18" customHeight="1">
      <c r="B132" s="563">
        <v>127</v>
      </c>
      <c r="C132" s="651" t="str">
        <f>VLOOKUP(G:G,list!B:D,2,FALSE)</f>
        <v>원작료</v>
      </c>
      <c r="D132" s="564" t="s">
        <v>182</v>
      </c>
      <c r="E132" s="564" t="s">
        <v>115</v>
      </c>
      <c r="F132" s="564" t="s">
        <v>230</v>
      </c>
      <c r="G132" s="564" t="s">
        <v>30</v>
      </c>
      <c r="H132" s="565">
        <v>45248</v>
      </c>
      <c r="I132" s="652">
        <v>45658</v>
      </c>
      <c r="J132" s="653">
        <v>138099</v>
      </c>
      <c r="K132" s="603">
        <v>0.5</v>
      </c>
      <c r="L132" s="568">
        <v>69050</v>
      </c>
      <c r="M132" s="654">
        <f>VLOOKUP(G:G,list!B:E,4,FALSE)</f>
        <v>0.1</v>
      </c>
      <c r="N132" s="655">
        <f t="shared" si="6"/>
        <v>6905</v>
      </c>
      <c r="O132" s="655">
        <f t="shared" si="7"/>
        <v>62145</v>
      </c>
      <c r="P132" s="564"/>
      <c r="Q132" s="672" t="str">
        <f>VLOOKUP(G:G,list!B:F,5,FALSE)</f>
        <v>웹소설본부</v>
      </c>
      <c r="R132" s="656" t="str">
        <f>VLOOKUP(G:G,list!B:D,3,FALSE)</f>
        <v>Y</v>
      </c>
    </row>
    <row r="133" spans="2:18" ht="18" customHeight="1">
      <c r="B133" s="650">
        <v>128</v>
      </c>
      <c r="C133" s="651" t="str">
        <f>VLOOKUP(G:G,list!B:D,2,FALSE)</f>
        <v>원작료</v>
      </c>
      <c r="D133" s="564" t="s">
        <v>182</v>
      </c>
      <c r="E133" s="564" t="s">
        <v>115</v>
      </c>
      <c r="F133" s="564" t="s">
        <v>230</v>
      </c>
      <c r="G133" s="564" t="s">
        <v>30</v>
      </c>
      <c r="H133" s="565">
        <v>45248</v>
      </c>
      <c r="I133" s="652">
        <v>45689</v>
      </c>
      <c r="J133" s="653">
        <v>75356</v>
      </c>
      <c r="K133" s="603">
        <v>0.5</v>
      </c>
      <c r="L133" s="568">
        <v>37678</v>
      </c>
      <c r="M133" s="654">
        <f>VLOOKUP(G:G,list!B:E,4,FALSE)</f>
        <v>0.1</v>
      </c>
      <c r="N133" s="655">
        <f t="shared" si="6"/>
        <v>3768</v>
      </c>
      <c r="O133" s="655">
        <f t="shared" si="7"/>
        <v>33910</v>
      </c>
      <c r="P133" s="564"/>
      <c r="Q133" s="672" t="str">
        <f>VLOOKUP(G:G,list!B:F,5,FALSE)</f>
        <v>웹소설본부</v>
      </c>
      <c r="R133" s="656" t="str">
        <f>VLOOKUP(G:G,list!B:D,3,FALSE)</f>
        <v>Y</v>
      </c>
    </row>
    <row r="134" spans="2:18" ht="18" customHeight="1">
      <c r="B134" s="563">
        <v>129</v>
      </c>
      <c r="C134" s="651" t="str">
        <f>VLOOKUP(G:G,list!B:D,2,FALSE)</f>
        <v>원작료</v>
      </c>
      <c r="D134" s="564" t="s">
        <v>182</v>
      </c>
      <c r="E134" s="564" t="s">
        <v>115</v>
      </c>
      <c r="F134" s="564" t="s">
        <v>230</v>
      </c>
      <c r="G134" s="564" t="s">
        <v>30</v>
      </c>
      <c r="H134" s="565">
        <v>45248</v>
      </c>
      <c r="I134" s="652">
        <v>45717</v>
      </c>
      <c r="J134" s="653">
        <v>78951</v>
      </c>
      <c r="K134" s="603">
        <v>0.5</v>
      </c>
      <c r="L134" s="568">
        <v>39476</v>
      </c>
      <c r="M134" s="654">
        <f>VLOOKUP(G:G,list!B:E,4,FALSE)</f>
        <v>0.1</v>
      </c>
      <c r="N134" s="655">
        <f t="shared" si="6"/>
        <v>3948</v>
      </c>
      <c r="O134" s="655">
        <f t="shared" si="7"/>
        <v>35528</v>
      </c>
      <c r="P134" s="564"/>
      <c r="Q134" s="672" t="str">
        <f>VLOOKUP(G:G,list!B:F,5,FALSE)</f>
        <v>웹소설본부</v>
      </c>
      <c r="R134" s="656" t="str">
        <f>VLOOKUP(G:G,list!B:D,3,FALSE)</f>
        <v>Y</v>
      </c>
    </row>
    <row r="135" spans="2:18" ht="18" customHeight="1">
      <c r="B135" s="650">
        <v>130</v>
      </c>
      <c r="C135" s="651" t="str">
        <f>VLOOKUP(G:G,list!B:D,2,FALSE)</f>
        <v>원작료</v>
      </c>
      <c r="D135" s="564" t="s">
        <v>182</v>
      </c>
      <c r="E135" s="564" t="s">
        <v>115</v>
      </c>
      <c r="F135" s="564" t="s">
        <v>230</v>
      </c>
      <c r="G135" s="564" t="s">
        <v>56</v>
      </c>
      <c r="H135" s="565">
        <v>45414</v>
      </c>
      <c r="I135" s="652">
        <v>45658</v>
      </c>
      <c r="J135" s="653">
        <v>168030</v>
      </c>
      <c r="K135" s="603">
        <v>0.5</v>
      </c>
      <c r="L135" s="568">
        <v>84015</v>
      </c>
      <c r="M135" s="654">
        <f>VLOOKUP(G:G,list!B:E,4,FALSE)</f>
        <v>0.1</v>
      </c>
      <c r="N135" s="655">
        <f t="shared" si="6"/>
        <v>8402</v>
      </c>
      <c r="O135" s="655">
        <f t="shared" si="7"/>
        <v>75613</v>
      </c>
      <c r="P135" s="564"/>
      <c r="Q135" s="672" t="str">
        <f>VLOOKUP(G:G,list!B:F,5,FALSE)</f>
        <v>웹소설본부</v>
      </c>
      <c r="R135" s="656" t="str">
        <f>VLOOKUP(G:G,list!B:D,3,FALSE)</f>
        <v>Y</v>
      </c>
    </row>
    <row r="136" spans="2:18" ht="18" customHeight="1">
      <c r="B136" s="563">
        <v>131</v>
      </c>
      <c r="C136" s="651" t="str">
        <f>VLOOKUP(G:G,list!B:D,2,FALSE)</f>
        <v>원작료</v>
      </c>
      <c r="D136" s="564" t="s">
        <v>182</v>
      </c>
      <c r="E136" s="564" t="s">
        <v>115</v>
      </c>
      <c r="F136" s="564" t="s">
        <v>230</v>
      </c>
      <c r="G136" s="564" t="s">
        <v>56</v>
      </c>
      <c r="H136" s="565">
        <v>45414</v>
      </c>
      <c r="I136" s="652">
        <v>45689</v>
      </c>
      <c r="J136" s="653">
        <v>127170</v>
      </c>
      <c r="K136" s="603">
        <v>0.5</v>
      </c>
      <c r="L136" s="568">
        <v>63585</v>
      </c>
      <c r="M136" s="654">
        <f>VLOOKUP(G:G,list!B:E,4,FALSE)</f>
        <v>0.1</v>
      </c>
      <c r="N136" s="655">
        <f t="shared" si="6"/>
        <v>6359</v>
      </c>
      <c r="O136" s="655">
        <f t="shared" si="7"/>
        <v>57226</v>
      </c>
      <c r="P136" s="564"/>
      <c r="Q136" s="672" t="str">
        <f>VLOOKUP(G:G,list!B:F,5,FALSE)</f>
        <v>웹소설본부</v>
      </c>
      <c r="R136" s="656" t="str">
        <f>VLOOKUP(G:G,list!B:D,3,FALSE)</f>
        <v>Y</v>
      </c>
    </row>
    <row r="137" spans="2:18" ht="18" customHeight="1">
      <c r="B137" s="650">
        <v>132</v>
      </c>
      <c r="C137" s="651" t="str">
        <f>VLOOKUP(G:G,list!B:D,2,FALSE)</f>
        <v>원작료</v>
      </c>
      <c r="D137" s="564" t="s">
        <v>182</v>
      </c>
      <c r="E137" s="564" t="s">
        <v>115</v>
      </c>
      <c r="F137" s="564" t="s">
        <v>230</v>
      </c>
      <c r="G137" s="564" t="s">
        <v>56</v>
      </c>
      <c r="H137" s="565">
        <v>45414</v>
      </c>
      <c r="I137" s="652">
        <v>45717</v>
      </c>
      <c r="J137" s="653">
        <v>131839</v>
      </c>
      <c r="K137" s="603">
        <v>0.5</v>
      </c>
      <c r="L137" s="568">
        <v>65920</v>
      </c>
      <c r="M137" s="654">
        <f>VLOOKUP(G:G,list!B:E,4,FALSE)</f>
        <v>0.1</v>
      </c>
      <c r="N137" s="655">
        <f t="shared" si="6"/>
        <v>6592</v>
      </c>
      <c r="O137" s="655">
        <f t="shared" si="7"/>
        <v>59328</v>
      </c>
      <c r="P137" s="564"/>
      <c r="Q137" s="672" t="str">
        <f>VLOOKUP(G:G,list!B:F,5,FALSE)</f>
        <v>웹소설본부</v>
      </c>
      <c r="R137" s="656" t="str">
        <f>VLOOKUP(G:G,list!B:D,3,FALSE)</f>
        <v>Y</v>
      </c>
    </row>
    <row r="138" spans="2:18" ht="18" customHeight="1">
      <c r="B138" s="563">
        <v>133</v>
      </c>
      <c r="C138" s="651" t="str">
        <f>VLOOKUP(G:G,list!B:D,2,FALSE)</f>
        <v>작가기획</v>
      </c>
      <c r="D138" s="564" t="s">
        <v>182</v>
      </c>
      <c r="E138" s="564" t="s">
        <v>115</v>
      </c>
      <c r="F138" s="564" t="s">
        <v>230</v>
      </c>
      <c r="G138" s="564" t="s">
        <v>308</v>
      </c>
      <c r="H138" s="565">
        <v>45569</v>
      </c>
      <c r="I138" s="652">
        <v>45658</v>
      </c>
      <c r="J138" s="653">
        <v>58298</v>
      </c>
      <c r="K138" s="603">
        <v>0.5</v>
      </c>
      <c r="L138" s="568">
        <v>29149</v>
      </c>
      <c r="M138" s="654" t="str">
        <f>VLOOKUP(G:G,list!B:E,4,FALSE)</f>
        <v>-</v>
      </c>
      <c r="N138" s="655">
        <f t="shared" si="6"/>
        <v>0</v>
      </c>
      <c r="O138" s="655">
        <f t="shared" si="7"/>
        <v>29149</v>
      </c>
      <c r="P138" s="564"/>
      <c r="Q138" s="672" t="str">
        <f>VLOOKUP(G:G,list!B:F,5,FALSE)</f>
        <v>-</v>
      </c>
      <c r="R138" s="656" t="str">
        <f>VLOOKUP(G:G,list!B:D,3,FALSE)</f>
        <v>Y</v>
      </c>
    </row>
    <row r="139" spans="2:18" ht="18" customHeight="1">
      <c r="B139" s="650">
        <v>134</v>
      </c>
      <c r="C139" s="651" t="str">
        <f>VLOOKUP(G:G,list!B:D,2,FALSE)</f>
        <v>작가기획</v>
      </c>
      <c r="D139" s="564" t="s">
        <v>182</v>
      </c>
      <c r="E139" s="564" t="s">
        <v>115</v>
      </c>
      <c r="F139" s="564" t="s">
        <v>230</v>
      </c>
      <c r="G139" s="564" t="s">
        <v>308</v>
      </c>
      <c r="H139" s="565">
        <v>45569</v>
      </c>
      <c r="I139" s="652">
        <v>45689</v>
      </c>
      <c r="J139" s="653">
        <v>35125</v>
      </c>
      <c r="K139" s="603">
        <v>0.5</v>
      </c>
      <c r="L139" s="568">
        <v>17563</v>
      </c>
      <c r="M139" s="654" t="str">
        <f>VLOOKUP(G:G,list!B:E,4,FALSE)</f>
        <v>-</v>
      </c>
      <c r="N139" s="655">
        <f t="shared" si="6"/>
        <v>0</v>
      </c>
      <c r="O139" s="655">
        <f t="shared" si="7"/>
        <v>17563</v>
      </c>
      <c r="P139" s="564"/>
      <c r="Q139" s="672" t="str">
        <f>VLOOKUP(G:G,list!B:F,5,FALSE)</f>
        <v>-</v>
      </c>
      <c r="R139" s="656" t="str">
        <f>VLOOKUP(G:G,list!B:D,3,FALSE)</f>
        <v>Y</v>
      </c>
    </row>
    <row r="140" spans="2:18" ht="18" customHeight="1">
      <c r="B140" s="563">
        <v>135</v>
      </c>
      <c r="C140" s="651" t="str">
        <f>VLOOKUP(G:G,list!B:D,2,FALSE)</f>
        <v>작가기획</v>
      </c>
      <c r="D140" s="564" t="s">
        <v>182</v>
      </c>
      <c r="E140" s="564" t="s">
        <v>115</v>
      </c>
      <c r="F140" s="564" t="s">
        <v>230</v>
      </c>
      <c r="G140" s="564" t="s">
        <v>308</v>
      </c>
      <c r="H140" s="565">
        <v>45569</v>
      </c>
      <c r="I140" s="652">
        <v>45717</v>
      </c>
      <c r="J140" s="653">
        <v>17315</v>
      </c>
      <c r="K140" s="603">
        <v>0.5</v>
      </c>
      <c r="L140" s="568">
        <v>8658</v>
      </c>
      <c r="M140" s="654" t="str">
        <f>VLOOKUP(G:G,list!B:E,4,FALSE)</f>
        <v>-</v>
      </c>
      <c r="N140" s="655">
        <f t="shared" si="6"/>
        <v>0</v>
      </c>
      <c r="O140" s="655">
        <f t="shared" si="7"/>
        <v>8658</v>
      </c>
      <c r="P140" s="564"/>
      <c r="Q140" s="672" t="str">
        <f>VLOOKUP(G:G,list!B:F,5,FALSE)</f>
        <v>-</v>
      </c>
      <c r="R140" s="656" t="str">
        <f>VLOOKUP(G:G,list!B:D,3,FALSE)</f>
        <v>Y</v>
      </c>
    </row>
    <row r="141" spans="2:18" ht="18" customHeight="1">
      <c r="B141" s="52"/>
      <c r="C141" s="551"/>
      <c r="D141" s="551"/>
      <c r="E141" s="551"/>
      <c r="F141" s="551"/>
      <c r="G141" s="551"/>
      <c r="H141" s="622"/>
      <c r="I141" s="675"/>
      <c r="J141" s="676"/>
      <c r="K141" s="436"/>
      <c r="L141" s="7"/>
      <c r="M141" s="438"/>
      <c r="N141" s="677"/>
      <c r="O141" s="677"/>
      <c r="P141" s="551"/>
      <c r="Q141" s="678"/>
      <c r="R141" s="679"/>
    </row>
    <row r="142" spans="2:18" ht="11.25" customHeight="1">
      <c r="B142" s="52"/>
      <c r="C142" s="551"/>
      <c r="D142" s="551"/>
      <c r="E142" s="551"/>
      <c r="F142" s="551"/>
      <c r="G142" s="551"/>
      <c r="H142" s="622"/>
      <c r="I142" s="551"/>
      <c r="J142" s="435"/>
      <c r="K142" s="623"/>
      <c r="L142"/>
      <c r="M142" s="438"/>
      <c r="N142" s="439"/>
      <c r="O142" s="440"/>
      <c r="P142" s="633"/>
      <c r="Q142" s="438"/>
      <c r="R142" s="486"/>
    </row>
    <row r="143" spans="2:18" s="7" customFormat="1" ht="16.5" customHeight="1">
      <c r="B143" s="624" t="s">
        <v>387</v>
      </c>
      <c r="C143" s="625"/>
      <c r="D143" s="625"/>
      <c r="E143" s="626"/>
      <c r="F143" s="625"/>
      <c r="G143" s="625"/>
      <c r="H143" s="625"/>
      <c r="I143" s="311"/>
      <c r="J143" s="311"/>
      <c r="K143" s="311"/>
      <c r="M143" s="424"/>
      <c r="N143"/>
      <c r="O143" s="333"/>
      <c r="P143" s="631"/>
      <c r="Q143" s="424"/>
      <c r="R143" s="484"/>
    </row>
    <row r="144" spans="2:18" s="7" customFormat="1" ht="16.5" customHeight="1">
      <c r="B144" s="629" t="s">
        <v>299</v>
      </c>
      <c r="C144" s="625"/>
      <c r="D144" s="625"/>
      <c r="E144" s="626"/>
      <c r="F144" s="625"/>
      <c r="G144" s="625"/>
      <c r="H144" s="625"/>
      <c r="I144" s="311"/>
      <c r="K144" s="311"/>
      <c r="L144" s="311"/>
      <c r="M144" s="424"/>
      <c r="N144"/>
      <c r="O144" s="333"/>
      <c r="P144" s="631"/>
      <c r="Q144" s="424"/>
      <c r="R144" s="484"/>
    </row>
    <row r="145" spans="2:18" s="7" customFormat="1" ht="16.5" customHeight="1">
      <c r="B145" s="628" t="s">
        <v>302</v>
      </c>
      <c r="C145" s="627"/>
      <c r="D145" s="625"/>
      <c r="E145" s="626"/>
      <c r="F145" s="625"/>
      <c r="G145" s="625"/>
      <c r="H145" s="625"/>
      <c r="I145" s="311"/>
      <c r="J145" s="311"/>
      <c r="L145" s="311"/>
      <c r="M145" s="424"/>
      <c r="N145"/>
      <c r="O145" s="333"/>
      <c r="P145" s="631"/>
      <c r="Q145" s="424"/>
      <c r="R145" s="484"/>
    </row>
    <row r="146" spans="2:18" s="7" customFormat="1" ht="16.5" customHeight="1">
      <c r="B146" s="630" t="s">
        <v>303</v>
      </c>
      <c r="C146" s="627"/>
      <c r="D146" s="625"/>
      <c r="E146" s="626"/>
      <c r="F146" s="625"/>
      <c r="G146" s="625"/>
      <c r="H146" s="625"/>
      <c r="I146" s="311"/>
      <c r="J146" s="311"/>
      <c r="K146" s="311"/>
      <c r="L146" s="311"/>
      <c r="M146" s="424"/>
      <c r="N146"/>
      <c r="O146" s="333"/>
      <c r="P146" s="631"/>
      <c r="Q146" s="424"/>
      <c r="R146" s="484"/>
    </row>
    <row r="147" spans="2:18" ht="16.5" customHeight="1">
      <c r="B147" s="629" t="s">
        <v>340</v>
      </c>
      <c r="C147" s="625"/>
      <c r="D147" s="625"/>
      <c r="E147" s="626"/>
      <c r="F147" s="625"/>
      <c r="G147" s="625"/>
      <c r="H147" s="625"/>
      <c r="I147" s="311"/>
      <c r="J147" s="311"/>
      <c r="K147" s="311"/>
    </row>
    <row r="148" spans="2:18" ht="16.5" customHeight="1">
      <c r="B148" s="629" t="s">
        <v>512</v>
      </c>
      <c r="C148" s="625"/>
      <c r="D148" s="625"/>
      <c r="E148" s="626"/>
      <c r="F148" s="625"/>
      <c r="G148" s="625"/>
      <c r="H148" s="625"/>
      <c r="I148" s="311"/>
      <c r="J148" s="311"/>
      <c r="K148" s="311"/>
    </row>
    <row r="149" spans="2:18" ht="16.5" customHeight="1">
      <c r="B149" s="629" t="s">
        <v>522</v>
      </c>
      <c r="C149" s="625"/>
      <c r="D149" s="625"/>
      <c r="E149" s="626"/>
      <c r="F149" s="625"/>
      <c r="G149" s="625"/>
      <c r="H149" s="625"/>
      <c r="I149" s="311"/>
      <c r="J149" s="311"/>
      <c r="K149" s="311"/>
    </row>
    <row r="150" spans="2:18" ht="16.5" customHeight="1">
      <c r="B150" s="629" t="s">
        <v>520</v>
      </c>
      <c r="C150" s="625"/>
      <c r="D150" s="625"/>
      <c r="E150" s="626"/>
      <c r="F150" s="625"/>
      <c r="G150" s="625"/>
      <c r="H150" s="625"/>
      <c r="I150" s="311"/>
      <c r="J150" s="311"/>
      <c r="K150" s="311"/>
    </row>
    <row r="151" spans="2:18" ht="16.5" customHeight="1">
      <c r="B151" s="629" t="s">
        <v>521</v>
      </c>
      <c r="C151" s="625"/>
      <c r="D151" s="625"/>
      <c r="E151" s="626"/>
      <c r="F151" s="625"/>
      <c r="G151" s="625"/>
      <c r="H151" s="625"/>
      <c r="I151" s="311"/>
      <c r="J151" s="311"/>
      <c r="K151" s="311"/>
    </row>
    <row r="152" spans="2:18" s="311" customFormat="1" ht="16.5" customHeight="1">
      <c r="B152" s="629" t="s">
        <v>529</v>
      </c>
      <c r="C152" s="625"/>
      <c r="D152" s="625"/>
      <c r="E152" s="626"/>
      <c r="F152" s="625"/>
      <c r="G152" s="625"/>
      <c r="H152" s="625"/>
      <c r="M152" s="424"/>
      <c r="N152"/>
      <c r="O152" s="333"/>
      <c r="P152" s="631"/>
      <c r="Q152" s="424"/>
      <c r="R152" s="484"/>
    </row>
  </sheetData>
  <autoFilter ref="B5:R140" xr:uid="{6BCF6E47-FA4B-4772-A4CE-8E1B50F6C0BA}"/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B239-288F-4141-A8CF-73C64CF27D21}">
  <dimension ref="B1:R131"/>
  <sheetViews>
    <sheetView showGridLines="0" zoomScaleNormal="100" workbookViewId="0">
      <pane xSplit="1" ySplit="5" topLeftCell="B97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582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580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26608881.009583</v>
      </c>
      <c r="K4" s="52"/>
      <c r="L4" s="648">
        <f>SUBTOTAL(109,L6:L1048576)</f>
        <v>9627740.0999999996</v>
      </c>
      <c r="M4" s="543"/>
      <c r="N4" s="649">
        <f>SUBTOTAL(109,N6:N1048576)</f>
        <v>772201</v>
      </c>
      <c r="O4" s="649">
        <f>SUBTOTAL(109,O6:O1048576)</f>
        <v>8855539.0999999996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45717</v>
      </c>
      <c r="J6" s="653">
        <v>419301.6</v>
      </c>
      <c r="K6" s="567">
        <v>0.6</v>
      </c>
      <c r="L6" s="646">
        <v>251581</v>
      </c>
      <c r="M6" s="654" t="str">
        <f>VLOOKUP(G:G,list!B:E,4,FALSE)</f>
        <v>-</v>
      </c>
      <c r="N6" s="655">
        <f t="shared" ref="N6:N96" si="0">ROUND(IF(M6="-",0,L6*M6),0)</f>
        <v>0</v>
      </c>
      <c r="O6" s="655">
        <f t="shared" ref="O6:O96" si="1">L6-N6</f>
        <v>251581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45717</v>
      </c>
      <c r="J7" s="653">
        <v>141471.79999999999</v>
      </c>
      <c r="K7" s="600">
        <v>0.6</v>
      </c>
      <c r="L7" s="646">
        <v>84883</v>
      </c>
      <c r="M7" s="654" t="str">
        <f>VLOOKUP(G:G,list!B:E,4,FALSE)</f>
        <v>-</v>
      </c>
      <c r="N7" s="655">
        <f t="shared" si="0"/>
        <v>0</v>
      </c>
      <c r="O7" s="655">
        <f t="shared" si="1"/>
        <v>84883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45717</v>
      </c>
      <c r="J8" s="653">
        <v>163861</v>
      </c>
      <c r="K8" s="567">
        <v>0.6</v>
      </c>
      <c r="L8" s="646">
        <v>98316</v>
      </c>
      <c r="M8" s="654" t="str">
        <f>VLOOKUP(G:G,list!B:E,4,FALSE)</f>
        <v>-</v>
      </c>
      <c r="N8" s="655">
        <f t="shared" si="0"/>
        <v>0</v>
      </c>
      <c r="O8" s="655">
        <f t="shared" si="1"/>
        <v>98316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45717</v>
      </c>
      <c r="J9" s="653">
        <v>256426.5</v>
      </c>
      <c r="K9" s="606">
        <v>0.6</v>
      </c>
      <c r="L9" s="646">
        <v>153856</v>
      </c>
      <c r="M9" s="654">
        <f>VLOOKUP(G:G,list!B:E,4,FALSE)</f>
        <v>0.1</v>
      </c>
      <c r="N9" s="655">
        <f t="shared" si="0"/>
        <v>15386</v>
      </c>
      <c r="O9" s="655">
        <f t="shared" si="1"/>
        <v>138470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45717</v>
      </c>
      <c r="J10" s="653">
        <v>255639.5</v>
      </c>
      <c r="K10" s="600">
        <v>0.6</v>
      </c>
      <c r="L10" s="646">
        <v>153383</v>
      </c>
      <c r="M10" s="654">
        <f>VLOOKUP(G:G,list!B:E,4,FALSE)</f>
        <v>0.1</v>
      </c>
      <c r="N10" s="655">
        <f t="shared" si="0"/>
        <v>15338</v>
      </c>
      <c r="O10" s="655">
        <f t="shared" si="1"/>
        <v>138045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45717</v>
      </c>
      <c r="J11" s="653">
        <v>2826</v>
      </c>
      <c r="K11" s="603">
        <v>0.6</v>
      </c>
      <c r="L11" s="646">
        <v>1696</v>
      </c>
      <c r="M11" s="654" t="str">
        <f>VLOOKUP(G:G,list!B:E,4,FALSE)</f>
        <v>-</v>
      </c>
      <c r="N11" s="655">
        <f t="shared" si="0"/>
        <v>0</v>
      </c>
      <c r="O11" s="655">
        <f t="shared" si="1"/>
        <v>1696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45717</v>
      </c>
      <c r="J12" s="653">
        <v>180261</v>
      </c>
      <c r="K12" s="603">
        <v>0.6</v>
      </c>
      <c r="L12" s="646">
        <v>108157</v>
      </c>
      <c r="M12" s="654">
        <f>VLOOKUP(G:G,list!B:E,4,FALSE)</f>
        <v>0.1</v>
      </c>
      <c r="N12" s="655">
        <f t="shared" si="0"/>
        <v>10816</v>
      </c>
      <c r="O12" s="655">
        <f t="shared" si="1"/>
        <v>97341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45717</v>
      </c>
      <c r="J13" s="653">
        <v>107712</v>
      </c>
      <c r="K13" s="600">
        <v>0.6</v>
      </c>
      <c r="L13" s="646">
        <v>64627</v>
      </c>
      <c r="M13" s="654">
        <f>VLOOKUP(G:G,list!B:E,4,FALSE)</f>
        <v>0.1</v>
      </c>
      <c r="N13" s="655">
        <f t="shared" si="0"/>
        <v>6463</v>
      </c>
      <c r="O13" s="655">
        <f t="shared" si="1"/>
        <v>58164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45717</v>
      </c>
      <c r="J14" s="653">
        <v>186351.6</v>
      </c>
      <c r="K14" s="606">
        <v>0.6</v>
      </c>
      <c r="L14" s="646">
        <v>111810</v>
      </c>
      <c r="M14" s="654">
        <f>VLOOKUP(G:G,list!B:E,4,FALSE)</f>
        <v>0.11</v>
      </c>
      <c r="N14" s="655">
        <f t="shared" si="0"/>
        <v>12299</v>
      </c>
      <c r="O14" s="655">
        <f t="shared" si="1"/>
        <v>99511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45717</v>
      </c>
      <c r="J15" s="653">
        <v>770678</v>
      </c>
      <c r="K15" s="567">
        <v>0.6</v>
      </c>
      <c r="L15" s="646">
        <v>462408</v>
      </c>
      <c r="M15" s="654">
        <f>VLOOKUP(G:G,list!B:E,4,FALSE)</f>
        <v>0.1</v>
      </c>
      <c r="N15" s="655">
        <f t="shared" si="0"/>
        <v>46241</v>
      </c>
      <c r="O15" s="655">
        <f t="shared" si="1"/>
        <v>416167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45717</v>
      </c>
      <c r="J16" s="653">
        <v>135528</v>
      </c>
      <c r="K16" s="567">
        <v>0.6</v>
      </c>
      <c r="L16" s="646">
        <v>81317</v>
      </c>
      <c r="M16" s="654">
        <f>VLOOKUP(G:G,list!B:E,4,FALSE)</f>
        <v>0.1</v>
      </c>
      <c r="N16" s="655">
        <f t="shared" si="0"/>
        <v>8132</v>
      </c>
      <c r="O16" s="655">
        <f t="shared" si="1"/>
        <v>73185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45717</v>
      </c>
      <c r="J17" s="653">
        <v>10584</v>
      </c>
      <c r="K17" s="600">
        <v>0.7</v>
      </c>
      <c r="L17" s="646">
        <v>7408</v>
      </c>
      <c r="M17" s="654" t="str">
        <f>VLOOKUP(G:G,list!B:E,4,FALSE)</f>
        <v>-</v>
      </c>
      <c r="N17" s="655">
        <f t="shared" si="0"/>
        <v>0</v>
      </c>
      <c r="O17" s="655">
        <f t="shared" si="1"/>
        <v>7408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45717</v>
      </c>
      <c r="J18" s="653">
        <v>510160.1</v>
      </c>
      <c r="K18" s="603">
        <v>0.6</v>
      </c>
      <c r="L18" s="646">
        <v>306095</v>
      </c>
      <c r="M18" s="654">
        <f>VLOOKUP(G:G,list!B:E,4,FALSE)</f>
        <v>0.1</v>
      </c>
      <c r="N18" s="655">
        <f t="shared" si="0"/>
        <v>30610</v>
      </c>
      <c r="O18" s="655">
        <f t="shared" si="1"/>
        <v>275485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45717</v>
      </c>
      <c r="J19" s="653">
        <v>294493.3</v>
      </c>
      <c r="K19" s="603">
        <v>0.7</v>
      </c>
      <c r="L19" s="646">
        <v>206147</v>
      </c>
      <c r="M19" s="654">
        <f>VLOOKUP(G:G,list!B:E,4,FALSE)</f>
        <v>0.1</v>
      </c>
      <c r="N19" s="655">
        <f t="shared" si="0"/>
        <v>20615</v>
      </c>
      <c r="O19" s="655">
        <f t="shared" si="1"/>
        <v>185532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45717</v>
      </c>
      <c r="J20" s="653">
        <v>30168.9</v>
      </c>
      <c r="K20" s="603">
        <v>0.6</v>
      </c>
      <c r="L20" s="646">
        <v>18101</v>
      </c>
      <c r="M20" s="654">
        <f>VLOOKUP(G:G,list!B:E,4,FALSE)</f>
        <v>0.1</v>
      </c>
      <c r="N20" s="655">
        <f t="shared" si="0"/>
        <v>1810</v>
      </c>
      <c r="O20" s="655">
        <f t="shared" si="1"/>
        <v>16291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45717</v>
      </c>
      <c r="J21" s="653">
        <v>360</v>
      </c>
      <c r="K21" s="567">
        <v>0.6</v>
      </c>
      <c r="L21" s="646">
        <v>252</v>
      </c>
      <c r="M21" s="654" t="str">
        <f>VLOOKUP(G:G,list!B:E,4,FALSE)</f>
        <v>-</v>
      </c>
      <c r="N21" s="655">
        <f t="shared" si="0"/>
        <v>0</v>
      </c>
      <c r="O21" s="655">
        <f t="shared" si="1"/>
        <v>252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45717</v>
      </c>
      <c r="J22" s="653">
        <v>11538</v>
      </c>
      <c r="K22" s="567">
        <v>0.6</v>
      </c>
      <c r="L22" s="646">
        <v>6923</v>
      </c>
      <c r="M22" s="654">
        <f>VLOOKUP(G:G,list!B:E,4,FALSE)</f>
        <v>0.1</v>
      </c>
      <c r="N22" s="655">
        <f t="shared" si="0"/>
        <v>692</v>
      </c>
      <c r="O22" s="655">
        <f t="shared" si="1"/>
        <v>6231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45717</v>
      </c>
      <c r="J23" s="653">
        <v>12239.7</v>
      </c>
      <c r="K23" s="567">
        <v>0.6</v>
      </c>
      <c r="L23" s="646">
        <v>7345</v>
      </c>
      <c r="M23" s="654" t="str">
        <f>VLOOKUP(G:G,list!B:E,4,FALSE)</f>
        <v>-</v>
      </c>
      <c r="N23" s="655">
        <f t="shared" si="0"/>
        <v>0</v>
      </c>
      <c r="O23" s="655">
        <f t="shared" si="1"/>
        <v>7345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45717</v>
      </c>
      <c r="J24" s="653">
        <v>125286.2</v>
      </c>
      <c r="K24" s="603">
        <v>0.6</v>
      </c>
      <c r="L24" s="646">
        <v>75172</v>
      </c>
      <c r="M24" s="654">
        <f>VLOOKUP(G:G,list!B:E,4,FALSE)</f>
        <v>0.1</v>
      </c>
      <c r="N24" s="655">
        <f t="shared" si="0"/>
        <v>7517</v>
      </c>
      <c r="O24" s="655">
        <f t="shared" si="1"/>
        <v>67655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45717</v>
      </c>
      <c r="J25" s="653">
        <v>9652</v>
      </c>
      <c r="K25" s="603">
        <v>0.6</v>
      </c>
      <c r="L25" s="646">
        <v>5791</v>
      </c>
      <c r="M25" s="654">
        <f>VLOOKUP(G:G,list!B:E,4,FALSE)</f>
        <v>0.1</v>
      </c>
      <c r="N25" s="655">
        <f t="shared" si="0"/>
        <v>579</v>
      </c>
      <c r="O25" s="655">
        <f t="shared" si="1"/>
        <v>5212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45717</v>
      </c>
      <c r="J26" s="653">
        <v>16452</v>
      </c>
      <c r="K26" s="567">
        <v>0.6</v>
      </c>
      <c r="L26" s="646">
        <v>9872</v>
      </c>
      <c r="M26" s="654">
        <f>VLOOKUP(G:G,list!B:E,4,FALSE)</f>
        <v>0.1</v>
      </c>
      <c r="N26" s="655">
        <f t="shared" si="0"/>
        <v>987</v>
      </c>
      <c r="O26" s="655">
        <f t="shared" si="1"/>
        <v>8885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45717</v>
      </c>
      <c r="J27" s="653">
        <v>-4416.7000000000007</v>
      </c>
      <c r="K27" s="567">
        <v>0.6</v>
      </c>
      <c r="L27" s="646">
        <v>-2650</v>
      </c>
      <c r="M27" s="654">
        <f>VLOOKUP(G:G,list!B:E,4,FALSE)</f>
        <v>0.1</v>
      </c>
      <c r="N27" s="655">
        <f t="shared" si="0"/>
        <v>-265</v>
      </c>
      <c r="O27" s="655">
        <f t="shared" si="1"/>
        <v>-2385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45717</v>
      </c>
      <c r="J28" s="653">
        <v>8348</v>
      </c>
      <c r="K28" s="567">
        <v>0.6</v>
      </c>
      <c r="L28" s="646">
        <v>5009</v>
      </c>
      <c r="M28" s="654" t="str">
        <f>VLOOKUP(G:G,list!B:E,4,FALSE)</f>
        <v>-</v>
      </c>
      <c r="N28" s="655">
        <f t="shared" si="0"/>
        <v>0</v>
      </c>
      <c r="O28" s="655">
        <f t="shared" si="1"/>
        <v>5009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45717</v>
      </c>
      <c r="J29" s="653">
        <v>30951.9</v>
      </c>
      <c r="K29" s="567">
        <v>0.6</v>
      </c>
      <c r="L29" s="646">
        <v>18571</v>
      </c>
      <c r="M29" s="654">
        <f>VLOOKUP(G:G,list!B:E,4,FALSE)</f>
        <v>0.11</v>
      </c>
      <c r="N29" s="655">
        <f t="shared" si="0"/>
        <v>2043</v>
      </c>
      <c r="O29" s="655">
        <f t="shared" si="1"/>
        <v>16528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45717</v>
      </c>
      <c r="J30" s="653">
        <v>134646.70000000001</v>
      </c>
      <c r="K30" s="567">
        <v>0.6</v>
      </c>
      <c r="L30" s="646">
        <v>80788</v>
      </c>
      <c r="M30" s="654" t="str">
        <f>VLOOKUP(G:G,list!B:E,4,FALSE)</f>
        <v>-</v>
      </c>
      <c r="N30" s="655">
        <f t="shared" si="0"/>
        <v>0</v>
      </c>
      <c r="O30" s="655">
        <f t="shared" si="1"/>
        <v>80788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45717</v>
      </c>
      <c r="J31" s="653">
        <v>53881.8</v>
      </c>
      <c r="K31" s="567">
        <v>0.6</v>
      </c>
      <c r="L31" s="646">
        <v>32329</v>
      </c>
      <c r="M31" s="654" t="str">
        <f>VLOOKUP(G:G,list!B:E,4,FALSE)</f>
        <v>-</v>
      </c>
      <c r="N31" s="655">
        <f t="shared" si="0"/>
        <v>0</v>
      </c>
      <c r="O31" s="655">
        <f t="shared" si="1"/>
        <v>32329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45717</v>
      </c>
      <c r="J32" s="653">
        <v>78307.8</v>
      </c>
      <c r="K32" s="567">
        <v>0.6</v>
      </c>
      <c r="L32" s="646">
        <v>46985</v>
      </c>
      <c r="M32" s="654">
        <f>VLOOKUP(G:G,list!B:E,4,FALSE)</f>
        <v>0.1</v>
      </c>
      <c r="N32" s="655">
        <f t="shared" si="0"/>
        <v>4699</v>
      </c>
      <c r="O32" s="655">
        <f t="shared" si="1"/>
        <v>42286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45689</v>
      </c>
      <c r="J33" s="653">
        <v>101107</v>
      </c>
      <c r="K33" s="674">
        <v>0.224</v>
      </c>
      <c r="L33" s="646">
        <v>20390</v>
      </c>
      <c r="M33" s="654">
        <f>VLOOKUP(G:G,list!B:E,4,FALSE)</f>
        <v>0.1</v>
      </c>
      <c r="N33" s="655">
        <f t="shared" si="0"/>
        <v>2039</v>
      </c>
      <c r="O33" s="655">
        <f t="shared" si="1"/>
        <v>18351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45689</v>
      </c>
      <c r="J34" s="653">
        <v>1874563</v>
      </c>
      <c r="K34" s="674">
        <v>0.224</v>
      </c>
      <c r="L34" s="646">
        <v>377912</v>
      </c>
      <c r="M34" s="654">
        <f>VLOOKUP(G:G,list!B:E,4,FALSE)</f>
        <v>0.1</v>
      </c>
      <c r="N34" s="655">
        <f t="shared" si="0"/>
        <v>37791</v>
      </c>
      <c r="O34" s="655">
        <f t="shared" si="1"/>
        <v>340121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45689</v>
      </c>
      <c r="J35" s="653">
        <v>40675</v>
      </c>
      <c r="K35" s="674">
        <v>0.224</v>
      </c>
      <c r="L35" s="646">
        <v>8245</v>
      </c>
      <c r="M35" s="654" t="str">
        <f>VLOOKUP(G:G,list!B:E,4,FALSE)</f>
        <v>-</v>
      </c>
      <c r="N35" s="655">
        <f t="shared" si="0"/>
        <v>0</v>
      </c>
      <c r="O35" s="655">
        <f t="shared" si="1"/>
        <v>8245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45689</v>
      </c>
      <c r="J36" s="653">
        <v>284729</v>
      </c>
      <c r="K36" s="674">
        <v>0.224</v>
      </c>
      <c r="L36" s="646">
        <v>57406</v>
      </c>
      <c r="M36" s="654">
        <f>VLOOKUP(G:G,list!B:E,4,FALSE)</f>
        <v>0.1</v>
      </c>
      <c r="N36" s="655">
        <f t="shared" si="0"/>
        <v>5741</v>
      </c>
      <c r="O36" s="655">
        <f t="shared" si="1"/>
        <v>51665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45689</v>
      </c>
      <c r="J37" s="653">
        <v>5229</v>
      </c>
      <c r="K37" s="674">
        <v>0.224</v>
      </c>
      <c r="L37" s="646">
        <v>1057</v>
      </c>
      <c r="M37" s="654">
        <f>VLOOKUP(G:G,list!B:E,4,FALSE)</f>
        <v>0.11</v>
      </c>
      <c r="N37" s="655">
        <f t="shared" si="0"/>
        <v>116</v>
      </c>
      <c r="O37" s="655">
        <f t="shared" si="1"/>
        <v>941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45689</v>
      </c>
      <c r="J38" s="653">
        <v>274850</v>
      </c>
      <c r="K38" s="674">
        <v>0.224</v>
      </c>
      <c r="L38" s="646">
        <v>55412</v>
      </c>
      <c r="M38" s="654">
        <f>VLOOKUP(G:G,list!B:E,4,FALSE)</f>
        <v>0.1</v>
      </c>
      <c r="N38" s="655">
        <f t="shared" si="0"/>
        <v>5541</v>
      </c>
      <c r="O38" s="655">
        <f t="shared" si="1"/>
        <v>49871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45689</v>
      </c>
      <c r="J39" s="653">
        <v>219067</v>
      </c>
      <c r="K39" s="674">
        <v>0.224</v>
      </c>
      <c r="L39" s="646">
        <v>44165</v>
      </c>
      <c r="M39" s="654" t="str">
        <f>VLOOKUP(G:G,list!B:E,4,FALSE)</f>
        <v>-</v>
      </c>
      <c r="N39" s="655">
        <f t="shared" si="0"/>
        <v>0</v>
      </c>
      <c r="O39" s="655">
        <f t="shared" si="1"/>
        <v>44165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45689</v>
      </c>
      <c r="J40" s="653">
        <v>5587664</v>
      </c>
      <c r="K40" s="674">
        <v>0.224</v>
      </c>
      <c r="L40" s="646">
        <v>1126476</v>
      </c>
      <c r="M40" s="654">
        <f>VLOOKUP(G:G,list!B:E,4,FALSE)</f>
        <v>0.1</v>
      </c>
      <c r="N40" s="655">
        <f t="shared" si="0"/>
        <v>112648</v>
      </c>
      <c r="O40" s="655">
        <f t="shared" si="1"/>
        <v>1013828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45689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45689</v>
      </c>
      <c r="J42" s="653">
        <v>168513</v>
      </c>
      <c r="K42" s="674">
        <v>0.224</v>
      </c>
      <c r="L42" s="646">
        <v>33974</v>
      </c>
      <c r="M42" s="654">
        <f>VLOOKUP(G:G,list!B:E,4,FALSE)</f>
        <v>0.1</v>
      </c>
      <c r="N42" s="655">
        <f t="shared" si="0"/>
        <v>3397</v>
      </c>
      <c r="O42" s="655">
        <f t="shared" si="1"/>
        <v>30577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45689</v>
      </c>
      <c r="J43" s="653">
        <v>554931</v>
      </c>
      <c r="K43" s="674">
        <v>0.224</v>
      </c>
      <c r="L43" s="646">
        <v>111882</v>
      </c>
      <c r="M43" s="654">
        <f>VLOOKUP(G:G,list!B:E,4,FALSE)</f>
        <v>0.1</v>
      </c>
      <c r="N43" s="655">
        <f t="shared" si="0"/>
        <v>11188</v>
      </c>
      <c r="O43" s="655">
        <f t="shared" si="1"/>
        <v>100694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45689</v>
      </c>
      <c r="J44" s="653">
        <v>1717091</v>
      </c>
      <c r="K44" s="674">
        <v>0.224</v>
      </c>
      <c r="L44" s="646">
        <v>346172</v>
      </c>
      <c r="M44" s="654" t="str">
        <f>VLOOKUP(G:G,list!B:E,4,FALSE)</f>
        <v>-</v>
      </c>
      <c r="N44" s="655">
        <f t="shared" si="0"/>
        <v>0</v>
      </c>
      <c r="O44" s="655">
        <f t="shared" si="1"/>
        <v>346172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25</v>
      </c>
      <c r="E45" s="564" t="s">
        <v>62</v>
      </c>
      <c r="F45" s="564" t="s">
        <v>257</v>
      </c>
      <c r="G45" s="564" t="s">
        <v>316</v>
      </c>
      <c r="H45" s="565">
        <v>45577</v>
      </c>
      <c r="I45" s="652">
        <v>45717</v>
      </c>
      <c r="J45" s="653">
        <v>38179</v>
      </c>
      <c r="K45" s="567">
        <v>0.35</v>
      </c>
      <c r="L45" s="646">
        <v>13362</v>
      </c>
      <c r="M45" s="654">
        <f>VLOOKUP(G:G,list!B:E,4,FALSE)</f>
        <v>0.1</v>
      </c>
      <c r="N45" s="655">
        <f t="shared" si="0"/>
        <v>1336</v>
      </c>
      <c r="O45" s="655">
        <f t="shared" si="1"/>
        <v>12026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25</v>
      </c>
      <c r="E46" s="564" t="s">
        <v>62</v>
      </c>
      <c r="F46" s="564" t="s">
        <v>257</v>
      </c>
      <c r="G46" s="564" t="s">
        <v>353</v>
      </c>
      <c r="H46" s="565">
        <v>44916</v>
      </c>
      <c r="I46" s="652">
        <v>45717</v>
      </c>
      <c r="J46" s="653">
        <v>59176</v>
      </c>
      <c r="K46" s="567">
        <v>0.35</v>
      </c>
      <c r="L46" s="646">
        <v>20711</v>
      </c>
      <c r="M46" s="654">
        <f>VLOOKUP(G:G,list!B:E,4,FALSE)</f>
        <v>0.11</v>
      </c>
      <c r="N46" s="655">
        <f t="shared" si="0"/>
        <v>2278</v>
      </c>
      <c r="O46" s="655">
        <f t="shared" si="1"/>
        <v>18433</v>
      </c>
      <c r="P46" s="564"/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25</v>
      </c>
      <c r="E47" s="564" t="s">
        <v>62</v>
      </c>
      <c r="F47" s="564" t="s">
        <v>257</v>
      </c>
      <c r="G47" s="564" t="s">
        <v>352</v>
      </c>
      <c r="H47" s="565">
        <v>45098</v>
      </c>
      <c r="I47" s="652">
        <v>45717</v>
      </c>
      <c r="J47" s="653">
        <v>13209</v>
      </c>
      <c r="K47" s="600">
        <v>0.35</v>
      </c>
      <c r="L47" s="646">
        <v>4623</v>
      </c>
      <c r="M47" s="654">
        <f>VLOOKUP(G:G,list!B:E,4,FALSE)</f>
        <v>0.1</v>
      </c>
      <c r="N47" s="655">
        <f t="shared" si="0"/>
        <v>462</v>
      </c>
      <c r="O47" s="655">
        <f t="shared" si="1"/>
        <v>4161</v>
      </c>
      <c r="P47" s="564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246</v>
      </c>
      <c r="G48" s="564" t="s">
        <v>36</v>
      </c>
      <c r="H48" s="565">
        <v>43810</v>
      </c>
      <c r="I48" s="652">
        <v>45717</v>
      </c>
      <c r="J48" s="653">
        <v>51480</v>
      </c>
      <c r="K48" s="600" t="s">
        <v>532</v>
      </c>
      <c r="L48" s="646">
        <v>18900</v>
      </c>
      <c r="M48" s="654" t="str">
        <f>VLOOKUP(G:G,list!B:E,4,FALSE)</f>
        <v>-</v>
      </c>
      <c r="N48" s="655">
        <f t="shared" si="0"/>
        <v>0</v>
      </c>
      <c r="O48" s="655">
        <f t="shared" si="1"/>
        <v>18900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246</v>
      </c>
      <c r="G49" s="564" t="s">
        <v>139</v>
      </c>
      <c r="H49" s="565">
        <v>43852</v>
      </c>
      <c r="I49" s="652">
        <v>45717</v>
      </c>
      <c r="J49" s="653">
        <v>360</v>
      </c>
      <c r="K49" s="600" t="s">
        <v>532</v>
      </c>
      <c r="L49" s="646">
        <v>162</v>
      </c>
      <c r="M49" s="654" t="str">
        <f>VLOOKUP(G:G,list!B:E,4,FALSE)</f>
        <v>-</v>
      </c>
      <c r="N49" s="655">
        <f t="shared" si="0"/>
        <v>0</v>
      </c>
      <c r="O49" s="655">
        <f t="shared" si="1"/>
        <v>162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78</v>
      </c>
      <c r="E50" s="564" t="s">
        <v>9</v>
      </c>
      <c r="F50" s="564" t="s">
        <v>544</v>
      </c>
      <c r="G50" s="564" t="s">
        <v>36</v>
      </c>
      <c r="H50" s="565">
        <v>45124</v>
      </c>
      <c r="I50" s="652">
        <v>45689</v>
      </c>
      <c r="J50" s="653">
        <v>251682.8</v>
      </c>
      <c r="K50" s="600">
        <v>0.5</v>
      </c>
      <c r="L50" s="646">
        <v>171782</v>
      </c>
      <c r="M50" s="654" t="str">
        <f>VLOOKUP(G:G,list!B:E,4,FALSE)</f>
        <v>-</v>
      </c>
      <c r="N50" s="655">
        <f t="shared" si="0"/>
        <v>0</v>
      </c>
      <c r="O50" s="655">
        <f t="shared" si="1"/>
        <v>171782</v>
      </c>
      <c r="P50" s="564"/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78</v>
      </c>
      <c r="E51" s="564" t="s">
        <v>9</v>
      </c>
      <c r="F51" s="564" t="s">
        <v>544</v>
      </c>
      <c r="G51" s="564" t="s">
        <v>139</v>
      </c>
      <c r="H51" s="565">
        <v>44513</v>
      </c>
      <c r="I51" s="652">
        <v>45689</v>
      </c>
      <c r="J51" s="653">
        <v>58909.2</v>
      </c>
      <c r="K51" s="600">
        <v>0.5</v>
      </c>
      <c r="L51" s="646">
        <v>33291</v>
      </c>
      <c r="M51" s="654" t="str">
        <f>VLOOKUP(G:G,list!B:E,4,FALSE)</f>
        <v>-</v>
      </c>
      <c r="N51" s="655">
        <f t="shared" si="0"/>
        <v>0</v>
      </c>
      <c r="O51" s="655">
        <f t="shared" si="1"/>
        <v>33291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66</v>
      </c>
      <c r="E52" s="564" t="s">
        <v>64</v>
      </c>
      <c r="F52" s="564" t="s">
        <v>65</v>
      </c>
      <c r="G52" s="564" t="s">
        <v>30</v>
      </c>
      <c r="H52" s="565">
        <v>44586</v>
      </c>
      <c r="I52" s="652">
        <v>45717</v>
      </c>
      <c r="J52" s="653">
        <v>113675</v>
      </c>
      <c r="K52" s="567">
        <v>0.4</v>
      </c>
      <c r="L52" s="646">
        <v>45470</v>
      </c>
      <c r="M52" s="654">
        <f>VLOOKUP(G:G,list!B:E,4,FALSE)</f>
        <v>0.1</v>
      </c>
      <c r="N52" s="655">
        <f t="shared" si="0"/>
        <v>4547</v>
      </c>
      <c r="O52" s="655">
        <f t="shared" si="1"/>
        <v>40923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66</v>
      </c>
      <c r="E53" s="564" t="s">
        <v>9</v>
      </c>
      <c r="F53" s="564" t="s">
        <v>65</v>
      </c>
      <c r="G53" s="564" t="s">
        <v>36</v>
      </c>
      <c r="H53" s="565">
        <v>44992</v>
      </c>
      <c r="I53" s="652">
        <v>45717</v>
      </c>
      <c r="J53" s="653">
        <v>50078</v>
      </c>
      <c r="K53" s="600">
        <v>0.4</v>
      </c>
      <c r="L53" s="646">
        <v>20031</v>
      </c>
      <c r="M53" s="654" t="str">
        <f>VLOOKUP(G:G,list!B:E,4,FALSE)</f>
        <v>-</v>
      </c>
      <c r="N53" s="655">
        <f t="shared" si="0"/>
        <v>0</v>
      </c>
      <c r="O53" s="655">
        <f t="shared" si="1"/>
        <v>20031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66</v>
      </c>
      <c r="E54" s="564" t="s">
        <v>9</v>
      </c>
      <c r="F54" s="564" t="s">
        <v>65</v>
      </c>
      <c r="G54" s="564" t="s">
        <v>37</v>
      </c>
      <c r="H54" s="565">
        <v>45169</v>
      </c>
      <c r="I54" s="652">
        <v>45717</v>
      </c>
      <c r="J54" s="653">
        <v>0</v>
      </c>
      <c r="K54" s="600">
        <v>0.4</v>
      </c>
      <c r="L54" s="646">
        <v>0</v>
      </c>
      <c r="M54" s="654" t="str">
        <f>VLOOKUP(G:G,list!B:E,4,FALSE)</f>
        <v>-</v>
      </c>
      <c r="N54" s="655">
        <f t="shared" si="0"/>
        <v>0</v>
      </c>
      <c r="O54" s="655">
        <f t="shared" si="1"/>
        <v>0</v>
      </c>
      <c r="P54" s="564" t="s">
        <v>366</v>
      </c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67</v>
      </c>
      <c r="E55" s="564" t="s">
        <v>9</v>
      </c>
      <c r="F55" s="564" t="s">
        <v>65</v>
      </c>
      <c r="G55" s="564" t="s">
        <v>37</v>
      </c>
      <c r="H55" s="565">
        <v>43921</v>
      </c>
      <c r="I55" s="652">
        <v>45717</v>
      </c>
      <c r="J55" s="653">
        <v>6598</v>
      </c>
      <c r="K55" s="600">
        <v>0.4</v>
      </c>
      <c r="L55" s="646">
        <v>2639</v>
      </c>
      <c r="M55" s="654" t="str">
        <f>VLOOKUP(G:G,list!B:E,4,FALSE)</f>
        <v>-</v>
      </c>
      <c r="N55" s="655">
        <f t="shared" si="0"/>
        <v>0</v>
      </c>
      <c r="O55" s="655">
        <f t="shared" si="1"/>
        <v>2639</v>
      </c>
      <c r="P55" s="564"/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67</v>
      </c>
      <c r="E56" s="564" t="s">
        <v>9</v>
      </c>
      <c r="F56" s="564" t="s">
        <v>65</v>
      </c>
      <c r="G56" s="564" t="s">
        <v>36</v>
      </c>
      <c r="H56" s="565">
        <v>43941</v>
      </c>
      <c r="I56" s="652">
        <v>45717</v>
      </c>
      <c r="J56" s="653">
        <v>315198</v>
      </c>
      <c r="K56" s="600">
        <v>0.4</v>
      </c>
      <c r="L56" s="646">
        <v>126079</v>
      </c>
      <c r="M56" s="654" t="str">
        <f>VLOOKUP(G:G,list!B:E,4,FALSE)</f>
        <v>-</v>
      </c>
      <c r="N56" s="655">
        <f t="shared" si="0"/>
        <v>0</v>
      </c>
      <c r="O56" s="655">
        <f t="shared" si="1"/>
        <v>126079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67</v>
      </c>
      <c r="E57" s="564" t="s">
        <v>64</v>
      </c>
      <c r="F57" s="564" t="s">
        <v>65</v>
      </c>
      <c r="G57" s="564" t="s">
        <v>30</v>
      </c>
      <c r="H57" s="565">
        <v>44258</v>
      </c>
      <c r="I57" s="652">
        <v>45717</v>
      </c>
      <c r="J57" s="653">
        <v>29633</v>
      </c>
      <c r="K57" s="600">
        <v>0.4</v>
      </c>
      <c r="L57" s="646">
        <v>11853</v>
      </c>
      <c r="M57" s="654">
        <f>VLOOKUP(G:G,list!B:E,4,FALSE)</f>
        <v>0.1</v>
      </c>
      <c r="N57" s="655">
        <f t="shared" si="0"/>
        <v>1185</v>
      </c>
      <c r="O57" s="655">
        <f t="shared" si="1"/>
        <v>10668</v>
      </c>
      <c r="P57" s="564"/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131</v>
      </c>
      <c r="G58" s="564" t="s">
        <v>60</v>
      </c>
      <c r="H58" s="565">
        <v>44333</v>
      </c>
      <c r="I58" s="652">
        <v>45717</v>
      </c>
      <c r="J58" s="653">
        <v>10500</v>
      </c>
      <c r="K58" s="603">
        <v>0.5</v>
      </c>
      <c r="L58" s="646">
        <v>5250</v>
      </c>
      <c r="M58" s="654" t="str">
        <f>VLOOKUP(G:G,list!B:E,4,FALSE)</f>
        <v>-</v>
      </c>
      <c r="N58" s="655">
        <f t="shared" si="0"/>
        <v>0</v>
      </c>
      <c r="O58" s="655">
        <f t="shared" si="1"/>
        <v>5250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115</v>
      </c>
      <c r="F59" s="564" t="s">
        <v>131</v>
      </c>
      <c r="G59" s="564" t="s">
        <v>518</v>
      </c>
      <c r="H59" s="565">
        <v>44897</v>
      </c>
      <c r="I59" s="652">
        <v>45717</v>
      </c>
      <c r="J59" s="653">
        <v>30996</v>
      </c>
      <c r="K59" s="603">
        <v>0.5</v>
      </c>
      <c r="L59" s="646">
        <v>15498</v>
      </c>
      <c r="M59" s="654" t="str">
        <f>VLOOKUP(G:G,list!B:E,4,FALSE)</f>
        <v>-</v>
      </c>
      <c r="N59" s="655">
        <f t="shared" si="0"/>
        <v>0</v>
      </c>
      <c r="O59" s="655">
        <f t="shared" si="1"/>
        <v>15498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182</v>
      </c>
      <c r="E60" s="564" t="s">
        <v>115</v>
      </c>
      <c r="F60" s="564" t="s">
        <v>131</v>
      </c>
      <c r="G60" s="564" t="s">
        <v>518</v>
      </c>
      <c r="H60" s="565">
        <v>45049</v>
      </c>
      <c r="I60" s="652">
        <v>45689</v>
      </c>
      <c r="J60" s="653">
        <v>0</v>
      </c>
      <c r="K60" s="603">
        <v>0.3</v>
      </c>
      <c r="L60" s="646">
        <v>0</v>
      </c>
      <c r="M60" s="654" t="str">
        <f>VLOOKUP(G:G,list!B:E,4,FALSE)</f>
        <v>-</v>
      </c>
      <c r="N60" s="655">
        <f t="shared" si="0"/>
        <v>0</v>
      </c>
      <c r="O60" s="655">
        <f t="shared" si="1"/>
        <v>0</v>
      </c>
      <c r="P60" s="564" t="s">
        <v>366</v>
      </c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182</v>
      </c>
      <c r="E61" s="564" t="s">
        <v>115</v>
      </c>
      <c r="F61" s="564" t="s">
        <v>131</v>
      </c>
      <c r="G61" s="564" t="s">
        <v>541</v>
      </c>
      <c r="H61" s="565">
        <v>45591</v>
      </c>
      <c r="I61" s="652">
        <v>45689</v>
      </c>
      <c r="J61" s="653">
        <v>0</v>
      </c>
      <c r="K61" s="603">
        <v>0.5</v>
      </c>
      <c r="L61" s="646">
        <v>0</v>
      </c>
      <c r="M61" s="654">
        <f>VLOOKUP(G:G,list!B:E,4,FALSE)</f>
        <v>0.1</v>
      </c>
      <c r="N61" s="655">
        <f t="shared" si="0"/>
        <v>0</v>
      </c>
      <c r="O61" s="655">
        <f t="shared" si="1"/>
        <v>0</v>
      </c>
      <c r="P61" s="564" t="s">
        <v>366</v>
      </c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외부제작</v>
      </c>
      <c r="D62" s="564" t="s">
        <v>182</v>
      </c>
      <c r="E62" s="564" t="s">
        <v>115</v>
      </c>
      <c r="F62" s="564" t="s">
        <v>131</v>
      </c>
      <c r="G62" s="564" t="s">
        <v>315</v>
      </c>
      <c r="H62" s="565">
        <v>45673</v>
      </c>
      <c r="I62" s="652">
        <v>45689</v>
      </c>
      <c r="J62" s="653">
        <v>0</v>
      </c>
      <c r="K62" s="603">
        <v>0.5</v>
      </c>
      <c r="L62" s="646">
        <v>0</v>
      </c>
      <c r="M62" s="654" t="str">
        <f>VLOOKUP(G:G,list!B:E,4,FALSE)</f>
        <v>-</v>
      </c>
      <c r="N62" s="655">
        <f t="shared" si="0"/>
        <v>0</v>
      </c>
      <c r="O62" s="655">
        <f t="shared" si="1"/>
        <v>0</v>
      </c>
      <c r="P62" s="564" t="s">
        <v>366</v>
      </c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45689</v>
      </c>
      <c r="J63" s="653">
        <v>2419618</v>
      </c>
      <c r="K63" s="603">
        <v>0.7</v>
      </c>
      <c r="L63" s="646">
        <v>1703483</v>
      </c>
      <c r="M63" s="654">
        <f>VLOOKUP(G:G,list!B:E,4,FALSE)</f>
        <v>0.1</v>
      </c>
      <c r="N63" s="655">
        <f t="shared" si="0"/>
        <v>170348</v>
      </c>
      <c r="O63" s="655">
        <f t="shared" si="1"/>
        <v>1533135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78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45689</v>
      </c>
      <c r="J64" s="653">
        <v>87122.669582999995</v>
      </c>
      <c r="K64" s="603">
        <v>0.25</v>
      </c>
      <c r="L64" s="646">
        <v>21781</v>
      </c>
      <c r="M64" s="654">
        <f>VLOOKUP(G:G,list!B:E,4,FALSE)</f>
        <v>0.1</v>
      </c>
      <c r="N64" s="655">
        <f t="shared" si="0"/>
        <v>2178</v>
      </c>
      <c r="O64" s="655">
        <f t="shared" si="1"/>
        <v>19603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32</v>
      </c>
      <c r="E65" s="564" t="s">
        <v>9</v>
      </c>
      <c r="F65" s="564" t="s">
        <v>154</v>
      </c>
      <c r="G65" s="564" t="s">
        <v>36</v>
      </c>
      <c r="H65" s="565">
        <v>44106</v>
      </c>
      <c r="I65" s="652">
        <v>45689</v>
      </c>
      <c r="J65" s="653">
        <v>54912</v>
      </c>
      <c r="K65" s="603">
        <v>0.4</v>
      </c>
      <c r="L65" s="646">
        <v>20867</v>
      </c>
      <c r="M65" s="654" t="str">
        <f>VLOOKUP(G:G,list!B:E,4,FALSE)</f>
        <v>-</v>
      </c>
      <c r="N65" s="655">
        <f t="shared" si="0"/>
        <v>0</v>
      </c>
      <c r="O65" s="655">
        <f t="shared" si="1"/>
        <v>20867</v>
      </c>
      <c r="P65" s="564"/>
      <c r="Q65" s="672" t="str">
        <f>VLOOKUP(G:G,list!B:F,5,FALSE)</f>
        <v>-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32</v>
      </c>
      <c r="E66" s="564" t="s">
        <v>9</v>
      </c>
      <c r="F66" s="564" t="s">
        <v>154</v>
      </c>
      <c r="G66" s="564" t="s">
        <v>37</v>
      </c>
      <c r="H66" s="565">
        <v>44113</v>
      </c>
      <c r="I66" s="652">
        <v>45689</v>
      </c>
      <c r="J66" s="653">
        <v>1922</v>
      </c>
      <c r="K66" s="603">
        <v>0.4</v>
      </c>
      <c r="L66" s="646">
        <v>731</v>
      </c>
      <c r="M66" s="654" t="str">
        <f>VLOOKUP(G:G,list!B:E,4,FALSE)</f>
        <v>-</v>
      </c>
      <c r="N66" s="655">
        <f t="shared" si="0"/>
        <v>0</v>
      </c>
      <c r="O66" s="655">
        <f t="shared" si="1"/>
        <v>731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32</v>
      </c>
      <c r="E67" s="564" t="s">
        <v>9</v>
      </c>
      <c r="F67" s="564" t="s">
        <v>154</v>
      </c>
      <c r="G67" s="564" t="s">
        <v>454</v>
      </c>
      <c r="H67" s="565">
        <v>44869</v>
      </c>
      <c r="I67" s="652">
        <v>45689</v>
      </c>
      <c r="J67" s="653">
        <v>18978</v>
      </c>
      <c r="K67" s="603">
        <v>0.4</v>
      </c>
      <c r="L67" s="646">
        <v>7212</v>
      </c>
      <c r="M67" s="654">
        <f>VLOOKUP(G:G,list!B:E,4,FALSE)</f>
        <v>0.1</v>
      </c>
      <c r="N67" s="655">
        <f t="shared" si="0"/>
        <v>721</v>
      </c>
      <c r="O67" s="655">
        <f t="shared" si="1"/>
        <v>6491</v>
      </c>
      <c r="P67" s="564"/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182</v>
      </c>
      <c r="E68" s="564" t="s">
        <v>115</v>
      </c>
      <c r="F68" s="564" t="s">
        <v>386</v>
      </c>
      <c r="G68" s="564" t="s">
        <v>30</v>
      </c>
      <c r="H68" s="565">
        <v>44591</v>
      </c>
      <c r="I68" s="652">
        <v>45658</v>
      </c>
      <c r="J68" s="653">
        <v>3748</v>
      </c>
      <c r="K68" s="603">
        <v>0.5</v>
      </c>
      <c r="L68" s="646">
        <v>1874</v>
      </c>
      <c r="M68" s="654">
        <f>VLOOKUP(G:G,list!B:E,4,FALSE)</f>
        <v>0.1</v>
      </c>
      <c r="N68" s="655">
        <f t="shared" si="0"/>
        <v>187</v>
      </c>
      <c r="O68" s="655">
        <f t="shared" si="1"/>
        <v>1687</v>
      </c>
      <c r="P68" s="564"/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작가기획</v>
      </c>
      <c r="D69" s="564" t="s">
        <v>182</v>
      </c>
      <c r="E69" s="564" t="s">
        <v>115</v>
      </c>
      <c r="F69" s="564" t="s">
        <v>386</v>
      </c>
      <c r="G69" s="564" t="s">
        <v>36</v>
      </c>
      <c r="H69" s="565">
        <v>44643</v>
      </c>
      <c r="I69" s="652">
        <v>45658</v>
      </c>
      <c r="J69" s="653">
        <v>50281</v>
      </c>
      <c r="K69" s="603">
        <v>0.5</v>
      </c>
      <c r="L69" s="646">
        <v>25141</v>
      </c>
      <c r="M69" s="654" t="str">
        <f>VLOOKUP(G:G,list!B:E,4,FALSE)</f>
        <v>-</v>
      </c>
      <c r="N69" s="655">
        <f t="shared" si="0"/>
        <v>0</v>
      </c>
      <c r="O69" s="655">
        <f t="shared" si="1"/>
        <v>25141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작가기획</v>
      </c>
      <c r="D70" s="564" t="s">
        <v>182</v>
      </c>
      <c r="E70" s="564" t="s">
        <v>115</v>
      </c>
      <c r="F70" s="564" t="s">
        <v>386</v>
      </c>
      <c r="G70" s="564" t="s">
        <v>37</v>
      </c>
      <c r="H70" s="565">
        <v>44643</v>
      </c>
      <c r="I70" s="652">
        <v>45658</v>
      </c>
      <c r="J70" s="653">
        <v>301</v>
      </c>
      <c r="K70" s="603">
        <v>0.5</v>
      </c>
      <c r="L70" s="646">
        <v>151</v>
      </c>
      <c r="M70" s="654" t="str">
        <f>VLOOKUP(G:G,list!B:E,4,FALSE)</f>
        <v>-</v>
      </c>
      <c r="N70" s="655">
        <f t="shared" si="0"/>
        <v>0</v>
      </c>
      <c r="O70" s="655">
        <f t="shared" si="1"/>
        <v>151</v>
      </c>
      <c r="P70" s="564"/>
      <c r="Q70" s="672" t="str">
        <f>VLOOKUP(G:G,list!B:F,5,FALSE)</f>
        <v>-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182</v>
      </c>
      <c r="E71" s="564" t="s">
        <v>115</v>
      </c>
      <c r="F71" s="564" t="s">
        <v>386</v>
      </c>
      <c r="G71" s="564" t="s">
        <v>56</v>
      </c>
      <c r="H71" s="565">
        <v>44599</v>
      </c>
      <c r="I71" s="652">
        <v>45658</v>
      </c>
      <c r="J71" s="653">
        <v>141399</v>
      </c>
      <c r="K71" s="603">
        <v>0.5</v>
      </c>
      <c r="L71" s="646">
        <v>70700</v>
      </c>
      <c r="M71" s="654">
        <f>VLOOKUP(G:G,list!B:E,4,FALSE)</f>
        <v>0.1</v>
      </c>
      <c r="N71" s="655">
        <f t="shared" si="0"/>
        <v>7070</v>
      </c>
      <c r="O71" s="655">
        <f t="shared" si="1"/>
        <v>63630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316</v>
      </c>
      <c r="H72" s="565">
        <v>45446</v>
      </c>
      <c r="I72" s="652">
        <v>45717</v>
      </c>
      <c r="J72" s="653">
        <v>20216.000000000004</v>
      </c>
      <c r="K72" s="603">
        <v>0.7</v>
      </c>
      <c r="L72" s="646">
        <v>14151.2</v>
      </c>
      <c r="M72" s="654">
        <f>VLOOKUP(G:G,list!B:E,4,FALSE)</f>
        <v>0.1</v>
      </c>
      <c r="N72" s="655">
        <f t="shared" si="0"/>
        <v>1415</v>
      </c>
      <c r="O72" s="655">
        <f t="shared" si="1"/>
        <v>12736.2</v>
      </c>
      <c r="P72" s="564"/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316</v>
      </c>
      <c r="H73" s="565">
        <v>45524</v>
      </c>
      <c r="I73" s="652">
        <v>45717</v>
      </c>
      <c r="J73" s="653">
        <v>0</v>
      </c>
      <c r="K73" s="603">
        <v>0.7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123</v>
      </c>
      <c r="E74" s="564" t="s">
        <v>9</v>
      </c>
      <c r="F74" s="564" t="s">
        <v>519</v>
      </c>
      <c r="G74" s="564" t="s">
        <v>316</v>
      </c>
      <c r="H74" s="565">
        <v>45536</v>
      </c>
      <c r="I74" s="652">
        <v>45717</v>
      </c>
      <c r="J74" s="653">
        <v>2128</v>
      </c>
      <c r="K74" s="603">
        <v>0.7</v>
      </c>
      <c r="L74" s="646">
        <v>1489.6</v>
      </c>
      <c r="M74" s="654">
        <f>VLOOKUP(G:G,list!B:E,4,FALSE)</f>
        <v>0.1</v>
      </c>
      <c r="N74" s="655">
        <f t="shared" si="0"/>
        <v>149</v>
      </c>
      <c r="O74" s="655">
        <f t="shared" si="1"/>
        <v>1340.6</v>
      </c>
      <c r="P74" s="564"/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132</v>
      </c>
      <c r="E75" s="564" t="s">
        <v>9</v>
      </c>
      <c r="F75" s="564" t="s">
        <v>519</v>
      </c>
      <c r="G75" s="564" t="s">
        <v>316</v>
      </c>
      <c r="H75" s="565">
        <v>44945</v>
      </c>
      <c r="I75" s="652">
        <v>45717</v>
      </c>
      <c r="J75" s="653">
        <v>16758</v>
      </c>
      <c r="K75" s="603">
        <v>0.5</v>
      </c>
      <c r="L75" s="646">
        <v>8379</v>
      </c>
      <c r="M75" s="654">
        <f>VLOOKUP(G:G,list!B:E,4,FALSE)</f>
        <v>0.1</v>
      </c>
      <c r="N75" s="655">
        <f t="shared" si="0"/>
        <v>838</v>
      </c>
      <c r="O75" s="655">
        <f t="shared" si="1"/>
        <v>7541</v>
      </c>
      <c r="P75" s="564"/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183</v>
      </c>
      <c r="E76" s="564" t="s">
        <v>9</v>
      </c>
      <c r="F76" s="564" t="s">
        <v>519</v>
      </c>
      <c r="G76" s="564" t="s">
        <v>316</v>
      </c>
      <c r="H76" s="565">
        <v>45702</v>
      </c>
      <c r="I76" s="652">
        <v>45717</v>
      </c>
      <c r="J76" s="653">
        <v>10374.000000000002</v>
      </c>
      <c r="K76" s="603">
        <v>0.7</v>
      </c>
      <c r="L76" s="646">
        <v>7261.8</v>
      </c>
      <c r="M76" s="654">
        <f>VLOOKUP(G:G,list!B:E,4,FALSE)</f>
        <v>0.1</v>
      </c>
      <c r="N76" s="655">
        <f t="shared" si="0"/>
        <v>726</v>
      </c>
      <c r="O76" s="655">
        <f t="shared" si="1"/>
        <v>6535.8</v>
      </c>
      <c r="P76" s="564"/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132</v>
      </c>
      <c r="E77" s="564" t="s">
        <v>9</v>
      </c>
      <c r="F77" s="564" t="s">
        <v>519</v>
      </c>
      <c r="G77" s="564" t="s">
        <v>56</v>
      </c>
      <c r="H77" s="565">
        <v>44952</v>
      </c>
      <c r="I77" s="652">
        <v>45717</v>
      </c>
      <c r="J77" s="653">
        <v>0</v>
      </c>
      <c r="K77" s="567">
        <v>0.5</v>
      </c>
      <c r="L77" s="646">
        <v>0</v>
      </c>
      <c r="M77" s="654">
        <f>VLOOKUP(G:G,list!B:E,4,FALSE)</f>
        <v>0.1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538</v>
      </c>
      <c r="E78" s="564" t="s">
        <v>9</v>
      </c>
      <c r="F78" s="564" t="s">
        <v>519</v>
      </c>
      <c r="G78" s="564" t="s">
        <v>56</v>
      </c>
      <c r="H78" s="565">
        <v>45503</v>
      </c>
      <c r="I78" s="652">
        <v>45717</v>
      </c>
      <c r="J78" s="653">
        <v>26201</v>
      </c>
      <c r="K78" s="567">
        <v>0.5</v>
      </c>
      <c r="L78" s="646">
        <v>13100.5</v>
      </c>
      <c r="M78" s="654">
        <f>VLOOKUP(G:G,list!B:E,4,FALSE)</f>
        <v>0.1</v>
      </c>
      <c r="N78" s="655">
        <f t="shared" si="0"/>
        <v>1310</v>
      </c>
      <c r="O78" s="655">
        <f t="shared" si="1"/>
        <v>11790.5</v>
      </c>
      <c r="P78" s="564"/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549</v>
      </c>
      <c r="E79" s="564" t="s">
        <v>9</v>
      </c>
      <c r="F79" s="564" t="s">
        <v>519</v>
      </c>
      <c r="G79" s="564" t="s">
        <v>56</v>
      </c>
      <c r="H79" s="565">
        <v>45547</v>
      </c>
      <c r="I79" s="652">
        <v>45717</v>
      </c>
      <c r="J79" s="653">
        <v>798</v>
      </c>
      <c r="K79" s="567">
        <v>0.5</v>
      </c>
      <c r="L79" s="646">
        <v>399</v>
      </c>
      <c r="M79" s="654">
        <f>VLOOKUP(G:G,list!B:E,4,FALSE)</f>
        <v>0.1</v>
      </c>
      <c r="N79" s="655">
        <f t="shared" si="0"/>
        <v>40</v>
      </c>
      <c r="O79" s="655">
        <f t="shared" si="1"/>
        <v>359</v>
      </c>
      <c r="P79" s="564"/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132</v>
      </c>
      <c r="E80" s="564" t="s">
        <v>9</v>
      </c>
      <c r="F80" s="564" t="s">
        <v>519</v>
      </c>
      <c r="G80" s="564" t="s">
        <v>30</v>
      </c>
      <c r="H80" s="565">
        <v>44953</v>
      </c>
      <c r="I80" s="652">
        <v>45717</v>
      </c>
      <c r="J80" s="653">
        <v>0</v>
      </c>
      <c r="K80" s="567">
        <v>0.5</v>
      </c>
      <c r="L80" s="646">
        <v>0</v>
      </c>
      <c r="M80" s="654">
        <f>VLOOKUP(G:G,list!B:E,4,FALSE)</f>
        <v>0.1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308</v>
      </c>
      <c r="H81" s="565">
        <v>44992</v>
      </c>
      <c r="I81" s="652">
        <v>45717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308</v>
      </c>
      <c r="H82" s="565">
        <v>45610</v>
      </c>
      <c r="I82" s="652">
        <v>45717</v>
      </c>
      <c r="J82" s="653">
        <v>3990</v>
      </c>
      <c r="K82" s="603">
        <v>0.5</v>
      </c>
      <c r="L82" s="646">
        <v>1995</v>
      </c>
      <c r="M82" s="654" t="str">
        <f>VLOOKUP(G:G,list!B:E,4,FALSE)</f>
        <v>-</v>
      </c>
      <c r="N82" s="655">
        <f t="shared" si="0"/>
        <v>0</v>
      </c>
      <c r="O82" s="655">
        <f t="shared" si="1"/>
        <v>1995</v>
      </c>
      <c r="P82" s="564"/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132</v>
      </c>
      <c r="E83" s="564" t="s">
        <v>9</v>
      </c>
      <c r="F83" s="564" t="s">
        <v>519</v>
      </c>
      <c r="G83" s="564" t="s">
        <v>36</v>
      </c>
      <c r="H83" s="565">
        <v>45198</v>
      </c>
      <c r="I83" s="652">
        <v>45717</v>
      </c>
      <c r="J83" s="653">
        <v>565782</v>
      </c>
      <c r="K83" s="603">
        <v>0.5</v>
      </c>
      <c r="L83" s="646">
        <v>282891</v>
      </c>
      <c r="M83" s="654" t="str">
        <f>VLOOKUP(G:G,list!B:E,4,FALSE)</f>
        <v>-</v>
      </c>
      <c r="N83" s="655">
        <f t="shared" si="0"/>
        <v>0</v>
      </c>
      <c r="O83" s="655">
        <f t="shared" si="1"/>
        <v>282891</v>
      </c>
      <c r="P83" s="564"/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538</v>
      </c>
      <c r="E84" s="564" t="s">
        <v>9</v>
      </c>
      <c r="F84" s="564" t="s">
        <v>519</v>
      </c>
      <c r="G84" s="564" t="s">
        <v>36</v>
      </c>
      <c r="H84" s="565">
        <v>45479</v>
      </c>
      <c r="I84" s="652">
        <v>45717</v>
      </c>
      <c r="J84" s="653">
        <v>7581</v>
      </c>
      <c r="K84" s="603">
        <v>0.5</v>
      </c>
      <c r="L84" s="646">
        <v>3790.5</v>
      </c>
      <c r="M84" s="654" t="str">
        <f>VLOOKUP(G:G,list!B:E,4,FALSE)</f>
        <v>-</v>
      </c>
      <c r="N84" s="655">
        <f t="shared" si="0"/>
        <v>0</v>
      </c>
      <c r="O84" s="655">
        <f t="shared" si="1"/>
        <v>3790.5</v>
      </c>
      <c r="P84" s="564"/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549</v>
      </c>
      <c r="E85" s="564" t="s">
        <v>9</v>
      </c>
      <c r="F85" s="564" t="s">
        <v>519</v>
      </c>
      <c r="G85" s="564" t="s">
        <v>36</v>
      </c>
      <c r="H85" s="565">
        <v>45531</v>
      </c>
      <c r="I85" s="652">
        <v>45717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123</v>
      </c>
      <c r="E86" s="564" t="s">
        <v>9</v>
      </c>
      <c r="F86" s="564" t="s">
        <v>519</v>
      </c>
      <c r="G86" s="564" t="s">
        <v>36</v>
      </c>
      <c r="H86" s="565">
        <v>45555</v>
      </c>
      <c r="I86" s="652">
        <v>45717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132</v>
      </c>
      <c r="E87" s="564" t="s">
        <v>9</v>
      </c>
      <c r="F87" s="564" t="s">
        <v>519</v>
      </c>
      <c r="G87" s="564" t="s">
        <v>139</v>
      </c>
      <c r="H87" s="565">
        <v>45276</v>
      </c>
      <c r="I87" s="652">
        <v>45717</v>
      </c>
      <c r="J87" s="653">
        <v>2793</v>
      </c>
      <c r="K87" s="603">
        <v>0.5</v>
      </c>
      <c r="L87" s="646">
        <v>1396.5</v>
      </c>
      <c r="M87" s="654" t="str">
        <f>VLOOKUP(G:G,list!B:E,4,FALSE)</f>
        <v>-</v>
      </c>
      <c r="N87" s="655">
        <f t="shared" si="0"/>
        <v>0</v>
      </c>
      <c r="O87" s="655">
        <f t="shared" si="1"/>
        <v>1396.5</v>
      </c>
      <c r="P87" s="564"/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538</v>
      </c>
      <c r="E88" s="564" t="s">
        <v>9</v>
      </c>
      <c r="F88" s="564" t="s">
        <v>519</v>
      </c>
      <c r="G88" s="564" t="s">
        <v>139</v>
      </c>
      <c r="H88" s="565">
        <v>45534</v>
      </c>
      <c r="I88" s="652">
        <v>45717</v>
      </c>
      <c r="J88" s="653">
        <v>798</v>
      </c>
      <c r="K88" s="603">
        <v>0.5</v>
      </c>
      <c r="L88" s="646">
        <v>399</v>
      </c>
      <c r="M88" s="654" t="str">
        <f>VLOOKUP(G:G,list!B:E,4,FALSE)</f>
        <v>-</v>
      </c>
      <c r="N88" s="655">
        <f t="shared" si="0"/>
        <v>0</v>
      </c>
      <c r="O88" s="655">
        <f t="shared" si="1"/>
        <v>399</v>
      </c>
      <c r="P88" s="564"/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작가기획</v>
      </c>
      <c r="D89" s="564" t="s">
        <v>182</v>
      </c>
      <c r="E89" s="564" t="s">
        <v>115</v>
      </c>
      <c r="F89" s="564" t="s">
        <v>550</v>
      </c>
      <c r="G89" s="564" t="s">
        <v>308</v>
      </c>
      <c r="H89" s="565">
        <v>45347</v>
      </c>
      <c r="I89" s="652">
        <v>45658</v>
      </c>
      <c r="J89" s="653">
        <v>0</v>
      </c>
      <c r="K89" s="603">
        <v>0.5</v>
      </c>
      <c r="L89" s="646">
        <v>0</v>
      </c>
      <c r="M89" s="654" t="str">
        <f>VLOOKUP(G:G,list!B:E,4,FALSE)</f>
        <v>-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-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550</v>
      </c>
      <c r="G90" s="564" t="s">
        <v>316</v>
      </c>
      <c r="H90" s="565">
        <v>45359</v>
      </c>
      <c r="I90" s="652">
        <v>45658</v>
      </c>
      <c r="J90" s="653">
        <v>10879</v>
      </c>
      <c r="K90" s="603">
        <v>0.5</v>
      </c>
      <c r="L90" s="646">
        <v>5440</v>
      </c>
      <c r="M90" s="654">
        <f>VLOOKUP(G:G,list!B:E,4,FALSE)</f>
        <v>0.1</v>
      </c>
      <c r="N90" s="655">
        <f t="shared" si="0"/>
        <v>544</v>
      </c>
      <c r="O90" s="655">
        <f t="shared" si="1"/>
        <v>4896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32</v>
      </c>
      <c r="E91" s="564" t="s">
        <v>9</v>
      </c>
      <c r="F91" s="564" t="s">
        <v>31</v>
      </c>
      <c r="G91" s="564" t="s">
        <v>30</v>
      </c>
      <c r="H91" s="565">
        <v>44239</v>
      </c>
      <c r="I91" s="652">
        <v>45689</v>
      </c>
      <c r="J91" s="653">
        <v>4467</v>
      </c>
      <c r="K91" s="603">
        <v>0.4</v>
      </c>
      <c r="L91" s="646">
        <v>1706</v>
      </c>
      <c r="M91" s="654">
        <f>VLOOKUP(G:G,list!B:E,4,FALSE)</f>
        <v>0.1</v>
      </c>
      <c r="N91" s="655">
        <f t="shared" si="0"/>
        <v>171</v>
      </c>
      <c r="O91" s="655">
        <f t="shared" si="1"/>
        <v>1535</v>
      </c>
      <c r="P91" s="564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123</v>
      </c>
      <c r="E92" s="564" t="s">
        <v>9</v>
      </c>
      <c r="F92" s="564" t="s">
        <v>213</v>
      </c>
      <c r="G92" s="564" t="s">
        <v>56</v>
      </c>
      <c r="H92" s="565">
        <v>44581</v>
      </c>
      <c r="I92" s="652">
        <v>45717</v>
      </c>
      <c r="J92" s="653">
        <v>2141940</v>
      </c>
      <c r="K92" s="603">
        <v>0.3</v>
      </c>
      <c r="L92" s="568">
        <v>642582</v>
      </c>
      <c r="M92" s="654">
        <f>VLOOKUP(G:G,list!B:E,4,FALSE)</f>
        <v>0.1</v>
      </c>
      <c r="N92" s="655">
        <f t="shared" si="0"/>
        <v>64258</v>
      </c>
      <c r="O92" s="655">
        <f t="shared" si="1"/>
        <v>578324</v>
      </c>
      <c r="P92" s="564" t="s">
        <v>186</v>
      </c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183</v>
      </c>
      <c r="E93" s="564" t="s">
        <v>9</v>
      </c>
      <c r="F93" s="564" t="s">
        <v>213</v>
      </c>
      <c r="G93" s="564" t="s">
        <v>56</v>
      </c>
      <c r="H93" s="565">
        <v>44829</v>
      </c>
      <c r="I93" s="652">
        <v>45717</v>
      </c>
      <c r="J93" s="653">
        <v>780753</v>
      </c>
      <c r="K93" s="603">
        <v>0.3</v>
      </c>
      <c r="L93" s="568">
        <v>234226</v>
      </c>
      <c r="M93" s="654">
        <f>VLOOKUP(G:G,list!B:E,4,FALSE)</f>
        <v>0.1</v>
      </c>
      <c r="N93" s="655">
        <f t="shared" si="0"/>
        <v>23423</v>
      </c>
      <c r="O93" s="655">
        <f t="shared" si="1"/>
        <v>210803</v>
      </c>
      <c r="P93" s="564" t="s">
        <v>186</v>
      </c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454</v>
      </c>
      <c r="H94" s="565">
        <v>44854</v>
      </c>
      <c r="I94" s="652">
        <v>45717</v>
      </c>
      <c r="J94" s="653">
        <v>1705253</v>
      </c>
      <c r="K94" s="603">
        <v>0.3</v>
      </c>
      <c r="L94" s="568">
        <v>511576</v>
      </c>
      <c r="M94" s="654">
        <f>VLOOKUP(G:G,list!B:E,4,FALSE)</f>
        <v>0.1</v>
      </c>
      <c r="N94" s="655">
        <f t="shared" si="0"/>
        <v>51158</v>
      </c>
      <c r="O94" s="655">
        <f t="shared" si="1"/>
        <v>460418</v>
      </c>
      <c r="P94" s="564" t="s">
        <v>186</v>
      </c>
      <c r="Q94" s="672" t="str">
        <f>VLOOKUP(G:G,list!B:F,5,FALSE)</f>
        <v>-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123</v>
      </c>
      <c r="E95" s="564" t="s">
        <v>9</v>
      </c>
      <c r="F95" s="564" t="s">
        <v>213</v>
      </c>
      <c r="G95" s="564" t="s">
        <v>481</v>
      </c>
      <c r="H95" s="565">
        <v>44981</v>
      </c>
      <c r="I95" s="652">
        <v>45717</v>
      </c>
      <c r="J95" s="653">
        <v>289933</v>
      </c>
      <c r="K95" s="603">
        <v>0.3</v>
      </c>
      <c r="L95" s="568">
        <v>86980</v>
      </c>
      <c r="M95" s="654">
        <f>VLOOKUP(G:G,list!B:E,4,FALSE)</f>
        <v>0.1</v>
      </c>
      <c r="N95" s="655">
        <f t="shared" si="0"/>
        <v>8698</v>
      </c>
      <c r="O95" s="655">
        <f t="shared" si="1"/>
        <v>78282</v>
      </c>
      <c r="P95" s="564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352</v>
      </c>
      <c r="H96" s="565">
        <v>44984</v>
      </c>
      <c r="I96" s="652">
        <v>45717</v>
      </c>
      <c r="J96" s="653">
        <v>344020</v>
      </c>
      <c r="K96" s="603">
        <v>0.3</v>
      </c>
      <c r="L96" s="568">
        <v>103206</v>
      </c>
      <c r="M96" s="654">
        <f>VLOOKUP(G:G,list!B:E,4,FALSE)</f>
        <v>0.1</v>
      </c>
      <c r="N96" s="655">
        <f t="shared" si="0"/>
        <v>10321</v>
      </c>
      <c r="O96" s="655">
        <f t="shared" si="1"/>
        <v>92885</v>
      </c>
      <c r="P96" s="564" t="s">
        <v>186</v>
      </c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72</v>
      </c>
      <c r="E97" s="564" t="s">
        <v>9</v>
      </c>
      <c r="F97" s="564" t="s">
        <v>213</v>
      </c>
      <c r="G97" s="564" t="s">
        <v>454</v>
      </c>
      <c r="H97" s="565">
        <v>44902</v>
      </c>
      <c r="I97" s="652">
        <v>45689</v>
      </c>
      <c r="J97" s="653">
        <v>1274977</v>
      </c>
      <c r="K97" s="603">
        <v>0.3</v>
      </c>
      <c r="L97" s="568">
        <v>382493</v>
      </c>
      <c r="M97" s="654">
        <f>VLOOKUP(G:G,list!B:E,4,FALSE)</f>
        <v>0.1</v>
      </c>
      <c r="N97" s="655">
        <f t="shared" ref="N97:N119" si="2">ROUND(IF(M97="-",0,L97*M97),0)</f>
        <v>38249</v>
      </c>
      <c r="O97" s="655">
        <f t="shared" ref="O97:O119" si="3">L97-N97</f>
        <v>344244</v>
      </c>
      <c r="P97" s="564" t="s">
        <v>282</v>
      </c>
      <c r="Q97" s="672" t="str">
        <f>VLOOKUP(G:G,list!B:F,5,FALSE)</f>
        <v>-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72</v>
      </c>
      <c r="E98" s="564" t="s">
        <v>9</v>
      </c>
      <c r="F98" s="564" t="s">
        <v>213</v>
      </c>
      <c r="G98" s="564" t="s">
        <v>454</v>
      </c>
      <c r="H98" s="565">
        <v>45257</v>
      </c>
      <c r="I98" s="652">
        <v>45689</v>
      </c>
      <c r="J98" s="653">
        <v>35283</v>
      </c>
      <c r="K98" s="603">
        <v>0.3</v>
      </c>
      <c r="L98" s="568">
        <v>10585</v>
      </c>
      <c r="M98" s="654">
        <f>VLOOKUP(G:G,list!B:E,4,FALSE)</f>
        <v>0.1</v>
      </c>
      <c r="N98" s="655">
        <f t="shared" si="2"/>
        <v>1059</v>
      </c>
      <c r="O98" s="655">
        <f t="shared" si="3"/>
        <v>9526</v>
      </c>
      <c r="P98" s="564" t="s">
        <v>546</v>
      </c>
      <c r="Q98" s="672" t="str">
        <f>VLOOKUP(G:G,list!B:F,5,FALSE)</f>
        <v>-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작가기획</v>
      </c>
      <c r="D99" s="564" t="s">
        <v>72</v>
      </c>
      <c r="E99" s="564" t="s">
        <v>9</v>
      </c>
      <c r="F99" s="564" t="s">
        <v>73</v>
      </c>
      <c r="G99" s="564" t="s">
        <v>308</v>
      </c>
      <c r="H99" s="565" t="s">
        <v>168</v>
      </c>
      <c r="I99" s="652">
        <v>45566</v>
      </c>
      <c r="J99" s="653">
        <v>272</v>
      </c>
      <c r="K99" s="605">
        <v>0.78900000000000003</v>
      </c>
      <c r="L99" s="568">
        <v>193</v>
      </c>
      <c r="M99" s="654" t="str">
        <f>VLOOKUP(G:G,list!B:E,4,FALSE)</f>
        <v>-</v>
      </c>
      <c r="N99" s="655">
        <f t="shared" si="2"/>
        <v>0</v>
      </c>
      <c r="O99" s="655">
        <f t="shared" si="3"/>
        <v>193</v>
      </c>
      <c r="P99" s="564" t="s">
        <v>564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작가기획</v>
      </c>
      <c r="D100" s="564" t="s">
        <v>72</v>
      </c>
      <c r="E100" s="564" t="s">
        <v>9</v>
      </c>
      <c r="F100" s="564" t="s">
        <v>73</v>
      </c>
      <c r="G100" s="564" t="s">
        <v>308</v>
      </c>
      <c r="H100" s="565" t="s">
        <v>168</v>
      </c>
      <c r="I100" s="652">
        <v>45597</v>
      </c>
      <c r="J100" s="653">
        <v>0</v>
      </c>
      <c r="K100" s="605">
        <v>0.78900000000000003</v>
      </c>
      <c r="L100" s="568">
        <v>0</v>
      </c>
      <c r="M100" s="654" t="str">
        <f>VLOOKUP(G:G,list!B:E,4,FALSE)</f>
        <v>-</v>
      </c>
      <c r="N100" s="655">
        <f t="shared" si="2"/>
        <v>0</v>
      </c>
      <c r="O100" s="655">
        <f t="shared" si="3"/>
        <v>0</v>
      </c>
      <c r="P100" s="564" t="s">
        <v>581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작가기획</v>
      </c>
      <c r="D101" s="564" t="s">
        <v>72</v>
      </c>
      <c r="E101" s="564" t="s">
        <v>9</v>
      </c>
      <c r="F101" s="564" t="s">
        <v>73</v>
      </c>
      <c r="G101" s="564" t="s">
        <v>308</v>
      </c>
      <c r="H101" s="565" t="s">
        <v>168</v>
      </c>
      <c r="I101" s="652">
        <v>45627</v>
      </c>
      <c r="J101" s="653">
        <v>1644</v>
      </c>
      <c r="K101" s="605">
        <v>0.78900000000000003</v>
      </c>
      <c r="L101" s="568">
        <v>1167</v>
      </c>
      <c r="M101" s="654" t="str">
        <f>VLOOKUP(G:G,list!B:E,4,FALSE)</f>
        <v>-</v>
      </c>
      <c r="N101" s="655">
        <f t="shared" si="2"/>
        <v>0</v>
      </c>
      <c r="O101" s="655">
        <f t="shared" si="3"/>
        <v>1167</v>
      </c>
      <c r="P101" s="564" t="s">
        <v>564</v>
      </c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작가기획</v>
      </c>
      <c r="D102" s="564" t="s">
        <v>182</v>
      </c>
      <c r="E102" s="564" t="s">
        <v>115</v>
      </c>
      <c r="F102" s="564" t="s">
        <v>565</v>
      </c>
      <c r="G102" s="564" t="s">
        <v>36</v>
      </c>
      <c r="H102" s="565">
        <v>45364</v>
      </c>
      <c r="I102" s="652">
        <v>45566</v>
      </c>
      <c r="J102" s="653">
        <v>140283.3744117647</v>
      </c>
      <c r="K102" s="603">
        <v>0.5</v>
      </c>
      <c r="L102" s="568">
        <v>70142</v>
      </c>
      <c r="M102" s="654" t="str">
        <f>VLOOKUP(G:G,list!B:E,4,FALSE)</f>
        <v>-</v>
      </c>
      <c r="N102" s="655">
        <f t="shared" si="2"/>
        <v>0</v>
      </c>
      <c r="O102" s="655">
        <f t="shared" si="3"/>
        <v>70142</v>
      </c>
      <c r="P102" s="564"/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작가기획</v>
      </c>
      <c r="D103" s="564" t="s">
        <v>182</v>
      </c>
      <c r="E103" s="564" t="s">
        <v>115</v>
      </c>
      <c r="F103" s="564" t="s">
        <v>565</v>
      </c>
      <c r="G103" s="564" t="s">
        <v>36</v>
      </c>
      <c r="H103" s="565">
        <v>45364</v>
      </c>
      <c r="I103" s="652">
        <v>45597</v>
      </c>
      <c r="J103" s="653">
        <v>83573.074117647047</v>
      </c>
      <c r="K103" s="603">
        <v>0.5</v>
      </c>
      <c r="L103" s="568">
        <v>41787</v>
      </c>
      <c r="M103" s="654" t="str">
        <f>VLOOKUP(G:G,list!B:E,4,FALSE)</f>
        <v>-</v>
      </c>
      <c r="N103" s="655">
        <f t="shared" si="2"/>
        <v>0</v>
      </c>
      <c r="O103" s="655">
        <f t="shared" si="3"/>
        <v>41787</v>
      </c>
      <c r="P103" s="564"/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작가기획</v>
      </c>
      <c r="D104" s="564" t="s">
        <v>182</v>
      </c>
      <c r="E104" s="564" t="s">
        <v>115</v>
      </c>
      <c r="F104" s="564" t="s">
        <v>565</v>
      </c>
      <c r="G104" s="564" t="s">
        <v>36</v>
      </c>
      <c r="H104" s="565">
        <v>45364</v>
      </c>
      <c r="I104" s="652">
        <v>45627</v>
      </c>
      <c r="J104" s="653">
        <v>182069.91147058824</v>
      </c>
      <c r="K104" s="603">
        <v>0.5</v>
      </c>
      <c r="L104" s="568">
        <v>91035</v>
      </c>
      <c r="M104" s="654" t="str">
        <f>VLOOKUP(G:G,list!B:E,4,FALSE)</f>
        <v>-</v>
      </c>
      <c r="N104" s="655">
        <f t="shared" si="2"/>
        <v>0</v>
      </c>
      <c r="O104" s="655">
        <f t="shared" si="3"/>
        <v>91035</v>
      </c>
      <c r="P104" s="564"/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작가기획</v>
      </c>
      <c r="D105" s="564" t="s">
        <v>182</v>
      </c>
      <c r="E105" s="564" t="s">
        <v>115</v>
      </c>
      <c r="F105" s="564" t="s">
        <v>565</v>
      </c>
      <c r="G105" s="564" t="s">
        <v>139</v>
      </c>
      <c r="H105" s="565">
        <v>45362</v>
      </c>
      <c r="I105" s="652">
        <v>45566</v>
      </c>
      <c r="J105" s="653">
        <v>13866.098657718119</v>
      </c>
      <c r="K105" s="603">
        <v>0.5</v>
      </c>
      <c r="L105" s="568">
        <v>6933</v>
      </c>
      <c r="M105" s="654" t="str">
        <f>VLOOKUP(G:G,list!B:E,4,FALSE)</f>
        <v>-</v>
      </c>
      <c r="N105" s="655">
        <f t="shared" si="2"/>
        <v>0</v>
      </c>
      <c r="O105" s="655">
        <f t="shared" si="3"/>
        <v>6933</v>
      </c>
      <c r="P105" s="564"/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작가기획</v>
      </c>
      <c r="D106" s="564" t="s">
        <v>182</v>
      </c>
      <c r="E106" s="564" t="s">
        <v>115</v>
      </c>
      <c r="F106" s="564" t="s">
        <v>565</v>
      </c>
      <c r="G106" s="564" t="s">
        <v>139</v>
      </c>
      <c r="H106" s="565">
        <v>45362</v>
      </c>
      <c r="I106" s="652">
        <v>45597</v>
      </c>
      <c r="J106" s="653">
        <v>11354.91543624161</v>
      </c>
      <c r="K106" s="603">
        <v>0.5</v>
      </c>
      <c r="L106" s="568">
        <v>5677</v>
      </c>
      <c r="M106" s="654" t="str">
        <f>VLOOKUP(G:G,list!B:E,4,FALSE)</f>
        <v>-</v>
      </c>
      <c r="N106" s="655">
        <f t="shared" si="2"/>
        <v>0</v>
      </c>
      <c r="O106" s="655">
        <f t="shared" si="3"/>
        <v>5677</v>
      </c>
      <c r="P106" s="564"/>
      <c r="Q106" s="672" t="str">
        <f>VLOOKUP(G:G,list!B:F,5,FALSE)</f>
        <v>-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작가기획</v>
      </c>
      <c r="D107" s="564" t="s">
        <v>182</v>
      </c>
      <c r="E107" s="564" t="s">
        <v>115</v>
      </c>
      <c r="F107" s="564" t="s">
        <v>565</v>
      </c>
      <c r="G107" s="564" t="s">
        <v>139</v>
      </c>
      <c r="H107" s="565">
        <v>45362</v>
      </c>
      <c r="I107" s="652">
        <v>45627</v>
      </c>
      <c r="J107" s="653">
        <v>7315.1859060402685</v>
      </c>
      <c r="K107" s="603">
        <v>0.5</v>
      </c>
      <c r="L107" s="568">
        <v>3658</v>
      </c>
      <c r="M107" s="654" t="str">
        <f>VLOOKUP(G:G,list!B:E,4,FALSE)</f>
        <v>-</v>
      </c>
      <c r="N107" s="655">
        <f t="shared" si="2"/>
        <v>0</v>
      </c>
      <c r="O107" s="655">
        <f t="shared" si="3"/>
        <v>3658</v>
      </c>
      <c r="P107" s="564"/>
      <c r="Q107" s="672" t="str">
        <f>VLOOKUP(G:G,list!B:F,5,FALSE)</f>
        <v>-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182</v>
      </c>
      <c r="E108" s="564" t="s">
        <v>115</v>
      </c>
      <c r="F108" s="564" t="s">
        <v>565</v>
      </c>
      <c r="G108" s="564" t="s">
        <v>30</v>
      </c>
      <c r="H108" s="565">
        <v>45379</v>
      </c>
      <c r="I108" s="652">
        <v>45566</v>
      </c>
      <c r="J108" s="653">
        <v>19971.707820895521</v>
      </c>
      <c r="K108" s="603">
        <v>0.5</v>
      </c>
      <c r="L108" s="568">
        <v>9986</v>
      </c>
      <c r="M108" s="654">
        <f>VLOOKUP(G:G,list!B:E,4,FALSE)</f>
        <v>0.1</v>
      </c>
      <c r="N108" s="655">
        <f t="shared" si="2"/>
        <v>999</v>
      </c>
      <c r="O108" s="655">
        <f t="shared" si="3"/>
        <v>8987</v>
      </c>
      <c r="P108" s="564"/>
      <c r="Q108" s="672" t="str">
        <f>VLOOKUP(G:G,list!B:F,5,FALSE)</f>
        <v>웹소설본부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182</v>
      </c>
      <c r="E109" s="564" t="s">
        <v>115</v>
      </c>
      <c r="F109" s="564" t="s">
        <v>565</v>
      </c>
      <c r="G109" s="564" t="s">
        <v>30</v>
      </c>
      <c r="H109" s="565">
        <v>45379</v>
      </c>
      <c r="I109" s="652">
        <v>45597</v>
      </c>
      <c r="J109" s="653">
        <v>14329.982447761193</v>
      </c>
      <c r="K109" s="603">
        <v>0.5</v>
      </c>
      <c r="L109" s="568">
        <v>7165</v>
      </c>
      <c r="M109" s="654">
        <f>VLOOKUP(G:G,list!B:E,4,FALSE)</f>
        <v>0.1</v>
      </c>
      <c r="N109" s="655">
        <f t="shared" si="2"/>
        <v>717</v>
      </c>
      <c r="O109" s="655">
        <f t="shared" si="3"/>
        <v>6448</v>
      </c>
      <c r="P109" s="564"/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182</v>
      </c>
      <c r="E110" s="564" t="s">
        <v>115</v>
      </c>
      <c r="F110" s="564" t="s">
        <v>565</v>
      </c>
      <c r="G110" s="564" t="s">
        <v>30</v>
      </c>
      <c r="H110" s="565">
        <v>45379</v>
      </c>
      <c r="I110" s="652">
        <v>45627</v>
      </c>
      <c r="J110" s="653">
        <v>3497.8697313432831</v>
      </c>
      <c r="K110" s="603">
        <v>0.5</v>
      </c>
      <c r="L110" s="568">
        <v>1749</v>
      </c>
      <c r="M110" s="654">
        <f>VLOOKUP(G:G,list!B:E,4,FALSE)</f>
        <v>0.1</v>
      </c>
      <c r="N110" s="655">
        <f t="shared" si="2"/>
        <v>175</v>
      </c>
      <c r="O110" s="655">
        <f t="shared" si="3"/>
        <v>1574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작가기획</v>
      </c>
      <c r="D111" s="564" t="s">
        <v>182</v>
      </c>
      <c r="E111" s="564" t="s">
        <v>115</v>
      </c>
      <c r="F111" s="564" t="s">
        <v>565</v>
      </c>
      <c r="G111" s="564" t="s">
        <v>308</v>
      </c>
      <c r="H111" s="565">
        <v>45382</v>
      </c>
      <c r="I111" s="652">
        <v>45566</v>
      </c>
      <c r="J111" s="653">
        <v>227.27565891472864</v>
      </c>
      <c r="K111" s="603">
        <v>0.5</v>
      </c>
      <c r="L111" s="568">
        <v>114</v>
      </c>
      <c r="M111" s="654" t="str">
        <f>VLOOKUP(G:G,list!B:E,4,FALSE)</f>
        <v>-</v>
      </c>
      <c r="N111" s="655">
        <f t="shared" si="2"/>
        <v>0</v>
      </c>
      <c r="O111" s="655">
        <f t="shared" si="3"/>
        <v>114</v>
      </c>
      <c r="P111" s="564"/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작가기획</v>
      </c>
      <c r="D112" s="564" t="s">
        <v>182</v>
      </c>
      <c r="E112" s="564" t="s">
        <v>115</v>
      </c>
      <c r="F112" s="564" t="s">
        <v>565</v>
      </c>
      <c r="G112" s="564" t="s">
        <v>308</v>
      </c>
      <c r="H112" s="565">
        <v>45382</v>
      </c>
      <c r="I112" s="652">
        <v>45597</v>
      </c>
      <c r="J112" s="653">
        <v>1239.0189147286819</v>
      </c>
      <c r="K112" s="603">
        <v>0.5</v>
      </c>
      <c r="L112" s="568">
        <v>620</v>
      </c>
      <c r="M112" s="654" t="str">
        <f>VLOOKUP(G:G,list!B:E,4,FALSE)</f>
        <v>-</v>
      </c>
      <c r="N112" s="655">
        <f t="shared" si="2"/>
        <v>0</v>
      </c>
      <c r="O112" s="655">
        <f t="shared" si="3"/>
        <v>620</v>
      </c>
      <c r="P112" s="564"/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작가기획</v>
      </c>
      <c r="D113" s="564" t="s">
        <v>182</v>
      </c>
      <c r="E113" s="564" t="s">
        <v>115</v>
      </c>
      <c r="F113" s="564" t="s">
        <v>565</v>
      </c>
      <c r="G113" s="564" t="s">
        <v>308</v>
      </c>
      <c r="H113" s="565">
        <v>45382</v>
      </c>
      <c r="I113" s="652">
        <v>45627</v>
      </c>
      <c r="J113" s="653">
        <v>898.10542635658908</v>
      </c>
      <c r="K113" s="603">
        <v>0.5</v>
      </c>
      <c r="L113" s="568">
        <v>449</v>
      </c>
      <c r="M113" s="654" t="str">
        <f>VLOOKUP(G:G,list!B:E,4,FALSE)</f>
        <v>-</v>
      </c>
      <c r="N113" s="655">
        <f t="shared" si="2"/>
        <v>0</v>
      </c>
      <c r="O113" s="655">
        <f t="shared" si="3"/>
        <v>449</v>
      </c>
      <c r="P113" s="564"/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182</v>
      </c>
      <c r="E114" s="564" t="s">
        <v>115</v>
      </c>
      <c r="F114" s="564" t="s">
        <v>565</v>
      </c>
      <c r="G114" s="564" t="s">
        <v>316</v>
      </c>
      <c r="H114" s="565">
        <v>45390</v>
      </c>
      <c r="I114" s="652">
        <v>45566</v>
      </c>
      <c r="J114" s="653">
        <v>11287.64</v>
      </c>
      <c r="K114" s="603">
        <v>0.5</v>
      </c>
      <c r="L114" s="568">
        <v>5644</v>
      </c>
      <c r="M114" s="654">
        <f>VLOOKUP(G:G,list!B:E,4,FALSE)</f>
        <v>0.1</v>
      </c>
      <c r="N114" s="655">
        <f t="shared" si="2"/>
        <v>564</v>
      </c>
      <c r="O114" s="655">
        <f t="shared" si="3"/>
        <v>5080</v>
      </c>
      <c r="P114" s="564"/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182</v>
      </c>
      <c r="E115" s="564" t="s">
        <v>115</v>
      </c>
      <c r="F115" s="564" t="s">
        <v>565</v>
      </c>
      <c r="G115" s="564" t="s">
        <v>316</v>
      </c>
      <c r="H115" s="565">
        <v>45390</v>
      </c>
      <c r="I115" s="652">
        <v>45597</v>
      </c>
      <c r="J115" s="653">
        <v>28794.999999999996</v>
      </c>
      <c r="K115" s="603">
        <v>0.5</v>
      </c>
      <c r="L115" s="568">
        <v>14398</v>
      </c>
      <c r="M115" s="654">
        <f>VLOOKUP(G:G,list!B:E,4,FALSE)</f>
        <v>0.1</v>
      </c>
      <c r="N115" s="655">
        <f t="shared" si="2"/>
        <v>1440</v>
      </c>
      <c r="O115" s="655">
        <f t="shared" si="3"/>
        <v>12958</v>
      </c>
      <c r="P115" s="564"/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182</v>
      </c>
      <c r="E116" s="564" t="s">
        <v>115</v>
      </c>
      <c r="F116" s="564" t="s">
        <v>565</v>
      </c>
      <c r="G116" s="564" t="s">
        <v>316</v>
      </c>
      <c r="H116" s="565">
        <v>45390</v>
      </c>
      <c r="I116" s="652">
        <v>45627</v>
      </c>
      <c r="J116" s="653">
        <v>19119.88</v>
      </c>
      <c r="K116" s="603">
        <v>0.5</v>
      </c>
      <c r="L116" s="568">
        <v>9560</v>
      </c>
      <c r="M116" s="654">
        <f>VLOOKUP(G:G,list!B:E,4,FALSE)</f>
        <v>0.1</v>
      </c>
      <c r="N116" s="655">
        <f t="shared" si="2"/>
        <v>956</v>
      </c>
      <c r="O116" s="655">
        <f t="shared" si="3"/>
        <v>8604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182</v>
      </c>
      <c r="E117" s="564" t="s">
        <v>115</v>
      </c>
      <c r="F117" s="564" t="s">
        <v>565</v>
      </c>
      <c r="G117" s="564" t="s">
        <v>56</v>
      </c>
      <c r="H117" s="565">
        <v>45391</v>
      </c>
      <c r="I117" s="652">
        <v>45566</v>
      </c>
      <c r="J117" s="653">
        <v>123292.84345238094</v>
      </c>
      <c r="K117" s="603">
        <v>0.5</v>
      </c>
      <c r="L117" s="568">
        <v>61646</v>
      </c>
      <c r="M117" s="654">
        <f>VLOOKUP(G:G,list!B:E,4,FALSE)</f>
        <v>0.1</v>
      </c>
      <c r="N117" s="655">
        <f t="shared" si="2"/>
        <v>6165</v>
      </c>
      <c r="O117" s="655">
        <f t="shared" si="3"/>
        <v>55481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원작료</v>
      </c>
      <c r="D118" s="564" t="s">
        <v>182</v>
      </c>
      <c r="E118" s="564" t="s">
        <v>115</v>
      </c>
      <c r="F118" s="564" t="s">
        <v>565</v>
      </c>
      <c r="G118" s="564" t="s">
        <v>56</v>
      </c>
      <c r="H118" s="565">
        <v>45391</v>
      </c>
      <c r="I118" s="652">
        <v>45597</v>
      </c>
      <c r="J118" s="653">
        <v>52964.854642857143</v>
      </c>
      <c r="K118" s="603">
        <v>0.5</v>
      </c>
      <c r="L118" s="568">
        <v>26482</v>
      </c>
      <c r="M118" s="654">
        <f>VLOOKUP(G:G,list!B:E,4,FALSE)</f>
        <v>0.1</v>
      </c>
      <c r="N118" s="655">
        <f t="shared" si="2"/>
        <v>2648</v>
      </c>
      <c r="O118" s="655">
        <f t="shared" si="3"/>
        <v>23834</v>
      </c>
      <c r="P118" s="564"/>
      <c r="Q118" s="672" t="str">
        <f>VLOOKUP(G:G,list!B:F,5,FALSE)</f>
        <v>웹소설본부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원작료</v>
      </c>
      <c r="D119" s="564" t="s">
        <v>182</v>
      </c>
      <c r="E119" s="564" t="s">
        <v>115</v>
      </c>
      <c r="F119" s="564" t="s">
        <v>565</v>
      </c>
      <c r="G119" s="564" t="s">
        <v>56</v>
      </c>
      <c r="H119" s="565">
        <v>45391</v>
      </c>
      <c r="I119" s="652">
        <v>45627</v>
      </c>
      <c r="J119" s="653">
        <v>68868.901904761893</v>
      </c>
      <c r="K119" s="603">
        <v>0.5</v>
      </c>
      <c r="L119" s="568">
        <v>34434</v>
      </c>
      <c r="M119" s="654">
        <f>VLOOKUP(G:G,list!B:E,4,FALSE)</f>
        <v>0.1</v>
      </c>
      <c r="N119" s="655">
        <f t="shared" si="2"/>
        <v>3443</v>
      </c>
      <c r="O119" s="655">
        <f t="shared" si="3"/>
        <v>30991</v>
      </c>
      <c r="P119" s="564"/>
      <c r="Q119" s="672" t="str">
        <f>VLOOKUP(G:G,list!B:F,5,FALSE)</f>
        <v>웹소설본부</v>
      </c>
      <c r="R119" s="656" t="str">
        <f>VLOOKUP(G:G,list!B:D,3,FALSE)</f>
        <v>Y</v>
      </c>
    </row>
    <row r="120" spans="2:18" ht="18" customHeight="1">
      <c r="B120" s="52"/>
      <c r="C120" s="551"/>
      <c r="D120" s="551"/>
      <c r="E120" s="551"/>
      <c r="F120" s="551"/>
      <c r="G120" s="551"/>
      <c r="H120" s="622"/>
      <c r="I120" s="675"/>
      <c r="J120" s="676"/>
      <c r="K120" s="436"/>
      <c r="L120"/>
      <c r="M120" s="438"/>
      <c r="N120" s="677"/>
      <c r="O120" s="677"/>
      <c r="P120" s="551"/>
      <c r="Q120" s="678"/>
      <c r="R120" s="679"/>
    </row>
    <row r="121" spans="2:18" ht="11.25" customHeight="1">
      <c r="B121" s="52"/>
      <c r="C121" s="551"/>
      <c r="D121" s="551"/>
      <c r="E121" s="551"/>
      <c r="F121" s="551"/>
      <c r="G121" s="551"/>
      <c r="H121" s="622"/>
      <c r="I121" s="551"/>
      <c r="J121" s="435"/>
      <c r="K121" s="623"/>
      <c r="L121"/>
      <c r="M121" s="438"/>
      <c r="N121" s="439"/>
      <c r="O121" s="440"/>
      <c r="P121" s="633"/>
      <c r="Q121" s="438"/>
      <c r="R121" s="486"/>
    </row>
    <row r="122" spans="2:18" s="7" customFormat="1" ht="16.5" customHeight="1">
      <c r="B122" s="624" t="s">
        <v>387</v>
      </c>
      <c r="C122" s="625"/>
      <c r="D122" s="625"/>
      <c r="E122" s="626"/>
      <c r="F122" s="625"/>
      <c r="G122" s="625"/>
      <c r="H122" s="625"/>
      <c r="I122" s="311"/>
      <c r="J122" s="311"/>
      <c r="K122" s="311"/>
      <c r="M122" s="424"/>
      <c r="N122"/>
      <c r="O122" s="333"/>
      <c r="P122" s="631"/>
      <c r="Q122" s="424"/>
      <c r="R122" s="484"/>
    </row>
    <row r="123" spans="2:18" s="7" customFormat="1" ht="16.5" customHeight="1">
      <c r="B123" s="629" t="s">
        <v>299</v>
      </c>
      <c r="C123" s="625"/>
      <c r="D123" s="625"/>
      <c r="E123" s="626"/>
      <c r="F123" s="625"/>
      <c r="G123" s="625"/>
      <c r="H123" s="625"/>
      <c r="I123" s="311"/>
      <c r="K123" s="311"/>
      <c r="L123" s="311"/>
      <c r="M123" s="424"/>
      <c r="N123"/>
      <c r="O123" s="333"/>
      <c r="P123" s="631"/>
      <c r="Q123" s="424"/>
      <c r="R123" s="484"/>
    </row>
    <row r="124" spans="2:18" s="7" customFormat="1" ht="16.5" customHeight="1">
      <c r="B124" s="628" t="s">
        <v>302</v>
      </c>
      <c r="C124" s="627"/>
      <c r="D124" s="625"/>
      <c r="E124" s="626"/>
      <c r="F124" s="625"/>
      <c r="G124" s="625"/>
      <c r="H124" s="625"/>
      <c r="I124" s="311"/>
      <c r="J124" s="311"/>
      <c r="L124" s="311"/>
      <c r="M124" s="424"/>
      <c r="N124"/>
      <c r="O124" s="333"/>
      <c r="P124" s="631"/>
      <c r="Q124" s="424"/>
      <c r="R124" s="484"/>
    </row>
    <row r="125" spans="2:18" s="7" customFormat="1" ht="16.5" customHeight="1">
      <c r="B125" s="630" t="s">
        <v>303</v>
      </c>
      <c r="C125" s="627"/>
      <c r="D125" s="625"/>
      <c r="E125" s="626"/>
      <c r="F125" s="625"/>
      <c r="G125" s="625"/>
      <c r="H125" s="625"/>
      <c r="I125" s="311"/>
      <c r="J125" s="311"/>
      <c r="K125" s="311"/>
      <c r="L125" s="311"/>
      <c r="M125" s="424"/>
      <c r="N125"/>
      <c r="O125" s="333"/>
      <c r="P125" s="631"/>
      <c r="Q125" s="424"/>
      <c r="R125" s="484"/>
    </row>
    <row r="126" spans="2:18" ht="16.5" customHeight="1">
      <c r="B126" s="629" t="s">
        <v>340</v>
      </c>
      <c r="C126" s="625"/>
      <c r="D126" s="625"/>
      <c r="E126" s="626"/>
      <c r="F126" s="625"/>
      <c r="G126" s="625"/>
      <c r="H126" s="625"/>
      <c r="I126" s="311"/>
      <c r="J126" s="311"/>
      <c r="K126" s="311"/>
    </row>
    <row r="127" spans="2:18" ht="16.5" customHeight="1">
      <c r="B127" s="629" t="s">
        <v>512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522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8" ht="16.5" customHeight="1">
      <c r="B129" s="629" t="s">
        <v>520</v>
      </c>
      <c r="C129" s="625"/>
      <c r="D129" s="625"/>
      <c r="E129" s="626"/>
      <c r="F129" s="625"/>
      <c r="G129" s="625"/>
      <c r="H129" s="625"/>
      <c r="I129" s="311"/>
      <c r="J129" s="311"/>
      <c r="K129" s="311"/>
    </row>
    <row r="130" spans="2:18" ht="16.5" customHeight="1">
      <c r="B130" s="629" t="s">
        <v>521</v>
      </c>
      <c r="C130" s="625"/>
      <c r="D130" s="625"/>
      <c r="E130" s="626"/>
      <c r="F130" s="625"/>
      <c r="G130" s="625"/>
      <c r="H130" s="625"/>
      <c r="I130" s="311"/>
      <c r="J130" s="311"/>
      <c r="K130" s="311"/>
    </row>
    <row r="131" spans="2:18" s="311" customFormat="1" ht="16.5" customHeight="1">
      <c r="B131" s="629" t="s">
        <v>529</v>
      </c>
      <c r="C131" s="625"/>
      <c r="D131" s="625"/>
      <c r="E131" s="626"/>
      <c r="F131" s="625"/>
      <c r="G131" s="625"/>
      <c r="H131" s="625"/>
      <c r="M131" s="424"/>
      <c r="N131"/>
      <c r="O131" s="333"/>
      <c r="P131" s="631"/>
      <c r="Q131" s="424"/>
      <c r="R131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AE28-9475-4AE5-B3F0-07637D08BD64}">
  <dimension ref="B1:R129"/>
  <sheetViews>
    <sheetView showGridLines="0" zoomScaleNormal="100" workbookViewId="0">
      <pane xSplit="1" ySplit="5" topLeftCell="B46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574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575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39844613.893382996</v>
      </c>
      <c r="K4" s="52"/>
      <c r="L4" s="648">
        <f>SUBTOTAL(109,L6:L1048576)</f>
        <v>18052335.100000001</v>
      </c>
      <c r="M4" s="543"/>
      <c r="N4" s="649">
        <f>SUBTOTAL(109,N6:N1048576)</f>
        <v>1619201</v>
      </c>
      <c r="O4" s="649">
        <f>SUBTOTAL(109,O6:O1048576)</f>
        <v>16433134.1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45689</v>
      </c>
      <c r="J6" s="653">
        <v>546596.19999999995</v>
      </c>
      <c r="K6" s="567">
        <v>0.6</v>
      </c>
      <c r="L6" s="646">
        <v>327956</v>
      </c>
      <c r="M6" s="654" t="str">
        <f>VLOOKUP(G:G,list!B:E,4,FALSE)</f>
        <v>-</v>
      </c>
      <c r="N6" s="655">
        <f t="shared" ref="N6:N96" si="0">ROUND(IF(M6="-",0,L6*M6),0)</f>
        <v>0</v>
      </c>
      <c r="O6" s="655">
        <f t="shared" ref="O6:O96" si="1">L6-N6</f>
        <v>327956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45689</v>
      </c>
      <c r="J7" s="653">
        <v>126503</v>
      </c>
      <c r="K7" s="600">
        <v>0.6</v>
      </c>
      <c r="L7" s="646">
        <v>75902</v>
      </c>
      <c r="M7" s="654" t="str">
        <f>VLOOKUP(G:G,list!B:E,4,FALSE)</f>
        <v>-</v>
      </c>
      <c r="N7" s="655">
        <f t="shared" si="0"/>
        <v>0</v>
      </c>
      <c r="O7" s="655">
        <f t="shared" si="1"/>
        <v>75902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45689</v>
      </c>
      <c r="J8" s="653">
        <v>159785.20000000001</v>
      </c>
      <c r="K8" s="567">
        <v>0.6</v>
      </c>
      <c r="L8" s="646">
        <v>95870</v>
      </c>
      <c r="M8" s="654" t="str">
        <f>VLOOKUP(G:G,list!B:E,4,FALSE)</f>
        <v>-</v>
      </c>
      <c r="N8" s="655">
        <f t="shared" si="0"/>
        <v>0</v>
      </c>
      <c r="O8" s="655">
        <f t="shared" si="1"/>
        <v>95870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45689</v>
      </c>
      <c r="J9" s="653">
        <v>186332</v>
      </c>
      <c r="K9" s="606">
        <v>0.6</v>
      </c>
      <c r="L9" s="646">
        <v>111801</v>
      </c>
      <c r="M9" s="654">
        <f>VLOOKUP(G:G,list!B:E,4,FALSE)</f>
        <v>0.1</v>
      </c>
      <c r="N9" s="655">
        <f t="shared" si="0"/>
        <v>11180</v>
      </c>
      <c r="O9" s="655">
        <f t="shared" si="1"/>
        <v>100621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45689</v>
      </c>
      <c r="J10" s="653">
        <v>389154</v>
      </c>
      <c r="K10" s="600">
        <v>0.6</v>
      </c>
      <c r="L10" s="646">
        <v>233493</v>
      </c>
      <c r="M10" s="654">
        <f>VLOOKUP(G:G,list!B:E,4,FALSE)</f>
        <v>0.1</v>
      </c>
      <c r="N10" s="655">
        <f t="shared" si="0"/>
        <v>23349</v>
      </c>
      <c r="O10" s="655">
        <f t="shared" si="1"/>
        <v>210144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45689</v>
      </c>
      <c r="J11" s="653">
        <v>15706</v>
      </c>
      <c r="K11" s="603">
        <v>0.6</v>
      </c>
      <c r="L11" s="646">
        <v>9425</v>
      </c>
      <c r="M11" s="654" t="str">
        <f>VLOOKUP(G:G,list!B:E,4,FALSE)</f>
        <v>-</v>
      </c>
      <c r="N11" s="655">
        <f t="shared" si="0"/>
        <v>0</v>
      </c>
      <c r="O11" s="655">
        <f t="shared" si="1"/>
        <v>9425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45689</v>
      </c>
      <c r="J12" s="653">
        <v>443512.9</v>
      </c>
      <c r="K12" s="603">
        <v>0.6</v>
      </c>
      <c r="L12" s="646">
        <v>266109</v>
      </c>
      <c r="M12" s="654">
        <f>VLOOKUP(G:G,list!B:E,4,FALSE)</f>
        <v>0.1</v>
      </c>
      <c r="N12" s="655">
        <f t="shared" si="0"/>
        <v>26611</v>
      </c>
      <c r="O12" s="655">
        <f t="shared" si="1"/>
        <v>239498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45689</v>
      </c>
      <c r="J13" s="653">
        <v>126033</v>
      </c>
      <c r="K13" s="600">
        <v>0.6</v>
      </c>
      <c r="L13" s="646">
        <v>75620</v>
      </c>
      <c r="M13" s="654">
        <f>VLOOKUP(G:G,list!B:E,4,FALSE)</f>
        <v>0.1</v>
      </c>
      <c r="N13" s="655">
        <f t="shared" si="0"/>
        <v>7562</v>
      </c>
      <c r="O13" s="655">
        <f t="shared" si="1"/>
        <v>68058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45689</v>
      </c>
      <c r="J14" s="653">
        <v>203677</v>
      </c>
      <c r="K14" s="606">
        <v>0.6</v>
      </c>
      <c r="L14" s="646">
        <v>122205</v>
      </c>
      <c r="M14" s="654">
        <f>VLOOKUP(G:G,list!B:E,4,FALSE)</f>
        <v>0.11</v>
      </c>
      <c r="N14" s="655">
        <f t="shared" si="0"/>
        <v>13443</v>
      </c>
      <c r="O14" s="655">
        <f t="shared" si="1"/>
        <v>108762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45689</v>
      </c>
      <c r="J15" s="653">
        <v>636915.30000000005</v>
      </c>
      <c r="K15" s="567">
        <v>0.6</v>
      </c>
      <c r="L15" s="646">
        <v>382153</v>
      </c>
      <c r="M15" s="654">
        <f>VLOOKUP(G:G,list!B:E,4,FALSE)</f>
        <v>0.1</v>
      </c>
      <c r="N15" s="655">
        <f t="shared" si="0"/>
        <v>38215</v>
      </c>
      <c r="O15" s="655">
        <f t="shared" si="1"/>
        <v>343938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45689</v>
      </c>
      <c r="J16" s="653">
        <v>195937</v>
      </c>
      <c r="K16" s="567">
        <v>0.6</v>
      </c>
      <c r="L16" s="646">
        <v>117561</v>
      </c>
      <c r="M16" s="654">
        <f>VLOOKUP(G:G,list!B:E,4,FALSE)</f>
        <v>0.1</v>
      </c>
      <c r="N16" s="655">
        <f t="shared" si="0"/>
        <v>11756</v>
      </c>
      <c r="O16" s="655">
        <f t="shared" si="1"/>
        <v>105805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45689</v>
      </c>
      <c r="J17" s="653">
        <v>8700</v>
      </c>
      <c r="K17" s="600">
        <v>0.7</v>
      </c>
      <c r="L17" s="646">
        <v>6090</v>
      </c>
      <c r="M17" s="654" t="str">
        <f>VLOOKUP(G:G,list!B:E,4,FALSE)</f>
        <v>-</v>
      </c>
      <c r="N17" s="655">
        <f t="shared" si="0"/>
        <v>0</v>
      </c>
      <c r="O17" s="655">
        <f t="shared" si="1"/>
        <v>6090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45689</v>
      </c>
      <c r="J18" s="653">
        <v>675285.9</v>
      </c>
      <c r="K18" s="603">
        <v>0.6</v>
      </c>
      <c r="L18" s="646">
        <v>405170</v>
      </c>
      <c r="M18" s="654">
        <f>VLOOKUP(G:G,list!B:E,4,FALSE)</f>
        <v>0.1</v>
      </c>
      <c r="N18" s="655">
        <f t="shared" si="0"/>
        <v>40517</v>
      </c>
      <c r="O18" s="655">
        <f t="shared" si="1"/>
        <v>364653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45689</v>
      </c>
      <c r="J19" s="653">
        <v>306958.59999999998</v>
      </c>
      <c r="K19" s="603">
        <v>0.7</v>
      </c>
      <c r="L19" s="646">
        <v>214870</v>
      </c>
      <c r="M19" s="654">
        <f>VLOOKUP(G:G,list!B:E,4,FALSE)</f>
        <v>0.1</v>
      </c>
      <c r="N19" s="655">
        <f t="shared" si="0"/>
        <v>21487</v>
      </c>
      <c r="O19" s="655">
        <f t="shared" si="1"/>
        <v>193383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45689</v>
      </c>
      <c r="J20" s="653">
        <v>57636.800000000003</v>
      </c>
      <c r="K20" s="603">
        <v>0.6</v>
      </c>
      <c r="L20" s="646">
        <v>34582</v>
      </c>
      <c r="M20" s="654">
        <f>VLOOKUP(G:G,list!B:E,4,FALSE)</f>
        <v>0.1</v>
      </c>
      <c r="N20" s="655">
        <f t="shared" si="0"/>
        <v>3458</v>
      </c>
      <c r="O20" s="655">
        <f t="shared" si="1"/>
        <v>31124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45689</v>
      </c>
      <c r="J21" s="653">
        <v>1836</v>
      </c>
      <c r="K21" s="567">
        <v>0.6</v>
      </c>
      <c r="L21" s="646">
        <v>1285</v>
      </c>
      <c r="M21" s="654" t="str">
        <f>VLOOKUP(G:G,list!B:E,4,FALSE)</f>
        <v>-</v>
      </c>
      <c r="N21" s="655">
        <f t="shared" si="0"/>
        <v>0</v>
      </c>
      <c r="O21" s="655">
        <f t="shared" si="1"/>
        <v>1285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45689</v>
      </c>
      <c r="J22" s="653">
        <v>34864.9</v>
      </c>
      <c r="K22" s="567">
        <v>0.6</v>
      </c>
      <c r="L22" s="646">
        <v>20919</v>
      </c>
      <c r="M22" s="654">
        <f>VLOOKUP(G:G,list!B:E,4,FALSE)</f>
        <v>0.1</v>
      </c>
      <c r="N22" s="655">
        <f t="shared" si="0"/>
        <v>2092</v>
      </c>
      <c r="O22" s="655">
        <f t="shared" si="1"/>
        <v>18827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45689</v>
      </c>
      <c r="J23" s="653">
        <v>180</v>
      </c>
      <c r="K23" s="567">
        <v>0.6</v>
      </c>
      <c r="L23" s="646">
        <v>108</v>
      </c>
      <c r="M23" s="654" t="str">
        <f>VLOOKUP(G:G,list!B:E,4,FALSE)</f>
        <v>-</v>
      </c>
      <c r="N23" s="655">
        <f t="shared" si="0"/>
        <v>0</v>
      </c>
      <c r="O23" s="655">
        <f t="shared" si="1"/>
        <v>108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45689</v>
      </c>
      <c r="J24" s="653">
        <v>84954.7</v>
      </c>
      <c r="K24" s="603">
        <v>0.6</v>
      </c>
      <c r="L24" s="646">
        <v>50974</v>
      </c>
      <c r="M24" s="654">
        <f>VLOOKUP(G:G,list!B:E,4,FALSE)</f>
        <v>0.1</v>
      </c>
      <c r="N24" s="655">
        <f t="shared" si="0"/>
        <v>5097</v>
      </c>
      <c r="O24" s="655">
        <f t="shared" si="1"/>
        <v>45877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45689</v>
      </c>
      <c r="J25" s="653">
        <v>18657</v>
      </c>
      <c r="K25" s="603">
        <v>0.6</v>
      </c>
      <c r="L25" s="646">
        <v>11195</v>
      </c>
      <c r="M25" s="654">
        <f>VLOOKUP(G:G,list!B:E,4,FALSE)</f>
        <v>0.1</v>
      </c>
      <c r="N25" s="655">
        <f t="shared" si="0"/>
        <v>1120</v>
      </c>
      <c r="O25" s="655">
        <f t="shared" si="1"/>
        <v>10075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45689</v>
      </c>
      <c r="J26" s="653">
        <v>36454</v>
      </c>
      <c r="K26" s="567">
        <v>0.6</v>
      </c>
      <c r="L26" s="646">
        <v>21872</v>
      </c>
      <c r="M26" s="654">
        <f>VLOOKUP(G:G,list!B:E,4,FALSE)</f>
        <v>0.1</v>
      </c>
      <c r="N26" s="655">
        <f t="shared" si="0"/>
        <v>2187</v>
      </c>
      <c r="O26" s="655">
        <f t="shared" si="1"/>
        <v>19685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45689</v>
      </c>
      <c r="J27" s="653">
        <v>10742</v>
      </c>
      <c r="K27" s="567">
        <v>0.6</v>
      </c>
      <c r="L27" s="646">
        <v>6444</v>
      </c>
      <c r="M27" s="654">
        <f>VLOOKUP(G:G,list!B:E,4,FALSE)</f>
        <v>0.1</v>
      </c>
      <c r="N27" s="655">
        <f t="shared" si="0"/>
        <v>644</v>
      </c>
      <c r="O27" s="655">
        <f t="shared" si="1"/>
        <v>5800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45689</v>
      </c>
      <c r="J28" s="653">
        <v>17834</v>
      </c>
      <c r="K28" s="567">
        <v>0.6</v>
      </c>
      <c r="L28" s="646">
        <v>10700</v>
      </c>
      <c r="M28" s="654" t="str">
        <f>VLOOKUP(G:G,list!B:E,4,FALSE)</f>
        <v>-</v>
      </c>
      <c r="N28" s="655">
        <f t="shared" si="0"/>
        <v>0</v>
      </c>
      <c r="O28" s="655">
        <f t="shared" si="1"/>
        <v>10700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45689</v>
      </c>
      <c r="J29" s="653">
        <v>64874.8</v>
      </c>
      <c r="K29" s="567">
        <v>0.6</v>
      </c>
      <c r="L29" s="646">
        <v>38925</v>
      </c>
      <c r="M29" s="654">
        <f>VLOOKUP(G:G,list!B:E,4,FALSE)</f>
        <v>0.11</v>
      </c>
      <c r="N29" s="655">
        <f t="shared" si="0"/>
        <v>4282</v>
      </c>
      <c r="O29" s="655">
        <f t="shared" si="1"/>
        <v>34643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45689</v>
      </c>
      <c r="J30" s="653">
        <v>263321.3</v>
      </c>
      <c r="K30" s="567">
        <v>0.6</v>
      </c>
      <c r="L30" s="646">
        <v>157992</v>
      </c>
      <c r="M30" s="654" t="str">
        <f>VLOOKUP(G:G,list!B:E,4,FALSE)</f>
        <v>-</v>
      </c>
      <c r="N30" s="655">
        <f t="shared" si="0"/>
        <v>0</v>
      </c>
      <c r="O30" s="655">
        <f t="shared" si="1"/>
        <v>157992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45689</v>
      </c>
      <c r="J31" s="653">
        <v>65251.6</v>
      </c>
      <c r="K31" s="567">
        <v>0.6</v>
      </c>
      <c r="L31" s="646">
        <v>39150</v>
      </c>
      <c r="M31" s="654" t="str">
        <f>VLOOKUP(G:G,list!B:E,4,FALSE)</f>
        <v>-</v>
      </c>
      <c r="N31" s="655">
        <f t="shared" si="0"/>
        <v>0</v>
      </c>
      <c r="O31" s="655">
        <f t="shared" si="1"/>
        <v>39150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45689</v>
      </c>
      <c r="J32" s="653">
        <v>98430.399999999994</v>
      </c>
      <c r="K32" s="567">
        <v>0.6</v>
      </c>
      <c r="L32" s="646">
        <v>59059</v>
      </c>
      <c r="M32" s="654">
        <f>VLOOKUP(G:G,list!B:E,4,FALSE)</f>
        <v>0.1</v>
      </c>
      <c r="N32" s="655">
        <f t="shared" si="0"/>
        <v>5906</v>
      </c>
      <c r="O32" s="655">
        <f t="shared" si="1"/>
        <v>53153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45658</v>
      </c>
      <c r="J33" s="653">
        <v>217367</v>
      </c>
      <c r="K33" s="674">
        <v>0.224</v>
      </c>
      <c r="L33" s="646">
        <v>43827</v>
      </c>
      <c r="M33" s="654">
        <f>VLOOKUP(G:G,list!B:E,4,FALSE)</f>
        <v>0.1</v>
      </c>
      <c r="N33" s="655">
        <f t="shared" si="0"/>
        <v>4383</v>
      </c>
      <c r="O33" s="655">
        <f t="shared" si="1"/>
        <v>39444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45658</v>
      </c>
      <c r="J34" s="653">
        <v>2340665</v>
      </c>
      <c r="K34" s="674">
        <v>0.224</v>
      </c>
      <c r="L34" s="646">
        <v>471878</v>
      </c>
      <c r="M34" s="654">
        <f>VLOOKUP(G:G,list!B:E,4,FALSE)</f>
        <v>0.1</v>
      </c>
      <c r="N34" s="655">
        <f t="shared" si="0"/>
        <v>47188</v>
      </c>
      <c r="O34" s="655">
        <f t="shared" si="1"/>
        <v>424690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45658</v>
      </c>
      <c r="J35" s="653">
        <v>8490</v>
      </c>
      <c r="K35" s="674">
        <v>0.224</v>
      </c>
      <c r="L35" s="646">
        <v>1770</v>
      </c>
      <c r="M35" s="654" t="str">
        <f>VLOOKUP(G:G,list!B:E,4,FALSE)</f>
        <v>-</v>
      </c>
      <c r="N35" s="655">
        <f t="shared" si="0"/>
        <v>0</v>
      </c>
      <c r="O35" s="655">
        <f t="shared" si="1"/>
        <v>1770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45658</v>
      </c>
      <c r="J36" s="653">
        <v>508323</v>
      </c>
      <c r="K36" s="674">
        <v>0.224</v>
      </c>
      <c r="L36" s="646">
        <v>102478</v>
      </c>
      <c r="M36" s="654">
        <f>VLOOKUP(G:G,list!B:E,4,FALSE)</f>
        <v>0.1</v>
      </c>
      <c r="N36" s="655">
        <f t="shared" si="0"/>
        <v>10248</v>
      </c>
      <c r="O36" s="655">
        <f t="shared" si="1"/>
        <v>92230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45658</v>
      </c>
      <c r="J37" s="653">
        <v>118306</v>
      </c>
      <c r="K37" s="674">
        <v>0.224</v>
      </c>
      <c r="L37" s="646">
        <v>23856</v>
      </c>
      <c r="M37" s="654">
        <f>VLOOKUP(G:G,list!B:E,4,FALSE)</f>
        <v>0.11</v>
      </c>
      <c r="N37" s="655">
        <f t="shared" si="0"/>
        <v>2624</v>
      </c>
      <c r="O37" s="655">
        <f t="shared" si="1"/>
        <v>21232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45658</v>
      </c>
      <c r="J38" s="653">
        <v>253029</v>
      </c>
      <c r="K38" s="674">
        <v>0.224</v>
      </c>
      <c r="L38" s="646">
        <v>51018</v>
      </c>
      <c r="M38" s="654">
        <f>VLOOKUP(G:G,list!B:E,4,FALSE)</f>
        <v>0.1</v>
      </c>
      <c r="N38" s="655">
        <f t="shared" si="0"/>
        <v>5102</v>
      </c>
      <c r="O38" s="655">
        <f t="shared" si="1"/>
        <v>45916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45658</v>
      </c>
      <c r="J39" s="653">
        <v>223594</v>
      </c>
      <c r="K39" s="674">
        <v>0.224</v>
      </c>
      <c r="L39" s="646">
        <v>45083</v>
      </c>
      <c r="M39" s="654" t="str">
        <f>VLOOKUP(G:G,list!B:E,4,FALSE)</f>
        <v>-</v>
      </c>
      <c r="N39" s="655">
        <f t="shared" si="0"/>
        <v>0</v>
      </c>
      <c r="O39" s="655">
        <f t="shared" si="1"/>
        <v>45083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45658</v>
      </c>
      <c r="J40" s="653">
        <v>7106338</v>
      </c>
      <c r="K40" s="674">
        <v>0.224</v>
      </c>
      <c r="L40" s="646">
        <v>1432645</v>
      </c>
      <c r="M40" s="654">
        <f>VLOOKUP(G:G,list!B:E,4,FALSE)</f>
        <v>0.1</v>
      </c>
      <c r="N40" s="655">
        <f t="shared" si="0"/>
        <v>143265</v>
      </c>
      <c r="O40" s="655">
        <f t="shared" si="1"/>
        <v>1289380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45658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45658</v>
      </c>
      <c r="J42" s="653">
        <v>187932</v>
      </c>
      <c r="K42" s="674">
        <v>0.224</v>
      </c>
      <c r="L42" s="646">
        <v>37893</v>
      </c>
      <c r="M42" s="654">
        <f>VLOOKUP(G:G,list!B:E,4,FALSE)</f>
        <v>0.1</v>
      </c>
      <c r="N42" s="655">
        <f t="shared" si="0"/>
        <v>3789</v>
      </c>
      <c r="O42" s="655">
        <f t="shared" si="1"/>
        <v>34104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45658</v>
      </c>
      <c r="J43" s="653">
        <v>444358</v>
      </c>
      <c r="K43" s="674">
        <v>0.224</v>
      </c>
      <c r="L43" s="646">
        <v>89588</v>
      </c>
      <c r="M43" s="654">
        <f>VLOOKUP(G:G,list!B:E,4,FALSE)</f>
        <v>0.1</v>
      </c>
      <c r="N43" s="655">
        <f t="shared" si="0"/>
        <v>8959</v>
      </c>
      <c r="O43" s="655">
        <f t="shared" si="1"/>
        <v>80629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45658</v>
      </c>
      <c r="J44" s="653">
        <v>2293115</v>
      </c>
      <c r="K44" s="674">
        <v>0.224</v>
      </c>
      <c r="L44" s="646">
        <v>462294</v>
      </c>
      <c r="M44" s="654" t="str">
        <f>VLOOKUP(G:G,list!B:E,4,FALSE)</f>
        <v>-</v>
      </c>
      <c r="N44" s="655">
        <f t="shared" si="0"/>
        <v>0</v>
      </c>
      <c r="O44" s="655">
        <f t="shared" si="1"/>
        <v>462294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25</v>
      </c>
      <c r="E45" s="564" t="s">
        <v>62</v>
      </c>
      <c r="F45" s="564" t="s">
        <v>257</v>
      </c>
      <c r="G45" s="564" t="s">
        <v>316</v>
      </c>
      <c r="H45" s="565">
        <v>45577</v>
      </c>
      <c r="I45" s="652">
        <v>45689</v>
      </c>
      <c r="J45" s="653">
        <v>46595</v>
      </c>
      <c r="K45" s="567">
        <v>0.35</v>
      </c>
      <c r="L45" s="646">
        <v>16308</v>
      </c>
      <c r="M45" s="654">
        <f>VLOOKUP(G:G,list!B:E,4,FALSE)</f>
        <v>0.1</v>
      </c>
      <c r="N45" s="655">
        <f t="shared" si="0"/>
        <v>1631</v>
      </c>
      <c r="O45" s="655">
        <f t="shared" si="1"/>
        <v>14677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25</v>
      </c>
      <c r="E46" s="564" t="s">
        <v>62</v>
      </c>
      <c r="F46" s="564" t="s">
        <v>257</v>
      </c>
      <c r="G46" s="564" t="s">
        <v>353</v>
      </c>
      <c r="H46" s="565">
        <v>44916</v>
      </c>
      <c r="I46" s="652">
        <v>45689</v>
      </c>
      <c r="J46" s="653">
        <v>48556</v>
      </c>
      <c r="K46" s="567">
        <v>0.35</v>
      </c>
      <c r="L46" s="646">
        <v>16995</v>
      </c>
      <c r="M46" s="654">
        <f>VLOOKUP(G:G,list!B:E,4,FALSE)</f>
        <v>0.11</v>
      </c>
      <c r="N46" s="655">
        <f t="shared" si="0"/>
        <v>1869</v>
      </c>
      <c r="O46" s="655">
        <f t="shared" si="1"/>
        <v>15126</v>
      </c>
      <c r="P46" s="564"/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25</v>
      </c>
      <c r="E47" s="564" t="s">
        <v>62</v>
      </c>
      <c r="F47" s="564" t="s">
        <v>257</v>
      </c>
      <c r="G47" s="564" t="s">
        <v>352</v>
      </c>
      <c r="H47" s="565">
        <v>45098</v>
      </c>
      <c r="I47" s="652">
        <v>45689</v>
      </c>
      <c r="J47" s="653">
        <v>25158</v>
      </c>
      <c r="K47" s="600">
        <v>0.35</v>
      </c>
      <c r="L47" s="646">
        <v>8806</v>
      </c>
      <c r="M47" s="654">
        <f>VLOOKUP(G:G,list!B:E,4,FALSE)</f>
        <v>0.1</v>
      </c>
      <c r="N47" s="655">
        <f t="shared" si="0"/>
        <v>881</v>
      </c>
      <c r="O47" s="655">
        <f t="shared" si="1"/>
        <v>7925</v>
      </c>
      <c r="P47" s="564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246</v>
      </c>
      <c r="G48" s="564" t="s">
        <v>36</v>
      </c>
      <c r="H48" s="565">
        <v>43810</v>
      </c>
      <c r="I48" s="652">
        <v>45689</v>
      </c>
      <c r="J48" s="653">
        <v>16020</v>
      </c>
      <c r="K48" s="600" t="s">
        <v>532</v>
      </c>
      <c r="L48" s="646">
        <v>6867</v>
      </c>
      <c r="M48" s="654" t="str">
        <f>VLOOKUP(G:G,list!B:E,4,FALSE)</f>
        <v>-</v>
      </c>
      <c r="N48" s="655">
        <f t="shared" si="0"/>
        <v>0</v>
      </c>
      <c r="O48" s="655">
        <f t="shared" si="1"/>
        <v>6867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246</v>
      </c>
      <c r="G49" s="564" t="s">
        <v>139</v>
      </c>
      <c r="H49" s="565">
        <v>43852</v>
      </c>
      <c r="I49" s="652">
        <v>45689</v>
      </c>
      <c r="J49" s="653">
        <v>3420</v>
      </c>
      <c r="K49" s="600" t="s">
        <v>532</v>
      </c>
      <c r="L49" s="646">
        <v>1305</v>
      </c>
      <c r="M49" s="654" t="str">
        <f>VLOOKUP(G:G,list!B:E,4,FALSE)</f>
        <v>-</v>
      </c>
      <c r="N49" s="655">
        <f t="shared" si="0"/>
        <v>0</v>
      </c>
      <c r="O49" s="655">
        <f t="shared" si="1"/>
        <v>1305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78</v>
      </c>
      <c r="E50" s="564" t="s">
        <v>9</v>
      </c>
      <c r="F50" s="564" t="s">
        <v>544</v>
      </c>
      <c r="G50" s="564" t="s">
        <v>36</v>
      </c>
      <c r="H50" s="565">
        <v>45124</v>
      </c>
      <c r="I50" s="652">
        <v>45658</v>
      </c>
      <c r="J50" s="653">
        <v>193816</v>
      </c>
      <c r="K50" s="600">
        <v>0.5</v>
      </c>
      <c r="L50" s="646">
        <v>96908</v>
      </c>
      <c r="M50" s="654" t="str">
        <f>VLOOKUP(G:G,list!B:E,4,FALSE)</f>
        <v>-</v>
      </c>
      <c r="N50" s="655">
        <f t="shared" si="0"/>
        <v>0</v>
      </c>
      <c r="O50" s="655">
        <f t="shared" si="1"/>
        <v>96908</v>
      </c>
      <c r="P50" s="564"/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78</v>
      </c>
      <c r="E51" s="564" t="s">
        <v>9</v>
      </c>
      <c r="F51" s="564" t="s">
        <v>544</v>
      </c>
      <c r="G51" s="564" t="s">
        <v>139</v>
      </c>
      <c r="H51" s="565">
        <v>44513</v>
      </c>
      <c r="I51" s="652">
        <v>45658</v>
      </c>
      <c r="J51" s="653">
        <v>59126.76</v>
      </c>
      <c r="K51" s="600">
        <v>0.5</v>
      </c>
      <c r="L51" s="646">
        <v>29564</v>
      </c>
      <c r="M51" s="654" t="str">
        <f>VLOOKUP(G:G,list!B:E,4,FALSE)</f>
        <v>-</v>
      </c>
      <c r="N51" s="655">
        <f t="shared" si="0"/>
        <v>0</v>
      </c>
      <c r="O51" s="655">
        <f t="shared" si="1"/>
        <v>29564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66</v>
      </c>
      <c r="E52" s="564" t="s">
        <v>64</v>
      </c>
      <c r="F52" s="564" t="s">
        <v>65</v>
      </c>
      <c r="G52" s="564" t="s">
        <v>30</v>
      </c>
      <c r="H52" s="565">
        <v>44586</v>
      </c>
      <c r="I52" s="652">
        <v>45689</v>
      </c>
      <c r="J52" s="653">
        <v>180683</v>
      </c>
      <c r="K52" s="567">
        <v>0.4</v>
      </c>
      <c r="L52" s="646">
        <v>72273</v>
      </c>
      <c r="M52" s="654">
        <f>VLOOKUP(G:G,list!B:E,4,FALSE)</f>
        <v>0.1</v>
      </c>
      <c r="N52" s="655">
        <f t="shared" si="0"/>
        <v>7227</v>
      </c>
      <c r="O52" s="655">
        <f t="shared" si="1"/>
        <v>65046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66</v>
      </c>
      <c r="E53" s="564" t="s">
        <v>9</v>
      </c>
      <c r="F53" s="564" t="s">
        <v>65</v>
      </c>
      <c r="G53" s="564" t="s">
        <v>36</v>
      </c>
      <c r="H53" s="565">
        <v>44992</v>
      </c>
      <c r="I53" s="652">
        <v>45689</v>
      </c>
      <c r="J53" s="653">
        <v>217355</v>
      </c>
      <c r="K53" s="600">
        <v>0.4</v>
      </c>
      <c r="L53" s="646">
        <v>86942</v>
      </c>
      <c r="M53" s="654" t="str">
        <f>VLOOKUP(G:G,list!B:E,4,FALSE)</f>
        <v>-</v>
      </c>
      <c r="N53" s="655">
        <f t="shared" si="0"/>
        <v>0</v>
      </c>
      <c r="O53" s="655">
        <f t="shared" si="1"/>
        <v>86942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66</v>
      </c>
      <c r="E54" s="564" t="s">
        <v>9</v>
      </c>
      <c r="F54" s="564" t="s">
        <v>65</v>
      </c>
      <c r="G54" s="564" t="s">
        <v>37</v>
      </c>
      <c r="H54" s="565">
        <v>45169</v>
      </c>
      <c r="I54" s="652">
        <v>45689</v>
      </c>
      <c r="J54" s="653">
        <v>3230</v>
      </c>
      <c r="K54" s="600">
        <v>0.4</v>
      </c>
      <c r="L54" s="646">
        <v>1292</v>
      </c>
      <c r="M54" s="654" t="str">
        <f>VLOOKUP(G:G,list!B:E,4,FALSE)</f>
        <v>-</v>
      </c>
      <c r="N54" s="655">
        <f t="shared" si="0"/>
        <v>0</v>
      </c>
      <c r="O54" s="655">
        <f t="shared" si="1"/>
        <v>1292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67</v>
      </c>
      <c r="E55" s="564" t="s">
        <v>9</v>
      </c>
      <c r="F55" s="564" t="s">
        <v>65</v>
      </c>
      <c r="G55" s="564" t="s">
        <v>37</v>
      </c>
      <c r="H55" s="565">
        <v>43921</v>
      </c>
      <c r="I55" s="652">
        <v>45689</v>
      </c>
      <c r="J55" s="653">
        <v>0</v>
      </c>
      <c r="K55" s="600">
        <v>0.4</v>
      </c>
      <c r="L55" s="646">
        <v>0</v>
      </c>
      <c r="M55" s="654" t="str">
        <f>VLOOKUP(G:G,list!B:E,4,FALSE)</f>
        <v>-</v>
      </c>
      <c r="N55" s="655">
        <f t="shared" si="0"/>
        <v>0</v>
      </c>
      <c r="O55" s="655">
        <f t="shared" si="1"/>
        <v>0</v>
      </c>
      <c r="P55" s="564" t="s">
        <v>366</v>
      </c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67</v>
      </c>
      <c r="E56" s="564" t="s">
        <v>9</v>
      </c>
      <c r="F56" s="564" t="s">
        <v>65</v>
      </c>
      <c r="G56" s="564" t="s">
        <v>36</v>
      </c>
      <c r="H56" s="565">
        <v>43941</v>
      </c>
      <c r="I56" s="652">
        <v>45689</v>
      </c>
      <c r="J56" s="653">
        <v>154803</v>
      </c>
      <c r="K56" s="600">
        <v>0.4</v>
      </c>
      <c r="L56" s="646">
        <v>61921</v>
      </c>
      <c r="M56" s="654" t="str">
        <f>VLOOKUP(G:G,list!B:E,4,FALSE)</f>
        <v>-</v>
      </c>
      <c r="N56" s="655">
        <f t="shared" si="0"/>
        <v>0</v>
      </c>
      <c r="O56" s="655">
        <f t="shared" si="1"/>
        <v>61921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67</v>
      </c>
      <c r="E57" s="564" t="s">
        <v>64</v>
      </c>
      <c r="F57" s="564" t="s">
        <v>65</v>
      </c>
      <c r="G57" s="564" t="s">
        <v>30</v>
      </c>
      <c r="H57" s="565">
        <v>44258</v>
      </c>
      <c r="I57" s="652">
        <v>45689</v>
      </c>
      <c r="J57" s="653">
        <v>32890</v>
      </c>
      <c r="K57" s="600">
        <v>0.4</v>
      </c>
      <c r="L57" s="646">
        <v>13156</v>
      </c>
      <c r="M57" s="654">
        <f>VLOOKUP(G:G,list!B:E,4,FALSE)</f>
        <v>0.1</v>
      </c>
      <c r="N57" s="655">
        <f t="shared" si="0"/>
        <v>1316</v>
      </c>
      <c r="O57" s="655">
        <f t="shared" si="1"/>
        <v>11840</v>
      </c>
      <c r="P57" s="564"/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131</v>
      </c>
      <c r="G58" s="564" t="s">
        <v>60</v>
      </c>
      <c r="H58" s="565">
        <v>44333</v>
      </c>
      <c r="I58" s="652">
        <v>45689</v>
      </c>
      <c r="J58" s="653">
        <v>7140</v>
      </c>
      <c r="K58" s="603">
        <v>0.5</v>
      </c>
      <c r="L58" s="646">
        <v>3570</v>
      </c>
      <c r="M58" s="654" t="str">
        <f>VLOOKUP(G:G,list!B:E,4,FALSE)</f>
        <v>-</v>
      </c>
      <c r="N58" s="655">
        <f t="shared" si="0"/>
        <v>0</v>
      </c>
      <c r="O58" s="655">
        <f t="shared" si="1"/>
        <v>3570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115</v>
      </c>
      <c r="F59" s="564" t="s">
        <v>131</v>
      </c>
      <c r="G59" s="564" t="s">
        <v>518</v>
      </c>
      <c r="H59" s="565">
        <v>44897</v>
      </c>
      <c r="I59" s="652">
        <v>45689</v>
      </c>
      <c r="J59" s="653">
        <v>39816</v>
      </c>
      <c r="K59" s="603">
        <v>0.5</v>
      </c>
      <c r="L59" s="646">
        <v>19908</v>
      </c>
      <c r="M59" s="654" t="str">
        <f>VLOOKUP(G:G,list!B:E,4,FALSE)</f>
        <v>-</v>
      </c>
      <c r="N59" s="655">
        <f t="shared" si="0"/>
        <v>0</v>
      </c>
      <c r="O59" s="655">
        <f t="shared" si="1"/>
        <v>19908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182</v>
      </c>
      <c r="E60" s="564" t="s">
        <v>115</v>
      </c>
      <c r="F60" s="564" t="s">
        <v>131</v>
      </c>
      <c r="G60" s="564" t="s">
        <v>518</v>
      </c>
      <c r="H60" s="565">
        <v>45049</v>
      </c>
      <c r="I60" s="652">
        <v>45658</v>
      </c>
      <c r="J60" s="653">
        <v>109500</v>
      </c>
      <c r="K60" s="603">
        <v>0.3</v>
      </c>
      <c r="L60" s="646">
        <v>32850</v>
      </c>
      <c r="M60" s="654" t="str">
        <f>VLOOKUP(G:G,list!B:E,4,FALSE)</f>
        <v>-</v>
      </c>
      <c r="N60" s="655">
        <f t="shared" si="0"/>
        <v>0</v>
      </c>
      <c r="O60" s="655">
        <f t="shared" si="1"/>
        <v>32850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182</v>
      </c>
      <c r="E61" s="564" t="s">
        <v>115</v>
      </c>
      <c r="F61" s="564" t="s">
        <v>131</v>
      </c>
      <c r="G61" s="564" t="s">
        <v>541</v>
      </c>
      <c r="H61" s="565">
        <v>45591</v>
      </c>
      <c r="I61" s="652">
        <v>45658</v>
      </c>
      <c r="J61" s="653">
        <v>10896</v>
      </c>
      <c r="K61" s="603">
        <v>0.5</v>
      </c>
      <c r="L61" s="646">
        <v>5448</v>
      </c>
      <c r="M61" s="654">
        <f>VLOOKUP(G:G,list!B:E,4,FALSE)</f>
        <v>0.1</v>
      </c>
      <c r="N61" s="655">
        <f t="shared" si="0"/>
        <v>545</v>
      </c>
      <c r="O61" s="655">
        <f t="shared" si="1"/>
        <v>4903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외부제작</v>
      </c>
      <c r="D62" s="564" t="s">
        <v>182</v>
      </c>
      <c r="E62" s="564" t="s">
        <v>115</v>
      </c>
      <c r="F62" s="564" t="s">
        <v>131</v>
      </c>
      <c r="G62" s="564" t="s">
        <v>277</v>
      </c>
      <c r="H62" s="565">
        <v>45673</v>
      </c>
      <c r="I62" s="652">
        <v>45658</v>
      </c>
      <c r="J62" s="653">
        <v>3348</v>
      </c>
      <c r="K62" s="603">
        <v>0.5</v>
      </c>
      <c r="L62" s="646">
        <v>1674</v>
      </c>
      <c r="M62" s="654" t="str">
        <f>VLOOKUP(G:G,list!B:E,4,FALSE)</f>
        <v>-</v>
      </c>
      <c r="N62" s="655">
        <f t="shared" ref="N62" si="2">ROUND(IF(M62="-",0,L62*M62),0)</f>
        <v>0</v>
      </c>
      <c r="O62" s="655">
        <f t="shared" ref="O62" si="3">L62-N62</f>
        <v>1674</v>
      </c>
      <c r="P62" s="564"/>
      <c r="Q62" s="672" t="str">
        <f>VLOOKUP(G:G,list!B:F,5,FALSE)</f>
        <v>-</v>
      </c>
      <c r="R62" s="656" t="str">
        <f>VLOOKUP(G:G,list!B:D,3,FALSE)</f>
        <v>N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545</v>
      </c>
      <c r="G63" s="564" t="s">
        <v>454</v>
      </c>
      <c r="H63" s="565">
        <v>44750</v>
      </c>
      <c r="I63" s="652">
        <v>45658</v>
      </c>
      <c r="J63" s="653">
        <v>9664246</v>
      </c>
      <c r="K63" s="603">
        <v>0.7</v>
      </c>
      <c r="L63" s="646">
        <v>6766124</v>
      </c>
      <c r="M63" s="654">
        <f>VLOOKUP(G:G,list!B:E,4,FALSE)</f>
        <v>0.1</v>
      </c>
      <c r="N63" s="655">
        <f t="shared" si="0"/>
        <v>676612</v>
      </c>
      <c r="O63" s="655">
        <f t="shared" si="1"/>
        <v>6089512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원작료</v>
      </c>
      <c r="D64" s="564" t="s">
        <v>78</v>
      </c>
      <c r="E64" s="564" t="s">
        <v>9</v>
      </c>
      <c r="F64" s="564" t="s">
        <v>264</v>
      </c>
      <c r="G64" s="564" t="s">
        <v>454</v>
      </c>
      <c r="H64" s="565" t="s">
        <v>203</v>
      </c>
      <c r="I64" s="652">
        <v>45658</v>
      </c>
      <c r="J64" s="653">
        <v>10604.533383</v>
      </c>
      <c r="K64" s="603">
        <v>0.25</v>
      </c>
      <c r="L64" s="646">
        <v>2651</v>
      </c>
      <c r="M64" s="654">
        <f>VLOOKUP(G:G,list!B:E,4,FALSE)</f>
        <v>0.1</v>
      </c>
      <c r="N64" s="655">
        <f t="shared" si="0"/>
        <v>265</v>
      </c>
      <c r="O64" s="655">
        <f t="shared" si="1"/>
        <v>2386</v>
      </c>
      <c r="P64" s="564" t="s">
        <v>554</v>
      </c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32</v>
      </c>
      <c r="E65" s="564" t="s">
        <v>9</v>
      </c>
      <c r="F65" s="564" t="s">
        <v>154</v>
      </c>
      <c r="G65" s="564" t="s">
        <v>36</v>
      </c>
      <c r="H65" s="565">
        <v>44106</v>
      </c>
      <c r="I65" s="652">
        <v>45658</v>
      </c>
      <c r="J65" s="653">
        <v>11018</v>
      </c>
      <c r="K65" s="603">
        <v>0.4</v>
      </c>
      <c r="L65" s="646">
        <v>4187</v>
      </c>
      <c r="M65" s="654" t="str">
        <f>VLOOKUP(G:G,list!B:E,4,FALSE)</f>
        <v>-</v>
      </c>
      <c r="N65" s="655">
        <f t="shared" si="0"/>
        <v>0</v>
      </c>
      <c r="O65" s="655">
        <f t="shared" si="1"/>
        <v>4187</v>
      </c>
      <c r="P65" s="564"/>
      <c r="Q65" s="672" t="str">
        <f>VLOOKUP(G:G,list!B:F,5,FALSE)</f>
        <v>-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32</v>
      </c>
      <c r="E66" s="564" t="s">
        <v>9</v>
      </c>
      <c r="F66" s="564" t="s">
        <v>154</v>
      </c>
      <c r="G66" s="564" t="s">
        <v>37</v>
      </c>
      <c r="H66" s="565">
        <v>44113</v>
      </c>
      <c r="I66" s="652">
        <v>45658</v>
      </c>
      <c r="J66" s="653">
        <v>260</v>
      </c>
      <c r="K66" s="603">
        <v>0.4</v>
      </c>
      <c r="L66" s="646">
        <v>99</v>
      </c>
      <c r="M66" s="654" t="str">
        <f>VLOOKUP(G:G,list!B:E,4,FALSE)</f>
        <v>-</v>
      </c>
      <c r="N66" s="655">
        <f t="shared" si="0"/>
        <v>0</v>
      </c>
      <c r="O66" s="655">
        <f t="shared" si="1"/>
        <v>99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32</v>
      </c>
      <c r="E67" s="564" t="s">
        <v>9</v>
      </c>
      <c r="F67" s="564" t="s">
        <v>154</v>
      </c>
      <c r="G67" s="564" t="s">
        <v>454</v>
      </c>
      <c r="H67" s="565">
        <v>44869</v>
      </c>
      <c r="I67" s="652">
        <v>45658</v>
      </c>
      <c r="J67" s="653">
        <v>47971</v>
      </c>
      <c r="K67" s="603">
        <v>0.4</v>
      </c>
      <c r="L67" s="646">
        <v>18229</v>
      </c>
      <c r="M67" s="654">
        <f>VLOOKUP(G:G,list!B:E,4,FALSE)</f>
        <v>0.1</v>
      </c>
      <c r="N67" s="655">
        <f t="shared" si="0"/>
        <v>1823</v>
      </c>
      <c r="O67" s="655">
        <f t="shared" si="1"/>
        <v>16406</v>
      </c>
      <c r="P67" s="564"/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원작료</v>
      </c>
      <c r="D68" s="564" t="s">
        <v>182</v>
      </c>
      <c r="E68" s="564" t="s">
        <v>115</v>
      </c>
      <c r="F68" s="564" t="s">
        <v>386</v>
      </c>
      <c r="G68" s="564" t="s">
        <v>30</v>
      </c>
      <c r="H68" s="565">
        <v>44591</v>
      </c>
      <c r="I68" s="652">
        <v>45627</v>
      </c>
      <c r="J68" s="653">
        <v>904</v>
      </c>
      <c r="K68" s="603">
        <v>0.5</v>
      </c>
      <c r="L68" s="646">
        <v>452</v>
      </c>
      <c r="M68" s="654">
        <f>VLOOKUP(G:G,list!B:E,4,FALSE)</f>
        <v>0.1</v>
      </c>
      <c r="N68" s="655">
        <f t="shared" si="0"/>
        <v>45</v>
      </c>
      <c r="O68" s="655">
        <f t="shared" si="1"/>
        <v>407</v>
      </c>
      <c r="P68" s="564"/>
      <c r="Q68" s="672" t="str">
        <f>VLOOKUP(G:G,list!B:F,5,FALSE)</f>
        <v>웹소설본부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작가기획</v>
      </c>
      <c r="D69" s="564" t="s">
        <v>182</v>
      </c>
      <c r="E69" s="564" t="s">
        <v>115</v>
      </c>
      <c r="F69" s="564" t="s">
        <v>386</v>
      </c>
      <c r="G69" s="564" t="s">
        <v>36</v>
      </c>
      <c r="H69" s="565">
        <v>44643</v>
      </c>
      <c r="I69" s="652">
        <v>45627</v>
      </c>
      <c r="J69" s="653">
        <v>10736</v>
      </c>
      <c r="K69" s="603">
        <v>0.5</v>
      </c>
      <c r="L69" s="646">
        <v>5368</v>
      </c>
      <c r="M69" s="654" t="str">
        <f>VLOOKUP(G:G,list!B:E,4,FALSE)</f>
        <v>-</v>
      </c>
      <c r="N69" s="655">
        <f t="shared" si="0"/>
        <v>0</v>
      </c>
      <c r="O69" s="655">
        <f t="shared" si="1"/>
        <v>5368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작가기획</v>
      </c>
      <c r="D70" s="564" t="s">
        <v>182</v>
      </c>
      <c r="E70" s="564" t="s">
        <v>115</v>
      </c>
      <c r="F70" s="564" t="s">
        <v>386</v>
      </c>
      <c r="G70" s="564" t="s">
        <v>37</v>
      </c>
      <c r="H70" s="565">
        <v>44643</v>
      </c>
      <c r="I70" s="652">
        <v>45627</v>
      </c>
      <c r="J70" s="653">
        <v>0</v>
      </c>
      <c r="K70" s="603">
        <v>0.5</v>
      </c>
      <c r="L70" s="646">
        <v>0</v>
      </c>
      <c r="M70" s="654" t="str">
        <f>VLOOKUP(G:G,list!B:E,4,FALSE)</f>
        <v>-</v>
      </c>
      <c r="N70" s="655">
        <f t="shared" si="0"/>
        <v>0</v>
      </c>
      <c r="O70" s="655">
        <f t="shared" si="1"/>
        <v>0</v>
      </c>
      <c r="P70" s="564" t="s">
        <v>366</v>
      </c>
      <c r="Q70" s="672" t="str">
        <f>VLOOKUP(G:G,list!B:F,5,FALSE)</f>
        <v>-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182</v>
      </c>
      <c r="E71" s="564" t="s">
        <v>115</v>
      </c>
      <c r="F71" s="564" t="s">
        <v>386</v>
      </c>
      <c r="G71" s="564" t="s">
        <v>56</v>
      </c>
      <c r="H71" s="565">
        <v>44599</v>
      </c>
      <c r="I71" s="652">
        <v>45627</v>
      </c>
      <c r="J71" s="653">
        <v>108411</v>
      </c>
      <c r="K71" s="603">
        <v>0.5</v>
      </c>
      <c r="L71" s="646">
        <v>54206</v>
      </c>
      <c r="M71" s="654">
        <f>VLOOKUP(G:G,list!B:E,4,FALSE)</f>
        <v>0.1</v>
      </c>
      <c r="N71" s="655">
        <f t="shared" si="0"/>
        <v>5421</v>
      </c>
      <c r="O71" s="655">
        <f t="shared" si="1"/>
        <v>48785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538</v>
      </c>
      <c r="E72" s="564" t="s">
        <v>9</v>
      </c>
      <c r="F72" s="564" t="s">
        <v>519</v>
      </c>
      <c r="G72" s="564" t="s">
        <v>316</v>
      </c>
      <c r="H72" s="565">
        <v>45446</v>
      </c>
      <c r="I72" s="652">
        <v>45689</v>
      </c>
      <c r="J72" s="653">
        <v>19418</v>
      </c>
      <c r="K72" s="603">
        <v>0.7</v>
      </c>
      <c r="L72" s="646">
        <v>13592.6</v>
      </c>
      <c r="M72" s="654">
        <f>VLOOKUP(G:G,list!B:E,4,FALSE)</f>
        <v>0.1</v>
      </c>
      <c r="N72" s="655">
        <f t="shared" si="0"/>
        <v>1359</v>
      </c>
      <c r="O72" s="655">
        <f t="shared" si="1"/>
        <v>12233.6</v>
      </c>
      <c r="P72" s="564"/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549</v>
      </c>
      <c r="E73" s="564" t="s">
        <v>9</v>
      </c>
      <c r="F73" s="564" t="s">
        <v>519</v>
      </c>
      <c r="G73" s="564" t="s">
        <v>316</v>
      </c>
      <c r="H73" s="565">
        <v>45524</v>
      </c>
      <c r="I73" s="652">
        <v>45689</v>
      </c>
      <c r="J73" s="653">
        <v>0</v>
      </c>
      <c r="K73" s="603">
        <v>0.7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123</v>
      </c>
      <c r="E74" s="564" t="s">
        <v>9</v>
      </c>
      <c r="F74" s="564" t="s">
        <v>519</v>
      </c>
      <c r="G74" s="564" t="s">
        <v>316</v>
      </c>
      <c r="H74" s="565">
        <v>45536</v>
      </c>
      <c r="I74" s="652">
        <v>45689</v>
      </c>
      <c r="J74" s="653">
        <v>9709</v>
      </c>
      <c r="K74" s="603">
        <v>0.7</v>
      </c>
      <c r="L74" s="646">
        <v>6796.3</v>
      </c>
      <c r="M74" s="654">
        <f>VLOOKUP(G:G,list!B:E,4,FALSE)</f>
        <v>0.1</v>
      </c>
      <c r="N74" s="655">
        <f t="shared" si="0"/>
        <v>680</v>
      </c>
      <c r="O74" s="655">
        <f t="shared" si="1"/>
        <v>6116.3</v>
      </c>
      <c r="P74" s="564"/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132</v>
      </c>
      <c r="E75" s="564" t="s">
        <v>9</v>
      </c>
      <c r="F75" s="564" t="s">
        <v>519</v>
      </c>
      <c r="G75" s="564" t="s">
        <v>316</v>
      </c>
      <c r="H75" s="565">
        <v>44945</v>
      </c>
      <c r="I75" s="652">
        <v>45689</v>
      </c>
      <c r="J75" s="653">
        <v>0</v>
      </c>
      <c r="K75" s="603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183</v>
      </c>
      <c r="E76" s="564" t="s">
        <v>9</v>
      </c>
      <c r="F76" s="564" t="s">
        <v>519</v>
      </c>
      <c r="G76" s="564" t="s">
        <v>316</v>
      </c>
      <c r="H76" s="565">
        <v>45702</v>
      </c>
      <c r="I76" s="652">
        <v>45689</v>
      </c>
      <c r="J76" s="653">
        <v>3591</v>
      </c>
      <c r="K76" s="603">
        <v>0.7</v>
      </c>
      <c r="L76" s="646">
        <v>2513.6999999999998</v>
      </c>
      <c r="M76" s="654">
        <f>VLOOKUP(G:G,list!B:E,4,FALSE)</f>
        <v>0.1</v>
      </c>
      <c r="N76" s="655">
        <f t="shared" ref="N76" si="4">ROUND(IF(M76="-",0,L76*M76),0)</f>
        <v>251</v>
      </c>
      <c r="O76" s="655">
        <f t="shared" ref="O76" si="5">L76-N76</f>
        <v>2262.6999999999998</v>
      </c>
      <c r="P76" s="564"/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132</v>
      </c>
      <c r="E77" s="564" t="s">
        <v>9</v>
      </c>
      <c r="F77" s="564" t="s">
        <v>519</v>
      </c>
      <c r="G77" s="564" t="s">
        <v>56</v>
      </c>
      <c r="H77" s="565">
        <v>44952</v>
      </c>
      <c r="I77" s="652">
        <v>45689</v>
      </c>
      <c r="J77" s="653">
        <v>0</v>
      </c>
      <c r="K77" s="567">
        <v>0.5</v>
      </c>
      <c r="L77" s="646">
        <v>0</v>
      </c>
      <c r="M77" s="654">
        <f>VLOOKUP(G:G,list!B:E,4,FALSE)</f>
        <v>0.1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538</v>
      </c>
      <c r="E78" s="564" t="s">
        <v>9</v>
      </c>
      <c r="F78" s="564" t="s">
        <v>519</v>
      </c>
      <c r="G78" s="564" t="s">
        <v>56</v>
      </c>
      <c r="H78" s="565">
        <v>45503</v>
      </c>
      <c r="I78" s="652">
        <v>45689</v>
      </c>
      <c r="J78" s="653">
        <v>19152</v>
      </c>
      <c r="K78" s="567">
        <v>0.5</v>
      </c>
      <c r="L78" s="646">
        <v>9576</v>
      </c>
      <c r="M78" s="654">
        <f>VLOOKUP(G:G,list!B:E,4,FALSE)</f>
        <v>0.1</v>
      </c>
      <c r="N78" s="655">
        <f t="shared" si="0"/>
        <v>958</v>
      </c>
      <c r="O78" s="655">
        <f t="shared" si="1"/>
        <v>8618</v>
      </c>
      <c r="P78" s="564"/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549</v>
      </c>
      <c r="E79" s="564" t="s">
        <v>9</v>
      </c>
      <c r="F79" s="564" t="s">
        <v>519</v>
      </c>
      <c r="G79" s="564" t="s">
        <v>56</v>
      </c>
      <c r="H79" s="565">
        <v>45547</v>
      </c>
      <c r="I79" s="652">
        <v>45689</v>
      </c>
      <c r="J79" s="653">
        <v>399</v>
      </c>
      <c r="K79" s="567">
        <v>0.5</v>
      </c>
      <c r="L79" s="646">
        <v>199.5</v>
      </c>
      <c r="M79" s="654">
        <f>VLOOKUP(G:G,list!B:E,4,FALSE)</f>
        <v>0.1</v>
      </c>
      <c r="N79" s="655">
        <f t="shared" si="0"/>
        <v>20</v>
      </c>
      <c r="O79" s="655">
        <f t="shared" si="1"/>
        <v>179.5</v>
      </c>
      <c r="P79" s="564"/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132</v>
      </c>
      <c r="E80" s="564" t="s">
        <v>9</v>
      </c>
      <c r="F80" s="564" t="s">
        <v>519</v>
      </c>
      <c r="G80" s="564" t="s">
        <v>30</v>
      </c>
      <c r="H80" s="565">
        <v>44953</v>
      </c>
      <c r="I80" s="652">
        <v>45689</v>
      </c>
      <c r="J80" s="653">
        <v>0</v>
      </c>
      <c r="K80" s="567">
        <v>0.5</v>
      </c>
      <c r="L80" s="646">
        <v>0</v>
      </c>
      <c r="M80" s="654">
        <f>VLOOKUP(G:G,list!B:E,4,FALSE)</f>
        <v>0.1</v>
      </c>
      <c r="N80" s="655">
        <f t="shared" si="0"/>
        <v>0</v>
      </c>
      <c r="O80" s="655">
        <f t="shared" si="1"/>
        <v>0</v>
      </c>
      <c r="P80" s="564" t="s">
        <v>366</v>
      </c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308</v>
      </c>
      <c r="H81" s="565">
        <v>44992</v>
      </c>
      <c r="I81" s="652">
        <v>45689</v>
      </c>
      <c r="J81" s="653">
        <v>0</v>
      </c>
      <c r="K81" s="603">
        <v>0.5</v>
      </c>
      <c r="L81" s="646">
        <v>0</v>
      </c>
      <c r="M81" s="654" t="str">
        <f>VLOOKUP(G:G,list!B:E,4,FALSE)</f>
        <v>-</v>
      </c>
      <c r="N81" s="655">
        <f t="shared" si="0"/>
        <v>0</v>
      </c>
      <c r="O81" s="655">
        <f t="shared" si="1"/>
        <v>0</v>
      </c>
      <c r="P81" s="564" t="s">
        <v>366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308</v>
      </c>
      <c r="H82" s="565">
        <v>45610</v>
      </c>
      <c r="I82" s="652">
        <v>45689</v>
      </c>
      <c r="J82" s="653">
        <v>3325</v>
      </c>
      <c r="K82" s="603">
        <v>0.5</v>
      </c>
      <c r="L82" s="646">
        <v>1662.5</v>
      </c>
      <c r="M82" s="654" t="str">
        <f>VLOOKUP(G:G,list!B:E,4,FALSE)</f>
        <v>-</v>
      </c>
      <c r="N82" s="655">
        <f t="shared" si="0"/>
        <v>0</v>
      </c>
      <c r="O82" s="655">
        <f t="shared" si="1"/>
        <v>1662.5</v>
      </c>
      <c r="P82" s="564"/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132</v>
      </c>
      <c r="E83" s="564" t="s">
        <v>9</v>
      </c>
      <c r="F83" s="564" t="s">
        <v>519</v>
      </c>
      <c r="G83" s="564" t="s">
        <v>36</v>
      </c>
      <c r="H83" s="565">
        <v>45198</v>
      </c>
      <c r="I83" s="652">
        <v>45689</v>
      </c>
      <c r="J83" s="653">
        <v>473746</v>
      </c>
      <c r="K83" s="603">
        <v>0.5</v>
      </c>
      <c r="L83" s="646">
        <v>236873</v>
      </c>
      <c r="M83" s="654" t="str">
        <f>VLOOKUP(G:G,list!B:E,4,FALSE)</f>
        <v>-</v>
      </c>
      <c r="N83" s="655">
        <f t="shared" si="0"/>
        <v>0</v>
      </c>
      <c r="O83" s="655">
        <f t="shared" si="1"/>
        <v>236873</v>
      </c>
      <c r="P83" s="564"/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538</v>
      </c>
      <c r="E84" s="564" t="s">
        <v>9</v>
      </c>
      <c r="F84" s="564" t="s">
        <v>519</v>
      </c>
      <c r="G84" s="564" t="s">
        <v>36</v>
      </c>
      <c r="H84" s="565">
        <v>45479</v>
      </c>
      <c r="I84" s="652">
        <v>45689</v>
      </c>
      <c r="J84" s="653">
        <v>10374</v>
      </c>
      <c r="K84" s="603">
        <v>0.5</v>
      </c>
      <c r="L84" s="646">
        <v>5187</v>
      </c>
      <c r="M84" s="654" t="str">
        <f>VLOOKUP(G:G,list!B:E,4,FALSE)</f>
        <v>-</v>
      </c>
      <c r="N84" s="655">
        <f t="shared" si="0"/>
        <v>0</v>
      </c>
      <c r="O84" s="655">
        <f t="shared" si="1"/>
        <v>5187</v>
      </c>
      <c r="P84" s="564"/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549</v>
      </c>
      <c r="E85" s="564" t="s">
        <v>9</v>
      </c>
      <c r="F85" s="564" t="s">
        <v>519</v>
      </c>
      <c r="G85" s="564" t="s">
        <v>36</v>
      </c>
      <c r="H85" s="565">
        <v>45531</v>
      </c>
      <c r="I85" s="652">
        <v>45689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123</v>
      </c>
      <c r="E86" s="564" t="s">
        <v>9</v>
      </c>
      <c r="F86" s="564" t="s">
        <v>519</v>
      </c>
      <c r="G86" s="564" t="s">
        <v>36</v>
      </c>
      <c r="H86" s="565">
        <v>45555</v>
      </c>
      <c r="I86" s="652">
        <v>45689</v>
      </c>
      <c r="J86" s="653">
        <v>12768</v>
      </c>
      <c r="K86" s="603">
        <v>0.5</v>
      </c>
      <c r="L86" s="646">
        <v>6384</v>
      </c>
      <c r="M86" s="654" t="str">
        <f>VLOOKUP(G:G,list!B:E,4,FALSE)</f>
        <v>-</v>
      </c>
      <c r="N86" s="655">
        <f t="shared" si="0"/>
        <v>0</v>
      </c>
      <c r="O86" s="655">
        <f t="shared" si="1"/>
        <v>6384</v>
      </c>
      <c r="P86" s="564"/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132</v>
      </c>
      <c r="E87" s="564" t="s">
        <v>9</v>
      </c>
      <c r="F87" s="564" t="s">
        <v>519</v>
      </c>
      <c r="G87" s="564" t="s">
        <v>139</v>
      </c>
      <c r="H87" s="565">
        <v>45276</v>
      </c>
      <c r="I87" s="652">
        <v>45689</v>
      </c>
      <c r="J87" s="653">
        <v>8645</v>
      </c>
      <c r="K87" s="603">
        <v>0.5</v>
      </c>
      <c r="L87" s="646">
        <v>4322.5</v>
      </c>
      <c r="M87" s="654" t="str">
        <f>VLOOKUP(G:G,list!B:E,4,FALSE)</f>
        <v>-</v>
      </c>
      <c r="N87" s="655">
        <f t="shared" si="0"/>
        <v>0</v>
      </c>
      <c r="O87" s="655">
        <f t="shared" si="1"/>
        <v>4322.5</v>
      </c>
      <c r="P87" s="564"/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538</v>
      </c>
      <c r="E88" s="564" t="s">
        <v>9</v>
      </c>
      <c r="F88" s="564" t="s">
        <v>519</v>
      </c>
      <c r="G88" s="564" t="s">
        <v>139</v>
      </c>
      <c r="H88" s="565">
        <v>45534</v>
      </c>
      <c r="I88" s="652">
        <v>45689</v>
      </c>
      <c r="J88" s="653">
        <v>798</v>
      </c>
      <c r="K88" s="603">
        <v>0.5</v>
      </c>
      <c r="L88" s="646">
        <v>399</v>
      </c>
      <c r="M88" s="654" t="str">
        <f>VLOOKUP(G:G,list!B:E,4,FALSE)</f>
        <v>-</v>
      </c>
      <c r="N88" s="655">
        <f t="shared" si="0"/>
        <v>0</v>
      </c>
      <c r="O88" s="655">
        <f t="shared" si="1"/>
        <v>399</v>
      </c>
      <c r="P88" s="564"/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작가기획</v>
      </c>
      <c r="D89" s="564" t="s">
        <v>182</v>
      </c>
      <c r="E89" s="564" t="s">
        <v>115</v>
      </c>
      <c r="F89" s="564" t="s">
        <v>550</v>
      </c>
      <c r="G89" s="564" t="s">
        <v>308</v>
      </c>
      <c r="H89" s="565">
        <v>45347</v>
      </c>
      <c r="I89" s="652">
        <v>45627</v>
      </c>
      <c r="J89" s="653">
        <v>0</v>
      </c>
      <c r="K89" s="603">
        <v>0.5</v>
      </c>
      <c r="L89" s="646">
        <v>0</v>
      </c>
      <c r="M89" s="654" t="str">
        <f>VLOOKUP(G:G,list!B:E,4,FALSE)</f>
        <v>-</v>
      </c>
      <c r="N89" s="655">
        <f t="shared" si="0"/>
        <v>0</v>
      </c>
      <c r="O89" s="655">
        <f t="shared" si="1"/>
        <v>0</v>
      </c>
      <c r="P89" s="564" t="s">
        <v>366</v>
      </c>
      <c r="Q89" s="672" t="str">
        <f>VLOOKUP(G:G,list!B:F,5,FALSE)</f>
        <v>-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182</v>
      </c>
      <c r="E90" s="564" t="s">
        <v>115</v>
      </c>
      <c r="F90" s="564" t="s">
        <v>550</v>
      </c>
      <c r="G90" s="564" t="s">
        <v>316</v>
      </c>
      <c r="H90" s="565">
        <v>45359</v>
      </c>
      <c r="I90" s="652">
        <v>45627</v>
      </c>
      <c r="J90" s="653">
        <v>1829</v>
      </c>
      <c r="K90" s="603">
        <v>0.5</v>
      </c>
      <c r="L90" s="646">
        <v>915</v>
      </c>
      <c r="M90" s="654">
        <f>VLOOKUP(G:G,list!B:E,4,FALSE)</f>
        <v>0.1</v>
      </c>
      <c r="N90" s="655">
        <f t="shared" si="0"/>
        <v>92</v>
      </c>
      <c r="O90" s="655">
        <f t="shared" si="1"/>
        <v>823</v>
      </c>
      <c r="P90" s="564"/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32</v>
      </c>
      <c r="E91" s="564" t="s">
        <v>9</v>
      </c>
      <c r="F91" s="564" t="s">
        <v>31</v>
      </c>
      <c r="G91" s="564" t="s">
        <v>30</v>
      </c>
      <c r="H91" s="565">
        <v>44239</v>
      </c>
      <c r="I91" s="652">
        <v>45658</v>
      </c>
      <c r="J91" s="653">
        <v>24763</v>
      </c>
      <c r="K91" s="603">
        <v>0.4</v>
      </c>
      <c r="L91" s="646">
        <v>9419</v>
      </c>
      <c r="M91" s="654">
        <f>VLOOKUP(G:G,list!B:E,4,FALSE)</f>
        <v>0.1</v>
      </c>
      <c r="N91" s="655">
        <f t="shared" si="0"/>
        <v>942</v>
      </c>
      <c r="O91" s="655">
        <f t="shared" si="1"/>
        <v>8477</v>
      </c>
      <c r="P91" s="564"/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123</v>
      </c>
      <c r="E92" s="564" t="s">
        <v>9</v>
      </c>
      <c r="F92" s="564" t="s">
        <v>213</v>
      </c>
      <c r="G92" s="564" t="s">
        <v>56</v>
      </c>
      <c r="H92" s="565">
        <v>44581</v>
      </c>
      <c r="I92" s="652">
        <v>45689</v>
      </c>
      <c r="J92" s="653">
        <v>2878117</v>
      </c>
      <c r="K92" s="603">
        <v>0.3</v>
      </c>
      <c r="L92" s="568">
        <v>863435</v>
      </c>
      <c r="M92" s="654">
        <f>VLOOKUP(G:G,list!B:E,4,FALSE)</f>
        <v>0.1</v>
      </c>
      <c r="N92" s="655">
        <f t="shared" si="0"/>
        <v>86344</v>
      </c>
      <c r="O92" s="655">
        <f t="shared" si="1"/>
        <v>777091</v>
      </c>
      <c r="P92" s="564" t="s">
        <v>186</v>
      </c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183</v>
      </c>
      <c r="E93" s="564" t="s">
        <v>9</v>
      </c>
      <c r="F93" s="564" t="s">
        <v>213</v>
      </c>
      <c r="G93" s="564" t="s">
        <v>56</v>
      </c>
      <c r="H93" s="565">
        <v>44829</v>
      </c>
      <c r="I93" s="652">
        <v>45689</v>
      </c>
      <c r="J93" s="653">
        <v>597717</v>
      </c>
      <c r="K93" s="603">
        <v>0.3</v>
      </c>
      <c r="L93" s="568">
        <v>179315</v>
      </c>
      <c r="M93" s="654">
        <f>VLOOKUP(G:G,list!B:E,4,FALSE)</f>
        <v>0.1</v>
      </c>
      <c r="N93" s="655">
        <f t="shared" si="0"/>
        <v>17932</v>
      </c>
      <c r="O93" s="655">
        <f t="shared" si="1"/>
        <v>161383</v>
      </c>
      <c r="P93" s="564" t="s">
        <v>186</v>
      </c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454</v>
      </c>
      <c r="H94" s="565">
        <v>44854</v>
      </c>
      <c r="I94" s="652">
        <v>45689</v>
      </c>
      <c r="J94" s="653">
        <v>2446897</v>
      </c>
      <c r="K94" s="603">
        <v>0.3</v>
      </c>
      <c r="L94" s="568">
        <v>734069</v>
      </c>
      <c r="M94" s="654">
        <f>VLOOKUP(G:G,list!B:E,4,FALSE)</f>
        <v>0.1</v>
      </c>
      <c r="N94" s="655">
        <f t="shared" si="0"/>
        <v>73407</v>
      </c>
      <c r="O94" s="655">
        <f t="shared" si="1"/>
        <v>660662</v>
      </c>
      <c r="P94" s="564" t="s">
        <v>186</v>
      </c>
      <c r="Q94" s="672" t="str">
        <f>VLOOKUP(G:G,list!B:F,5,FALSE)</f>
        <v>-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123</v>
      </c>
      <c r="E95" s="564" t="s">
        <v>9</v>
      </c>
      <c r="F95" s="564" t="s">
        <v>213</v>
      </c>
      <c r="G95" s="564" t="s">
        <v>481</v>
      </c>
      <c r="H95" s="565">
        <v>44981</v>
      </c>
      <c r="I95" s="652">
        <v>45689</v>
      </c>
      <c r="J95" s="653">
        <v>170037</v>
      </c>
      <c r="K95" s="603">
        <v>0.3</v>
      </c>
      <c r="L95" s="568">
        <v>51011</v>
      </c>
      <c r="M95" s="654">
        <f>VLOOKUP(G:G,list!B:E,4,FALSE)</f>
        <v>0.1</v>
      </c>
      <c r="N95" s="655">
        <f t="shared" si="0"/>
        <v>5101</v>
      </c>
      <c r="O95" s="655">
        <f t="shared" si="1"/>
        <v>45910</v>
      </c>
      <c r="P95" s="564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352</v>
      </c>
      <c r="H96" s="565">
        <v>44984</v>
      </c>
      <c r="I96" s="652">
        <v>45689</v>
      </c>
      <c r="J96" s="653">
        <v>157080</v>
      </c>
      <c r="K96" s="603">
        <v>0.3</v>
      </c>
      <c r="L96" s="568">
        <v>47124</v>
      </c>
      <c r="M96" s="654">
        <f>VLOOKUP(G:G,list!B:E,4,FALSE)</f>
        <v>0.1</v>
      </c>
      <c r="N96" s="655">
        <f t="shared" si="0"/>
        <v>4712</v>
      </c>
      <c r="O96" s="655">
        <f t="shared" si="1"/>
        <v>42412</v>
      </c>
      <c r="P96" s="564" t="s">
        <v>186</v>
      </c>
      <c r="Q96" s="672" t="str">
        <f>VLOOKUP(G:G,list!B:F,5,FALSE)</f>
        <v>웹소설본부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72</v>
      </c>
      <c r="E97" s="564" t="s">
        <v>9</v>
      </c>
      <c r="F97" s="564" t="s">
        <v>213</v>
      </c>
      <c r="G97" s="564" t="s">
        <v>454</v>
      </c>
      <c r="H97" s="565">
        <v>44902</v>
      </c>
      <c r="I97" s="652">
        <v>45658</v>
      </c>
      <c r="J97" s="653">
        <v>1832760</v>
      </c>
      <c r="K97" s="603">
        <v>0.3</v>
      </c>
      <c r="L97" s="568">
        <v>549828</v>
      </c>
      <c r="M97" s="654">
        <f>VLOOKUP(G:G,list!B:E,4,FALSE)</f>
        <v>0.1</v>
      </c>
      <c r="N97" s="655">
        <f t="shared" ref="N97:N115" si="6">ROUND(IF(M97="-",0,L97*M97),0)</f>
        <v>54983</v>
      </c>
      <c r="O97" s="655">
        <f t="shared" ref="O97:O116" si="7">L97-N97</f>
        <v>494845</v>
      </c>
      <c r="P97" s="564" t="s">
        <v>282</v>
      </c>
      <c r="Q97" s="672" t="str">
        <f>VLOOKUP(G:G,list!B:F,5,FALSE)</f>
        <v>-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72</v>
      </c>
      <c r="E98" s="564" t="s">
        <v>9</v>
      </c>
      <c r="F98" s="564" t="s">
        <v>213</v>
      </c>
      <c r="G98" s="564" t="s">
        <v>454</v>
      </c>
      <c r="H98" s="565">
        <v>45257</v>
      </c>
      <c r="I98" s="652">
        <v>45658</v>
      </c>
      <c r="J98" s="653">
        <v>62017</v>
      </c>
      <c r="K98" s="603">
        <v>0.3</v>
      </c>
      <c r="L98" s="568">
        <v>18605</v>
      </c>
      <c r="M98" s="654">
        <f>VLOOKUP(G:G,list!B:E,4,FALSE)</f>
        <v>0.1</v>
      </c>
      <c r="N98" s="655">
        <f t="shared" si="6"/>
        <v>1861</v>
      </c>
      <c r="O98" s="655">
        <f t="shared" si="7"/>
        <v>16744</v>
      </c>
      <c r="P98" s="564" t="s">
        <v>546</v>
      </c>
      <c r="Q98" s="672" t="str">
        <f>VLOOKUP(G:G,list!B:F,5,FALSE)</f>
        <v>-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67</v>
      </c>
      <c r="E99" s="564" t="s">
        <v>9</v>
      </c>
      <c r="F99" s="564" t="s">
        <v>559</v>
      </c>
      <c r="G99" s="564" t="s">
        <v>30</v>
      </c>
      <c r="H99" s="565">
        <v>45275</v>
      </c>
      <c r="I99" s="652">
        <v>45474</v>
      </c>
      <c r="J99" s="653">
        <v>0</v>
      </c>
      <c r="K99" s="603">
        <v>0.4</v>
      </c>
      <c r="L99" s="568">
        <v>-5225</v>
      </c>
      <c r="M99" s="654">
        <f>VLOOKUP(G:G,list!B:E,4,FALSE)</f>
        <v>0.1</v>
      </c>
      <c r="N99" s="655">
        <f t="shared" ref="N99:N101" si="8">ROUND(IF(M99="-",0,L99*M99),0)</f>
        <v>-523</v>
      </c>
      <c r="O99" s="655">
        <f t="shared" ref="O99:O101" si="9">L99-N99</f>
        <v>-4702</v>
      </c>
      <c r="P99" s="564" t="s">
        <v>576</v>
      </c>
      <c r="Q99" s="672" t="str">
        <f>VLOOKUP(G:G,list!B:F,5,FALSE)</f>
        <v>웹소설본부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67</v>
      </c>
      <c r="E100" s="564" t="s">
        <v>9</v>
      </c>
      <c r="F100" s="564" t="s">
        <v>559</v>
      </c>
      <c r="G100" s="564" t="s">
        <v>30</v>
      </c>
      <c r="H100" s="565">
        <v>45275</v>
      </c>
      <c r="I100" s="652">
        <v>45505</v>
      </c>
      <c r="J100" s="653">
        <v>0</v>
      </c>
      <c r="K100" s="603">
        <v>0.4</v>
      </c>
      <c r="L100" s="568">
        <v>-1518</v>
      </c>
      <c r="M100" s="654">
        <f>VLOOKUP(G:G,list!B:E,4,FALSE)</f>
        <v>0.1</v>
      </c>
      <c r="N100" s="655">
        <f t="shared" si="8"/>
        <v>-152</v>
      </c>
      <c r="O100" s="655">
        <f t="shared" si="9"/>
        <v>-1366</v>
      </c>
      <c r="P100" s="564" t="s">
        <v>576</v>
      </c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67</v>
      </c>
      <c r="E101" s="564" t="s">
        <v>9</v>
      </c>
      <c r="F101" s="564" t="s">
        <v>559</v>
      </c>
      <c r="G101" s="564" t="s">
        <v>30</v>
      </c>
      <c r="H101" s="565">
        <v>45275</v>
      </c>
      <c r="I101" s="652">
        <v>45536</v>
      </c>
      <c r="J101" s="653">
        <v>0</v>
      </c>
      <c r="K101" s="603">
        <v>0.4</v>
      </c>
      <c r="L101" s="568">
        <v>-953</v>
      </c>
      <c r="M101" s="654">
        <f>VLOOKUP(G:G,list!B:E,4,FALSE)</f>
        <v>0.1</v>
      </c>
      <c r="N101" s="655">
        <f t="shared" si="8"/>
        <v>-95</v>
      </c>
      <c r="O101" s="655">
        <f t="shared" si="9"/>
        <v>-858</v>
      </c>
      <c r="P101" s="564" t="s">
        <v>576</v>
      </c>
      <c r="Q101" s="672" t="str">
        <f>VLOOKUP(G:G,list!B:F,5,FALSE)</f>
        <v>웹소설본부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67</v>
      </c>
      <c r="E102" s="564" t="s">
        <v>9</v>
      </c>
      <c r="F102" s="564" t="s">
        <v>559</v>
      </c>
      <c r="G102" s="564" t="s">
        <v>30</v>
      </c>
      <c r="H102" s="565">
        <v>45275</v>
      </c>
      <c r="I102" s="652">
        <v>45566</v>
      </c>
      <c r="J102" s="653">
        <v>222031</v>
      </c>
      <c r="K102" s="603">
        <v>0.4</v>
      </c>
      <c r="L102" s="568">
        <v>79932</v>
      </c>
      <c r="M102" s="654">
        <f>VLOOKUP(G:G,list!B:E,4,FALSE)</f>
        <v>0.1</v>
      </c>
      <c r="N102" s="655">
        <f t="shared" si="6"/>
        <v>7993</v>
      </c>
      <c r="O102" s="655">
        <f t="shared" si="7"/>
        <v>71939</v>
      </c>
      <c r="P102" s="564"/>
      <c r="Q102" s="672" t="str">
        <f>VLOOKUP(G:G,list!B:F,5,FALSE)</f>
        <v>웹소설본부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67</v>
      </c>
      <c r="E103" s="564" t="s">
        <v>9</v>
      </c>
      <c r="F103" s="564" t="s">
        <v>559</v>
      </c>
      <c r="G103" s="564" t="s">
        <v>30</v>
      </c>
      <c r="H103" s="565">
        <v>45275</v>
      </c>
      <c r="I103" s="652">
        <v>45597</v>
      </c>
      <c r="J103" s="653">
        <v>214735</v>
      </c>
      <c r="K103" s="603">
        <v>0.4</v>
      </c>
      <c r="L103" s="568">
        <v>77306</v>
      </c>
      <c r="M103" s="654">
        <f>VLOOKUP(G:G,list!B:E,4,FALSE)</f>
        <v>0.1</v>
      </c>
      <c r="N103" s="655">
        <f t="shared" si="6"/>
        <v>7731</v>
      </c>
      <c r="O103" s="655">
        <f t="shared" si="7"/>
        <v>69575</v>
      </c>
      <c r="P103" s="564"/>
      <c r="Q103" s="672" t="str">
        <f>VLOOKUP(G:G,list!B:F,5,FALSE)</f>
        <v>웹소설본부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67</v>
      </c>
      <c r="E104" s="564" t="s">
        <v>9</v>
      </c>
      <c r="F104" s="564" t="s">
        <v>559</v>
      </c>
      <c r="G104" s="564" t="s">
        <v>30</v>
      </c>
      <c r="H104" s="565">
        <v>45275</v>
      </c>
      <c r="I104" s="652">
        <v>45627</v>
      </c>
      <c r="J104" s="653">
        <v>80010</v>
      </c>
      <c r="K104" s="603">
        <v>0.4</v>
      </c>
      <c r="L104" s="568">
        <v>28805</v>
      </c>
      <c r="M104" s="654">
        <f>VLOOKUP(G:G,list!B:E,4,FALSE)</f>
        <v>0.1</v>
      </c>
      <c r="N104" s="655">
        <f t="shared" si="6"/>
        <v>2881</v>
      </c>
      <c r="O104" s="655">
        <f t="shared" si="7"/>
        <v>25924</v>
      </c>
      <c r="P104" s="564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작가기획</v>
      </c>
      <c r="D105" s="564" t="s">
        <v>32</v>
      </c>
      <c r="E105" s="564" t="s">
        <v>9</v>
      </c>
      <c r="F105" s="564" t="s">
        <v>567</v>
      </c>
      <c r="G105" s="564" t="s">
        <v>36</v>
      </c>
      <c r="H105" s="565">
        <v>45158</v>
      </c>
      <c r="I105" s="652" t="s">
        <v>577</v>
      </c>
      <c r="J105" s="653">
        <v>14561</v>
      </c>
      <c r="K105" s="603">
        <v>0.4</v>
      </c>
      <c r="L105" s="568">
        <v>13833</v>
      </c>
      <c r="M105" s="654" t="str">
        <f>VLOOKUP(G:G,list!B:E,4,FALSE)</f>
        <v>-</v>
      </c>
      <c r="N105" s="655">
        <f t="shared" si="6"/>
        <v>0</v>
      </c>
      <c r="O105" s="655">
        <f t="shared" si="7"/>
        <v>13833</v>
      </c>
      <c r="P105" s="564" t="s">
        <v>568</v>
      </c>
      <c r="Q105" s="672" t="str">
        <f>VLOOKUP(G:G,list!B:F,5,FALSE)</f>
        <v>-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작가기획</v>
      </c>
      <c r="D106" s="564" t="s">
        <v>32</v>
      </c>
      <c r="E106" s="564" t="s">
        <v>9</v>
      </c>
      <c r="F106" s="564" t="s">
        <v>567</v>
      </c>
      <c r="G106" s="564" t="s">
        <v>37</v>
      </c>
      <c r="H106" s="565">
        <v>45157</v>
      </c>
      <c r="I106" s="652" t="s">
        <v>577</v>
      </c>
      <c r="J106" s="653">
        <v>3254</v>
      </c>
      <c r="K106" s="603">
        <v>0.4</v>
      </c>
      <c r="L106" s="568">
        <v>3091</v>
      </c>
      <c r="M106" s="654" t="str">
        <f>VLOOKUP(G:G,list!B:E,4,FALSE)</f>
        <v>-</v>
      </c>
      <c r="N106" s="655">
        <f t="shared" si="6"/>
        <v>0</v>
      </c>
      <c r="O106" s="655">
        <f t="shared" si="7"/>
        <v>3091</v>
      </c>
      <c r="P106" s="564" t="s">
        <v>568</v>
      </c>
      <c r="Q106" s="672" t="str">
        <f>VLOOKUP(G:G,list!B:F,5,FALSE)</f>
        <v>-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79</v>
      </c>
      <c r="E107" s="564" t="s">
        <v>9</v>
      </c>
      <c r="F107" s="564" t="s">
        <v>235</v>
      </c>
      <c r="G107" s="564" t="s">
        <v>30</v>
      </c>
      <c r="H107" s="565">
        <v>44281</v>
      </c>
      <c r="I107" s="652">
        <v>45566</v>
      </c>
      <c r="J107" s="653">
        <v>20138</v>
      </c>
      <c r="K107" s="603">
        <v>0.5</v>
      </c>
      <c r="L107" s="568">
        <v>8482</v>
      </c>
      <c r="M107" s="654">
        <f>VLOOKUP(G:G,list!B:E,4,FALSE)</f>
        <v>0.1</v>
      </c>
      <c r="N107" s="655">
        <f t="shared" si="6"/>
        <v>848</v>
      </c>
      <c r="O107" s="655">
        <f t="shared" si="7"/>
        <v>7634</v>
      </c>
      <c r="P107" s="564"/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작가기획</v>
      </c>
      <c r="D108" s="564" t="s">
        <v>79</v>
      </c>
      <c r="E108" s="564" t="s">
        <v>9</v>
      </c>
      <c r="F108" s="564" t="s">
        <v>235</v>
      </c>
      <c r="G108" s="564" t="s">
        <v>36</v>
      </c>
      <c r="H108" s="565">
        <v>44293</v>
      </c>
      <c r="I108" s="652">
        <v>45566</v>
      </c>
      <c r="J108" s="653">
        <v>13772</v>
      </c>
      <c r="K108" s="603">
        <v>0.5</v>
      </c>
      <c r="L108" s="568">
        <v>5799</v>
      </c>
      <c r="M108" s="654" t="str">
        <f>VLOOKUP(G:G,list!B:E,4,FALSE)</f>
        <v>-</v>
      </c>
      <c r="N108" s="655">
        <f t="shared" si="6"/>
        <v>0</v>
      </c>
      <c r="O108" s="655">
        <f t="shared" si="7"/>
        <v>5799</v>
      </c>
      <c r="P108" s="564"/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79</v>
      </c>
      <c r="E109" s="564" t="s">
        <v>9</v>
      </c>
      <c r="F109" s="564" t="s">
        <v>235</v>
      </c>
      <c r="G109" s="564" t="s">
        <v>454</v>
      </c>
      <c r="H109" s="565">
        <v>44840</v>
      </c>
      <c r="I109" s="652">
        <v>45566</v>
      </c>
      <c r="J109" s="653">
        <v>158137</v>
      </c>
      <c r="K109" s="603">
        <v>0.5</v>
      </c>
      <c r="L109" s="568">
        <v>67134</v>
      </c>
      <c r="M109" s="654">
        <f>VLOOKUP(G:G,list!B:E,4,FALSE)</f>
        <v>0.1</v>
      </c>
      <c r="N109" s="655">
        <f t="shared" si="6"/>
        <v>6713</v>
      </c>
      <c r="O109" s="655">
        <f t="shared" si="7"/>
        <v>60421</v>
      </c>
      <c r="P109" s="564"/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79</v>
      </c>
      <c r="E110" s="564" t="s">
        <v>9</v>
      </c>
      <c r="F110" s="564" t="s">
        <v>235</v>
      </c>
      <c r="G110" s="564" t="s">
        <v>30</v>
      </c>
      <c r="H110" s="565">
        <v>44281</v>
      </c>
      <c r="I110" s="652">
        <v>45597</v>
      </c>
      <c r="J110" s="653">
        <v>7864</v>
      </c>
      <c r="K110" s="603">
        <v>0.5</v>
      </c>
      <c r="L110" s="568">
        <v>3311</v>
      </c>
      <c r="M110" s="654">
        <f>VLOOKUP(G:G,list!B:E,4,FALSE)</f>
        <v>0.1</v>
      </c>
      <c r="N110" s="655">
        <f t="shared" si="6"/>
        <v>331</v>
      </c>
      <c r="O110" s="655">
        <f t="shared" si="7"/>
        <v>2980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작가기획</v>
      </c>
      <c r="D111" s="564" t="s">
        <v>79</v>
      </c>
      <c r="E111" s="564" t="s">
        <v>9</v>
      </c>
      <c r="F111" s="564" t="s">
        <v>235</v>
      </c>
      <c r="G111" s="564" t="s">
        <v>36</v>
      </c>
      <c r="H111" s="565">
        <v>44293</v>
      </c>
      <c r="I111" s="652">
        <v>45597</v>
      </c>
      <c r="J111" s="653">
        <v>14930</v>
      </c>
      <c r="K111" s="603">
        <v>0.5</v>
      </c>
      <c r="L111" s="568">
        <v>6289</v>
      </c>
      <c r="M111" s="654" t="str">
        <f>VLOOKUP(G:G,list!B:E,4,FALSE)</f>
        <v>-</v>
      </c>
      <c r="N111" s="655">
        <f t="shared" si="6"/>
        <v>0</v>
      </c>
      <c r="O111" s="655">
        <f t="shared" si="7"/>
        <v>6289</v>
      </c>
      <c r="P111" s="564"/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79</v>
      </c>
      <c r="E112" s="564" t="s">
        <v>9</v>
      </c>
      <c r="F112" s="564" t="s">
        <v>235</v>
      </c>
      <c r="G112" s="564" t="s">
        <v>454</v>
      </c>
      <c r="H112" s="565">
        <v>44840</v>
      </c>
      <c r="I112" s="652">
        <v>45597</v>
      </c>
      <c r="J112" s="653">
        <v>166247</v>
      </c>
      <c r="K112" s="603">
        <v>0.5</v>
      </c>
      <c r="L112" s="568">
        <v>70576</v>
      </c>
      <c r="M112" s="654">
        <f>VLOOKUP(G:G,list!B:E,4,FALSE)</f>
        <v>0.1</v>
      </c>
      <c r="N112" s="655">
        <f t="shared" si="6"/>
        <v>7058</v>
      </c>
      <c r="O112" s="655">
        <f t="shared" si="7"/>
        <v>63518</v>
      </c>
      <c r="P112" s="564"/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79</v>
      </c>
      <c r="E113" s="564" t="s">
        <v>9</v>
      </c>
      <c r="F113" s="564" t="s">
        <v>235</v>
      </c>
      <c r="G113" s="564" t="s">
        <v>30</v>
      </c>
      <c r="H113" s="565">
        <v>44281</v>
      </c>
      <c r="I113" s="652">
        <v>45627</v>
      </c>
      <c r="J113" s="653">
        <v>8643</v>
      </c>
      <c r="K113" s="603">
        <v>0.5</v>
      </c>
      <c r="L113" s="568">
        <v>3639</v>
      </c>
      <c r="M113" s="654">
        <f>VLOOKUP(G:G,list!B:E,4,FALSE)</f>
        <v>0.1</v>
      </c>
      <c r="N113" s="655">
        <f t="shared" si="6"/>
        <v>364</v>
      </c>
      <c r="O113" s="655">
        <f t="shared" si="7"/>
        <v>3275</v>
      </c>
      <c r="P113" s="564"/>
      <c r="Q113" s="672" t="str">
        <f>VLOOKUP(G:G,list!B:F,5,FALSE)</f>
        <v>웹소설본부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작가기획</v>
      </c>
      <c r="D114" s="564" t="s">
        <v>79</v>
      </c>
      <c r="E114" s="564" t="s">
        <v>9</v>
      </c>
      <c r="F114" s="564" t="s">
        <v>235</v>
      </c>
      <c r="G114" s="564" t="s">
        <v>36</v>
      </c>
      <c r="H114" s="565">
        <v>44293</v>
      </c>
      <c r="I114" s="652">
        <v>45627</v>
      </c>
      <c r="J114" s="653">
        <v>25254</v>
      </c>
      <c r="K114" s="603">
        <v>0.5</v>
      </c>
      <c r="L114" s="568">
        <v>10636</v>
      </c>
      <c r="M114" s="654" t="str">
        <f>VLOOKUP(G:G,list!B:E,4,FALSE)</f>
        <v>-</v>
      </c>
      <c r="N114" s="655">
        <f t="shared" si="6"/>
        <v>0</v>
      </c>
      <c r="O114" s="655">
        <f t="shared" si="7"/>
        <v>10636</v>
      </c>
      <c r="P114" s="564"/>
      <c r="Q114" s="672" t="str">
        <f>VLOOKUP(G:G,list!B:F,5,FALSE)</f>
        <v>-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79</v>
      </c>
      <c r="E115" s="564" t="s">
        <v>9</v>
      </c>
      <c r="F115" s="564" t="s">
        <v>235</v>
      </c>
      <c r="G115" s="564" t="s">
        <v>454</v>
      </c>
      <c r="H115" s="565">
        <v>44840</v>
      </c>
      <c r="I115" s="652">
        <v>45627</v>
      </c>
      <c r="J115" s="653">
        <v>677742</v>
      </c>
      <c r="K115" s="603">
        <v>0.5</v>
      </c>
      <c r="L115" s="568">
        <v>287721</v>
      </c>
      <c r="M115" s="654">
        <f>VLOOKUP(G:G,list!B:E,4,FALSE)</f>
        <v>0.1</v>
      </c>
      <c r="N115" s="655">
        <f t="shared" si="6"/>
        <v>28772</v>
      </c>
      <c r="O115" s="655">
        <f t="shared" si="7"/>
        <v>258949</v>
      </c>
      <c r="P115" s="564"/>
      <c r="Q115" s="672" t="str">
        <f>VLOOKUP(G:G,list!B:F,5,FALSE)</f>
        <v>-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578</v>
      </c>
      <c r="E116" s="564" t="s">
        <v>9</v>
      </c>
      <c r="F116" s="564" t="s">
        <v>209</v>
      </c>
      <c r="G116" s="564" t="s">
        <v>30</v>
      </c>
      <c r="H116" s="565" t="s">
        <v>203</v>
      </c>
      <c r="I116" s="652" t="s">
        <v>203</v>
      </c>
      <c r="J116" s="653">
        <v>0</v>
      </c>
      <c r="K116" s="603" t="s">
        <v>203</v>
      </c>
      <c r="L116" s="646">
        <v>1665387</v>
      </c>
      <c r="M116" s="654">
        <f>VLOOKUP(G:G,list!B:E,4,FALSE)</f>
        <v>0.1</v>
      </c>
      <c r="N116" s="655">
        <f>ROUND(IF(M116="-",0,L116*M116),0)</f>
        <v>166539</v>
      </c>
      <c r="O116" s="655">
        <f t="shared" si="7"/>
        <v>1498848</v>
      </c>
      <c r="P116" s="564" t="s">
        <v>579</v>
      </c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52"/>
      <c r="C117" s="551"/>
      <c r="D117" s="551"/>
      <c r="E117" s="551"/>
      <c r="F117" s="551"/>
      <c r="G117" s="551"/>
      <c r="H117" s="622"/>
      <c r="I117" s="675"/>
      <c r="J117" s="676"/>
      <c r="K117" s="436"/>
      <c r="L117"/>
      <c r="M117" s="438"/>
      <c r="N117" s="677"/>
      <c r="O117" s="677"/>
      <c r="P117" s="551"/>
      <c r="Q117" s="678"/>
      <c r="R117" s="679"/>
    </row>
    <row r="118" spans="2:18" ht="18" customHeight="1">
      <c r="B118" s="52"/>
      <c r="C118" s="551"/>
      <c r="D118" s="551"/>
      <c r="E118" s="551"/>
      <c r="F118" s="551"/>
      <c r="G118" s="551"/>
      <c r="H118" s="622"/>
      <c r="I118" s="675"/>
      <c r="J118" s="676"/>
      <c r="K118" s="436"/>
      <c r="L118"/>
      <c r="M118" s="438"/>
      <c r="N118" s="677"/>
      <c r="O118" s="677"/>
      <c r="P118" s="551"/>
      <c r="Q118" s="678"/>
      <c r="R118" s="679"/>
    </row>
    <row r="119" spans="2:18" ht="11.25" customHeight="1">
      <c r="B119" s="52"/>
      <c r="C119" s="551"/>
      <c r="D119" s="551"/>
      <c r="E119" s="551"/>
      <c r="F119" s="551"/>
      <c r="G119" s="551"/>
      <c r="H119" s="622"/>
      <c r="I119" s="551"/>
      <c r="J119" s="435"/>
      <c r="K119" s="623"/>
      <c r="L119"/>
      <c r="M119" s="438"/>
      <c r="N119" s="439"/>
      <c r="O119" s="440"/>
      <c r="P119" s="633"/>
      <c r="Q119" s="438"/>
      <c r="R119" s="486"/>
    </row>
    <row r="120" spans="2:18" s="7" customFormat="1" ht="16.5" customHeight="1">
      <c r="B120" s="624" t="s">
        <v>387</v>
      </c>
      <c r="C120" s="625"/>
      <c r="D120" s="625"/>
      <c r="E120" s="626"/>
      <c r="F120" s="625"/>
      <c r="G120" s="625"/>
      <c r="H120" s="625"/>
      <c r="I120" s="311"/>
      <c r="J120" s="311"/>
      <c r="K120" s="311"/>
      <c r="M120" s="424"/>
      <c r="N120"/>
      <c r="O120" s="333"/>
      <c r="P120" s="631"/>
      <c r="Q120" s="424"/>
      <c r="R120" s="484"/>
    </row>
    <row r="121" spans="2:18" s="7" customFormat="1" ht="16.5" customHeight="1">
      <c r="B121" s="629" t="s">
        <v>299</v>
      </c>
      <c r="C121" s="625"/>
      <c r="D121" s="625"/>
      <c r="E121" s="626"/>
      <c r="F121" s="625"/>
      <c r="G121" s="625"/>
      <c r="H121" s="625"/>
      <c r="I121" s="311"/>
      <c r="K121" s="311"/>
      <c r="L121" s="311"/>
      <c r="M121" s="424"/>
      <c r="N121"/>
      <c r="O121" s="333"/>
      <c r="P121" s="631"/>
      <c r="Q121" s="424"/>
      <c r="R121" s="484"/>
    </row>
    <row r="122" spans="2:18" s="7" customFormat="1" ht="16.5" customHeight="1">
      <c r="B122" s="628" t="s">
        <v>302</v>
      </c>
      <c r="C122" s="627"/>
      <c r="D122" s="625"/>
      <c r="E122" s="626"/>
      <c r="F122" s="625"/>
      <c r="G122" s="625"/>
      <c r="H122" s="625"/>
      <c r="I122" s="311"/>
      <c r="J122" s="311"/>
      <c r="L122" s="311"/>
      <c r="M122" s="424"/>
      <c r="N122"/>
      <c r="O122" s="333"/>
      <c r="P122" s="631"/>
      <c r="Q122" s="424"/>
      <c r="R122" s="484"/>
    </row>
    <row r="123" spans="2:18" s="7" customFormat="1" ht="16.5" customHeight="1">
      <c r="B123" s="630" t="s">
        <v>303</v>
      </c>
      <c r="C123" s="627"/>
      <c r="D123" s="625"/>
      <c r="E123" s="626"/>
      <c r="F123" s="625"/>
      <c r="G123" s="625"/>
      <c r="H123" s="625"/>
      <c r="I123" s="311"/>
      <c r="J123" s="311"/>
      <c r="K123" s="311"/>
      <c r="L123" s="311"/>
      <c r="M123" s="424"/>
      <c r="N123"/>
      <c r="O123" s="333"/>
      <c r="P123" s="631"/>
      <c r="Q123" s="424"/>
      <c r="R123" s="484"/>
    </row>
    <row r="124" spans="2:18" ht="16.5" customHeight="1">
      <c r="B124" s="629" t="s">
        <v>340</v>
      </c>
      <c r="C124" s="625"/>
      <c r="D124" s="625"/>
      <c r="E124" s="626"/>
      <c r="F124" s="625"/>
      <c r="G124" s="625"/>
      <c r="H124" s="625"/>
      <c r="I124" s="311"/>
      <c r="J124" s="311"/>
      <c r="K124" s="311"/>
    </row>
    <row r="125" spans="2:18" ht="16.5" customHeight="1">
      <c r="B125" s="629" t="s">
        <v>512</v>
      </c>
      <c r="C125" s="625"/>
      <c r="D125" s="625"/>
      <c r="E125" s="626"/>
      <c r="F125" s="625"/>
      <c r="G125" s="625"/>
      <c r="H125" s="625"/>
      <c r="I125" s="311"/>
      <c r="J125" s="311"/>
      <c r="K125" s="311"/>
    </row>
    <row r="126" spans="2:18" ht="16.5" customHeight="1">
      <c r="B126" s="629" t="s">
        <v>522</v>
      </c>
      <c r="C126" s="625"/>
      <c r="D126" s="625"/>
      <c r="E126" s="626"/>
      <c r="F126" s="625"/>
      <c r="G126" s="625"/>
      <c r="H126" s="625"/>
      <c r="I126" s="311"/>
      <c r="J126" s="311"/>
      <c r="K126" s="311"/>
    </row>
    <row r="127" spans="2:18" ht="16.5" customHeight="1">
      <c r="B127" s="629" t="s">
        <v>520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521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8" s="311" customFormat="1" ht="16.5" customHeight="1">
      <c r="B129" s="629" t="s">
        <v>529</v>
      </c>
      <c r="C129" s="625"/>
      <c r="D129" s="625"/>
      <c r="E129" s="626"/>
      <c r="F129" s="625"/>
      <c r="G129" s="625"/>
      <c r="H129" s="625"/>
      <c r="M129" s="424"/>
      <c r="N129"/>
      <c r="O129" s="333"/>
      <c r="P129" s="631"/>
      <c r="Q129" s="424"/>
      <c r="R129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25F9-A8A5-45D0-A377-A6BF23A95C1C}">
  <dimension ref="B1:R145"/>
  <sheetViews>
    <sheetView showGridLines="0" zoomScaleNormal="100" workbookViewId="0">
      <pane xSplit="1" ySplit="5" topLeftCell="B126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572</v>
      </c>
      <c r="C2" s="539"/>
      <c r="D2" s="539"/>
      <c r="E2" s="539"/>
      <c r="F2" s="539"/>
      <c r="G2" s="540"/>
      <c r="H2" s="643" t="s">
        <v>573</v>
      </c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571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45721222.101077005</v>
      </c>
      <c r="K4" s="52"/>
      <c r="L4" s="648">
        <f>SUBTOTAL(109,L6:L1048576)</f>
        <v>16233258.4</v>
      </c>
      <c r="M4" s="543"/>
      <c r="N4" s="649">
        <f>SUBTOTAL(109,N6:N1048576)</f>
        <v>1354636</v>
      </c>
      <c r="O4" s="649">
        <f>SUBTOTAL(109,O6:O1048576)</f>
        <v>14878622.4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45658</v>
      </c>
      <c r="J6" s="653">
        <v>592795</v>
      </c>
      <c r="K6" s="567">
        <v>0.6</v>
      </c>
      <c r="L6" s="646">
        <v>355676</v>
      </c>
      <c r="M6" s="654" t="str">
        <f>VLOOKUP(G:G,list!B:E,4,FALSE)</f>
        <v>-</v>
      </c>
      <c r="N6" s="655">
        <f t="shared" ref="N6:N94" si="0">ROUND(IF(M6="-",0,L6*M6),0)</f>
        <v>0</v>
      </c>
      <c r="O6" s="655">
        <f t="shared" ref="O6:O94" si="1">L6-N6</f>
        <v>355676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45658</v>
      </c>
      <c r="J7" s="653">
        <v>104569</v>
      </c>
      <c r="K7" s="600">
        <v>0.6</v>
      </c>
      <c r="L7" s="646">
        <v>62742</v>
      </c>
      <c r="M7" s="654" t="str">
        <f>VLOOKUP(G:G,list!B:E,4,FALSE)</f>
        <v>-</v>
      </c>
      <c r="N7" s="655">
        <f t="shared" si="0"/>
        <v>0</v>
      </c>
      <c r="O7" s="655">
        <f t="shared" si="1"/>
        <v>62742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45658</v>
      </c>
      <c r="J8" s="653">
        <v>236065.4</v>
      </c>
      <c r="K8" s="567">
        <v>0.6</v>
      </c>
      <c r="L8" s="646">
        <v>141639</v>
      </c>
      <c r="M8" s="654" t="str">
        <f>VLOOKUP(G:G,list!B:E,4,FALSE)</f>
        <v>-</v>
      </c>
      <c r="N8" s="655">
        <f t="shared" si="0"/>
        <v>0</v>
      </c>
      <c r="O8" s="655">
        <f t="shared" si="1"/>
        <v>141639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45658</v>
      </c>
      <c r="J9" s="653">
        <v>201136</v>
      </c>
      <c r="K9" s="606">
        <v>0.6</v>
      </c>
      <c r="L9" s="646">
        <v>120681</v>
      </c>
      <c r="M9" s="654">
        <f>VLOOKUP(G:G,list!B:E,4,FALSE)</f>
        <v>0.1</v>
      </c>
      <c r="N9" s="655">
        <f t="shared" si="0"/>
        <v>12068</v>
      </c>
      <c r="O9" s="655">
        <f t="shared" si="1"/>
        <v>108613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45658</v>
      </c>
      <c r="J10" s="653">
        <v>363814.8</v>
      </c>
      <c r="K10" s="600">
        <v>0.6</v>
      </c>
      <c r="L10" s="646">
        <v>218289</v>
      </c>
      <c r="M10" s="654">
        <f>VLOOKUP(G:G,list!B:E,4,FALSE)</f>
        <v>0.1</v>
      </c>
      <c r="N10" s="655">
        <f t="shared" si="0"/>
        <v>21829</v>
      </c>
      <c r="O10" s="655">
        <f t="shared" si="1"/>
        <v>196460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45658</v>
      </c>
      <c r="J11" s="653">
        <v>8081.5</v>
      </c>
      <c r="K11" s="603">
        <v>0.6</v>
      </c>
      <c r="L11" s="646">
        <v>4848</v>
      </c>
      <c r="M11" s="654" t="str">
        <f>VLOOKUP(G:G,list!B:E,4,FALSE)</f>
        <v>-</v>
      </c>
      <c r="N11" s="655">
        <f t="shared" si="0"/>
        <v>0</v>
      </c>
      <c r="O11" s="655">
        <f t="shared" si="1"/>
        <v>4848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45658</v>
      </c>
      <c r="J12" s="653">
        <v>486782.4</v>
      </c>
      <c r="K12" s="603">
        <v>0.6</v>
      </c>
      <c r="L12" s="646">
        <v>292069</v>
      </c>
      <c r="M12" s="654">
        <f>VLOOKUP(G:G,list!B:E,4,FALSE)</f>
        <v>0.1</v>
      </c>
      <c r="N12" s="655">
        <f t="shared" si="0"/>
        <v>29207</v>
      </c>
      <c r="O12" s="655">
        <f t="shared" si="1"/>
        <v>262862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45658</v>
      </c>
      <c r="J13" s="653">
        <v>154156</v>
      </c>
      <c r="K13" s="600">
        <v>0.6</v>
      </c>
      <c r="L13" s="646">
        <v>92494</v>
      </c>
      <c r="M13" s="654">
        <f>VLOOKUP(G:G,list!B:E,4,FALSE)</f>
        <v>0.1</v>
      </c>
      <c r="N13" s="655">
        <f t="shared" si="0"/>
        <v>9249</v>
      </c>
      <c r="O13" s="655">
        <f t="shared" si="1"/>
        <v>83245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45658</v>
      </c>
      <c r="J14" s="653">
        <v>173647.4</v>
      </c>
      <c r="K14" s="606">
        <v>0.6</v>
      </c>
      <c r="L14" s="646">
        <v>104189</v>
      </c>
      <c r="M14" s="654">
        <f>VLOOKUP(G:G,list!B:E,4,FALSE)</f>
        <v>0.11</v>
      </c>
      <c r="N14" s="655">
        <f t="shared" si="0"/>
        <v>11461</v>
      </c>
      <c r="O14" s="655">
        <f t="shared" si="1"/>
        <v>92728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45658</v>
      </c>
      <c r="J15" s="653">
        <v>835467</v>
      </c>
      <c r="K15" s="567">
        <v>0.6</v>
      </c>
      <c r="L15" s="646">
        <v>501279</v>
      </c>
      <c r="M15" s="654">
        <f>VLOOKUP(G:G,list!B:E,4,FALSE)</f>
        <v>0.1</v>
      </c>
      <c r="N15" s="655">
        <f t="shared" si="0"/>
        <v>50128</v>
      </c>
      <c r="O15" s="655">
        <f t="shared" si="1"/>
        <v>451151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45658</v>
      </c>
      <c r="J16" s="653">
        <v>213592.6</v>
      </c>
      <c r="K16" s="567">
        <v>0.6</v>
      </c>
      <c r="L16" s="646">
        <v>128157</v>
      </c>
      <c r="M16" s="654">
        <f>VLOOKUP(G:G,list!B:E,4,FALSE)</f>
        <v>0.1</v>
      </c>
      <c r="N16" s="655">
        <f t="shared" si="0"/>
        <v>12816</v>
      </c>
      <c r="O16" s="655">
        <f t="shared" si="1"/>
        <v>115341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45658</v>
      </c>
      <c r="J17" s="653">
        <v>4320</v>
      </c>
      <c r="K17" s="600">
        <v>0.7</v>
      </c>
      <c r="L17" s="646">
        <v>3024</v>
      </c>
      <c r="M17" s="654" t="str">
        <f>VLOOKUP(G:G,list!B:E,4,FALSE)</f>
        <v>-</v>
      </c>
      <c r="N17" s="655">
        <f t="shared" si="0"/>
        <v>0</v>
      </c>
      <c r="O17" s="655">
        <f t="shared" si="1"/>
        <v>3024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45658</v>
      </c>
      <c r="J18" s="653">
        <v>1665202.4</v>
      </c>
      <c r="K18" s="603">
        <v>0.6</v>
      </c>
      <c r="L18" s="646">
        <v>999122</v>
      </c>
      <c r="M18" s="654">
        <f>VLOOKUP(G:G,list!B:E,4,FALSE)</f>
        <v>0.1</v>
      </c>
      <c r="N18" s="655">
        <f t="shared" si="0"/>
        <v>99912</v>
      </c>
      <c r="O18" s="655">
        <f t="shared" si="1"/>
        <v>899210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45658</v>
      </c>
      <c r="J19" s="653">
        <v>336982.4</v>
      </c>
      <c r="K19" s="603">
        <v>0.7</v>
      </c>
      <c r="L19" s="646">
        <v>235889</v>
      </c>
      <c r="M19" s="654">
        <f>VLOOKUP(G:G,list!B:E,4,FALSE)</f>
        <v>0.1</v>
      </c>
      <c r="N19" s="655">
        <f t="shared" si="0"/>
        <v>23589</v>
      </c>
      <c r="O19" s="655">
        <f t="shared" si="1"/>
        <v>212300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45658</v>
      </c>
      <c r="J20" s="653">
        <v>35402.9</v>
      </c>
      <c r="K20" s="603">
        <v>0.6</v>
      </c>
      <c r="L20" s="646">
        <v>21242</v>
      </c>
      <c r="M20" s="654">
        <f>VLOOKUP(G:G,list!B:E,4,FALSE)</f>
        <v>0.1</v>
      </c>
      <c r="N20" s="655">
        <f t="shared" si="0"/>
        <v>2124</v>
      </c>
      <c r="O20" s="655">
        <f t="shared" si="1"/>
        <v>19118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45658</v>
      </c>
      <c r="J21" s="653">
        <v>720</v>
      </c>
      <c r="K21" s="567">
        <v>0.6</v>
      </c>
      <c r="L21" s="646">
        <v>504</v>
      </c>
      <c r="M21" s="654" t="str">
        <f>VLOOKUP(G:G,list!B:E,4,FALSE)</f>
        <v>-</v>
      </c>
      <c r="N21" s="655">
        <f t="shared" si="0"/>
        <v>0</v>
      </c>
      <c r="O21" s="655">
        <f t="shared" si="1"/>
        <v>504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45658</v>
      </c>
      <c r="J22" s="653">
        <v>35396.9</v>
      </c>
      <c r="K22" s="567">
        <v>0.6</v>
      </c>
      <c r="L22" s="646">
        <v>21238</v>
      </c>
      <c r="M22" s="654">
        <f>VLOOKUP(G:G,list!B:E,4,FALSE)</f>
        <v>0.1</v>
      </c>
      <c r="N22" s="655">
        <f t="shared" si="0"/>
        <v>2124</v>
      </c>
      <c r="O22" s="655">
        <f t="shared" si="1"/>
        <v>19114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45658</v>
      </c>
      <c r="J23" s="653">
        <v>180</v>
      </c>
      <c r="K23" s="567">
        <v>0.6</v>
      </c>
      <c r="L23" s="646">
        <v>108</v>
      </c>
      <c r="M23" s="654" t="str">
        <f>VLOOKUP(G:G,list!B:E,4,FALSE)</f>
        <v>-</v>
      </c>
      <c r="N23" s="655">
        <f t="shared" si="0"/>
        <v>0</v>
      </c>
      <c r="O23" s="655">
        <f t="shared" si="1"/>
        <v>108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45658</v>
      </c>
      <c r="J24" s="653">
        <v>167835.1</v>
      </c>
      <c r="K24" s="603">
        <v>0.6</v>
      </c>
      <c r="L24" s="646">
        <v>100702</v>
      </c>
      <c r="M24" s="654">
        <f>VLOOKUP(G:G,list!B:E,4,FALSE)</f>
        <v>0.1</v>
      </c>
      <c r="N24" s="655">
        <f t="shared" si="0"/>
        <v>10070</v>
      </c>
      <c r="O24" s="655">
        <f t="shared" si="1"/>
        <v>90632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45658</v>
      </c>
      <c r="J25" s="653">
        <v>13104</v>
      </c>
      <c r="K25" s="603">
        <v>0.6</v>
      </c>
      <c r="L25" s="646">
        <v>7862</v>
      </c>
      <c r="M25" s="654">
        <f>VLOOKUP(G:G,list!B:E,4,FALSE)</f>
        <v>0.1</v>
      </c>
      <c r="N25" s="655">
        <f t="shared" si="0"/>
        <v>786</v>
      </c>
      <c r="O25" s="655">
        <f t="shared" si="1"/>
        <v>7076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45658</v>
      </c>
      <c r="J26" s="653">
        <v>56526.9</v>
      </c>
      <c r="K26" s="567">
        <v>0.6</v>
      </c>
      <c r="L26" s="646">
        <v>33916</v>
      </c>
      <c r="M26" s="654">
        <f>VLOOKUP(G:G,list!B:E,4,FALSE)</f>
        <v>0.1</v>
      </c>
      <c r="N26" s="655">
        <f t="shared" si="0"/>
        <v>3392</v>
      </c>
      <c r="O26" s="655">
        <f t="shared" si="1"/>
        <v>30524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45658</v>
      </c>
      <c r="J27" s="653">
        <v>56280.9</v>
      </c>
      <c r="K27" s="567">
        <v>0.6</v>
      </c>
      <c r="L27" s="646">
        <v>33769</v>
      </c>
      <c r="M27" s="654">
        <f>VLOOKUP(G:G,list!B:E,4,FALSE)</f>
        <v>0.1</v>
      </c>
      <c r="N27" s="655">
        <f t="shared" si="0"/>
        <v>3377</v>
      </c>
      <c r="O27" s="655">
        <f t="shared" si="1"/>
        <v>30392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45658</v>
      </c>
      <c r="J28" s="653">
        <v>27720</v>
      </c>
      <c r="K28" s="567">
        <v>0.6</v>
      </c>
      <c r="L28" s="646">
        <v>16632</v>
      </c>
      <c r="M28" s="654" t="str">
        <f>VLOOKUP(G:G,list!B:E,4,FALSE)</f>
        <v>-</v>
      </c>
      <c r="N28" s="655">
        <f t="shared" si="0"/>
        <v>0</v>
      </c>
      <c r="O28" s="655">
        <f t="shared" si="1"/>
        <v>16632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45658</v>
      </c>
      <c r="J29" s="653">
        <v>88340.5</v>
      </c>
      <c r="K29" s="567">
        <v>0.6</v>
      </c>
      <c r="L29" s="646">
        <v>53005</v>
      </c>
      <c r="M29" s="654">
        <f>VLOOKUP(G:G,list!B:E,4,FALSE)</f>
        <v>0.11</v>
      </c>
      <c r="N29" s="655">
        <f t="shared" si="0"/>
        <v>5831</v>
      </c>
      <c r="O29" s="655">
        <f t="shared" si="1"/>
        <v>47174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45658</v>
      </c>
      <c r="J30" s="653">
        <v>441094.7</v>
      </c>
      <c r="K30" s="567">
        <v>0.6</v>
      </c>
      <c r="L30" s="646">
        <v>264657</v>
      </c>
      <c r="M30" s="654" t="str">
        <f>VLOOKUP(G:G,list!B:E,4,FALSE)</f>
        <v>-</v>
      </c>
      <c r="N30" s="655">
        <f t="shared" si="0"/>
        <v>0</v>
      </c>
      <c r="O30" s="655">
        <f t="shared" si="1"/>
        <v>264657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45658</v>
      </c>
      <c r="J31" s="653">
        <v>81656.5</v>
      </c>
      <c r="K31" s="567">
        <v>0.6</v>
      </c>
      <c r="L31" s="646">
        <v>48994</v>
      </c>
      <c r="M31" s="654" t="str">
        <f>VLOOKUP(G:G,list!B:E,4,FALSE)</f>
        <v>-</v>
      </c>
      <c r="N31" s="655">
        <f t="shared" si="0"/>
        <v>0</v>
      </c>
      <c r="O31" s="655">
        <f t="shared" si="1"/>
        <v>48994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45658</v>
      </c>
      <c r="J32" s="653">
        <v>180532.4</v>
      </c>
      <c r="K32" s="567">
        <v>0.6</v>
      </c>
      <c r="L32" s="646">
        <v>108320</v>
      </c>
      <c r="M32" s="654">
        <f>VLOOKUP(G:G,list!B:E,4,FALSE)</f>
        <v>0.1</v>
      </c>
      <c r="N32" s="655">
        <f t="shared" si="0"/>
        <v>10832</v>
      </c>
      <c r="O32" s="655">
        <f t="shared" si="1"/>
        <v>97488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45627</v>
      </c>
      <c r="J33" s="653">
        <v>178376</v>
      </c>
      <c r="K33" s="674">
        <v>0.224</v>
      </c>
      <c r="L33" s="646">
        <v>35967</v>
      </c>
      <c r="M33" s="654">
        <f>VLOOKUP(G:G,list!B:E,4,FALSE)</f>
        <v>0.1</v>
      </c>
      <c r="N33" s="655">
        <f t="shared" si="0"/>
        <v>3597</v>
      </c>
      <c r="O33" s="655">
        <f t="shared" si="1"/>
        <v>32370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45627</v>
      </c>
      <c r="J34" s="653">
        <v>1768946</v>
      </c>
      <c r="K34" s="674">
        <v>0.224</v>
      </c>
      <c r="L34" s="646">
        <v>356622</v>
      </c>
      <c r="M34" s="654">
        <f>VLOOKUP(G:G,list!B:E,4,FALSE)</f>
        <v>0.1</v>
      </c>
      <c r="N34" s="655">
        <f t="shared" si="0"/>
        <v>35662</v>
      </c>
      <c r="O34" s="655">
        <f t="shared" si="1"/>
        <v>320960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45627</v>
      </c>
      <c r="J35" s="653">
        <v>569</v>
      </c>
      <c r="K35" s="674">
        <v>0.224</v>
      </c>
      <c r="L35" s="646">
        <v>121</v>
      </c>
      <c r="M35" s="654" t="str">
        <f>VLOOKUP(G:G,list!B:E,4,FALSE)</f>
        <v>-</v>
      </c>
      <c r="N35" s="655">
        <f t="shared" si="0"/>
        <v>0</v>
      </c>
      <c r="O35" s="655">
        <f t="shared" si="1"/>
        <v>121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45627</v>
      </c>
      <c r="J36" s="653">
        <v>369860</v>
      </c>
      <c r="K36" s="674">
        <v>0.224</v>
      </c>
      <c r="L36" s="646">
        <v>74571</v>
      </c>
      <c r="M36" s="654">
        <f>VLOOKUP(G:G,list!B:E,4,FALSE)</f>
        <v>0.1</v>
      </c>
      <c r="N36" s="655">
        <f t="shared" si="0"/>
        <v>7457</v>
      </c>
      <c r="O36" s="655">
        <f t="shared" si="1"/>
        <v>67114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45627</v>
      </c>
      <c r="J37" s="653">
        <v>41032</v>
      </c>
      <c r="K37" s="674">
        <v>0.224</v>
      </c>
      <c r="L37" s="646">
        <v>8275</v>
      </c>
      <c r="M37" s="654">
        <f>VLOOKUP(G:G,list!B:E,4,FALSE)</f>
        <v>0.11</v>
      </c>
      <c r="N37" s="655">
        <f t="shared" si="0"/>
        <v>910</v>
      </c>
      <c r="O37" s="655">
        <f t="shared" si="1"/>
        <v>7365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45627</v>
      </c>
      <c r="J38" s="653">
        <v>281526</v>
      </c>
      <c r="K38" s="674">
        <v>0.224</v>
      </c>
      <c r="L38" s="646">
        <v>56755</v>
      </c>
      <c r="M38" s="654">
        <f>VLOOKUP(G:G,list!B:E,4,FALSE)</f>
        <v>0.1</v>
      </c>
      <c r="N38" s="655">
        <f t="shared" si="0"/>
        <v>5676</v>
      </c>
      <c r="O38" s="655">
        <f t="shared" si="1"/>
        <v>51079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45627</v>
      </c>
      <c r="J39" s="653">
        <v>196612</v>
      </c>
      <c r="K39" s="674">
        <v>0.224</v>
      </c>
      <c r="L39" s="646">
        <v>39640</v>
      </c>
      <c r="M39" s="654" t="str">
        <f>VLOOKUP(G:G,list!B:E,4,FALSE)</f>
        <v>-</v>
      </c>
      <c r="N39" s="655">
        <f t="shared" si="0"/>
        <v>0</v>
      </c>
      <c r="O39" s="655">
        <f t="shared" si="1"/>
        <v>39640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45627</v>
      </c>
      <c r="J40" s="653">
        <v>7652516</v>
      </c>
      <c r="K40" s="674">
        <v>0.224</v>
      </c>
      <c r="L40" s="646">
        <v>1542747</v>
      </c>
      <c r="M40" s="654">
        <f>VLOOKUP(G:G,list!B:E,4,FALSE)</f>
        <v>0.1</v>
      </c>
      <c r="N40" s="655">
        <f t="shared" si="0"/>
        <v>154275</v>
      </c>
      <c r="O40" s="655">
        <f t="shared" si="1"/>
        <v>1388472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45627</v>
      </c>
      <c r="J41" s="653">
        <v>569</v>
      </c>
      <c r="K41" s="674">
        <v>0.224</v>
      </c>
      <c r="L41" s="646">
        <v>114</v>
      </c>
      <c r="M41" s="654" t="str">
        <f>VLOOKUP(G:G,list!B:E,4,FALSE)</f>
        <v>-</v>
      </c>
      <c r="N41" s="655">
        <f t="shared" si="0"/>
        <v>0</v>
      </c>
      <c r="O41" s="655">
        <f t="shared" si="1"/>
        <v>114</v>
      </c>
      <c r="P41" s="564"/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45627</v>
      </c>
      <c r="J42" s="653">
        <v>258731</v>
      </c>
      <c r="K42" s="674">
        <v>0.224</v>
      </c>
      <c r="L42" s="646">
        <v>52163</v>
      </c>
      <c r="M42" s="654">
        <f>VLOOKUP(G:G,list!B:E,4,FALSE)</f>
        <v>0.1</v>
      </c>
      <c r="N42" s="655">
        <f t="shared" si="0"/>
        <v>5216</v>
      </c>
      <c r="O42" s="655">
        <f t="shared" si="1"/>
        <v>46947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45627</v>
      </c>
      <c r="J43" s="653">
        <v>1038914</v>
      </c>
      <c r="K43" s="674">
        <v>0.224</v>
      </c>
      <c r="L43" s="646">
        <v>209453</v>
      </c>
      <c r="M43" s="654">
        <f>VLOOKUP(G:G,list!B:E,4,FALSE)</f>
        <v>0.1</v>
      </c>
      <c r="N43" s="655">
        <f t="shared" si="0"/>
        <v>20945</v>
      </c>
      <c r="O43" s="655">
        <f t="shared" si="1"/>
        <v>188508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45627</v>
      </c>
      <c r="J44" s="653">
        <v>2820397</v>
      </c>
      <c r="K44" s="674">
        <v>0.224</v>
      </c>
      <c r="L44" s="646">
        <v>568595</v>
      </c>
      <c r="M44" s="654" t="str">
        <f>VLOOKUP(G:G,list!B:E,4,FALSE)</f>
        <v>-</v>
      </c>
      <c r="N44" s="655">
        <f t="shared" si="0"/>
        <v>0</v>
      </c>
      <c r="O44" s="655">
        <f t="shared" si="1"/>
        <v>568595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25</v>
      </c>
      <c r="E45" s="564" t="s">
        <v>62</v>
      </c>
      <c r="F45" s="564" t="s">
        <v>257</v>
      </c>
      <c r="G45" s="564" t="s">
        <v>316</v>
      </c>
      <c r="H45" s="565">
        <v>45577</v>
      </c>
      <c r="I45" s="652">
        <v>45658</v>
      </c>
      <c r="J45" s="653">
        <v>38903</v>
      </c>
      <c r="K45" s="567">
        <v>0.35</v>
      </c>
      <c r="L45" s="646">
        <v>13616</v>
      </c>
      <c r="M45" s="654">
        <f>VLOOKUP(G:G,list!B:E,4,FALSE)</f>
        <v>0.1</v>
      </c>
      <c r="N45" s="655">
        <f t="shared" si="0"/>
        <v>1362</v>
      </c>
      <c r="O45" s="655">
        <f t="shared" si="1"/>
        <v>12254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25</v>
      </c>
      <c r="E46" s="564" t="s">
        <v>62</v>
      </c>
      <c r="F46" s="564" t="s">
        <v>257</v>
      </c>
      <c r="G46" s="564" t="s">
        <v>353</v>
      </c>
      <c r="H46" s="565">
        <v>44916</v>
      </c>
      <c r="I46" s="652">
        <v>45658</v>
      </c>
      <c r="J46" s="653">
        <v>10622</v>
      </c>
      <c r="K46" s="567">
        <v>0.35</v>
      </c>
      <c r="L46" s="646">
        <v>3718</v>
      </c>
      <c r="M46" s="654">
        <f>VLOOKUP(G:G,list!B:E,4,FALSE)</f>
        <v>0.11</v>
      </c>
      <c r="N46" s="655">
        <f t="shared" si="0"/>
        <v>409</v>
      </c>
      <c r="O46" s="655">
        <f t="shared" si="1"/>
        <v>3309</v>
      </c>
      <c r="P46" s="564"/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25</v>
      </c>
      <c r="E47" s="564" t="s">
        <v>62</v>
      </c>
      <c r="F47" s="564" t="s">
        <v>257</v>
      </c>
      <c r="G47" s="564" t="s">
        <v>352</v>
      </c>
      <c r="H47" s="565">
        <v>45098</v>
      </c>
      <c r="I47" s="652">
        <v>45658</v>
      </c>
      <c r="J47" s="653">
        <v>28211</v>
      </c>
      <c r="K47" s="600">
        <v>0.35</v>
      </c>
      <c r="L47" s="646">
        <v>9874</v>
      </c>
      <c r="M47" s="654">
        <f>VLOOKUP(G:G,list!B:E,4,FALSE)</f>
        <v>0.1</v>
      </c>
      <c r="N47" s="655">
        <f t="shared" si="0"/>
        <v>987</v>
      </c>
      <c r="O47" s="655">
        <f t="shared" si="1"/>
        <v>8887</v>
      </c>
      <c r="P47" s="564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246</v>
      </c>
      <c r="G48" s="564" t="s">
        <v>36</v>
      </c>
      <c r="H48" s="565">
        <v>43810</v>
      </c>
      <c r="I48" s="652">
        <v>45658</v>
      </c>
      <c r="J48" s="653">
        <v>52740</v>
      </c>
      <c r="K48" s="600" t="s">
        <v>532</v>
      </c>
      <c r="L48" s="646">
        <v>18693</v>
      </c>
      <c r="M48" s="654" t="str">
        <f>VLOOKUP(G:G,list!B:E,4,FALSE)</f>
        <v>-</v>
      </c>
      <c r="N48" s="655">
        <f t="shared" si="0"/>
        <v>0</v>
      </c>
      <c r="O48" s="655">
        <f t="shared" si="1"/>
        <v>18693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246</v>
      </c>
      <c r="G49" s="564" t="s">
        <v>139</v>
      </c>
      <c r="H49" s="565">
        <v>43852</v>
      </c>
      <c r="I49" s="652">
        <v>45658</v>
      </c>
      <c r="J49" s="653">
        <v>3960</v>
      </c>
      <c r="K49" s="600" t="s">
        <v>532</v>
      </c>
      <c r="L49" s="646">
        <v>1692</v>
      </c>
      <c r="M49" s="654" t="str">
        <f>VLOOKUP(G:G,list!B:E,4,FALSE)</f>
        <v>-</v>
      </c>
      <c r="N49" s="655">
        <f t="shared" si="0"/>
        <v>0</v>
      </c>
      <c r="O49" s="655">
        <f t="shared" si="1"/>
        <v>1692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78</v>
      </c>
      <c r="E50" s="564" t="s">
        <v>9</v>
      </c>
      <c r="F50" s="564" t="s">
        <v>544</v>
      </c>
      <c r="G50" s="564" t="s">
        <v>36</v>
      </c>
      <c r="H50" s="565">
        <v>45124</v>
      </c>
      <c r="I50" s="652">
        <v>45627</v>
      </c>
      <c r="J50" s="653">
        <v>269155</v>
      </c>
      <c r="K50" s="600">
        <v>0.5</v>
      </c>
      <c r="L50" s="646">
        <v>134578</v>
      </c>
      <c r="M50" s="654" t="str">
        <f>VLOOKUP(G:G,list!B:E,4,FALSE)</f>
        <v>-</v>
      </c>
      <c r="N50" s="655">
        <f t="shared" si="0"/>
        <v>0</v>
      </c>
      <c r="O50" s="655">
        <f t="shared" si="1"/>
        <v>134578</v>
      </c>
      <c r="P50" s="564"/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78</v>
      </c>
      <c r="E51" s="564" t="s">
        <v>9</v>
      </c>
      <c r="F51" s="564" t="s">
        <v>544</v>
      </c>
      <c r="G51" s="564" t="s">
        <v>139</v>
      </c>
      <c r="H51" s="565">
        <v>44513</v>
      </c>
      <c r="I51" s="652">
        <v>45627</v>
      </c>
      <c r="J51" s="653">
        <v>30269</v>
      </c>
      <c r="K51" s="600">
        <v>0.5</v>
      </c>
      <c r="L51" s="646">
        <v>15134</v>
      </c>
      <c r="M51" s="654" t="str">
        <f>VLOOKUP(G:G,list!B:E,4,FALSE)</f>
        <v>-</v>
      </c>
      <c r="N51" s="655">
        <f t="shared" si="0"/>
        <v>0</v>
      </c>
      <c r="O51" s="655">
        <f t="shared" si="1"/>
        <v>15134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66</v>
      </c>
      <c r="E52" s="564" t="s">
        <v>64</v>
      </c>
      <c r="F52" s="564" t="s">
        <v>65</v>
      </c>
      <c r="G52" s="564" t="s">
        <v>30</v>
      </c>
      <c r="H52" s="565">
        <v>44586</v>
      </c>
      <c r="I52" s="652">
        <v>45658</v>
      </c>
      <c r="J52" s="653">
        <v>42840</v>
      </c>
      <c r="K52" s="567">
        <v>0.4</v>
      </c>
      <c r="L52" s="646">
        <v>17136</v>
      </c>
      <c r="M52" s="654">
        <f>VLOOKUP(G:G,list!B:E,4,FALSE)</f>
        <v>0.1</v>
      </c>
      <c r="N52" s="655">
        <f t="shared" si="0"/>
        <v>1714</v>
      </c>
      <c r="O52" s="655">
        <f t="shared" si="1"/>
        <v>15422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66</v>
      </c>
      <c r="E53" s="564" t="s">
        <v>9</v>
      </c>
      <c r="F53" s="564" t="s">
        <v>65</v>
      </c>
      <c r="G53" s="564" t="s">
        <v>36</v>
      </c>
      <c r="H53" s="565">
        <v>44992</v>
      </c>
      <c r="I53" s="652">
        <v>45658</v>
      </c>
      <c r="J53" s="653">
        <v>521440</v>
      </c>
      <c r="K53" s="600">
        <v>0.4</v>
      </c>
      <c r="L53" s="646">
        <v>208576</v>
      </c>
      <c r="M53" s="654" t="str">
        <f>VLOOKUP(G:G,list!B:E,4,FALSE)</f>
        <v>-</v>
      </c>
      <c r="N53" s="655">
        <f t="shared" si="0"/>
        <v>0</v>
      </c>
      <c r="O53" s="655">
        <f t="shared" si="1"/>
        <v>208576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66</v>
      </c>
      <c r="E54" s="564" t="s">
        <v>9</v>
      </c>
      <c r="F54" s="564" t="s">
        <v>65</v>
      </c>
      <c r="G54" s="564" t="s">
        <v>37</v>
      </c>
      <c r="H54" s="565">
        <v>45169</v>
      </c>
      <c r="I54" s="652">
        <v>45658</v>
      </c>
      <c r="J54" s="653">
        <v>0</v>
      </c>
      <c r="K54" s="600">
        <v>0.4</v>
      </c>
      <c r="L54" s="646">
        <v>0</v>
      </c>
      <c r="M54" s="654" t="str">
        <f>VLOOKUP(G:G,list!B:E,4,FALSE)</f>
        <v>-</v>
      </c>
      <c r="N54" s="655">
        <f t="shared" si="0"/>
        <v>0</v>
      </c>
      <c r="O54" s="655">
        <f t="shared" si="1"/>
        <v>0</v>
      </c>
      <c r="P54" s="564" t="s">
        <v>366</v>
      </c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67</v>
      </c>
      <c r="E55" s="564" t="s">
        <v>9</v>
      </c>
      <c r="F55" s="564" t="s">
        <v>65</v>
      </c>
      <c r="G55" s="564" t="s">
        <v>37</v>
      </c>
      <c r="H55" s="565">
        <v>43921</v>
      </c>
      <c r="I55" s="652">
        <v>45658</v>
      </c>
      <c r="J55" s="653">
        <v>26523</v>
      </c>
      <c r="K55" s="600">
        <v>0.4</v>
      </c>
      <c r="L55" s="646">
        <v>10609</v>
      </c>
      <c r="M55" s="654" t="str">
        <f>VLOOKUP(G:G,list!B:E,4,FALSE)</f>
        <v>-</v>
      </c>
      <c r="N55" s="655">
        <f t="shared" si="0"/>
        <v>0</v>
      </c>
      <c r="O55" s="655">
        <f t="shared" si="1"/>
        <v>10609</v>
      </c>
      <c r="P55" s="564"/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67</v>
      </c>
      <c r="E56" s="564" t="s">
        <v>9</v>
      </c>
      <c r="F56" s="564" t="s">
        <v>65</v>
      </c>
      <c r="G56" s="564" t="s">
        <v>36</v>
      </c>
      <c r="H56" s="565">
        <v>43941</v>
      </c>
      <c r="I56" s="652">
        <v>45658</v>
      </c>
      <c r="J56" s="653">
        <v>89778</v>
      </c>
      <c r="K56" s="600">
        <v>0.4</v>
      </c>
      <c r="L56" s="646">
        <v>35911</v>
      </c>
      <c r="M56" s="654" t="str">
        <f>VLOOKUP(G:G,list!B:E,4,FALSE)</f>
        <v>-</v>
      </c>
      <c r="N56" s="655">
        <f t="shared" si="0"/>
        <v>0</v>
      </c>
      <c r="O56" s="655">
        <f t="shared" si="1"/>
        <v>35911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67</v>
      </c>
      <c r="E57" s="564" t="s">
        <v>64</v>
      </c>
      <c r="F57" s="564" t="s">
        <v>65</v>
      </c>
      <c r="G57" s="564" t="s">
        <v>30</v>
      </c>
      <c r="H57" s="565">
        <v>44258</v>
      </c>
      <c r="I57" s="652">
        <v>45658</v>
      </c>
      <c r="J57" s="653">
        <v>14003</v>
      </c>
      <c r="K57" s="600">
        <v>0.4</v>
      </c>
      <c r="L57" s="646">
        <v>5601</v>
      </c>
      <c r="M57" s="654">
        <f>VLOOKUP(G:G,list!B:E,4,FALSE)</f>
        <v>0.1</v>
      </c>
      <c r="N57" s="655">
        <f t="shared" si="0"/>
        <v>560</v>
      </c>
      <c r="O57" s="655">
        <f t="shared" si="1"/>
        <v>5041</v>
      </c>
      <c r="P57" s="564"/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131</v>
      </c>
      <c r="G58" s="564" t="s">
        <v>60</v>
      </c>
      <c r="H58" s="565">
        <v>44333</v>
      </c>
      <c r="I58" s="652">
        <v>45658</v>
      </c>
      <c r="J58" s="653">
        <v>420</v>
      </c>
      <c r="K58" s="603">
        <v>0.5</v>
      </c>
      <c r="L58" s="646">
        <v>210</v>
      </c>
      <c r="M58" s="654" t="str">
        <f>VLOOKUP(G:G,list!B:E,4,FALSE)</f>
        <v>-</v>
      </c>
      <c r="N58" s="655">
        <f t="shared" si="0"/>
        <v>0</v>
      </c>
      <c r="O58" s="655">
        <f t="shared" si="1"/>
        <v>210</v>
      </c>
      <c r="P58" s="564"/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115</v>
      </c>
      <c r="F59" s="564" t="s">
        <v>131</v>
      </c>
      <c r="G59" s="564" t="s">
        <v>518</v>
      </c>
      <c r="H59" s="565">
        <v>44897</v>
      </c>
      <c r="I59" s="652">
        <v>45658</v>
      </c>
      <c r="J59" s="653">
        <v>20160</v>
      </c>
      <c r="K59" s="603">
        <v>0.5</v>
      </c>
      <c r="L59" s="646">
        <v>10080</v>
      </c>
      <c r="M59" s="654" t="str">
        <f>VLOOKUP(G:G,list!B:E,4,FALSE)</f>
        <v>-</v>
      </c>
      <c r="N59" s="655">
        <f t="shared" si="0"/>
        <v>0</v>
      </c>
      <c r="O59" s="655">
        <f t="shared" si="1"/>
        <v>10080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182</v>
      </c>
      <c r="E60" s="564" t="s">
        <v>115</v>
      </c>
      <c r="F60" s="564" t="s">
        <v>131</v>
      </c>
      <c r="G60" s="564" t="s">
        <v>518</v>
      </c>
      <c r="H60" s="565">
        <v>45049</v>
      </c>
      <c r="I60" s="652">
        <v>45627</v>
      </c>
      <c r="J60" s="653">
        <v>127640</v>
      </c>
      <c r="K60" s="603">
        <v>0.3</v>
      </c>
      <c r="L60" s="646">
        <v>38292</v>
      </c>
      <c r="M60" s="654" t="str">
        <f>VLOOKUP(G:G,list!B:E,4,FALSE)</f>
        <v>-</v>
      </c>
      <c r="N60" s="655">
        <f t="shared" si="0"/>
        <v>0</v>
      </c>
      <c r="O60" s="655">
        <f t="shared" si="1"/>
        <v>38292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182</v>
      </c>
      <c r="E61" s="564" t="s">
        <v>115</v>
      </c>
      <c r="F61" s="564" t="s">
        <v>131</v>
      </c>
      <c r="G61" s="564" t="s">
        <v>525</v>
      </c>
      <c r="H61" s="565">
        <v>45591</v>
      </c>
      <c r="I61" s="652">
        <v>45627</v>
      </c>
      <c r="J61" s="653">
        <v>5900</v>
      </c>
      <c r="K61" s="603">
        <v>0.5</v>
      </c>
      <c r="L61" s="646">
        <v>2950</v>
      </c>
      <c r="M61" s="654">
        <f>VLOOKUP(G:G,list!B:E,4,FALSE)</f>
        <v>0.1</v>
      </c>
      <c r="N61" s="655">
        <f t="shared" si="0"/>
        <v>295</v>
      </c>
      <c r="O61" s="655">
        <f t="shared" si="1"/>
        <v>2655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78</v>
      </c>
      <c r="E62" s="564" t="s">
        <v>9</v>
      </c>
      <c r="F62" s="564" t="s">
        <v>545</v>
      </c>
      <c r="G62" s="564" t="s">
        <v>454</v>
      </c>
      <c r="H62" s="565">
        <v>44750</v>
      </c>
      <c r="I62" s="652">
        <v>45627</v>
      </c>
      <c r="J62" s="653">
        <v>1151680</v>
      </c>
      <c r="K62" s="603">
        <v>0.7</v>
      </c>
      <c r="L62" s="646">
        <v>806905</v>
      </c>
      <c r="M62" s="654">
        <f>VLOOKUP(G:G,list!B:E,4,FALSE)</f>
        <v>0.1</v>
      </c>
      <c r="N62" s="655">
        <f t="shared" si="0"/>
        <v>80691</v>
      </c>
      <c r="O62" s="655">
        <f t="shared" si="1"/>
        <v>726214</v>
      </c>
      <c r="P62" s="564"/>
      <c r="Q62" s="672" t="str">
        <f>VLOOKUP(G:G,list!B:F,5,FALSE)</f>
        <v>-</v>
      </c>
      <c r="R62" s="656" t="str">
        <f>VLOOKUP(G:G,list!B:D,3,FALSE)</f>
        <v>Y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264</v>
      </c>
      <c r="G63" s="564" t="s">
        <v>454</v>
      </c>
      <c r="H63" s="565" t="s">
        <v>203</v>
      </c>
      <c r="I63" s="652">
        <v>45627</v>
      </c>
      <c r="J63" s="653">
        <v>81759.401077000002</v>
      </c>
      <c r="K63" s="603">
        <v>0.25</v>
      </c>
      <c r="L63" s="646">
        <v>20440</v>
      </c>
      <c r="M63" s="654">
        <f>VLOOKUP(G:G,list!B:E,4,FALSE)</f>
        <v>0.1</v>
      </c>
      <c r="N63" s="655">
        <f t="shared" si="0"/>
        <v>2044</v>
      </c>
      <c r="O63" s="655">
        <f t="shared" si="1"/>
        <v>18396</v>
      </c>
      <c r="P63" s="564" t="s">
        <v>554</v>
      </c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작가기획</v>
      </c>
      <c r="D64" s="564" t="s">
        <v>32</v>
      </c>
      <c r="E64" s="564" t="s">
        <v>9</v>
      </c>
      <c r="F64" s="564" t="s">
        <v>154</v>
      </c>
      <c r="G64" s="564" t="s">
        <v>36</v>
      </c>
      <c r="H64" s="565">
        <v>44106</v>
      </c>
      <c r="I64" s="652">
        <v>45627</v>
      </c>
      <c r="J64" s="653">
        <v>24780</v>
      </c>
      <c r="K64" s="603">
        <v>0.4</v>
      </c>
      <c r="L64" s="646">
        <v>9417</v>
      </c>
      <c r="M64" s="654" t="str">
        <f>VLOOKUP(G:G,list!B:E,4,FALSE)</f>
        <v>-</v>
      </c>
      <c r="N64" s="655">
        <f t="shared" si="0"/>
        <v>0</v>
      </c>
      <c r="O64" s="655">
        <f t="shared" si="1"/>
        <v>9417</v>
      </c>
      <c r="P64" s="564"/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32</v>
      </c>
      <c r="E65" s="564" t="s">
        <v>9</v>
      </c>
      <c r="F65" s="564" t="s">
        <v>154</v>
      </c>
      <c r="G65" s="564" t="s">
        <v>37</v>
      </c>
      <c r="H65" s="565">
        <v>44113</v>
      </c>
      <c r="I65" s="652">
        <v>45627</v>
      </c>
      <c r="J65" s="653">
        <v>2244</v>
      </c>
      <c r="K65" s="603">
        <v>0.4</v>
      </c>
      <c r="L65" s="646">
        <v>853</v>
      </c>
      <c r="M65" s="654" t="str">
        <f>VLOOKUP(G:G,list!B:E,4,FALSE)</f>
        <v>-</v>
      </c>
      <c r="N65" s="655">
        <f t="shared" si="0"/>
        <v>0</v>
      </c>
      <c r="O65" s="655">
        <f t="shared" si="1"/>
        <v>853</v>
      </c>
      <c r="P65" s="564"/>
      <c r="Q65" s="672" t="str">
        <f>VLOOKUP(G:G,list!B:F,5,FALSE)</f>
        <v>-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32</v>
      </c>
      <c r="E66" s="564" t="s">
        <v>9</v>
      </c>
      <c r="F66" s="564" t="s">
        <v>154</v>
      </c>
      <c r="G66" s="564" t="s">
        <v>454</v>
      </c>
      <c r="H66" s="565">
        <v>44869</v>
      </c>
      <c r="I66" s="652">
        <v>45627</v>
      </c>
      <c r="J66" s="653">
        <v>138173</v>
      </c>
      <c r="K66" s="603">
        <v>0.4</v>
      </c>
      <c r="L66" s="646">
        <v>52506</v>
      </c>
      <c r="M66" s="654">
        <f>VLOOKUP(G:G,list!B:E,4,FALSE)</f>
        <v>0.1</v>
      </c>
      <c r="N66" s="655">
        <f t="shared" si="0"/>
        <v>5251</v>
      </c>
      <c r="O66" s="655">
        <f t="shared" si="1"/>
        <v>47255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182</v>
      </c>
      <c r="E67" s="564" t="s">
        <v>115</v>
      </c>
      <c r="F67" s="564" t="s">
        <v>386</v>
      </c>
      <c r="G67" s="564" t="s">
        <v>30</v>
      </c>
      <c r="H67" s="565">
        <v>44591</v>
      </c>
      <c r="I67" s="652">
        <v>45597</v>
      </c>
      <c r="J67" s="653">
        <v>689</v>
      </c>
      <c r="K67" s="603">
        <v>0.5</v>
      </c>
      <c r="L67" s="646">
        <v>345</v>
      </c>
      <c r="M67" s="654">
        <f>VLOOKUP(G:G,list!B:E,4,FALSE)</f>
        <v>0.1</v>
      </c>
      <c r="N67" s="655">
        <f t="shared" si="0"/>
        <v>35</v>
      </c>
      <c r="O67" s="655">
        <f t="shared" si="1"/>
        <v>310</v>
      </c>
      <c r="P67" s="564"/>
      <c r="Q67" s="672" t="str">
        <f>VLOOKUP(G:G,list!B:F,5,FALSE)</f>
        <v>웹소설본부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작가기획</v>
      </c>
      <c r="D68" s="564" t="s">
        <v>182</v>
      </c>
      <c r="E68" s="564" t="s">
        <v>115</v>
      </c>
      <c r="F68" s="564" t="s">
        <v>386</v>
      </c>
      <c r="G68" s="564" t="s">
        <v>36</v>
      </c>
      <c r="H68" s="565">
        <v>44643</v>
      </c>
      <c r="I68" s="652">
        <v>45597</v>
      </c>
      <c r="J68" s="653">
        <v>59124</v>
      </c>
      <c r="K68" s="603">
        <v>0.5</v>
      </c>
      <c r="L68" s="646">
        <v>29562</v>
      </c>
      <c r="M68" s="654" t="str">
        <f>VLOOKUP(G:G,list!B:E,4,FALSE)</f>
        <v>-</v>
      </c>
      <c r="N68" s="655">
        <f t="shared" si="0"/>
        <v>0</v>
      </c>
      <c r="O68" s="655">
        <f t="shared" si="1"/>
        <v>29562</v>
      </c>
      <c r="P68" s="564"/>
      <c r="Q68" s="672" t="str">
        <f>VLOOKUP(G:G,list!B:F,5,FALSE)</f>
        <v>-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작가기획</v>
      </c>
      <c r="D69" s="564" t="s">
        <v>182</v>
      </c>
      <c r="E69" s="564" t="s">
        <v>115</v>
      </c>
      <c r="F69" s="564" t="s">
        <v>386</v>
      </c>
      <c r="G69" s="564" t="s">
        <v>37</v>
      </c>
      <c r="H69" s="565">
        <v>44643</v>
      </c>
      <c r="I69" s="652">
        <v>45597</v>
      </c>
      <c r="J69" s="653">
        <v>349</v>
      </c>
      <c r="K69" s="603">
        <v>0.5</v>
      </c>
      <c r="L69" s="646">
        <v>175</v>
      </c>
      <c r="M69" s="654" t="str">
        <f>VLOOKUP(G:G,list!B:E,4,FALSE)</f>
        <v>-</v>
      </c>
      <c r="N69" s="655">
        <f t="shared" si="0"/>
        <v>0</v>
      </c>
      <c r="O69" s="655">
        <f t="shared" si="1"/>
        <v>175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182</v>
      </c>
      <c r="E70" s="564" t="s">
        <v>115</v>
      </c>
      <c r="F70" s="564" t="s">
        <v>386</v>
      </c>
      <c r="G70" s="564" t="s">
        <v>56</v>
      </c>
      <c r="H70" s="565">
        <v>44599</v>
      </c>
      <c r="I70" s="652">
        <v>45597</v>
      </c>
      <c r="J70" s="653">
        <v>68549</v>
      </c>
      <c r="K70" s="603">
        <v>0.5</v>
      </c>
      <c r="L70" s="646">
        <v>34275</v>
      </c>
      <c r="M70" s="654">
        <f>VLOOKUP(G:G,list!B:E,4,FALSE)</f>
        <v>0.1</v>
      </c>
      <c r="N70" s="655">
        <f t="shared" si="0"/>
        <v>3428</v>
      </c>
      <c r="O70" s="655">
        <f t="shared" si="1"/>
        <v>30847</v>
      </c>
      <c r="P70" s="564"/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538</v>
      </c>
      <c r="E71" s="564" t="s">
        <v>9</v>
      </c>
      <c r="F71" s="564" t="s">
        <v>519</v>
      </c>
      <c r="G71" s="564" t="s">
        <v>316</v>
      </c>
      <c r="H71" s="565">
        <v>45446</v>
      </c>
      <c r="I71" s="652">
        <v>45658</v>
      </c>
      <c r="J71" s="653">
        <v>41762.000000000007</v>
      </c>
      <c r="K71" s="603">
        <v>0.7</v>
      </c>
      <c r="L71" s="646">
        <v>29233.4</v>
      </c>
      <c r="M71" s="654">
        <f>VLOOKUP(G:G,list!B:E,4,FALSE)</f>
        <v>0.1</v>
      </c>
      <c r="N71" s="655">
        <f t="shared" si="0"/>
        <v>2923</v>
      </c>
      <c r="O71" s="655">
        <f t="shared" si="1"/>
        <v>26310.400000000001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549</v>
      </c>
      <c r="E72" s="564" t="s">
        <v>9</v>
      </c>
      <c r="F72" s="564" t="s">
        <v>519</v>
      </c>
      <c r="G72" s="564" t="s">
        <v>316</v>
      </c>
      <c r="H72" s="565">
        <v>45524</v>
      </c>
      <c r="I72" s="652">
        <v>45658</v>
      </c>
      <c r="J72" s="653">
        <v>0</v>
      </c>
      <c r="K72" s="603">
        <v>0.7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123</v>
      </c>
      <c r="E73" s="564" t="s">
        <v>9</v>
      </c>
      <c r="F73" s="564" t="s">
        <v>519</v>
      </c>
      <c r="G73" s="564" t="s">
        <v>316</v>
      </c>
      <c r="H73" s="565">
        <v>45536</v>
      </c>
      <c r="I73" s="652">
        <v>45658</v>
      </c>
      <c r="J73" s="653">
        <v>0</v>
      </c>
      <c r="K73" s="603">
        <v>0.7</v>
      </c>
      <c r="L73" s="646">
        <v>0</v>
      </c>
      <c r="M73" s="654">
        <f>VLOOKUP(G:G,list!B:E,4,FALSE)</f>
        <v>0.1</v>
      </c>
      <c r="N73" s="655">
        <f t="shared" si="0"/>
        <v>0</v>
      </c>
      <c r="O73" s="655">
        <f t="shared" si="1"/>
        <v>0</v>
      </c>
      <c r="P73" s="564" t="s">
        <v>366</v>
      </c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316</v>
      </c>
      <c r="H74" s="565">
        <v>44945</v>
      </c>
      <c r="I74" s="652">
        <v>45658</v>
      </c>
      <c r="J74" s="653">
        <v>0</v>
      </c>
      <c r="K74" s="603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132</v>
      </c>
      <c r="E75" s="564" t="s">
        <v>9</v>
      </c>
      <c r="F75" s="564" t="s">
        <v>519</v>
      </c>
      <c r="G75" s="564" t="s">
        <v>56</v>
      </c>
      <c r="H75" s="565">
        <v>44952</v>
      </c>
      <c r="I75" s="652">
        <v>45658</v>
      </c>
      <c r="J75" s="653">
        <v>399</v>
      </c>
      <c r="K75" s="567">
        <v>0.5</v>
      </c>
      <c r="L75" s="646">
        <v>199.5</v>
      </c>
      <c r="M75" s="654">
        <f>VLOOKUP(G:G,list!B:E,4,FALSE)</f>
        <v>0.1</v>
      </c>
      <c r="N75" s="655">
        <f t="shared" si="0"/>
        <v>20</v>
      </c>
      <c r="O75" s="655">
        <f t="shared" si="1"/>
        <v>179.5</v>
      </c>
      <c r="P75" s="564"/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538</v>
      </c>
      <c r="E76" s="564" t="s">
        <v>9</v>
      </c>
      <c r="F76" s="564" t="s">
        <v>519</v>
      </c>
      <c r="G76" s="564" t="s">
        <v>56</v>
      </c>
      <c r="H76" s="565">
        <v>45503</v>
      </c>
      <c r="I76" s="652">
        <v>45658</v>
      </c>
      <c r="J76" s="653">
        <v>27930</v>
      </c>
      <c r="K76" s="567">
        <v>0.5</v>
      </c>
      <c r="L76" s="646">
        <v>13965</v>
      </c>
      <c r="M76" s="654">
        <f>VLOOKUP(G:G,list!B:E,4,FALSE)</f>
        <v>0.1</v>
      </c>
      <c r="N76" s="655">
        <f t="shared" si="0"/>
        <v>1397</v>
      </c>
      <c r="O76" s="655">
        <f t="shared" si="1"/>
        <v>12568</v>
      </c>
      <c r="P76" s="564"/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549</v>
      </c>
      <c r="E77" s="564" t="s">
        <v>9</v>
      </c>
      <c r="F77" s="564" t="s">
        <v>519</v>
      </c>
      <c r="G77" s="564" t="s">
        <v>56</v>
      </c>
      <c r="H77" s="565">
        <v>45547</v>
      </c>
      <c r="I77" s="652">
        <v>45658</v>
      </c>
      <c r="J77" s="653">
        <v>2793</v>
      </c>
      <c r="K77" s="567">
        <v>0.5</v>
      </c>
      <c r="L77" s="646">
        <v>1396.5</v>
      </c>
      <c r="M77" s="654">
        <f>VLOOKUP(G:G,list!B:E,4,FALSE)</f>
        <v>0.1</v>
      </c>
      <c r="N77" s="655">
        <f t="shared" si="0"/>
        <v>140</v>
      </c>
      <c r="O77" s="655">
        <f t="shared" si="1"/>
        <v>1256.5</v>
      </c>
      <c r="P77" s="564"/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132</v>
      </c>
      <c r="E78" s="564" t="s">
        <v>9</v>
      </c>
      <c r="F78" s="564" t="s">
        <v>519</v>
      </c>
      <c r="G78" s="564" t="s">
        <v>30</v>
      </c>
      <c r="H78" s="565">
        <v>44953</v>
      </c>
      <c r="I78" s="652">
        <v>45658</v>
      </c>
      <c r="J78" s="653">
        <v>0</v>
      </c>
      <c r="K78" s="567">
        <v>0.5</v>
      </c>
      <c r="L78" s="646">
        <v>0</v>
      </c>
      <c r="M78" s="654">
        <f>VLOOKUP(G:G,list!B:E,4,FALSE)</f>
        <v>0.1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132</v>
      </c>
      <c r="E79" s="564" t="s">
        <v>9</v>
      </c>
      <c r="F79" s="564" t="s">
        <v>519</v>
      </c>
      <c r="G79" s="564" t="s">
        <v>308</v>
      </c>
      <c r="H79" s="565">
        <v>44992</v>
      </c>
      <c r="I79" s="652">
        <v>45658</v>
      </c>
      <c r="J79" s="653">
        <v>1995</v>
      </c>
      <c r="K79" s="603">
        <v>0.5</v>
      </c>
      <c r="L79" s="646">
        <v>997.5</v>
      </c>
      <c r="M79" s="654" t="str">
        <f>VLOOKUP(G:G,list!B:E,4,FALSE)</f>
        <v>-</v>
      </c>
      <c r="N79" s="655">
        <f t="shared" si="0"/>
        <v>0</v>
      </c>
      <c r="O79" s="655">
        <f t="shared" si="1"/>
        <v>997.5</v>
      </c>
      <c r="P79" s="564"/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538</v>
      </c>
      <c r="E80" s="564" t="s">
        <v>9</v>
      </c>
      <c r="F80" s="564" t="s">
        <v>519</v>
      </c>
      <c r="G80" s="564" t="s">
        <v>308</v>
      </c>
      <c r="H80" s="565">
        <v>45610</v>
      </c>
      <c r="I80" s="652">
        <v>45658</v>
      </c>
      <c r="J80" s="653">
        <v>2660</v>
      </c>
      <c r="K80" s="603">
        <v>0.5</v>
      </c>
      <c r="L80" s="646">
        <v>1330</v>
      </c>
      <c r="M80" s="654" t="str">
        <f>VLOOKUP(G:G,list!B:E,4,FALSE)</f>
        <v>-</v>
      </c>
      <c r="N80" s="655">
        <f t="shared" si="0"/>
        <v>0</v>
      </c>
      <c r="O80" s="655">
        <f t="shared" si="1"/>
        <v>1330</v>
      </c>
      <c r="P80" s="564"/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36</v>
      </c>
      <c r="H81" s="565">
        <v>45198</v>
      </c>
      <c r="I81" s="652">
        <v>45658</v>
      </c>
      <c r="J81" s="653">
        <v>432117</v>
      </c>
      <c r="K81" s="603">
        <v>0.5</v>
      </c>
      <c r="L81" s="646">
        <v>216058.5</v>
      </c>
      <c r="M81" s="654" t="str">
        <f>VLOOKUP(G:G,list!B:E,4,FALSE)</f>
        <v>-</v>
      </c>
      <c r="N81" s="655">
        <f t="shared" si="0"/>
        <v>0</v>
      </c>
      <c r="O81" s="655">
        <f t="shared" si="1"/>
        <v>216058.5</v>
      </c>
      <c r="P81" s="564"/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36</v>
      </c>
      <c r="H82" s="565">
        <v>45479</v>
      </c>
      <c r="I82" s="652">
        <v>45658</v>
      </c>
      <c r="J82" s="653">
        <v>3990</v>
      </c>
      <c r="K82" s="603">
        <v>0.5</v>
      </c>
      <c r="L82" s="646">
        <v>1995</v>
      </c>
      <c r="M82" s="654" t="str">
        <f>VLOOKUP(G:G,list!B:E,4,FALSE)</f>
        <v>-</v>
      </c>
      <c r="N82" s="655">
        <f t="shared" si="0"/>
        <v>0</v>
      </c>
      <c r="O82" s="655">
        <f t="shared" si="1"/>
        <v>1995</v>
      </c>
      <c r="P82" s="564"/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549</v>
      </c>
      <c r="E83" s="564" t="s">
        <v>9</v>
      </c>
      <c r="F83" s="564" t="s">
        <v>519</v>
      </c>
      <c r="G83" s="564" t="s">
        <v>36</v>
      </c>
      <c r="H83" s="565">
        <v>45531</v>
      </c>
      <c r="I83" s="652">
        <v>45658</v>
      </c>
      <c r="J83" s="653">
        <v>2394</v>
      </c>
      <c r="K83" s="603">
        <v>0.5</v>
      </c>
      <c r="L83" s="646">
        <v>1197</v>
      </c>
      <c r="M83" s="654" t="str">
        <f>VLOOKUP(G:G,list!B:E,4,FALSE)</f>
        <v>-</v>
      </c>
      <c r="N83" s="655">
        <f t="shared" ref="N83" si="2">ROUND(IF(M83="-",0,L83*M83),0)</f>
        <v>0</v>
      </c>
      <c r="O83" s="655">
        <f t="shared" ref="O83" si="3">L83-N83</f>
        <v>1197</v>
      </c>
      <c r="P83" s="564"/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123</v>
      </c>
      <c r="E84" s="564" t="s">
        <v>9</v>
      </c>
      <c r="F84" s="564" t="s">
        <v>519</v>
      </c>
      <c r="G84" s="564" t="s">
        <v>36</v>
      </c>
      <c r="H84" s="565">
        <v>45555</v>
      </c>
      <c r="I84" s="652">
        <v>45658</v>
      </c>
      <c r="J84" s="653">
        <v>0</v>
      </c>
      <c r="K84" s="603">
        <v>0.5</v>
      </c>
      <c r="L84" s="646">
        <v>0</v>
      </c>
      <c r="M84" s="654" t="str">
        <f>VLOOKUP(G:G,list!B:E,4,FALSE)</f>
        <v>-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132</v>
      </c>
      <c r="E85" s="564" t="s">
        <v>9</v>
      </c>
      <c r="F85" s="564" t="s">
        <v>519</v>
      </c>
      <c r="G85" s="564" t="s">
        <v>139</v>
      </c>
      <c r="H85" s="565">
        <v>45276</v>
      </c>
      <c r="I85" s="652">
        <v>45658</v>
      </c>
      <c r="J85" s="653">
        <v>47215</v>
      </c>
      <c r="K85" s="603">
        <v>0.5</v>
      </c>
      <c r="L85" s="646">
        <v>23607.5</v>
      </c>
      <c r="M85" s="654" t="str">
        <f>VLOOKUP(G:G,list!B:E,4,FALSE)</f>
        <v>-</v>
      </c>
      <c r="N85" s="655">
        <f t="shared" si="0"/>
        <v>0</v>
      </c>
      <c r="O85" s="655">
        <f t="shared" si="1"/>
        <v>23607.5</v>
      </c>
      <c r="P85" s="564"/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538</v>
      </c>
      <c r="E86" s="564" t="s">
        <v>9</v>
      </c>
      <c r="F86" s="564" t="s">
        <v>519</v>
      </c>
      <c r="G86" s="564" t="s">
        <v>139</v>
      </c>
      <c r="H86" s="565">
        <v>45534</v>
      </c>
      <c r="I86" s="652">
        <v>45658</v>
      </c>
      <c r="J86" s="653">
        <v>1197</v>
      </c>
      <c r="K86" s="603">
        <v>0.5</v>
      </c>
      <c r="L86" s="646">
        <v>598.5</v>
      </c>
      <c r="M86" s="654" t="str">
        <f>VLOOKUP(G:G,list!B:E,4,FALSE)</f>
        <v>-</v>
      </c>
      <c r="N86" s="655">
        <f t="shared" si="0"/>
        <v>0</v>
      </c>
      <c r="O86" s="655">
        <f t="shared" si="1"/>
        <v>598.5</v>
      </c>
      <c r="P86" s="564"/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182</v>
      </c>
      <c r="E87" s="564" t="s">
        <v>115</v>
      </c>
      <c r="F87" s="564" t="s">
        <v>550</v>
      </c>
      <c r="G87" s="564" t="s">
        <v>308</v>
      </c>
      <c r="H87" s="565">
        <v>45347</v>
      </c>
      <c r="I87" s="652">
        <v>45597</v>
      </c>
      <c r="J87" s="653">
        <v>537</v>
      </c>
      <c r="K87" s="603">
        <v>0.5</v>
      </c>
      <c r="L87" s="646">
        <v>269</v>
      </c>
      <c r="M87" s="654" t="str">
        <f>VLOOKUP(G:G,list!B:E,4,FALSE)</f>
        <v>-</v>
      </c>
      <c r="N87" s="655">
        <f t="shared" si="0"/>
        <v>0</v>
      </c>
      <c r="O87" s="655">
        <f t="shared" si="1"/>
        <v>269</v>
      </c>
      <c r="P87" s="564"/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원작료</v>
      </c>
      <c r="D88" s="564" t="s">
        <v>182</v>
      </c>
      <c r="E88" s="564" t="s">
        <v>115</v>
      </c>
      <c r="F88" s="564" t="s">
        <v>550</v>
      </c>
      <c r="G88" s="564" t="s">
        <v>316</v>
      </c>
      <c r="H88" s="565">
        <v>45359</v>
      </c>
      <c r="I88" s="652">
        <v>45597</v>
      </c>
      <c r="J88" s="653">
        <v>4831</v>
      </c>
      <c r="K88" s="603">
        <v>0.5</v>
      </c>
      <c r="L88" s="646">
        <v>2416</v>
      </c>
      <c r="M88" s="654">
        <f>VLOOKUP(G:G,list!B:E,4,FALSE)</f>
        <v>0.1</v>
      </c>
      <c r="N88" s="655">
        <f t="shared" si="0"/>
        <v>242</v>
      </c>
      <c r="O88" s="655">
        <f t="shared" si="1"/>
        <v>2174</v>
      </c>
      <c r="P88" s="564"/>
      <c r="Q88" s="672" t="str">
        <f>VLOOKUP(G:G,list!B:F,5,FALSE)</f>
        <v>웹소설본부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32</v>
      </c>
      <c r="E89" s="564" t="s">
        <v>9</v>
      </c>
      <c r="F89" s="564" t="s">
        <v>31</v>
      </c>
      <c r="G89" s="564" t="s">
        <v>30</v>
      </c>
      <c r="H89" s="565">
        <v>44239</v>
      </c>
      <c r="I89" s="652">
        <v>45627</v>
      </c>
      <c r="J89" s="653">
        <v>25561</v>
      </c>
      <c r="K89" s="603">
        <v>0.4</v>
      </c>
      <c r="L89" s="646">
        <v>9711</v>
      </c>
      <c r="M89" s="654">
        <f>VLOOKUP(G:G,list!B:E,4,FALSE)</f>
        <v>0.1</v>
      </c>
      <c r="N89" s="655">
        <f t="shared" si="0"/>
        <v>971</v>
      </c>
      <c r="O89" s="655">
        <f t="shared" si="1"/>
        <v>8740</v>
      </c>
      <c r="P89" s="564"/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123</v>
      </c>
      <c r="E90" s="564" t="s">
        <v>9</v>
      </c>
      <c r="F90" s="564" t="s">
        <v>213</v>
      </c>
      <c r="G90" s="564" t="s">
        <v>56</v>
      </c>
      <c r="H90" s="565">
        <v>44581</v>
      </c>
      <c r="I90" s="652">
        <v>45658</v>
      </c>
      <c r="J90" s="653">
        <v>775017</v>
      </c>
      <c r="K90" s="603">
        <v>0.3</v>
      </c>
      <c r="L90" s="568">
        <v>232505</v>
      </c>
      <c r="M90" s="654">
        <f>VLOOKUP(G:G,list!B:E,4,FALSE)</f>
        <v>0.1</v>
      </c>
      <c r="N90" s="655">
        <f t="shared" si="0"/>
        <v>23251</v>
      </c>
      <c r="O90" s="655">
        <f t="shared" si="1"/>
        <v>209254</v>
      </c>
      <c r="P90" s="564" t="s">
        <v>186</v>
      </c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183</v>
      </c>
      <c r="E91" s="564" t="s">
        <v>9</v>
      </c>
      <c r="F91" s="564" t="s">
        <v>213</v>
      </c>
      <c r="G91" s="564" t="s">
        <v>56</v>
      </c>
      <c r="H91" s="565">
        <v>44829</v>
      </c>
      <c r="I91" s="652">
        <v>45658</v>
      </c>
      <c r="J91" s="653">
        <v>651780</v>
      </c>
      <c r="K91" s="603">
        <v>0.3</v>
      </c>
      <c r="L91" s="568">
        <v>195534</v>
      </c>
      <c r="M91" s="654">
        <f>VLOOKUP(G:G,list!B:E,4,FALSE)</f>
        <v>0.1</v>
      </c>
      <c r="N91" s="655">
        <f t="shared" si="0"/>
        <v>19553</v>
      </c>
      <c r="O91" s="655">
        <f t="shared" si="1"/>
        <v>175981</v>
      </c>
      <c r="P91" s="564" t="s">
        <v>186</v>
      </c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123</v>
      </c>
      <c r="E92" s="564" t="s">
        <v>9</v>
      </c>
      <c r="F92" s="564" t="s">
        <v>213</v>
      </c>
      <c r="G92" s="564" t="s">
        <v>454</v>
      </c>
      <c r="H92" s="565">
        <v>44854</v>
      </c>
      <c r="I92" s="652">
        <v>45658</v>
      </c>
      <c r="J92" s="653">
        <v>5730570</v>
      </c>
      <c r="K92" s="603">
        <v>0.3</v>
      </c>
      <c r="L92" s="568">
        <v>1719171</v>
      </c>
      <c r="M92" s="654">
        <f>VLOOKUP(G:G,list!B:E,4,FALSE)</f>
        <v>0.1</v>
      </c>
      <c r="N92" s="655">
        <f t="shared" si="0"/>
        <v>171917</v>
      </c>
      <c r="O92" s="655">
        <f t="shared" si="1"/>
        <v>1547254</v>
      </c>
      <c r="P92" s="564" t="s">
        <v>186</v>
      </c>
      <c r="Q92" s="672" t="str">
        <f>VLOOKUP(G:G,list!B:F,5,FALSE)</f>
        <v>-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123</v>
      </c>
      <c r="E93" s="564" t="s">
        <v>9</v>
      </c>
      <c r="F93" s="564" t="s">
        <v>213</v>
      </c>
      <c r="G93" s="564" t="s">
        <v>481</v>
      </c>
      <c r="H93" s="565">
        <v>44981</v>
      </c>
      <c r="I93" s="652">
        <v>45658</v>
      </c>
      <c r="J93" s="653">
        <v>146010</v>
      </c>
      <c r="K93" s="603">
        <v>0.3</v>
      </c>
      <c r="L93" s="568">
        <v>43803</v>
      </c>
      <c r="M93" s="654">
        <f>VLOOKUP(G:G,list!B:E,4,FALSE)</f>
        <v>0.1</v>
      </c>
      <c r="N93" s="655">
        <f t="shared" si="0"/>
        <v>4380</v>
      </c>
      <c r="O93" s="655">
        <f t="shared" si="1"/>
        <v>39423</v>
      </c>
      <c r="P93" s="564" t="s">
        <v>186</v>
      </c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352</v>
      </c>
      <c r="H94" s="565">
        <v>44984</v>
      </c>
      <c r="I94" s="652">
        <v>45658</v>
      </c>
      <c r="J94" s="653">
        <v>291797</v>
      </c>
      <c r="K94" s="603">
        <v>0.3</v>
      </c>
      <c r="L94" s="568">
        <v>87539</v>
      </c>
      <c r="M94" s="654">
        <f>VLOOKUP(G:G,list!B:E,4,FALSE)</f>
        <v>0.1</v>
      </c>
      <c r="N94" s="655">
        <f t="shared" si="0"/>
        <v>8754</v>
      </c>
      <c r="O94" s="655">
        <f t="shared" si="1"/>
        <v>78785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72</v>
      </c>
      <c r="E95" s="564" t="s">
        <v>9</v>
      </c>
      <c r="F95" s="564" t="s">
        <v>213</v>
      </c>
      <c r="G95" s="564" t="s">
        <v>454</v>
      </c>
      <c r="H95" s="565">
        <v>44902</v>
      </c>
      <c r="I95" s="652">
        <v>45627</v>
      </c>
      <c r="J95" s="653">
        <v>1725127</v>
      </c>
      <c r="K95" s="603">
        <v>0.3</v>
      </c>
      <c r="L95" s="568">
        <v>517538</v>
      </c>
      <c r="M95" s="654">
        <f>VLOOKUP(G:G,list!B:E,4,FALSE)</f>
        <v>0.1</v>
      </c>
      <c r="N95" s="655">
        <f t="shared" ref="N95:N131" si="4">ROUND(IF(M95="-",0,L95*M95),0)</f>
        <v>51754</v>
      </c>
      <c r="O95" s="655">
        <f t="shared" ref="O95:O131" si="5">L95-N95</f>
        <v>465784</v>
      </c>
      <c r="P95" s="564" t="s">
        <v>282</v>
      </c>
      <c r="Q95" s="672" t="str">
        <f>VLOOKUP(G:G,list!B:F,5,FALSE)</f>
        <v>-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72</v>
      </c>
      <c r="E96" s="564" t="s">
        <v>9</v>
      </c>
      <c r="F96" s="564" t="s">
        <v>213</v>
      </c>
      <c r="G96" s="564" t="s">
        <v>454</v>
      </c>
      <c r="H96" s="565">
        <v>45257</v>
      </c>
      <c r="I96" s="652">
        <v>45627</v>
      </c>
      <c r="J96" s="653">
        <v>18133</v>
      </c>
      <c r="K96" s="603">
        <v>0.3</v>
      </c>
      <c r="L96" s="568">
        <v>5440</v>
      </c>
      <c r="M96" s="654">
        <f>VLOOKUP(G:G,list!B:E,4,FALSE)</f>
        <v>0.1</v>
      </c>
      <c r="N96" s="655">
        <f t="shared" si="4"/>
        <v>544</v>
      </c>
      <c r="O96" s="655">
        <f t="shared" si="5"/>
        <v>4896</v>
      </c>
      <c r="P96" s="564" t="s">
        <v>546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229</v>
      </c>
      <c r="E97" s="564" t="s">
        <v>9</v>
      </c>
      <c r="F97" s="564" t="s">
        <v>230</v>
      </c>
      <c r="G97" s="564" t="s">
        <v>353</v>
      </c>
      <c r="H97" s="565">
        <v>44916</v>
      </c>
      <c r="I97" s="652">
        <v>45566</v>
      </c>
      <c r="J97" s="653">
        <v>722840</v>
      </c>
      <c r="K97" s="603">
        <v>0.35</v>
      </c>
      <c r="L97" s="568">
        <v>227694</v>
      </c>
      <c r="M97" s="654">
        <f>VLOOKUP(G:G,list!B:E,4,FALSE)</f>
        <v>0.11</v>
      </c>
      <c r="N97" s="655">
        <f t="shared" si="4"/>
        <v>25046</v>
      </c>
      <c r="O97" s="655">
        <f t="shared" si="5"/>
        <v>202648</v>
      </c>
      <c r="P97" s="564"/>
      <c r="Q97" s="672" t="str">
        <f>VLOOKUP(G:G,list!B:F,5,FALSE)</f>
        <v>-</v>
      </c>
      <c r="R97" s="656" t="str">
        <f>VLOOKUP(G:G,list!B:D,3,FALSE)</f>
        <v>N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229</v>
      </c>
      <c r="E98" s="564" t="s">
        <v>9</v>
      </c>
      <c r="F98" s="564" t="s">
        <v>230</v>
      </c>
      <c r="G98" s="564" t="s">
        <v>352</v>
      </c>
      <c r="H98" s="565">
        <v>45106</v>
      </c>
      <c r="I98" s="652">
        <v>45566</v>
      </c>
      <c r="J98" s="653">
        <v>1527994</v>
      </c>
      <c r="K98" s="603">
        <v>0.35</v>
      </c>
      <c r="L98" s="568">
        <v>481318</v>
      </c>
      <c r="M98" s="654">
        <f>VLOOKUP(G:G,list!B:E,4,FALSE)</f>
        <v>0.1</v>
      </c>
      <c r="N98" s="655">
        <f t="shared" si="4"/>
        <v>48132</v>
      </c>
      <c r="O98" s="655">
        <f t="shared" si="5"/>
        <v>433186</v>
      </c>
      <c r="P98" s="564"/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229</v>
      </c>
      <c r="E99" s="564" t="s">
        <v>9</v>
      </c>
      <c r="F99" s="564" t="s">
        <v>230</v>
      </c>
      <c r="G99" s="564" t="s">
        <v>353</v>
      </c>
      <c r="H99" s="565">
        <v>44916</v>
      </c>
      <c r="I99" s="652">
        <v>45597</v>
      </c>
      <c r="J99" s="653">
        <v>571480</v>
      </c>
      <c r="K99" s="603">
        <v>0.35</v>
      </c>
      <c r="L99" s="568">
        <v>180016</v>
      </c>
      <c r="M99" s="654">
        <f>VLOOKUP(G:G,list!B:E,4,FALSE)</f>
        <v>0.11</v>
      </c>
      <c r="N99" s="655">
        <f t="shared" si="4"/>
        <v>19802</v>
      </c>
      <c r="O99" s="655">
        <f t="shared" si="5"/>
        <v>160214</v>
      </c>
      <c r="P99" s="564"/>
      <c r="Q99" s="672" t="str">
        <f>VLOOKUP(G:G,list!B:F,5,FALSE)</f>
        <v>-</v>
      </c>
      <c r="R99" s="656" t="str">
        <f>VLOOKUP(G:G,list!B:D,3,FALSE)</f>
        <v>N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229</v>
      </c>
      <c r="E100" s="564" t="s">
        <v>9</v>
      </c>
      <c r="F100" s="564" t="s">
        <v>230</v>
      </c>
      <c r="G100" s="564" t="s">
        <v>352</v>
      </c>
      <c r="H100" s="565">
        <v>45106</v>
      </c>
      <c r="I100" s="652">
        <v>45597</v>
      </c>
      <c r="J100" s="653">
        <v>1198864</v>
      </c>
      <c r="K100" s="603">
        <v>0.35</v>
      </c>
      <c r="L100" s="568">
        <v>377642</v>
      </c>
      <c r="M100" s="654">
        <f>VLOOKUP(G:G,list!B:E,4,FALSE)</f>
        <v>0.1</v>
      </c>
      <c r="N100" s="655">
        <f t="shared" si="4"/>
        <v>37764</v>
      </c>
      <c r="O100" s="655">
        <f t="shared" si="5"/>
        <v>339878</v>
      </c>
      <c r="P100" s="564"/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229</v>
      </c>
      <c r="E101" s="564" t="s">
        <v>9</v>
      </c>
      <c r="F101" s="564" t="s">
        <v>230</v>
      </c>
      <c r="G101" s="564" t="s">
        <v>353</v>
      </c>
      <c r="H101" s="565">
        <v>44916</v>
      </c>
      <c r="I101" s="652">
        <v>45627</v>
      </c>
      <c r="J101" s="653">
        <v>442877</v>
      </c>
      <c r="K101" s="603">
        <v>0.35</v>
      </c>
      <c r="L101" s="568">
        <v>139506</v>
      </c>
      <c r="M101" s="654">
        <f>VLOOKUP(G:G,list!B:E,4,FALSE)</f>
        <v>0.11</v>
      </c>
      <c r="N101" s="655">
        <f t="shared" si="4"/>
        <v>15346</v>
      </c>
      <c r="O101" s="655">
        <f t="shared" si="5"/>
        <v>124160</v>
      </c>
      <c r="P101" s="564"/>
      <c r="Q101" s="672" t="str">
        <f>VLOOKUP(G:G,list!B:F,5,FALSE)</f>
        <v>-</v>
      </c>
      <c r="R101" s="656" t="str">
        <f>VLOOKUP(G:G,list!B:D,3,FALSE)</f>
        <v>N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229</v>
      </c>
      <c r="E102" s="564" t="s">
        <v>9</v>
      </c>
      <c r="F102" s="564" t="s">
        <v>230</v>
      </c>
      <c r="G102" s="564" t="s">
        <v>352</v>
      </c>
      <c r="H102" s="565">
        <v>45106</v>
      </c>
      <c r="I102" s="652">
        <v>45627</v>
      </c>
      <c r="J102" s="653">
        <v>1443758</v>
      </c>
      <c r="K102" s="603">
        <v>0.35</v>
      </c>
      <c r="L102" s="568">
        <v>454783</v>
      </c>
      <c r="M102" s="654">
        <f>VLOOKUP(G:G,list!B:E,4,FALSE)</f>
        <v>0.1</v>
      </c>
      <c r="N102" s="655">
        <f t="shared" si="4"/>
        <v>45478</v>
      </c>
      <c r="O102" s="655">
        <f t="shared" si="5"/>
        <v>409305</v>
      </c>
      <c r="P102" s="564"/>
      <c r="Q102" s="672" t="str">
        <f>VLOOKUP(G:G,list!B:F,5,FALSE)</f>
        <v>웹소설본부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79</v>
      </c>
      <c r="E103" s="564" t="s">
        <v>9</v>
      </c>
      <c r="F103" s="564" t="s">
        <v>297</v>
      </c>
      <c r="G103" s="564" t="s">
        <v>56</v>
      </c>
      <c r="H103" s="565">
        <v>44625</v>
      </c>
      <c r="I103" s="652">
        <v>45566</v>
      </c>
      <c r="J103" s="653">
        <v>89015</v>
      </c>
      <c r="K103" s="603">
        <v>0.28000000000000003</v>
      </c>
      <c r="L103" s="568">
        <v>20569</v>
      </c>
      <c r="M103" s="654">
        <f>VLOOKUP(G:G,list!B:E,4,FALSE)</f>
        <v>0.1</v>
      </c>
      <c r="N103" s="655">
        <f t="shared" si="4"/>
        <v>2057</v>
      </c>
      <c r="O103" s="655">
        <f t="shared" si="5"/>
        <v>18512</v>
      </c>
      <c r="P103" s="564"/>
      <c r="Q103" s="672" t="str">
        <f>VLOOKUP(G:G,list!B:F,5,FALSE)</f>
        <v>웹소설본부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79</v>
      </c>
      <c r="E104" s="564" t="s">
        <v>9</v>
      </c>
      <c r="F104" s="564" t="s">
        <v>297</v>
      </c>
      <c r="G104" s="564" t="s">
        <v>316</v>
      </c>
      <c r="H104" s="565">
        <v>44802</v>
      </c>
      <c r="I104" s="652">
        <v>45566</v>
      </c>
      <c r="J104" s="653">
        <v>16198</v>
      </c>
      <c r="K104" s="603">
        <v>0.28000000000000003</v>
      </c>
      <c r="L104" s="568">
        <v>3745</v>
      </c>
      <c r="M104" s="654">
        <f>VLOOKUP(G:G,list!B:E,4,FALSE)</f>
        <v>0.1</v>
      </c>
      <c r="N104" s="655">
        <f t="shared" si="4"/>
        <v>375</v>
      </c>
      <c r="O104" s="655">
        <f t="shared" si="5"/>
        <v>3370</v>
      </c>
      <c r="P104" s="564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79</v>
      </c>
      <c r="E105" s="564" t="s">
        <v>9</v>
      </c>
      <c r="F105" s="564" t="s">
        <v>297</v>
      </c>
      <c r="G105" s="564" t="s">
        <v>352</v>
      </c>
      <c r="H105" s="565">
        <v>44916</v>
      </c>
      <c r="I105" s="652">
        <v>45566</v>
      </c>
      <c r="J105" s="653">
        <v>11354</v>
      </c>
      <c r="K105" s="603">
        <v>0.28000000000000003</v>
      </c>
      <c r="L105" s="568">
        <v>2732</v>
      </c>
      <c r="M105" s="654">
        <f>VLOOKUP(G:G,list!B:E,4,FALSE)</f>
        <v>0.1</v>
      </c>
      <c r="N105" s="655">
        <f t="shared" si="4"/>
        <v>273</v>
      </c>
      <c r="O105" s="655">
        <f t="shared" si="5"/>
        <v>2459</v>
      </c>
      <c r="P105" s="564"/>
      <c r="Q105" s="672" t="str">
        <f>VLOOKUP(G:G,list!B:F,5,FALSE)</f>
        <v>웹소설본부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79</v>
      </c>
      <c r="E106" s="564" t="s">
        <v>9</v>
      </c>
      <c r="F106" s="564" t="s">
        <v>297</v>
      </c>
      <c r="G106" s="564" t="s">
        <v>56</v>
      </c>
      <c r="H106" s="565">
        <v>44625</v>
      </c>
      <c r="I106" s="652">
        <v>45597</v>
      </c>
      <c r="J106" s="653">
        <v>38934</v>
      </c>
      <c r="K106" s="603">
        <v>0.28000000000000003</v>
      </c>
      <c r="L106" s="568">
        <v>8920</v>
      </c>
      <c r="M106" s="654">
        <f>VLOOKUP(G:G,list!B:E,4,FALSE)</f>
        <v>0.1</v>
      </c>
      <c r="N106" s="655">
        <f t="shared" si="4"/>
        <v>892</v>
      </c>
      <c r="O106" s="655">
        <f t="shared" si="5"/>
        <v>8028</v>
      </c>
      <c r="P106" s="564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79</v>
      </c>
      <c r="E107" s="564" t="s">
        <v>9</v>
      </c>
      <c r="F107" s="564" t="s">
        <v>297</v>
      </c>
      <c r="G107" s="564" t="s">
        <v>316</v>
      </c>
      <c r="H107" s="565">
        <v>44802</v>
      </c>
      <c r="I107" s="652">
        <v>45597</v>
      </c>
      <c r="J107" s="653">
        <v>3817</v>
      </c>
      <c r="K107" s="603">
        <v>0.28000000000000003</v>
      </c>
      <c r="L107" s="568">
        <v>875</v>
      </c>
      <c r="M107" s="654">
        <f>VLOOKUP(G:G,list!B:E,4,FALSE)</f>
        <v>0.1</v>
      </c>
      <c r="N107" s="655">
        <f t="shared" si="4"/>
        <v>88</v>
      </c>
      <c r="O107" s="655">
        <f t="shared" si="5"/>
        <v>787</v>
      </c>
      <c r="P107" s="564"/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79</v>
      </c>
      <c r="E108" s="564" t="s">
        <v>9</v>
      </c>
      <c r="F108" s="564" t="s">
        <v>297</v>
      </c>
      <c r="G108" s="564" t="s">
        <v>352</v>
      </c>
      <c r="H108" s="565">
        <v>44916</v>
      </c>
      <c r="I108" s="652">
        <v>45597</v>
      </c>
      <c r="J108" s="653">
        <v>13894</v>
      </c>
      <c r="K108" s="603">
        <v>0.28000000000000003</v>
      </c>
      <c r="L108" s="568">
        <v>3315</v>
      </c>
      <c r="M108" s="654">
        <f>VLOOKUP(G:G,list!B:E,4,FALSE)</f>
        <v>0.1</v>
      </c>
      <c r="N108" s="655">
        <f t="shared" si="4"/>
        <v>332</v>
      </c>
      <c r="O108" s="655">
        <f t="shared" si="5"/>
        <v>2983</v>
      </c>
      <c r="P108" s="564"/>
      <c r="Q108" s="672" t="str">
        <f>VLOOKUP(G:G,list!B:F,5,FALSE)</f>
        <v>웹소설본부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79</v>
      </c>
      <c r="E109" s="564" t="s">
        <v>9</v>
      </c>
      <c r="F109" s="564" t="s">
        <v>297</v>
      </c>
      <c r="G109" s="564" t="s">
        <v>56</v>
      </c>
      <c r="H109" s="565">
        <v>44625</v>
      </c>
      <c r="I109" s="652">
        <v>45627</v>
      </c>
      <c r="J109" s="653">
        <v>89014</v>
      </c>
      <c r="K109" s="603">
        <v>0.28000000000000003</v>
      </c>
      <c r="L109" s="568">
        <v>20394</v>
      </c>
      <c r="M109" s="654">
        <f>VLOOKUP(G:G,list!B:E,4,FALSE)</f>
        <v>0.1</v>
      </c>
      <c r="N109" s="655">
        <f t="shared" si="4"/>
        <v>2039</v>
      </c>
      <c r="O109" s="655">
        <f t="shared" si="5"/>
        <v>18355</v>
      </c>
      <c r="P109" s="564"/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79</v>
      </c>
      <c r="E110" s="564" t="s">
        <v>9</v>
      </c>
      <c r="F110" s="564" t="s">
        <v>297</v>
      </c>
      <c r="G110" s="564" t="s">
        <v>316</v>
      </c>
      <c r="H110" s="565">
        <v>44802</v>
      </c>
      <c r="I110" s="652">
        <v>45627</v>
      </c>
      <c r="J110" s="653">
        <v>14046</v>
      </c>
      <c r="K110" s="603">
        <v>0.28000000000000003</v>
      </c>
      <c r="L110" s="568">
        <v>3220</v>
      </c>
      <c r="M110" s="654">
        <f>VLOOKUP(G:G,list!B:E,4,FALSE)</f>
        <v>0.1</v>
      </c>
      <c r="N110" s="655">
        <f t="shared" si="4"/>
        <v>322</v>
      </c>
      <c r="O110" s="655">
        <f t="shared" si="5"/>
        <v>2898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79</v>
      </c>
      <c r="E111" s="564" t="s">
        <v>9</v>
      </c>
      <c r="F111" s="564" t="s">
        <v>297</v>
      </c>
      <c r="G111" s="564" t="s">
        <v>352</v>
      </c>
      <c r="H111" s="565">
        <v>44916</v>
      </c>
      <c r="I111" s="652">
        <v>45627</v>
      </c>
      <c r="J111" s="653">
        <v>16795</v>
      </c>
      <c r="K111" s="603">
        <v>0.28000000000000003</v>
      </c>
      <c r="L111" s="568">
        <v>4007</v>
      </c>
      <c r="M111" s="654">
        <f>VLOOKUP(G:G,list!B:E,4,FALSE)</f>
        <v>0.1</v>
      </c>
      <c r="N111" s="655">
        <f t="shared" si="4"/>
        <v>401</v>
      </c>
      <c r="O111" s="655">
        <f t="shared" si="5"/>
        <v>3606</v>
      </c>
      <c r="P111" s="564"/>
      <c r="Q111" s="672" t="str">
        <f>VLOOKUP(G:G,list!B:F,5,FALSE)</f>
        <v>웹소설본부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작가기획</v>
      </c>
      <c r="D112" s="564" t="s">
        <v>177</v>
      </c>
      <c r="E112" s="564" t="s">
        <v>9</v>
      </c>
      <c r="F112" s="564" t="s">
        <v>246</v>
      </c>
      <c r="G112" s="564" t="s">
        <v>36</v>
      </c>
      <c r="H112" s="565">
        <v>44505</v>
      </c>
      <c r="I112" s="652">
        <v>45566</v>
      </c>
      <c r="J112" s="653">
        <v>2420</v>
      </c>
      <c r="K112" s="603">
        <v>0.4</v>
      </c>
      <c r="L112" s="568">
        <v>968</v>
      </c>
      <c r="M112" s="654" t="str">
        <f>VLOOKUP(G:G,list!B:E,4,FALSE)</f>
        <v>-</v>
      </c>
      <c r="N112" s="655">
        <f t="shared" si="4"/>
        <v>0</v>
      </c>
      <c r="O112" s="655">
        <f t="shared" si="5"/>
        <v>968</v>
      </c>
      <c r="P112" s="564"/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작가기획</v>
      </c>
      <c r="D113" s="564" t="s">
        <v>177</v>
      </c>
      <c r="E113" s="564" t="s">
        <v>9</v>
      </c>
      <c r="F113" s="564" t="s">
        <v>246</v>
      </c>
      <c r="G113" s="564" t="s">
        <v>36</v>
      </c>
      <c r="H113" s="565">
        <v>44505</v>
      </c>
      <c r="I113" s="652">
        <v>45597</v>
      </c>
      <c r="J113" s="653">
        <v>0</v>
      </c>
      <c r="K113" s="603">
        <v>0.4</v>
      </c>
      <c r="L113" s="568">
        <v>0</v>
      </c>
      <c r="M113" s="654" t="str">
        <f>VLOOKUP(G:G,list!B:E,4,FALSE)</f>
        <v>-</v>
      </c>
      <c r="N113" s="655">
        <f t="shared" si="4"/>
        <v>0</v>
      </c>
      <c r="O113" s="655">
        <f t="shared" si="5"/>
        <v>0</v>
      </c>
      <c r="P113" s="564"/>
      <c r="Q113" s="672" t="str">
        <f>VLOOKUP(G:G,list!B:F,5,FALSE)</f>
        <v>-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작가기획</v>
      </c>
      <c r="D114" s="564" t="s">
        <v>177</v>
      </c>
      <c r="E114" s="564" t="s">
        <v>9</v>
      </c>
      <c r="F114" s="564" t="s">
        <v>246</v>
      </c>
      <c r="G114" s="564" t="s">
        <v>36</v>
      </c>
      <c r="H114" s="565">
        <v>44505</v>
      </c>
      <c r="I114" s="652">
        <v>45627</v>
      </c>
      <c r="J114" s="653">
        <v>5444</v>
      </c>
      <c r="K114" s="603">
        <v>0.4</v>
      </c>
      <c r="L114" s="568">
        <v>2178</v>
      </c>
      <c r="M114" s="654" t="str">
        <f>VLOOKUP(G:G,list!B:E,4,FALSE)</f>
        <v>-</v>
      </c>
      <c r="N114" s="655">
        <f t="shared" si="4"/>
        <v>0</v>
      </c>
      <c r="O114" s="655">
        <f t="shared" si="5"/>
        <v>2178</v>
      </c>
      <c r="P114" s="564"/>
      <c r="Q114" s="672" t="str">
        <f>VLOOKUP(G:G,list!B:F,5,FALSE)</f>
        <v>-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작가기획</v>
      </c>
      <c r="D115" s="564" t="s">
        <v>72</v>
      </c>
      <c r="E115" s="564" t="s">
        <v>9</v>
      </c>
      <c r="F115" s="564" t="s">
        <v>332</v>
      </c>
      <c r="G115" s="564" t="s">
        <v>36</v>
      </c>
      <c r="H115" s="565">
        <v>44556</v>
      </c>
      <c r="I115" s="652" t="s">
        <v>566</v>
      </c>
      <c r="J115" s="653">
        <v>40884</v>
      </c>
      <c r="K115" s="603">
        <v>0.5</v>
      </c>
      <c r="L115" s="568">
        <v>20442</v>
      </c>
      <c r="M115" s="654" t="str">
        <f>VLOOKUP(G:G,list!B:E,4,FALSE)</f>
        <v>-</v>
      </c>
      <c r="N115" s="655">
        <f t="shared" ref="N115" si="6">ROUND(IF(M115="-",0,L115*M115),0)</f>
        <v>0</v>
      </c>
      <c r="O115" s="655">
        <f t="shared" ref="O115" si="7">L115-N115</f>
        <v>20442</v>
      </c>
      <c r="P115" s="564"/>
      <c r="Q115" s="672" t="str">
        <f>VLOOKUP(G:G,list!B:F,5,FALSE)</f>
        <v>-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작가기획</v>
      </c>
      <c r="D116" s="564" t="s">
        <v>72</v>
      </c>
      <c r="E116" s="564" t="s">
        <v>9</v>
      </c>
      <c r="F116" s="564" t="s">
        <v>569</v>
      </c>
      <c r="G116" s="564" t="s">
        <v>36</v>
      </c>
      <c r="H116" s="565">
        <v>44753</v>
      </c>
      <c r="I116" s="652" t="s">
        <v>566</v>
      </c>
      <c r="J116" s="653">
        <v>46680</v>
      </c>
      <c r="K116" s="603">
        <v>0.5</v>
      </c>
      <c r="L116" s="568">
        <v>23340</v>
      </c>
      <c r="M116" s="654" t="str">
        <f>VLOOKUP(G:G,list!B:E,4,FALSE)</f>
        <v>-</v>
      </c>
      <c r="N116" s="655">
        <f t="shared" ref="N116" si="8">ROUND(IF(M116="-",0,L116*M116),0)</f>
        <v>0</v>
      </c>
      <c r="O116" s="655">
        <f t="shared" ref="O116" si="9">L116-N116</f>
        <v>23340</v>
      </c>
      <c r="P116" s="564"/>
      <c r="Q116" s="672" t="str">
        <f>VLOOKUP(G:G,list!B:F,5,FALSE)</f>
        <v>-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원작료</v>
      </c>
      <c r="D117" s="564" t="s">
        <v>182</v>
      </c>
      <c r="E117" s="564" t="s">
        <v>115</v>
      </c>
      <c r="F117" s="564" t="s">
        <v>283</v>
      </c>
      <c r="G117" s="564" t="s">
        <v>30</v>
      </c>
      <c r="H117" s="565">
        <v>44358</v>
      </c>
      <c r="I117" s="652">
        <v>45566</v>
      </c>
      <c r="J117" s="653">
        <v>92439</v>
      </c>
      <c r="K117" s="603">
        <v>0.5</v>
      </c>
      <c r="L117" s="568">
        <v>46220</v>
      </c>
      <c r="M117" s="654">
        <f>VLOOKUP(G:G,list!B:E,4,FALSE)</f>
        <v>0.1</v>
      </c>
      <c r="N117" s="655">
        <f t="shared" si="4"/>
        <v>4622</v>
      </c>
      <c r="O117" s="655">
        <f t="shared" si="5"/>
        <v>41598</v>
      </c>
      <c r="P117" s="564"/>
      <c r="Q117" s="672" t="str">
        <f>VLOOKUP(G:G,list!B:F,5,FALSE)</f>
        <v>웹소설본부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원작료</v>
      </c>
      <c r="D118" s="564" t="s">
        <v>182</v>
      </c>
      <c r="E118" s="564" t="s">
        <v>115</v>
      </c>
      <c r="F118" s="564" t="s">
        <v>283</v>
      </c>
      <c r="G118" s="564" t="s">
        <v>30</v>
      </c>
      <c r="H118" s="565">
        <v>44358</v>
      </c>
      <c r="I118" s="652">
        <v>45597</v>
      </c>
      <c r="J118" s="653">
        <v>46230</v>
      </c>
      <c r="K118" s="603">
        <v>0.5</v>
      </c>
      <c r="L118" s="568">
        <v>23115</v>
      </c>
      <c r="M118" s="654">
        <f>VLOOKUP(G:G,list!B:E,4,FALSE)</f>
        <v>0.1</v>
      </c>
      <c r="N118" s="655">
        <f t="shared" si="4"/>
        <v>2312</v>
      </c>
      <c r="O118" s="655">
        <f t="shared" si="5"/>
        <v>20803</v>
      </c>
      <c r="P118" s="564"/>
      <c r="Q118" s="672" t="str">
        <f>VLOOKUP(G:G,list!B:F,5,FALSE)</f>
        <v>웹소설본부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원작료</v>
      </c>
      <c r="D119" s="564" t="s">
        <v>182</v>
      </c>
      <c r="E119" s="564" t="s">
        <v>115</v>
      </c>
      <c r="F119" s="564" t="s">
        <v>283</v>
      </c>
      <c r="G119" s="564" t="s">
        <v>30</v>
      </c>
      <c r="H119" s="565">
        <v>44358</v>
      </c>
      <c r="I119" s="652">
        <v>45627</v>
      </c>
      <c r="J119" s="653">
        <v>36297</v>
      </c>
      <c r="K119" s="603">
        <v>0.5</v>
      </c>
      <c r="L119" s="568">
        <v>18149</v>
      </c>
      <c r="M119" s="654">
        <f>VLOOKUP(G:G,list!B:E,4,FALSE)</f>
        <v>0.1</v>
      </c>
      <c r="N119" s="655">
        <f t="shared" si="4"/>
        <v>1815</v>
      </c>
      <c r="O119" s="655">
        <f t="shared" si="5"/>
        <v>16334</v>
      </c>
      <c r="P119" s="564"/>
      <c r="Q119" s="672" t="str">
        <f>VLOOKUP(G:G,list!B:F,5,FALSE)</f>
        <v>웹소설본부</v>
      </c>
      <c r="R119" s="656" t="str">
        <f>VLOOKUP(G:G,list!B:D,3,FALSE)</f>
        <v>Y</v>
      </c>
    </row>
    <row r="120" spans="2:18" ht="18" customHeight="1">
      <c r="B120" s="563">
        <v>115</v>
      </c>
      <c r="C120" s="651" t="str">
        <f>VLOOKUP(G:G,list!B:D,2,FALSE)</f>
        <v>원작료</v>
      </c>
      <c r="D120" s="564" t="s">
        <v>182</v>
      </c>
      <c r="E120" s="564" t="s">
        <v>115</v>
      </c>
      <c r="F120" s="564" t="s">
        <v>283</v>
      </c>
      <c r="G120" s="564" t="s">
        <v>56</v>
      </c>
      <c r="H120" s="565">
        <v>44391</v>
      </c>
      <c r="I120" s="652">
        <v>45566</v>
      </c>
      <c r="J120" s="653">
        <v>295368</v>
      </c>
      <c r="K120" s="603">
        <v>0.5</v>
      </c>
      <c r="L120" s="568">
        <v>147684</v>
      </c>
      <c r="M120" s="654">
        <f>VLOOKUP(G:G,list!B:E,4,FALSE)</f>
        <v>0.1</v>
      </c>
      <c r="N120" s="655">
        <f t="shared" si="4"/>
        <v>14768</v>
      </c>
      <c r="O120" s="655">
        <f t="shared" si="5"/>
        <v>132916</v>
      </c>
      <c r="P120" s="564"/>
      <c r="Q120" s="672" t="str">
        <f>VLOOKUP(G:G,list!B:F,5,FALSE)</f>
        <v>웹소설본부</v>
      </c>
      <c r="R120" s="656" t="str">
        <f>VLOOKUP(G:G,list!B:D,3,FALSE)</f>
        <v>Y</v>
      </c>
    </row>
    <row r="121" spans="2:18" ht="18" customHeight="1">
      <c r="B121" s="650">
        <v>116</v>
      </c>
      <c r="C121" s="651" t="str">
        <f>VLOOKUP(G:G,list!B:D,2,FALSE)</f>
        <v>원작료</v>
      </c>
      <c r="D121" s="564" t="s">
        <v>182</v>
      </c>
      <c r="E121" s="564" t="s">
        <v>115</v>
      </c>
      <c r="F121" s="564" t="s">
        <v>283</v>
      </c>
      <c r="G121" s="564" t="s">
        <v>56</v>
      </c>
      <c r="H121" s="565">
        <v>44391</v>
      </c>
      <c r="I121" s="652">
        <v>45597</v>
      </c>
      <c r="J121" s="653">
        <v>1139874</v>
      </c>
      <c r="K121" s="603">
        <v>0.5</v>
      </c>
      <c r="L121" s="568">
        <v>569937</v>
      </c>
      <c r="M121" s="654">
        <f>VLOOKUP(G:G,list!B:E,4,FALSE)</f>
        <v>0.1</v>
      </c>
      <c r="N121" s="655">
        <f t="shared" si="4"/>
        <v>56994</v>
      </c>
      <c r="O121" s="655">
        <f t="shared" si="5"/>
        <v>512943</v>
      </c>
      <c r="P121" s="564"/>
      <c r="Q121" s="672" t="str">
        <f>VLOOKUP(G:G,list!B:F,5,FALSE)</f>
        <v>웹소설본부</v>
      </c>
      <c r="R121" s="656" t="str">
        <f>VLOOKUP(G:G,list!B:D,3,FALSE)</f>
        <v>Y</v>
      </c>
    </row>
    <row r="122" spans="2:18" ht="18" customHeight="1">
      <c r="B122" s="563">
        <v>117</v>
      </c>
      <c r="C122" s="651" t="str">
        <f>VLOOKUP(G:G,list!B:D,2,FALSE)</f>
        <v>원작료</v>
      </c>
      <c r="D122" s="564" t="s">
        <v>182</v>
      </c>
      <c r="E122" s="564" t="s">
        <v>115</v>
      </c>
      <c r="F122" s="564" t="s">
        <v>283</v>
      </c>
      <c r="G122" s="564" t="s">
        <v>56</v>
      </c>
      <c r="H122" s="565">
        <v>44391</v>
      </c>
      <c r="I122" s="652">
        <v>45627</v>
      </c>
      <c r="J122" s="653">
        <v>520203</v>
      </c>
      <c r="K122" s="603">
        <v>0.5</v>
      </c>
      <c r="L122" s="568">
        <v>260102</v>
      </c>
      <c r="M122" s="654">
        <f>VLOOKUP(G:G,list!B:E,4,FALSE)</f>
        <v>0.1</v>
      </c>
      <c r="N122" s="655">
        <f t="shared" si="4"/>
        <v>26010</v>
      </c>
      <c r="O122" s="655">
        <f t="shared" si="5"/>
        <v>234092</v>
      </c>
      <c r="P122" s="564"/>
      <c r="Q122" s="672" t="str">
        <f>VLOOKUP(G:G,list!B:F,5,FALSE)</f>
        <v>웹소설본부</v>
      </c>
      <c r="R122" s="656" t="str">
        <f>VLOOKUP(G:G,list!B:D,3,FALSE)</f>
        <v>Y</v>
      </c>
    </row>
    <row r="123" spans="2:18" ht="18" customHeight="1">
      <c r="B123" s="650">
        <v>118</v>
      </c>
      <c r="C123" s="651" t="str">
        <f>VLOOKUP(G:G,list!B:D,2,FALSE)</f>
        <v>원작료</v>
      </c>
      <c r="D123" s="564" t="s">
        <v>182</v>
      </c>
      <c r="E123" s="564" t="s">
        <v>115</v>
      </c>
      <c r="F123" s="564" t="s">
        <v>283</v>
      </c>
      <c r="G123" s="564" t="s">
        <v>316</v>
      </c>
      <c r="H123" s="565">
        <v>44969</v>
      </c>
      <c r="I123" s="652">
        <v>45566</v>
      </c>
      <c r="J123" s="653">
        <v>58858</v>
      </c>
      <c r="K123" s="603">
        <v>0.5</v>
      </c>
      <c r="L123" s="568">
        <v>29429</v>
      </c>
      <c r="M123" s="654">
        <f>VLOOKUP(G:G,list!B:E,4,FALSE)</f>
        <v>0.1</v>
      </c>
      <c r="N123" s="655">
        <f t="shared" si="4"/>
        <v>2943</v>
      </c>
      <c r="O123" s="655">
        <f t="shared" si="5"/>
        <v>26486</v>
      </c>
      <c r="P123" s="564"/>
      <c r="Q123" s="672" t="str">
        <f>VLOOKUP(G:G,list!B:F,5,FALSE)</f>
        <v>웹소설본부</v>
      </c>
      <c r="R123" s="656" t="str">
        <f>VLOOKUP(G:G,list!B:D,3,FALSE)</f>
        <v>Y</v>
      </c>
    </row>
    <row r="124" spans="2:18" ht="18" customHeight="1">
      <c r="B124" s="563">
        <v>119</v>
      </c>
      <c r="C124" s="651" t="str">
        <f>VLOOKUP(G:G,list!B:D,2,FALSE)</f>
        <v>원작료</v>
      </c>
      <c r="D124" s="564" t="s">
        <v>182</v>
      </c>
      <c r="E124" s="564" t="s">
        <v>115</v>
      </c>
      <c r="F124" s="564" t="s">
        <v>283</v>
      </c>
      <c r="G124" s="564" t="s">
        <v>316</v>
      </c>
      <c r="H124" s="565">
        <v>44969</v>
      </c>
      <c r="I124" s="652">
        <v>45597</v>
      </c>
      <c r="J124" s="653">
        <v>223047</v>
      </c>
      <c r="K124" s="603">
        <v>0.5</v>
      </c>
      <c r="L124" s="568">
        <v>111524</v>
      </c>
      <c r="M124" s="654">
        <f>VLOOKUP(G:G,list!B:E,4,FALSE)</f>
        <v>0.1</v>
      </c>
      <c r="N124" s="655">
        <f t="shared" si="4"/>
        <v>11152</v>
      </c>
      <c r="O124" s="655">
        <f t="shared" si="5"/>
        <v>100372</v>
      </c>
      <c r="P124" s="564"/>
      <c r="Q124" s="672" t="str">
        <f>VLOOKUP(G:G,list!B:F,5,FALSE)</f>
        <v>웹소설본부</v>
      </c>
      <c r="R124" s="656" t="str">
        <f>VLOOKUP(G:G,list!B:D,3,FALSE)</f>
        <v>Y</v>
      </c>
    </row>
    <row r="125" spans="2:18" ht="18" customHeight="1">
      <c r="B125" s="650">
        <v>120</v>
      </c>
      <c r="C125" s="651" t="str">
        <f>VLOOKUP(G:G,list!B:D,2,FALSE)</f>
        <v>원작료</v>
      </c>
      <c r="D125" s="564" t="s">
        <v>182</v>
      </c>
      <c r="E125" s="564" t="s">
        <v>115</v>
      </c>
      <c r="F125" s="564" t="s">
        <v>283</v>
      </c>
      <c r="G125" s="564" t="s">
        <v>316</v>
      </c>
      <c r="H125" s="565">
        <v>44969</v>
      </c>
      <c r="I125" s="652">
        <v>45627</v>
      </c>
      <c r="J125" s="653">
        <v>51946</v>
      </c>
      <c r="K125" s="603">
        <v>0.5</v>
      </c>
      <c r="L125" s="568">
        <v>25973</v>
      </c>
      <c r="M125" s="654">
        <f>VLOOKUP(G:G,list!B:E,4,FALSE)</f>
        <v>0.1</v>
      </c>
      <c r="N125" s="655">
        <f t="shared" si="4"/>
        <v>2597</v>
      </c>
      <c r="O125" s="655">
        <f t="shared" si="5"/>
        <v>23376</v>
      </c>
      <c r="P125" s="564"/>
      <c r="Q125" s="672" t="str">
        <f>VLOOKUP(G:G,list!B:F,5,FALSE)</f>
        <v>웹소설본부</v>
      </c>
      <c r="R125" s="656" t="str">
        <f>VLOOKUP(G:G,list!B:D,3,FALSE)</f>
        <v>Y</v>
      </c>
    </row>
    <row r="126" spans="2:18" ht="18" customHeight="1">
      <c r="B126" s="563">
        <v>121</v>
      </c>
      <c r="C126" s="651" t="str">
        <f>VLOOKUP(G:G,list!B:D,2,FALSE)</f>
        <v>원작료</v>
      </c>
      <c r="D126" s="564" t="s">
        <v>182</v>
      </c>
      <c r="E126" s="564" t="s">
        <v>115</v>
      </c>
      <c r="F126" s="564" t="s">
        <v>230</v>
      </c>
      <c r="G126" s="564" t="s">
        <v>30</v>
      </c>
      <c r="H126" s="565">
        <v>45248</v>
      </c>
      <c r="I126" s="652">
        <v>45566</v>
      </c>
      <c r="J126" s="653">
        <v>1136656</v>
      </c>
      <c r="K126" s="603">
        <v>0.5</v>
      </c>
      <c r="L126" s="568">
        <v>568328</v>
      </c>
      <c r="M126" s="654">
        <f>VLOOKUP(G:G,list!B:E,4,FALSE)</f>
        <v>0.1</v>
      </c>
      <c r="N126" s="655">
        <f t="shared" si="4"/>
        <v>56833</v>
      </c>
      <c r="O126" s="655">
        <f t="shared" si="5"/>
        <v>511495</v>
      </c>
      <c r="P126" s="564"/>
      <c r="Q126" s="672" t="str">
        <f>VLOOKUP(G:G,list!B:F,5,FALSE)</f>
        <v>웹소설본부</v>
      </c>
      <c r="R126" s="656" t="str">
        <f>VLOOKUP(G:G,list!B:D,3,FALSE)</f>
        <v>Y</v>
      </c>
    </row>
    <row r="127" spans="2:18" ht="18" customHeight="1">
      <c r="B127" s="650">
        <v>122</v>
      </c>
      <c r="C127" s="651" t="str">
        <f>VLOOKUP(G:G,list!B:D,2,FALSE)</f>
        <v>원작료</v>
      </c>
      <c r="D127" s="564" t="s">
        <v>182</v>
      </c>
      <c r="E127" s="564" t="s">
        <v>115</v>
      </c>
      <c r="F127" s="564" t="s">
        <v>230</v>
      </c>
      <c r="G127" s="564" t="s">
        <v>30</v>
      </c>
      <c r="H127" s="565">
        <v>45248</v>
      </c>
      <c r="I127" s="652">
        <v>45597</v>
      </c>
      <c r="J127" s="653">
        <v>390708</v>
      </c>
      <c r="K127" s="603">
        <v>0.5</v>
      </c>
      <c r="L127" s="568">
        <v>195354</v>
      </c>
      <c r="M127" s="654">
        <f>VLOOKUP(G:G,list!B:E,4,FALSE)</f>
        <v>0.1</v>
      </c>
      <c r="N127" s="655">
        <f t="shared" si="4"/>
        <v>19535</v>
      </c>
      <c r="O127" s="655">
        <f t="shared" si="5"/>
        <v>175819</v>
      </c>
      <c r="P127" s="564"/>
      <c r="Q127" s="672" t="str">
        <f>VLOOKUP(G:G,list!B:F,5,FALSE)</f>
        <v>웹소설본부</v>
      </c>
      <c r="R127" s="656" t="str">
        <f>VLOOKUP(G:G,list!B:D,3,FALSE)</f>
        <v>Y</v>
      </c>
    </row>
    <row r="128" spans="2:18" ht="18" customHeight="1">
      <c r="B128" s="563">
        <v>123</v>
      </c>
      <c r="C128" s="651" t="str">
        <f>VLOOKUP(G:G,list!B:D,2,FALSE)</f>
        <v>원작료</v>
      </c>
      <c r="D128" s="564" t="s">
        <v>182</v>
      </c>
      <c r="E128" s="564" t="s">
        <v>115</v>
      </c>
      <c r="F128" s="564" t="s">
        <v>230</v>
      </c>
      <c r="G128" s="564" t="s">
        <v>30</v>
      </c>
      <c r="H128" s="565">
        <v>45248</v>
      </c>
      <c r="I128" s="652">
        <v>45627</v>
      </c>
      <c r="J128" s="653">
        <v>53611</v>
      </c>
      <c r="K128" s="603">
        <v>0.5</v>
      </c>
      <c r="L128" s="568">
        <v>26806</v>
      </c>
      <c r="M128" s="654">
        <f>VLOOKUP(G:G,list!B:E,4,FALSE)</f>
        <v>0.1</v>
      </c>
      <c r="N128" s="655">
        <f t="shared" si="4"/>
        <v>2681</v>
      </c>
      <c r="O128" s="655">
        <f t="shared" si="5"/>
        <v>24125</v>
      </c>
      <c r="P128" s="564"/>
      <c r="Q128" s="672" t="str">
        <f>VLOOKUP(G:G,list!B:F,5,FALSE)</f>
        <v>웹소설본부</v>
      </c>
      <c r="R128" s="656" t="str">
        <f>VLOOKUP(G:G,list!B:D,3,FALSE)</f>
        <v>Y</v>
      </c>
    </row>
    <row r="129" spans="2:18" ht="18" customHeight="1">
      <c r="B129" s="650">
        <v>124</v>
      </c>
      <c r="C129" s="651" t="str">
        <f>VLOOKUP(G:G,list!B:D,2,FALSE)</f>
        <v>원작료</v>
      </c>
      <c r="D129" s="564" t="s">
        <v>182</v>
      </c>
      <c r="E129" s="564" t="s">
        <v>115</v>
      </c>
      <c r="F129" s="564" t="s">
        <v>230</v>
      </c>
      <c r="G129" s="564" t="s">
        <v>56</v>
      </c>
      <c r="H129" s="565">
        <v>45414</v>
      </c>
      <c r="I129" s="652">
        <v>45566</v>
      </c>
      <c r="J129" s="653">
        <v>232560</v>
      </c>
      <c r="K129" s="603">
        <v>0.5</v>
      </c>
      <c r="L129" s="568">
        <v>116280</v>
      </c>
      <c r="M129" s="654">
        <f>VLOOKUP(G:G,list!B:E,4,FALSE)</f>
        <v>0.1</v>
      </c>
      <c r="N129" s="655">
        <f t="shared" si="4"/>
        <v>11628</v>
      </c>
      <c r="O129" s="655">
        <f t="shared" si="5"/>
        <v>104652</v>
      </c>
      <c r="P129" s="564"/>
      <c r="Q129" s="672" t="str">
        <f>VLOOKUP(G:G,list!B:F,5,FALSE)</f>
        <v>웹소설본부</v>
      </c>
      <c r="R129" s="656" t="str">
        <f>VLOOKUP(G:G,list!B:D,3,FALSE)</f>
        <v>Y</v>
      </c>
    </row>
    <row r="130" spans="2:18" ht="18" customHeight="1">
      <c r="B130" s="563">
        <v>125</v>
      </c>
      <c r="C130" s="651" t="str">
        <f>VLOOKUP(G:G,list!B:D,2,FALSE)</f>
        <v>원작료</v>
      </c>
      <c r="D130" s="564" t="s">
        <v>182</v>
      </c>
      <c r="E130" s="564" t="s">
        <v>115</v>
      </c>
      <c r="F130" s="564" t="s">
        <v>230</v>
      </c>
      <c r="G130" s="564" t="s">
        <v>56</v>
      </c>
      <c r="H130" s="565">
        <v>45414</v>
      </c>
      <c r="I130" s="652">
        <v>45597</v>
      </c>
      <c r="J130" s="653">
        <v>170948</v>
      </c>
      <c r="K130" s="603">
        <v>0.5</v>
      </c>
      <c r="L130" s="568">
        <v>85474</v>
      </c>
      <c r="M130" s="654">
        <f>VLOOKUP(G:G,list!B:E,4,FALSE)</f>
        <v>0.1</v>
      </c>
      <c r="N130" s="655">
        <f t="shared" si="4"/>
        <v>8547</v>
      </c>
      <c r="O130" s="655">
        <f t="shared" si="5"/>
        <v>76927</v>
      </c>
      <c r="P130" s="564"/>
      <c r="Q130" s="672" t="str">
        <f>VLOOKUP(G:G,list!B:F,5,FALSE)</f>
        <v>웹소설본부</v>
      </c>
      <c r="R130" s="656" t="str">
        <f>VLOOKUP(G:G,list!B:D,3,FALSE)</f>
        <v>Y</v>
      </c>
    </row>
    <row r="131" spans="2:18" ht="18" customHeight="1">
      <c r="B131" s="650">
        <v>126</v>
      </c>
      <c r="C131" s="651" t="str">
        <f>VLOOKUP(G:G,list!B:D,2,FALSE)</f>
        <v>원작료</v>
      </c>
      <c r="D131" s="564" t="s">
        <v>182</v>
      </c>
      <c r="E131" s="564" t="s">
        <v>115</v>
      </c>
      <c r="F131" s="564" t="s">
        <v>230</v>
      </c>
      <c r="G131" s="564" t="s">
        <v>56</v>
      </c>
      <c r="H131" s="565">
        <v>45414</v>
      </c>
      <c r="I131" s="652">
        <v>45627</v>
      </c>
      <c r="J131" s="653">
        <v>173932</v>
      </c>
      <c r="K131" s="603">
        <v>0.5</v>
      </c>
      <c r="L131" s="568">
        <v>86966</v>
      </c>
      <c r="M131" s="654">
        <f>VLOOKUP(G:G,list!B:E,4,FALSE)</f>
        <v>0.1</v>
      </c>
      <c r="N131" s="655">
        <f t="shared" si="4"/>
        <v>8697</v>
      </c>
      <c r="O131" s="655">
        <f t="shared" si="5"/>
        <v>78269</v>
      </c>
      <c r="P131" s="564"/>
      <c r="Q131" s="672" t="str">
        <f>VLOOKUP(G:G,list!B:F,5,FALSE)</f>
        <v>웹소설본부</v>
      </c>
      <c r="R131" s="656" t="str">
        <f>VLOOKUP(G:G,list!B:D,3,FALSE)</f>
        <v>Y</v>
      </c>
    </row>
    <row r="132" spans="2:18" ht="18" customHeight="1">
      <c r="B132" s="563">
        <v>127</v>
      </c>
      <c r="C132" s="651" t="str">
        <f>VLOOKUP(G:G,list!B:D,2,FALSE)</f>
        <v>작가기획</v>
      </c>
      <c r="D132" s="564" t="s">
        <v>182</v>
      </c>
      <c r="E132" s="564" t="s">
        <v>115</v>
      </c>
      <c r="F132" s="564" t="s">
        <v>230</v>
      </c>
      <c r="G132" s="564" t="s">
        <v>308</v>
      </c>
      <c r="H132" s="565">
        <v>45569</v>
      </c>
      <c r="I132" s="652">
        <v>45566</v>
      </c>
      <c r="J132" s="653">
        <v>728768</v>
      </c>
      <c r="K132" s="603">
        <v>0.5</v>
      </c>
      <c r="L132" s="568">
        <v>364384</v>
      </c>
      <c r="M132" s="654" t="str">
        <f>VLOOKUP(G:G,list!B:E,4,FALSE)</f>
        <v>-</v>
      </c>
      <c r="N132" s="655">
        <f t="shared" ref="N132:N134" si="10">ROUND(IF(M132="-",0,L132*M132),0)</f>
        <v>0</v>
      </c>
      <c r="O132" s="655">
        <f t="shared" ref="O132:O134" si="11">L132-N132</f>
        <v>364384</v>
      </c>
      <c r="P132" s="564" t="s">
        <v>570</v>
      </c>
      <c r="Q132" s="672" t="str">
        <f>VLOOKUP(G:G,list!B:F,5,FALSE)</f>
        <v>-</v>
      </c>
      <c r="R132" s="656" t="str">
        <f>VLOOKUP(G:G,list!B:D,3,FALSE)</f>
        <v>Y</v>
      </c>
    </row>
    <row r="133" spans="2:18" ht="18" customHeight="1">
      <c r="B133" s="650">
        <v>128</v>
      </c>
      <c r="C133" s="651" t="str">
        <f>VLOOKUP(G:G,list!B:D,2,FALSE)</f>
        <v>작가기획</v>
      </c>
      <c r="D133" s="564" t="s">
        <v>182</v>
      </c>
      <c r="E133" s="564" t="s">
        <v>115</v>
      </c>
      <c r="F133" s="564" t="s">
        <v>230</v>
      </c>
      <c r="G133" s="564" t="s">
        <v>308</v>
      </c>
      <c r="H133" s="565">
        <v>45569</v>
      </c>
      <c r="I133" s="652">
        <v>45597</v>
      </c>
      <c r="J133" s="653">
        <v>94897</v>
      </c>
      <c r="K133" s="603">
        <v>0.5</v>
      </c>
      <c r="L133" s="568">
        <v>47449</v>
      </c>
      <c r="M133" s="654" t="str">
        <f>VLOOKUP(G:G,list!B:E,4,FALSE)</f>
        <v>-</v>
      </c>
      <c r="N133" s="655">
        <f t="shared" si="10"/>
        <v>0</v>
      </c>
      <c r="O133" s="655">
        <f t="shared" si="11"/>
        <v>47449</v>
      </c>
      <c r="P133" s="564" t="s">
        <v>570</v>
      </c>
      <c r="Q133" s="672" t="str">
        <f>VLOOKUP(G:G,list!B:F,5,FALSE)</f>
        <v>-</v>
      </c>
      <c r="R133" s="656" t="str">
        <f>VLOOKUP(G:G,list!B:D,3,FALSE)</f>
        <v>Y</v>
      </c>
    </row>
    <row r="134" spans="2:18" ht="18" customHeight="1">
      <c r="B134" s="563">
        <v>129</v>
      </c>
      <c r="C134" s="651" t="str">
        <f>VLOOKUP(G:G,list!B:D,2,FALSE)</f>
        <v>작가기획</v>
      </c>
      <c r="D134" s="564" t="s">
        <v>182</v>
      </c>
      <c r="E134" s="564" t="s">
        <v>115</v>
      </c>
      <c r="F134" s="564" t="s">
        <v>230</v>
      </c>
      <c r="G134" s="564" t="s">
        <v>308</v>
      </c>
      <c r="H134" s="565">
        <v>45569</v>
      </c>
      <c r="I134" s="652">
        <v>45627</v>
      </c>
      <c r="J134" s="653">
        <v>65395</v>
      </c>
      <c r="K134" s="603">
        <v>0.5</v>
      </c>
      <c r="L134" s="568">
        <v>32698</v>
      </c>
      <c r="M134" s="654" t="str">
        <f>VLOOKUP(G:G,list!B:E,4,FALSE)</f>
        <v>-</v>
      </c>
      <c r="N134" s="655">
        <f t="shared" si="10"/>
        <v>0</v>
      </c>
      <c r="O134" s="655">
        <f t="shared" si="11"/>
        <v>32698</v>
      </c>
      <c r="P134" s="564" t="s">
        <v>570</v>
      </c>
      <c r="Q134" s="672" t="str">
        <f>VLOOKUP(G:G,list!B:F,5,FALSE)</f>
        <v>-</v>
      </c>
      <c r="R134" s="656" t="str">
        <f>VLOOKUP(G:G,list!B:D,3,FALSE)</f>
        <v>Y</v>
      </c>
    </row>
    <row r="135" spans="2:18" ht="11.25" customHeight="1">
      <c r="B135" s="52"/>
      <c r="C135" s="551"/>
      <c r="D135" s="551"/>
      <c r="E135" s="551"/>
      <c r="F135" s="551"/>
      <c r="G135" s="551"/>
      <c r="H135" s="622"/>
      <c r="I135" s="551"/>
      <c r="J135" s="435"/>
      <c r="K135" s="623"/>
      <c r="L135"/>
      <c r="M135" s="438"/>
      <c r="N135" s="439"/>
      <c r="O135" s="440"/>
      <c r="P135" s="633"/>
      <c r="Q135" s="438"/>
      <c r="R135" s="486"/>
    </row>
    <row r="136" spans="2:18" s="7" customFormat="1" ht="16.5" customHeight="1">
      <c r="B136" s="624" t="s">
        <v>387</v>
      </c>
      <c r="C136" s="625"/>
      <c r="D136" s="625"/>
      <c r="E136" s="626"/>
      <c r="F136" s="625"/>
      <c r="G136" s="625"/>
      <c r="H136" s="625"/>
      <c r="I136" s="311"/>
      <c r="J136" s="311"/>
      <c r="K136" s="311"/>
      <c r="M136" s="424"/>
      <c r="N136"/>
      <c r="O136" s="333"/>
      <c r="P136" s="631"/>
      <c r="Q136" s="424"/>
      <c r="R136" s="484"/>
    </row>
    <row r="137" spans="2:18" s="7" customFormat="1" ht="16.5" customHeight="1">
      <c r="B137" s="629" t="s">
        <v>299</v>
      </c>
      <c r="C137" s="625"/>
      <c r="D137" s="625"/>
      <c r="E137" s="626"/>
      <c r="F137" s="625"/>
      <c r="G137" s="625"/>
      <c r="H137" s="625"/>
      <c r="I137" s="311"/>
      <c r="K137" s="311"/>
      <c r="L137" s="311"/>
      <c r="M137" s="424"/>
      <c r="N137"/>
      <c r="O137" s="333"/>
      <c r="P137" s="631"/>
      <c r="Q137" s="424"/>
      <c r="R137" s="484"/>
    </row>
    <row r="138" spans="2:18" s="7" customFormat="1" ht="16.5" customHeight="1">
      <c r="B138" s="628" t="s">
        <v>302</v>
      </c>
      <c r="C138" s="627"/>
      <c r="D138" s="625"/>
      <c r="E138" s="626"/>
      <c r="F138" s="625"/>
      <c r="G138" s="625"/>
      <c r="H138" s="625"/>
      <c r="I138" s="311"/>
      <c r="J138" s="311"/>
      <c r="L138" s="311"/>
      <c r="M138" s="424"/>
      <c r="N138"/>
      <c r="O138" s="333"/>
      <c r="P138" s="631"/>
      <c r="Q138" s="424"/>
      <c r="R138" s="484"/>
    </row>
    <row r="139" spans="2:18" s="7" customFormat="1" ht="16.5" customHeight="1">
      <c r="B139" s="630" t="s">
        <v>303</v>
      </c>
      <c r="C139" s="627"/>
      <c r="D139" s="625"/>
      <c r="E139" s="626"/>
      <c r="F139" s="625"/>
      <c r="G139" s="625"/>
      <c r="H139" s="625"/>
      <c r="I139" s="311"/>
      <c r="J139" s="311"/>
      <c r="K139" s="311"/>
      <c r="L139" s="311"/>
      <c r="M139" s="424"/>
      <c r="N139"/>
      <c r="O139" s="333"/>
      <c r="P139" s="631"/>
      <c r="Q139" s="424"/>
      <c r="R139" s="484"/>
    </row>
    <row r="140" spans="2:18" ht="16.5" customHeight="1">
      <c r="B140" s="629" t="s">
        <v>340</v>
      </c>
      <c r="C140" s="625"/>
      <c r="D140" s="625"/>
      <c r="E140" s="626"/>
      <c r="F140" s="625"/>
      <c r="G140" s="625"/>
      <c r="H140" s="625"/>
      <c r="I140" s="311"/>
      <c r="J140" s="311"/>
      <c r="K140" s="311"/>
    </row>
    <row r="141" spans="2:18" ht="16.5" customHeight="1">
      <c r="B141" s="629" t="s">
        <v>512</v>
      </c>
      <c r="C141" s="625"/>
      <c r="D141" s="625"/>
      <c r="E141" s="626"/>
      <c r="F141" s="625"/>
      <c r="G141" s="625"/>
      <c r="H141" s="625"/>
      <c r="I141" s="311"/>
      <c r="J141" s="311"/>
      <c r="K141" s="311"/>
    </row>
    <row r="142" spans="2:18" ht="16.5" customHeight="1">
      <c r="B142" s="629" t="s">
        <v>522</v>
      </c>
      <c r="C142" s="625"/>
      <c r="D142" s="625"/>
      <c r="E142" s="626"/>
      <c r="F142" s="625"/>
      <c r="G142" s="625"/>
      <c r="H142" s="625"/>
      <c r="I142" s="311"/>
      <c r="J142" s="311"/>
      <c r="K142" s="311"/>
    </row>
    <row r="143" spans="2:18" ht="16.5" customHeight="1">
      <c r="B143" s="629" t="s">
        <v>520</v>
      </c>
      <c r="C143" s="625"/>
      <c r="D143" s="625"/>
      <c r="E143" s="626"/>
      <c r="F143" s="625"/>
      <c r="G143" s="625"/>
      <c r="H143" s="625"/>
      <c r="I143" s="311"/>
      <c r="J143" s="311"/>
      <c r="K143" s="311"/>
    </row>
    <row r="144" spans="2:18" ht="16.5" customHeight="1">
      <c r="B144" s="629" t="s">
        <v>521</v>
      </c>
      <c r="C144" s="625"/>
      <c r="D144" s="625"/>
      <c r="E144" s="626"/>
      <c r="F144" s="625"/>
      <c r="G144" s="625"/>
      <c r="H144" s="625"/>
      <c r="I144" s="311"/>
      <c r="J144" s="311"/>
      <c r="K144" s="311"/>
    </row>
    <row r="145" spans="2:18" s="311" customFormat="1" ht="16.5" customHeight="1">
      <c r="B145" s="629" t="s">
        <v>529</v>
      </c>
      <c r="C145" s="625"/>
      <c r="D145" s="625"/>
      <c r="E145" s="626"/>
      <c r="F145" s="625"/>
      <c r="G145" s="625"/>
      <c r="H145" s="625"/>
      <c r="M145" s="424"/>
      <c r="N145"/>
      <c r="O145" s="333"/>
      <c r="P145" s="631"/>
      <c r="Q145" s="424"/>
      <c r="R145" s="48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B4BB-44A0-482C-BBE8-BF1C77DB5707}">
  <dimension ref="B1:R129"/>
  <sheetViews>
    <sheetView showGridLines="0" zoomScaleNormal="100" workbookViewId="0">
      <pane xSplit="1" ySplit="5" topLeftCell="B6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562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563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32224767.583892003</v>
      </c>
      <c r="K4" s="52"/>
      <c r="L4" s="648">
        <f>SUBTOTAL(109,L6:L1048576)</f>
        <v>11641007.899999999</v>
      </c>
      <c r="M4" s="543"/>
      <c r="N4" s="649">
        <f>SUBTOTAL(109,N6:N1048576)</f>
        <v>825032</v>
      </c>
      <c r="O4" s="649">
        <f>SUBTOTAL(109,O6:O1048576)</f>
        <v>10815975.899999999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45627</v>
      </c>
      <c r="J6" s="653">
        <v>510081.8</v>
      </c>
      <c r="K6" s="567">
        <v>0.6</v>
      </c>
      <c r="L6" s="646">
        <v>306048</v>
      </c>
      <c r="M6" s="654" t="str">
        <f>VLOOKUP(G:G,list!B:E,4,FALSE)</f>
        <v>-</v>
      </c>
      <c r="N6" s="655">
        <f t="shared" ref="N6:N93" si="0">ROUND(IF(M6="-",0,L6*M6),0)</f>
        <v>0</v>
      </c>
      <c r="O6" s="655">
        <f t="shared" ref="O6:O93" si="1">L6-N6</f>
        <v>306048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45627</v>
      </c>
      <c r="J7" s="653">
        <v>133910</v>
      </c>
      <c r="K7" s="600">
        <v>0.6</v>
      </c>
      <c r="L7" s="646">
        <v>80345</v>
      </c>
      <c r="M7" s="654" t="str">
        <f>VLOOKUP(G:G,list!B:E,4,FALSE)</f>
        <v>-</v>
      </c>
      <c r="N7" s="655">
        <f t="shared" si="0"/>
        <v>0</v>
      </c>
      <c r="O7" s="655">
        <f t="shared" si="1"/>
        <v>80345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45627</v>
      </c>
      <c r="J8" s="653">
        <v>270416.2</v>
      </c>
      <c r="K8" s="567">
        <v>0.6</v>
      </c>
      <c r="L8" s="646">
        <v>162250</v>
      </c>
      <c r="M8" s="654" t="str">
        <f>VLOOKUP(G:G,list!B:E,4,FALSE)</f>
        <v>-</v>
      </c>
      <c r="N8" s="655">
        <f t="shared" si="0"/>
        <v>0</v>
      </c>
      <c r="O8" s="655">
        <f t="shared" si="1"/>
        <v>162250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45627</v>
      </c>
      <c r="J9" s="653">
        <v>196195.5</v>
      </c>
      <c r="K9" s="606">
        <v>0.6</v>
      </c>
      <c r="L9" s="646">
        <v>117718</v>
      </c>
      <c r="M9" s="654">
        <f>VLOOKUP(G:G,list!B:E,4,FALSE)</f>
        <v>0.1</v>
      </c>
      <c r="N9" s="655">
        <f t="shared" si="0"/>
        <v>11772</v>
      </c>
      <c r="O9" s="655">
        <f t="shared" si="1"/>
        <v>105946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45627</v>
      </c>
      <c r="J10" s="653">
        <v>377182.4</v>
      </c>
      <c r="K10" s="600">
        <v>0.6</v>
      </c>
      <c r="L10" s="646">
        <v>226311</v>
      </c>
      <c r="M10" s="654">
        <f>VLOOKUP(G:G,list!B:E,4,FALSE)</f>
        <v>0.1</v>
      </c>
      <c r="N10" s="655">
        <f t="shared" si="0"/>
        <v>22631</v>
      </c>
      <c r="O10" s="655">
        <f t="shared" si="1"/>
        <v>203680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45627</v>
      </c>
      <c r="J11" s="653">
        <v>31023</v>
      </c>
      <c r="K11" s="603">
        <v>0.6</v>
      </c>
      <c r="L11" s="646">
        <v>18614</v>
      </c>
      <c r="M11" s="654" t="str">
        <f>VLOOKUP(G:G,list!B:E,4,FALSE)</f>
        <v>-</v>
      </c>
      <c r="N11" s="655">
        <f t="shared" si="0"/>
        <v>0</v>
      </c>
      <c r="O11" s="655">
        <f t="shared" si="1"/>
        <v>18614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45627</v>
      </c>
      <c r="J12" s="653">
        <v>588803.6</v>
      </c>
      <c r="K12" s="603">
        <v>0.6</v>
      </c>
      <c r="L12" s="646">
        <v>353280</v>
      </c>
      <c r="M12" s="654">
        <f>VLOOKUP(G:G,list!B:E,4,FALSE)</f>
        <v>0.1</v>
      </c>
      <c r="N12" s="655">
        <f t="shared" si="0"/>
        <v>35328</v>
      </c>
      <c r="O12" s="655">
        <f t="shared" si="1"/>
        <v>317952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45627</v>
      </c>
      <c r="J13" s="653">
        <v>142229</v>
      </c>
      <c r="K13" s="600">
        <v>0.6</v>
      </c>
      <c r="L13" s="646">
        <v>85340</v>
      </c>
      <c r="M13" s="654">
        <f>VLOOKUP(G:G,list!B:E,4,FALSE)</f>
        <v>0.1</v>
      </c>
      <c r="N13" s="655">
        <f t="shared" si="0"/>
        <v>8534</v>
      </c>
      <c r="O13" s="655">
        <f t="shared" si="1"/>
        <v>76806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45627</v>
      </c>
      <c r="J14" s="653">
        <v>513533.5</v>
      </c>
      <c r="K14" s="606">
        <v>0.6</v>
      </c>
      <c r="L14" s="646">
        <v>308119</v>
      </c>
      <c r="M14" s="654">
        <f>VLOOKUP(G:G,list!B:E,4,FALSE)</f>
        <v>0.11</v>
      </c>
      <c r="N14" s="655">
        <f t="shared" si="0"/>
        <v>33893</v>
      </c>
      <c r="O14" s="655">
        <f t="shared" si="1"/>
        <v>274226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45627</v>
      </c>
      <c r="J15" s="653">
        <v>940323</v>
      </c>
      <c r="K15" s="567">
        <v>0.6</v>
      </c>
      <c r="L15" s="646">
        <v>564195</v>
      </c>
      <c r="M15" s="654">
        <f>VLOOKUP(G:G,list!B:E,4,FALSE)</f>
        <v>0.1</v>
      </c>
      <c r="N15" s="655">
        <f t="shared" si="0"/>
        <v>56420</v>
      </c>
      <c r="O15" s="655">
        <f t="shared" si="1"/>
        <v>507775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45627</v>
      </c>
      <c r="J16" s="653">
        <v>161932</v>
      </c>
      <c r="K16" s="567">
        <v>0.6</v>
      </c>
      <c r="L16" s="646">
        <v>97160</v>
      </c>
      <c r="M16" s="654">
        <f>VLOOKUP(G:G,list!B:E,4,FALSE)</f>
        <v>0.1</v>
      </c>
      <c r="N16" s="655">
        <f t="shared" si="0"/>
        <v>9716</v>
      </c>
      <c r="O16" s="655">
        <f t="shared" si="1"/>
        <v>87444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45627</v>
      </c>
      <c r="J17" s="653">
        <v>11989</v>
      </c>
      <c r="K17" s="600">
        <v>0.7</v>
      </c>
      <c r="L17" s="646">
        <v>8393</v>
      </c>
      <c r="M17" s="654" t="str">
        <f>VLOOKUP(G:G,list!B:E,4,FALSE)</f>
        <v>-</v>
      </c>
      <c r="N17" s="655">
        <f t="shared" si="0"/>
        <v>0</v>
      </c>
      <c r="O17" s="655">
        <f t="shared" si="1"/>
        <v>8393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45627</v>
      </c>
      <c r="J18" s="653">
        <v>755836.4</v>
      </c>
      <c r="K18" s="603">
        <v>0.6</v>
      </c>
      <c r="L18" s="646">
        <v>453504</v>
      </c>
      <c r="M18" s="654">
        <f>VLOOKUP(G:G,list!B:E,4,FALSE)</f>
        <v>0.1</v>
      </c>
      <c r="N18" s="655">
        <f t="shared" si="0"/>
        <v>45350</v>
      </c>
      <c r="O18" s="655">
        <f t="shared" si="1"/>
        <v>408154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45627</v>
      </c>
      <c r="J19" s="653">
        <v>385725.8</v>
      </c>
      <c r="K19" s="603">
        <v>0.7</v>
      </c>
      <c r="L19" s="646">
        <v>270007</v>
      </c>
      <c r="M19" s="654">
        <f>VLOOKUP(G:G,list!B:E,4,FALSE)</f>
        <v>0.1</v>
      </c>
      <c r="N19" s="655">
        <f t="shared" si="0"/>
        <v>27001</v>
      </c>
      <c r="O19" s="655">
        <f t="shared" si="1"/>
        <v>243006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45627</v>
      </c>
      <c r="J20" s="653">
        <v>53822.7</v>
      </c>
      <c r="K20" s="603">
        <v>0.6</v>
      </c>
      <c r="L20" s="646">
        <v>32294</v>
      </c>
      <c r="M20" s="654">
        <f>VLOOKUP(G:G,list!B:E,4,FALSE)</f>
        <v>0.1</v>
      </c>
      <c r="N20" s="655">
        <f t="shared" si="0"/>
        <v>3229</v>
      </c>
      <c r="O20" s="655">
        <f t="shared" si="1"/>
        <v>29065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45627</v>
      </c>
      <c r="J21" s="653">
        <v>10728</v>
      </c>
      <c r="K21" s="567">
        <v>0.6</v>
      </c>
      <c r="L21" s="646">
        <v>7510</v>
      </c>
      <c r="M21" s="654" t="str">
        <f>VLOOKUP(G:G,list!B:E,4,FALSE)</f>
        <v>-</v>
      </c>
      <c r="N21" s="655">
        <f t="shared" si="0"/>
        <v>0</v>
      </c>
      <c r="O21" s="655">
        <f t="shared" si="1"/>
        <v>7510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45627</v>
      </c>
      <c r="J22" s="653">
        <v>35022.9</v>
      </c>
      <c r="K22" s="567">
        <v>0.6</v>
      </c>
      <c r="L22" s="646">
        <v>21014</v>
      </c>
      <c r="M22" s="654">
        <f>VLOOKUP(G:G,list!B:E,4,FALSE)</f>
        <v>0.1</v>
      </c>
      <c r="N22" s="655">
        <f t="shared" si="0"/>
        <v>2101</v>
      </c>
      <c r="O22" s="655">
        <f t="shared" si="1"/>
        <v>18913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45627</v>
      </c>
      <c r="J23" s="653">
        <v>0</v>
      </c>
      <c r="K23" s="567">
        <v>0.6</v>
      </c>
      <c r="L23" s="646">
        <v>0</v>
      </c>
      <c r="M23" s="654" t="str">
        <f>VLOOKUP(G:G,list!B:E,4,FALSE)</f>
        <v>-</v>
      </c>
      <c r="N23" s="655">
        <f t="shared" si="0"/>
        <v>0</v>
      </c>
      <c r="O23" s="655">
        <f t="shared" si="1"/>
        <v>0</v>
      </c>
      <c r="P23" s="645" t="s">
        <v>366</v>
      </c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45627</v>
      </c>
      <c r="J24" s="653">
        <v>147254.70000000001</v>
      </c>
      <c r="K24" s="603">
        <v>0.6</v>
      </c>
      <c r="L24" s="646">
        <v>88353</v>
      </c>
      <c r="M24" s="654">
        <f>VLOOKUP(G:G,list!B:E,4,FALSE)</f>
        <v>0.1</v>
      </c>
      <c r="N24" s="655">
        <f t="shared" si="0"/>
        <v>8835</v>
      </c>
      <c r="O24" s="655">
        <f t="shared" si="1"/>
        <v>79518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45627</v>
      </c>
      <c r="J25" s="653">
        <v>24543.3</v>
      </c>
      <c r="K25" s="603">
        <v>0.6</v>
      </c>
      <c r="L25" s="646">
        <v>14726</v>
      </c>
      <c r="M25" s="654">
        <f>VLOOKUP(G:G,list!B:E,4,FALSE)</f>
        <v>0.1</v>
      </c>
      <c r="N25" s="655">
        <f t="shared" si="0"/>
        <v>1473</v>
      </c>
      <c r="O25" s="655">
        <f t="shared" si="1"/>
        <v>13253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45627</v>
      </c>
      <c r="J26" s="653">
        <v>9234.7000000000007</v>
      </c>
      <c r="K26" s="567">
        <v>0.6</v>
      </c>
      <c r="L26" s="646">
        <v>5541</v>
      </c>
      <c r="M26" s="654">
        <f>VLOOKUP(G:G,list!B:E,4,FALSE)</f>
        <v>0.1</v>
      </c>
      <c r="N26" s="655">
        <f t="shared" si="0"/>
        <v>554</v>
      </c>
      <c r="O26" s="655">
        <f t="shared" si="1"/>
        <v>4987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45627</v>
      </c>
      <c r="J27" s="653">
        <v>23068.9</v>
      </c>
      <c r="K27" s="567">
        <v>0.6</v>
      </c>
      <c r="L27" s="646">
        <v>13842</v>
      </c>
      <c r="M27" s="654">
        <f>VLOOKUP(G:G,list!B:E,4,FALSE)</f>
        <v>0.1</v>
      </c>
      <c r="N27" s="655">
        <f t="shared" si="0"/>
        <v>1384</v>
      </c>
      <c r="O27" s="655">
        <f t="shared" si="1"/>
        <v>12458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45627</v>
      </c>
      <c r="J28" s="653">
        <v>66801</v>
      </c>
      <c r="K28" s="567">
        <v>0.6</v>
      </c>
      <c r="L28" s="646">
        <v>40081</v>
      </c>
      <c r="M28" s="654" t="str">
        <f>VLOOKUP(G:G,list!B:E,4,FALSE)</f>
        <v>-</v>
      </c>
      <c r="N28" s="655">
        <f t="shared" si="0"/>
        <v>0</v>
      </c>
      <c r="O28" s="655">
        <f t="shared" si="1"/>
        <v>40081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45627</v>
      </c>
      <c r="J29" s="653">
        <v>98898.6</v>
      </c>
      <c r="K29" s="567">
        <v>0.6</v>
      </c>
      <c r="L29" s="646">
        <v>59340</v>
      </c>
      <c r="M29" s="654">
        <f>VLOOKUP(G:G,list!B:E,4,FALSE)</f>
        <v>0.11</v>
      </c>
      <c r="N29" s="655">
        <f t="shared" si="0"/>
        <v>6527</v>
      </c>
      <c r="O29" s="655">
        <f t="shared" si="1"/>
        <v>52813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45627</v>
      </c>
      <c r="J30" s="653">
        <v>284453</v>
      </c>
      <c r="K30" s="567">
        <v>0.6</v>
      </c>
      <c r="L30" s="646">
        <v>170670</v>
      </c>
      <c r="M30" s="654" t="str">
        <f>VLOOKUP(G:G,list!B:E,4,FALSE)</f>
        <v>-</v>
      </c>
      <c r="N30" s="655">
        <f t="shared" si="0"/>
        <v>0</v>
      </c>
      <c r="O30" s="655">
        <f t="shared" si="1"/>
        <v>170670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45627</v>
      </c>
      <c r="J31" s="653">
        <v>75993.600000000006</v>
      </c>
      <c r="K31" s="567">
        <v>0.6</v>
      </c>
      <c r="L31" s="646">
        <v>45597</v>
      </c>
      <c r="M31" s="654" t="str">
        <f>VLOOKUP(G:G,list!B:E,4,FALSE)</f>
        <v>-</v>
      </c>
      <c r="N31" s="655">
        <f t="shared" si="0"/>
        <v>0</v>
      </c>
      <c r="O31" s="655">
        <f t="shared" si="1"/>
        <v>45597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45627</v>
      </c>
      <c r="J32" s="653">
        <v>87451.5</v>
      </c>
      <c r="K32" s="567">
        <v>0.6</v>
      </c>
      <c r="L32" s="646">
        <v>52471</v>
      </c>
      <c r="M32" s="654">
        <f>VLOOKUP(G:G,list!B:E,4,FALSE)</f>
        <v>0.1</v>
      </c>
      <c r="N32" s="655">
        <f t="shared" si="0"/>
        <v>5247</v>
      </c>
      <c r="O32" s="655">
        <f t="shared" si="1"/>
        <v>47224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45597</v>
      </c>
      <c r="J33" s="653">
        <v>182057</v>
      </c>
      <c r="K33" s="674">
        <v>0.224</v>
      </c>
      <c r="L33" s="646">
        <v>36707</v>
      </c>
      <c r="M33" s="654">
        <f>VLOOKUP(G:G,list!B:E,4,FALSE)</f>
        <v>0.1</v>
      </c>
      <c r="N33" s="655">
        <f t="shared" si="0"/>
        <v>3671</v>
      </c>
      <c r="O33" s="655">
        <f t="shared" si="1"/>
        <v>33036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45597</v>
      </c>
      <c r="J34" s="653">
        <v>2268253</v>
      </c>
      <c r="K34" s="674">
        <v>0.224</v>
      </c>
      <c r="L34" s="646">
        <v>457287</v>
      </c>
      <c r="M34" s="654">
        <f>VLOOKUP(G:G,list!B:E,4,FALSE)</f>
        <v>0.1</v>
      </c>
      <c r="N34" s="655">
        <f t="shared" si="0"/>
        <v>45729</v>
      </c>
      <c r="O34" s="655">
        <f t="shared" si="1"/>
        <v>411558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45597</v>
      </c>
      <c r="J35" s="653">
        <v>1106</v>
      </c>
      <c r="K35" s="674">
        <v>0.224</v>
      </c>
      <c r="L35" s="646">
        <v>242</v>
      </c>
      <c r="M35" s="654" t="str">
        <f>VLOOKUP(G:G,list!B:E,4,FALSE)</f>
        <v>-</v>
      </c>
      <c r="N35" s="655">
        <f t="shared" si="0"/>
        <v>0</v>
      </c>
      <c r="O35" s="655">
        <f t="shared" si="1"/>
        <v>242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45597</v>
      </c>
      <c r="J36" s="653">
        <v>329253</v>
      </c>
      <c r="K36" s="674">
        <v>0.224</v>
      </c>
      <c r="L36" s="646">
        <v>66377</v>
      </c>
      <c r="M36" s="654">
        <f>VLOOKUP(G:G,list!B:E,4,FALSE)</f>
        <v>0.1</v>
      </c>
      <c r="N36" s="655">
        <f t="shared" si="0"/>
        <v>6638</v>
      </c>
      <c r="O36" s="655">
        <f t="shared" si="1"/>
        <v>59739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45597</v>
      </c>
      <c r="J37" s="653">
        <v>24348</v>
      </c>
      <c r="K37" s="674">
        <v>0.224</v>
      </c>
      <c r="L37" s="646">
        <v>4909</v>
      </c>
      <c r="M37" s="654">
        <f>VLOOKUP(G:G,list!B:E,4,FALSE)</f>
        <v>0.11</v>
      </c>
      <c r="N37" s="655">
        <f t="shared" si="0"/>
        <v>540</v>
      </c>
      <c r="O37" s="655">
        <f t="shared" si="1"/>
        <v>4369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45597</v>
      </c>
      <c r="J38" s="653">
        <v>228540</v>
      </c>
      <c r="K38" s="674">
        <v>0.224</v>
      </c>
      <c r="L38" s="646">
        <v>46076</v>
      </c>
      <c r="M38" s="654">
        <f>VLOOKUP(G:G,list!B:E,4,FALSE)</f>
        <v>0.1</v>
      </c>
      <c r="N38" s="655">
        <f t="shared" si="0"/>
        <v>4608</v>
      </c>
      <c r="O38" s="655">
        <f t="shared" si="1"/>
        <v>41468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45597</v>
      </c>
      <c r="J39" s="653">
        <v>333127</v>
      </c>
      <c r="K39" s="674">
        <v>0.224</v>
      </c>
      <c r="L39" s="646">
        <v>67163</v>
      </c>
      <c r="M39" s="654" t="str">
        <f>VLOOKUP(G:G,list!B:E,4,FALSE)</f>
        <v>-</v>
      </c>
      <c r="N39" s="655">
        <f t="shared" si="0"/>
        <v>0</v>
      </c>
      <c r="O39" s="655">
        <f t="shared" si="1"/>
        <v>67163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45597</v>
      </c>
      <c r="J40" s="653">
        <v>5917713</v>
      </c>
      <c r="K40" s="674">
        <v>0.224</v>
      </c>
      <c r="L40" s="646">
        <v>1193013</v>
      </c>
      <c r="M40" s="654">
        <f>VLOOKUP(G:G,list!B:E,4,FALSE)</f>
        <v>0.1</v>
      </c>
      <c r="N40" s="655">
        <f t="shared" si="0"/>
        <v>119301</v>
      </c>
      <c r="O40" s="655">
        <f t="shared" si="1"/>
        <v>1073712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45597</v>
      </c>
      <c r="J41" s="653">
        <v>553</v>
      </c>
      <c r="K41" s="674">
        <v>0.224</v>
      </c>
      <c r="L41" s="646">
        <v>114</v>
      </c>
      <c r="M41" s="654" t="str">
        <f>VLOOKUP(G:G,list!B:E,4,FALSE)</f>
        <v>-</v>
      </c>
      <c r="N41" s="655">
        <f t="shared" si="0"/>
        <v>0</v>
      </c>
      <c r="O41" s="655">
        <f t="shared" si="1"/>
        <v>114</v>
      </c>
      <c r="P41" s="564"/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45597</v>
      </c>
      <c r="J42" s="653">
        <v>113993</v>
      </c>
      <c r="K42" s="674">
        <v>0.224</v>
      </c>
      <c r="L42" s="646">
        <v>22985</v>
      </c>
      <c r="M42" s="654">
        <f>VLOOKUP(G:G,list!B:E,4,FALSE)</f>
        <v>0.1</v>
      </c>
      <c r="N42" s="655">
        <f t="shared" si="0"/>
        <v>2299</v>
      </c>
      <c r="O42" s="655">
        <f t="shared" si="1"/>
        <v>20686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45597</v>
      </c>
      <c r="J43" s="653">
        <v>1356857</v>
      </c>
      <c r="K43" s="674">
        <v>0.224</v>
      </c>
      <c r="L43" s="646">
        <v>273546</v>
      </c>
      <c r="M43" s="654">
        <f>VLOOKUP(G:G,list!B:E,4,FALSE)</f>
        <v>0.1</v>
      </c>
      <c r="N43" s="655">
        <f t="shared" si="0"/>
        <v>27355</v>
      </c>
      <c r="O43" s="655">
        <f t="shared" si="1"/>
        <v>246191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45597</v>
      </c>
      <c r="J44" s="653">
        <v>2695453</v>
      </c>
      <c r="K44" s="674">
        <v>0.224</v>
      </c>
      <c r="L44" s="646">
        <v>543410</v>
      </c>
      <c r="M44" s="654" t="str">
        <f>VLOOKUP(G:G,list!B:E,4,FALSE)</f>
        <v>-</v>
      </c>
      <c r="N44" s="655">
        <f t="shared" si="0"/>
        <v>0</v>
      </c>
      <c r="O44" s="655">
        <f t="shared" si="1"/>
        <v>543410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25</v>
      </c>
      <c r="E45" s="564" t="s">
        <v>62</v>
      </c>
      <c r="F45" s="564" t="s">
        <v>257</v>
      </c>
      <c r="G45" s="564" t="s">
        <v>316</v>
      </c>
      <c r="H45" s="565">
        <v>45577</v>
      </c>
      <c r="I45" s="652">
        <v>45627</v>
      </c>
      <c r="J45" s="653">
        <v>124632</v>
      </c>
      <c r="K45" s="567">
        <v>0.35</v>
      </c>
      <c r="L45" s="646">
        <v>43620</v>
      </c>
      <c r="M45" s="654">
        <f>VLOOKUP(G:G,list!B:E,4,FALSE)</f>
        <v>0.1</v>
      </c>
      <c r="N45" s="655">
        <f t="shared" si="0"/>
        <v>4362</v>
      </c>
      <c r="O45" s="655">
        <f t="shared" si="1"/>
        <v>39258</v>
      </c>
      <c r="P45" s="564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25</v>
      </c>
      <c r="E46" s="564" t="s">
        <v>62</v>
      </c>
      <c r="F46" s="564" t="s">
        <v>257</v>
      </c>
      <c r="G46" s="564" t="s">
        <v>353</v>
      </c>
      <c r="H46" s="565">
        <v>44916</v>
      </c>
      <c r="I46" s="652">
        <v>45627</v>
      </c>
      <c r="J46" s="653">
        <v>27957</v>
      </c>
      <c r="K46" s="567">
        <v>0.35</v>
      </c>
      <c r="L46" s="646">
        <v>9784</v>
      </c>
      <c r="M46" s="654">
        <f>VLOOKUP(G:G,list!B:E,4,FALSE)</f>
        <v>0.11</v>
      </c>
      <c r="N46" s="655">
        <f t="shared" si="0"/>
        <v>1076</v>
      </c>
      <c r="O46" s="655">
        <f t="shared" si="1"/>
        <v>8708</v>
      </c>
      <c r="P46" s="564"/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25</v>
      </c>
      <c r="E47" s="564" t="s">
        <v>62</v>
      </c>
      <c r="F47" s="564" t="s">
        <v>257</v>
      </c>
      <c r="G47" s="564" t="s">
        <v>352</v>
      </c>
      <c r="H47" s="565">
        <v>45098</v>
      </c>
      <c r="I47" s="652">
        <v>45627</v>
      </c>
      <c r="J47" s="653">
        <v>9961</v>
      </c>
      <c r="K47" s="600">
        <v>0.35</v>
      </c>
      <c r="L47" s="646">
        <v>3487</v>
      </c>
      <c r="M47" s="654">
        <f>VLOOKUP(G:G,list!B:E,4,FALSE)</f>
        <v>0.1</v>
      </c>
      <c r="N47" s="655">
        <f t="shared" si="0"/>
        <v>349</v>
      </c>
      <c r="O47" s="655">
        <f t="shared" si="1"/>
        <v>3138</v>
      </c>
      <c r="P47" s="564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작가기획</v>
      </c>
      <c r="D48" s="564" t="s">
        <v>78</v>
      </c>
      <c r="E48" s="564" t="s">
        <v>9</v>
      </c>
      <c r="F48" s="564" t="s">
        <v>246</v>
      </c>
      <c r="G48" s="564" t="s">
        <v>36</v>
      </c>
      <c r="H48" s="565">
        <v>43810</v>
      </c>
      <c r="I48" s="652">
        <v>45627</v>
      </c>
      <c r="J48" s="653">
        <v>25560</v>
      </c>
      <c r="K48" s="600" t="s">
        <v>532</v>
      </c>
      <c r="L48" s="646">
        <v>11304</v>
      </c>
      <c r="M48" s="654" t="str">
        <f>VLOOKUP(G:G,list!B:E,4,FALSE)</f>
        <v>-</v>
      </c>
      <c r="N48" s="655">
        <f t="shared" si="0"/>
        <v>0</v>
      </c>
      <c r="O48" s="655">
        <f t="shared" si="1"/>
        <v>11304</v>
      </c>
      <c r="P48" s="564"/>
      <c r="Q48" s="672" t="str">
        <f>VLOOKUP(G:G,list!B:F,5,FALSE)</f>
        <v>-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246</v>
      </c>
      <c r="G49" s="564" t="s">
        <v>139</v>
      </c>
      <c r="H49" s="565">
        <v>43852</v>
      </c>
      <c r="I49" s="652">
        <v>45627</v>
      </c>
      <c r="J49" s="653">
        <v>27000</v>
      </c>
      <c r="K49" s="600" t="s">
        <v>532</v>
      </c>
      <c r="L49" s="646">
        <v>12042</v>
      </c>
      <c r="M49" s="654" t="str">
        <f>VLOOKUP(G:G,list!B:E,4,FALSE)</f>
        <v>-</v>
      </c>
      <c r="N49" s="655">
        <f t="shared" si="0"/>
        <v>0</v>
      </c>
      <c r="O49" s="655">
        <f t="shared" si="1"/>
        <v>12042</v>
      </c>
      <c r="P49" s="564"/>
      <c r="Q49" s="672" t="str">
        <f>VLOOKUP(G:G,list!B:F,5,FALSE)</f>
        <v>-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작가기획</v>
      </c>
      <c r="D50" s="564" t="s">
        <v>78</v>
      </c>
      <c r="E50" s="564" t="s">
        <v>9</v>
      </c>
      <c r="F50" s="564" t="s">
        <v>544</v>
      </c>
      <c r="G50" s="564" t="s">
        <v>36</v>
      </c>
      <c r="H50" s="565">
        <v>45124</v>
      </c>
      <c r="I50" s="652">
        <v>45597</v>
      </c>
      <c r="J50" s="653">
        <v>331632</v>
      </c>
      <c r="K50" s="600">
        <v>0.5</v>
      </c>
      <c r="L50" s="646">
        <v>165816</v>
      </c>
      <c r="M50" s="654" t="str">
        <f>VLOOKUP(G:G,list!B:E,4,FALSE)</f>
        <v>-</v>
      </c>
      <c r="N50" s="655">
        <f t="shared" si="0"/>
        <v>0</v>
      </c>
      <c r="O50" s="655">
        <f t="shared" si="1"/>
        <v>165816</v>
      </c>
      <c r="P50" s="564"/>
      <c r="Q50" s="672" t="str">
        <f>VLOOKUP(G:G,list!B:F,5,FALSE)</f>
        <v>-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작가기획</v>
      </c>
      <c r="D51" s="564" t="s">
        <v>78</v>
      </c>
      <c r="E51" s="564" t="s">
        <v>9</v>
      </c>
      <c r="F51" s="564" t="s">
        <v>544</v>
      </c>
      <c r="G51" s="564" t="s">
        <v>139</v>
      </c>
      <c r="H51" s="565">
        <v>44513</v>
      </c>
      <c r="I51" s="652">
        <v>45597</v>
      </c>
      <c r="J51" s="653">
        <v>87883</v>
      </c>
      <c r="K51" s="600">
        <v>0.5</v>
      </c>
      <c r="L51" s="646">
        <v>43942</v>
      </c>
      <c r="M51" s="654" t="str">
        <f>VLOOKUP(G:G,list!B:E,4,FALSE)</f>
        <v>-</v>
      </c>
      <c r="N51" s="655">
        <f t="shared" si="0"/>
        <v>0</v>
      </c>
      <c r="O51" s="655">
        <f t="shared" si="1"/>
        <v>43942</v>
      </c>
      <c r="P51" s="564"/>
      <c r="Q51" s="672" t="str">
        <f>VLOOKUP(G:G,list!B:F,5,FALSE)</f>
        <v>-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66</v>
      </c>
      <c r="E52" s="564" t="s">
        <v>64</v>
      </c>
      <c r="F52" s="564" t="s">
        <v>65</v>
      </c>
      <c r="G52" s="564" t="s">
        <v>30</v>
      </c>
      <c r="H52" s="565">
        <v>44586</v>
      </c>
      <c r="I52" s="652">
        <v>45627</v>
      </c>
      <c r="J52" s="653">
        <v>73405</v>
      </c>
      <c r="K52" s="567">
        <v>0.4</v>
      </c>
      <c r="L52" s="646">
        <v>29362</v>
      </c>
      <c r="M52" s="654">
        <f>VLOOKUP(G:G,list!B:E,4,FALSE)</f>
        <v>0.1</v>
      </c>
      <c r="N52" s="655">
        <f t="shared" si="0"/>
        <v>2936</v>
      </c>
      <c r="O52" s="655">
        <f t="shared" si="1"/>
        <v>26426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66</v>
      </c>
      <c r="E53" s="564" t="s">
        <v>9</v>
      </c>
      <c r="F53" s="564" t="s">
        <v>65</v>
      </c>
      <c r="G53" s="564" t="s">
        <v>36</v>
      </c>
      <c r="H53" s="565">
        <v>44992</v>
      </c>
      <c r="I53" s="652">
        <v>45627</v>
      </c>
      <c r="J53" s="653">
        <v>189188</v>
      </c>
      <c r="K53" s="600">
        <v>0.4</v>
      </c>
      <c r="L53" s="646">
        <v>75675</v>
      </c>
      <c r="M53" s="654" t="str">
        <f>VLOOKUP(G:G,list!B:E,4,FALSE)</f>
        <v>-</v>
      </c>
      <c r="N53" s="655">
        <f t="shared" si="0"/>
        <v>0</v>
      </c>
      <c r="O53" s="655">
        <f t="shared" si="1"/>
        <v>75675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66</v>
      </c>
      <c r="E54" s="564" t="s">
        <v>9</v>
      </c>
      <c r="F54" s="564" t="s">
        <v>65</v>
      </c>
      <c r="G54" s="564" t="s">
        <v>37</v>
      </c>
      <c r="H54" s="565">
        <v>45169</v>
      </c>
      <c r="I54" s="652">
        <v>45627</v>
      </c>
      <c r="J54" s="653">
        <v>52293</v>
      </c>
      <c r="K54" s="600">
        <v>0.4</v>
      </c>
      <c r="L54" s="646">
        <v>20917</v>
      </c>
      <c r="M54" s="654" t="str">
        <f>VLOOKUP(G:G,list!B:E,4,FALSE)</f>
        <v>-</v>
      </c>
      <c r="N54" s="655">
        <f t="shared" si="0"/>
        <v>0</v>
      </c>
      <c r="O54" s="655">
        <f t="shared" si="1"/>
        <v>20917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67</v>
      </c>
      <c r="E55" s="564" t="s">
        <v>9</v>
      </c>
      <c r="F55" s="564" t="s">
        <v>65</v>
      </c>
      <c r="G55" s="564" t="s">
        <v>37</v>
      </c>
      <c r="H55" s="565">
        <v>43921</v>
      </c>
      <c r="I55" s="652">
        <v>45627</v>
      </c>
      <c r="J55" s="653">
        <v>165475</v>
      </c>
      <c r="K55" s="600">
        <v>0.4</v>
      </c>
      <c r="L55" s="646">
        <v>66190</v>
      </c>
      <c r="M55" s="654" t="str">
        <f>VLOOKUP(G:G,list!B:E,4,FALSE)</f>
        <v>-</v>
      </c>
      <c r="N55" s="655">
        <f t="shared" si="0"/>
        <v>0</v>
      </c>
      <c r="O55" s="655">
        <f t="shared" si="1"/>
        <v>66190</v>
      </c>
      <c r="P55" s="564"/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67</v>
      </c>
      <c r="E56" s="564" t="s">
        <v>9</v>
      </c>
      <c r="F56" s="564" t="s">
        <v>65</v>
      </c>
      <c r="G56" s="564" t="s">
        <v>36</v>
      </c>
      <c r="H56" s="565">
        <v>43941</v>
      </c>
      <c r="I56" s="652">
        <v>45627</v>
      </c>
      <c r="J56" s="653">
        <v>334455</v>
      </c>
      <c r="K56" s="600">
        <v>0.4</v>
      </c>
      <c r="L56" s="646">
        <v>133782</v>
      </c>
      <c r="M56" s="654" t="str">
        <f>VLOOKUP(G:G,list!B:E,4,FALSE)</f>
        <v>-</v>
      </c>
      <c r="N56" s="655">
        <f t="shared" si="0"/>
        <v>0</v>
      </c>
      <c r="O56" s="655">
        <f t="shared" si="1"/>
        <v>133782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67</v>
      </c>
      <c r="E57" s="564" t="s">
        <v>64</v>
      </c>
      <c r="F57" s="564" t="s">
        <v>65</v>
      </c>
      <c r="G57" s="564" t="s">
        <v>30</v>
      </c>
      <c r="H57" s="565">
        <v>44258</v>
      </c>
      <c r="I57" s="652">
        <v>45627</v>
      </c>
      <c r="J57" s="653">
        <v>65035</v>
      </c>
      <c r="K57" s="600">
        <v>0.4</v>
      </c>
      <c r="L57" s="646">
        <v>26014</v>
      </c>
      <c r="M57" s="654">
        <f>VLOOKUP(G:G,list!B:E,4,FALSE)</f>
        <v>0.1</v>
      </c>
      <c r="N57" s="655">
        <f t="shared" si="0"/>
        <v>2601</v>
      </c>
      <c r="O57" s="655">
        <f t="shared" si="1"/>
        <v>23413</v>
      </c>
      <c r="P57" s="564"/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131</v>
      </c>
      <c r="G58" s="564" t="s">
        <v>60</v>
      </c>
      <c r="H58" s="565">
        <v>44333</v>
      </c>
      <c r="I58" s="652">
        <v>45627</v>
      </c>
      <c r="J58" s="653">
        <v>0</v>
      </c>
      <c r="K58" s="603">
        <v>0.5</v>
      </c>
      <c r="L58" s="646">
        <v>0</v>
      </c>
      <c r="M58" s="654" t="str">
        <f>VLOOKUP(G:G,list!B:E,4,FALSE)</f>
        <v>-</v>
      </c>
      <c r="N58" s="655">
        <f t="shared" si="0"/>
        <v>0</v>
      </c>
      <c r="O58" s="655">
        <f t="shared" si="1"/>
        <v>0</v>
      </c>
      <c r="P58" s="564" t="s">
        <v>366</v>
      </c>
      <c r="Q58" s="672" t="str">
        <f>VLOOKUP(G:G,list!B:F,5,FALSE)</f>
        <v>-</v>
      </c>
      <c r="R58" s="656" t="str">
        <f>VLOOKUP(G:G,list!B:D,3,FALSE)</f>
        <v>N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115</v>
      </c>
      <c r="F59" s="564" t="s">
        <v>131</v>
      </c>
      <c r="G59" s="564" t="s">
        <v>518</v>
      </c>
      <c r="H59" s="565">
        <v>44897</v>
      </c>
      <c r="I59" s="652">
        <v>45627</v>
      </c>
      <c r="J59" s="653">
        <v>46872</v>
      </c>
      <c r="K59" s="603">
        <v>0.5</v>
      </c>
      <c r="L59" s="646">
        <v>23436</v>
      </c>
      <c r="M59" s="654" t="str">
        <f>VLOOKUP(G:G,list!B:E,4,FALSE)</f>
        <v>-</v>
      </c>
      <c r="N59" s="655">
        <f t="shared" si="0"/>
        <v>0</v>
      </c>
      <c r="O59" s="655">
        <f t="shared" si="1"/>
        <v>23436</v>
      </c>
      <c r="P59" s="564"/>
      <c r="Q59" s="672" t="str">
        <f>VLOOKUP(G:G,list!B:F,5,FALSE)</f>
        <v>-</v>
      </c>
      <c r="R59" s="656" t="str">
        <f>VLOOKUP(G:G,list!B:D,3,FALSE)</f>
        <v>N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182</v>
      </c>
      <c r="E60" s="564" t="s">
        <v>115</v>
      </c>
      <c r="F60" s="564" t="s">
        <v>131</v>
      </c>
      <c r="G60" s="564" t="s">
        <v>518</v>
      </c>
      <c r="H60" s="565">
        <v>45049</v>
      </c>
      <c r="I60" s="652">
        <v>45597</v>
      </c>
      <c r="J60" s="653">
        <v>124733</v>
      </c>
      <c r="K60" s="603">
        <v>0.3</v>
      </c>
      <c r="L60" s="646">
        <v>37420</v>
      </c>
      <c r="M60" s="654" t="str">
        <f>VLOOKUP(G:G,list!B:E,4,FALSE)</f>
        <v>-</v>
      </c>
      <c r="N60" s="655">
        <f t="shared" si="0"/>
        <v>0</v>
      </c>
      <c r="O60" s="655">
        <f t="shared" si="1"/>
        <v>37420</v>
      </c>
      <c r="P60" s="564"/>
      <c r="Q60" s="672" t="str">
        <f>VLOOKUP(G:G,list!B:F,5,FALSE)</f>
        <v>-</v>
      </c>
      <c r="R60" s="656" t="str">
        <f>VLOOKUP(G:G,list!B:D,3,FALSE)</f>
        <v>N</v>
      </c>
    </row>
    <row r="61" spans="2:18" ht="18" customHeight="1">
      <c r="B61" s="650">
        <v>56</v>
      </c>
      <c r="C61" s="651" t="str">
        <f>VLOOKUP(G:G,list!B:D,2,FALSE)</f>
        <v>원작료</v>
      </c>
      <c r="D61" s="564" t="s">
        <v>182</v>
      </c>
      <c r="E61" s="564" t="s">
        <v>115</v>
      </c>
      <c r="F61" s="564" t="s">
        <v>131</v>
      </c>
      <c r="G61" s="564" t="s">
        <v>525</v>
      </c>
      <c r="H61" s="565">
        <v>45591</v>
      </c>
      <c r="I61" s="652">
        <v>45597</v>
      </c>
      <c r="J61" s="653">
        <v>6784</v>
      </c>
      <c r="K61" s="603">
        <v>0.5</v>
      </c>
      <c r="L61" s="646">
        <v>3392</v>
      </c>
      <c r="M61" s="654">
        <f>VLOOKUP(G:G,list!B:E,4,FALSE)</f>
        <v>0.1</v>
      </c>
      <c r="N61" s="655">
        <f t="shared" si="0"/>
        <v>339</v>
      </c>
      <c r="O61" s="655">
        <f t="shared" si="1"/>
        <v>3053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78</v>
      </c>
      <c r="E62" s="564" t="s">
        <v>9</v>
      </c>
      <c r="F62" s="564" t="s">
        <v>545</v>
      </c>
      <c r="G62" s="564" t="s">
        <v>454</v>
      </c>
      <c r="H62" s="565">
        <v>44750</v>
      </c>
      <c r="I62" s="652">
        <v>45597</v>
      </c>
      <c r="J62" s="653">
        <v>1299035</v>
      </c>
      <c r="K62" s="603">
        <v>0.7</v>
      </c>
      <c r="L62" s="646">
        <v>912665</v>
      </c>
      <c r="M62" s="654">
        <f>VLOOKUP(G:G,list!B:E,4,FALSE)</f>
        <v>0.1</v>
      </c>
      <c r="N62" s="655">
        <f t="shared" si="0"/>
        <v>91267</v>
      </c>
      <c r="O62" s="655">
        <f t="shared" si="1"/>
        <v>821398</v>
      </c>
      <c r="P62" s="564"/>
      <c r="Q62" s="672" t="str">
        <f>VLOOKUP(G:G,list!B:F,5,FALSE)</f>
        <v>-</v>
      </c>
      <c r="R62" s="656" t="str">
        <f>VLOOKUP(G:G,list!B:D,3,FALSE)</f>
        <v>Y</v>
      </c>
    </row>
    <row r="63" spans="2:18" ht="18" customHeight="1">
      <c r="B63" s="650">
        <v>58</v>
      </c>
      <c r="C63" s="651" t="str">
        <f>VLOOKUP(G:G,list!B:D,2,FALSE)</f>
        <v>원작료</v>
      </c>
      <c r="D63" s="564" t="s">
        <v>78</v>
      </c>
      <c r="E63" s="564" t="s">
        <v>9</v>
      </c>
      <c r="F63" s="564" t="s">
        <v>264</v>
      </c>
      <c r="G63" s="564" t="s">
        <v>454</v>
      </c>
      <c r="H63" s="565" t="s">
        <v>203</v>
      </c>
      <c r="I63" s="652">
        <v>45597</v>
      </c>
      <c r="J63" s="653">
        <v>276823.96389200003</v>
      </c>
      <c r="K63" s="603">
        <v>0.25</v>
      </c>
      <c r="L63" s="646">
        <v>69206</v>
      </c>
      <c r="M63" s="654">
        <f>VLOOKUP(G:G,list!B:E,4,FALSE)</f>
        <v>0.1</v>
      </c>
      <c r="N63" s="655">
        <f t="shared" si="0"/>
        <v>6921</v>
      </c>
      <c r="O63" s="655">
        <f t="shared" si="1"/>
        <v>62285</v>
      </c>
      <c r="P63" s="564" t="s">
        <v>554</v>
      </c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작가기획</v>
      </c>
      <c r="D64" s="564" t="s">
        <v>32</v>
      </c>
      <c r="E64" s="564" t="s">
        <v>9</v>
      </c>
      <c r="F64" s="564" t="s">
        <v>154</v>
      </c>
      <c r="G64" s="564" t="s">
        <v>36</v>
      </c>
      <c r="H64" s="565">
        <v>44106</v>
      </c>
      <c r="I64" s="652">
        <v>45597</v>
      </c>
      <c r="J64" s="653">
        <v>36298</v>
      </c>
      <c r="K64" s="603">
        <v>0.4</v>
      </c>
      <c r="L64" s="646">
        <v>13794</v>
      </c>
      <c r="M64" s="654" t="str">
        <f>VLOOKUP(G:G,list!B:E,4,FALSE)</f>
        <v>-</v>
      </c>
      <c r="N64" s="655">
        <f t="shared" si="0"/>
        <v>0</v>
      </c>
      <c r="O64" s="655">
        <f t="shared" si="1"/>
        <v>13794</v>
      </c>
      <c r="P64" s="564"/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32</v>
      </c>
      <c r="E65" s="564" t="s">
        <v>9</v>
      </c>
      <c r="F65" s="564" t="s">
        <v>154</v>
      </c>
      <c r="G65" s="564" t="s">
        <v>37</v>
      </c>
      <c r="H65" s="565">
        <v>44113</v>
      </c>
      <c r="I65" s="652">
        <v>45597</v>
      </c>
      <c r="J65" s="653">
        <v>16275</v>
      </c>
      <c r="K65" s="603">
        <v>0.4</v>
      </c>
      <c r="L65" s="646">
        <v>6185</v>
      </c>
      <c r="M65" s="654" t="str">
        <f>VLOOKUP(G:G,list!B:E,4,FALSE)</f>
        <v>-</v>
      </c>
      <c r="N65" s="655">
        <f t="shared" si="0"/>
        <v>0</v>
      </c>
      <c r="O65" s="655">
        <f t="shared" si="1"/>
        <v>6185</v>
      </c>
      <c r="P65" s="564"/>
      <c r="Q65" s="672" t="str">
        <f>VLOOKUP(G:G,list!B:F,5,FALSE)</f>
        <v>-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32</v>
      </c>
      <c r="E66" s="564" t="s">
        <v>9</v>
      </c>
      <c r="F66" s="564" t="s">
        <v>154</v>
      </c>
      <c r="G66" s="564" t="s">
        <v>454</v>
      </c>
      <c r="H66" s="565">
        <v>44869</v>
      </c>
      <c r="I66" s="652">
        <v>45597</v>
      </c>
      <c r="J66" s="653">
        <v>170845</v>
      </c>
      <c r="K66" s="603">
        <v>0.4</v>
      </c>
      <c r="L66" s="646">
        <v>64921</v>
      </c>
      <c r="M66" s="654">
        <f>VLOOKUP(G:G,list!B:E,4,FALSE)</f>
        <v>0.1</v>
      </c>
      <c r="N66" s="655">
        <f t="shared" si="0"/>
        <v>6492</v>
      </c>
      <c r="O66" s="655">
        <f t="shared" si="1"/>
        <v>58429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원작료</v>
      </c>
      <c r="D67" s="564" t="s">
        <v>182</v>
      </c>
      <c r="E67" s="564" t="s">
        <v>115</v>
      </c>
      <c r="F67" s="564" t="s">
        <v>386</v>
      </c>
      <c r="G67" s="564" t="s">
        <v>30</v>
      </c>
      <c r="H67" s="565">
        <v>44591</v>
      </c>
      <c r="I67" s="652">
        <v>45566</v>
      </c>
      <c r="J67" s="653">
        <v>0</v>
      </c>
      <c r="K67" s="603">
        <v>0.5</v>
      </c>
      <c r="L67" s="646">
        <v>0</v>
      </c>
      <c r="M67" s="654">
        <f>VLOOKUP(G:G,list!B:E,4,FALSE)</f>
        <v>0.1</v>
      </c>
      <c r="N67" s="655">
        <f t="shared" si="0"/>
        <v>0</v>
      </c>
      <c r="O67" s="655">
        <f t="shared" si="1"/>
        <v>0</v>
      </c>
      <c r="P67" s="564" t="s">
        <v>366</v>
      </c>
      <c r="Q67" s="672" t="str">
        <f>VLOOKUP(G:G,list!B:F,5,FALSE)</f>
        <v>웹소설본부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작가기획</v>
      </c>
      <c r="D68" s="564" t="s">
        <v>182</v>
      </c>
      <c r="E68" s="564" t="s">
        <v>115</v>
      </c>
      <c r="F68" s="564" t="s">
        <v>386</v>
      </c>
      <c r="G68" s="564" t="s">
        <v>36</v>
      </c>
      <c r="H68" s="565">
        <v>44643</v>
      </c>
      <c r="I68" s="652">
        <v>45566</v>
      </c>
      <c r="J68" s="653">
        <v>94661</v>
      </c>
      <c r="K68" s="603">
        <v>0.5</v>
      </c>
      <c r="L68" s="646">
        <v>47331</v>
      </c>
      <c r="M68" s="654" t="str">
        <f>VLOOKUP(G:G,list!B:E,4,FALSE)</f>
        <v>-</v>
      </c>
      <c r="N68" s="655">
        <f t="shared" si="0"/>
        <v>0</v>
      </c>
      <c r="O68" s="655">
        <f t="shared" si="1"/>
        <v>47331</v>
      </c>
      <c r="P68" s="564"/>
      <c r="Q68" s="672" t="str">
        <f>VLOOKUP(G:G,list!B:F,5,FALSE)</f>
        <v>-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작가기획</v>
      </c>
      <c r="D69" s="564" t="s">
        <v>182</v>
      </c>
      <c r="E69" s="564" t="s">
        <v>115</v>
      </c>
      <c r="F69" s="564" t="s">
        <v>386</v>
      </c>
      <c r="G69" s="564" t="s">
        <v>37</v>
      </c>
      <c r="H69" s="565">
        <v>44643</v>
      </c>
      <c r="I69" s="652">
        <v>45566</v>
      </c>
      <c r="J69" s="653">
        <v>1170</v>
      </c>
      <c r="K69" s="603">
        <v>0.5</v>
      </c>
      <c r="L69" s="646">
        <v>585</v>
      </c>
      <c r="M69" s="654" t="str">
        <f>VLOOKUP(G:G,list!B:E,4,FALSE)</f>
        <v>-</v>
      </c>
      <c r="N69" s="655">
        <f t="shared" si="0"/>
        <v>0</v>
      </c>
      <c r="O69" s="655">
        <f t="shared" si="1"/>
        <v>585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182</v>
      </c>
      <c r="E70" s="564" t="s">
        <v>115</v>
      </c>
      <c r="F70" s="564" t="s">
        <v>386</v>
      </c>
      <c r="G70" s="564" t="s">
        <v>56</v>
      </c>
      <c r="H70" s="565">
        <v>44599</v>
      </c>
      <c r="I70" s="652">
        <v>45566</v>
      </c>
      <c r="J70" s="653">
        <v>133033</v>
      </c>
      <c r="K70" s="603">
        <v>0.5</v>
      </c>
      <c r="L70" s="646">
        <v>66517</v>
      </c>
      <c r="M70" s="654">
        <f>VLOOKUP(G:G,list!B:E,4,FALSE)</f>
        <v>0.1</v>
      </c>
      <c r="N70" s="655">
        <f t="shared" si="0"/>
        <v>6652</v>
      </c>
      <c r="O70" s="655">
        <f t="shared" si="1"/>
        <v>59865</v>
      </c>
      <c r="P70" s="564"/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538</v>
      </c>
      <c r="E71" s="564" t="s">
        <v>9</v>
      </c>
      <c r="F71" s="564" t="s">
        <v>519</v>
      </c>
      <c r="G71" s="564" t="s">
        <v>316</v>
      </c>
      <c r="H71" s="565">
        <v>45446</v>
      </c>
      <c r="I71" s="652">
        <v>45627</v>
      </c>
      <c r="J71" s="653">
        <v>40698</v>
      </c>
      <c r="K71" s="603">
        <v>0.7</v>
      </c>
      <c r="L71" s="646">
        <v>28488.6</v>
      </c>
      <c r="M71" s="654">
        <f>VLOOKUP(G:G,list!B:E,4,FALSE)</f>
        <v>0.1</v>
      </c>
      <c r="N71" s="655">
        <f t="shared" si="0"/>
        <v>2849</v>
      </c>
      <c r="O71" s="655">
        <f t="shared" si="1"/>
        <v>25639.599999999999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549</v>
      </c>
      <c r="E72" s="564" t="s">
        <v>9</v>
      </c>
      <c r="F72" s="564" t="s">
        <v>519</v>
      </c>
      <c r="G72" s="564" t="s">
        <v>316</v>
      </c>
      <c r="H72" s="565">
        <v>45524</v>
      </c>
      <c r="I72" s="652">
        <v>45627</v>
      </c>
      <c r="J72" s="653">
        <v>0</v>
      </c>
      <c r="K72" s="603">
        <v>0.7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/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123</v>
      </c>
      <c r="E73" s="564" t="s">
        <v>9</v>
      </c>
      <c r="F73" s="564" t="s">
        <v>519</v>
      </c>
      <c r="G73" s="564" t="s">
        <v>316</v>
      </c>
      <c r="H73" s="565">
        <v>45536</v>
      </c>
      <c r="I73" s="652">
        <v>45627</v>
      </c>
      <c r="J73" s="653">
        <v>2394</v>
      </c>
      <c r="K73" s="603">
        <v>0.7</v>
      </c>
      <c r="L73" s="646">
        <v>1675.8</v>
      </c>
      <c r="M73" s="654">
        <f>VLOOKUP(G:G,list!B:E,4,FALSE)</f>
        <v>0.1</v>
      </c>
      <c r="N73" s="655">
        <f t="shared" si="0"/>
        <v>168</v>
      </c>
      <c r="O73" s="655">
        <f t="shared" si="1"/>
        <v>1507.8</v>
      </c>
      <c r="P73" s="564"/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132</v>
      </c>
      <c r="E74" s="564" t="s">
        <v>9</v>
      </c>
      <c r="F74" s="564" t="s">
        <v>519</v>
      </c>
      <c r="G74" s="564" t="s">
        <v>316</v>
      </c>
      <c r="H74" s="565">
        <v>44945</v>
      </c>
      <c r="I74" s="652">
        <v>45627</v>
      </c>
      <c r="J74" s="653">
        <v>31521</v>
      </c>
      <c r="K74" s="603">
        <v>0.5</v>
      </c>
      <c r="L74" s="646">
        <v>15760.5</v>
      </c>
      <c r="M74" s="654">
        <f>VLOOKUP(G:G,list!B:E,4,FALSE)</f>
        <v>0.1</v>
      </c>
      <c r="N74" s="655">
        <f t="shared" ref="N74" si="2">ROUND(IF(M74="-",0,L74*M74),0)</f>
        <v>1576</v>
      </c>
      <c r="O74" s="655">
        <f t="shared" ref="O74" si="3">L74-N74</f>
        <v>14184.5</v>
      </c>
      <c r="P74" s="564"/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132</v>
      </c>
      <c r="E75" s="564" t="s">
        <v>9</v>
      </c>
      <c r="F75" s="564" t="s">
        <v>519</v>
      </c>
      <c r="G75" s="564" t="s">
        <v>56</v>
      </c>
      <c r="H75" s="565">
        <v>44952</v>
      </c>
      <c r="I75" s="652">
        <v>45627</v>
      </c>
      <c r="J75" s="653">
        <v>0</v>
      </c>
      <c r="K75" s="567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/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538</v>
      </c>
      <c r="E76" s="564" t="s">
        <v>9</v>
      </c>
      <c r="F76" s="564" t="s">
        <v>519</v>
      </c>
      <c r="G76" s="564" t="s">
        <v>56</v>
      </c>
      <c r="H76" s="565">
        <v>45503</v>
      </c>
      <c r="I76" s="652">
        <v>45627</v>
      </c>
      <c r="J76" s="653">
        <v>44422</v>
      </c>
      <c r="K76" s="567">
        <v>0.5</v>
      </c>
      <c r="L76" s="646">
        <v>22211</v>
      </c>
      <c r="M76" s="654">
        <f>VLOOKUP(G:G,list!B:E,4,FALSE)</f>
        <v>0.1</v>
      </c>
      <c r="N76" s="655">
        <f t="shared" si="0"/>
        <v>2221</v>
      </c>
      <c r="O76" s="655">
        <f t="shared" si="1"/>
        <v>19990</v>
      </c>
      <c r="P76" s="564"/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549</v>
      </c>
      <c r="E77" s="564" t="s">
        <v>9</v>
      </c>
      <c r="F77" s="564" t="s">
        <v>519</v>
      </c>
      <c r="G77" s="564" t="s">
        <v>56</v>
      </c>
      <c r="H77" s="565">
        <v>45547</v>
      </c>
      <c r="I77" s="652">
        <v>45627</v>
      </c>
      <c r="J77" s="653">
        <v>1862</v>
      </c>
      <c r="K77" s="567">
        <v>0.5</v>
      </c>
      <c r="L77" s="646">
        <v>931</v>
      </c>
      <c r="M77" s="654">
        <f>VLOOKUP(G:G,list!B:E,4,FALSE)</f>
        <v>0.1</v>
      </c>
      <c r="N77" s="655">
        <f t="shared" si="0"/>
        <v>93</v>
      </c>
      <c r="O77" s="655">
        <f t="shared" si="1"/>
        <v>838</v>
      </c>
      <c r="P77" s="564"/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132</v>
      </c>
      <c r="E78" s="564" t="s">
        <v>9</v>
      </c>
      <c r="F78" s="564" t="s">
        <v>519</v>
      </c>
      <c r="G78" s="564" t="s">
        <v>30</v>
      </c>
      <c r="H78" s="565">
        <v>44953</v>
      </c>
      <c r="I78" s="652">
        <v>45627</v>
      </c>
      <c r="J78" s="653">
        <v>0</v>
      </c>
      <c r="K78" s="567">
        <v>0.5</v>
      </c>
      <c r="L78" s="646">
        <v>0</v>
      </c>
      <c r="M78" s="654">
        <f>VLOOKUP(G:G,list!B:E,4,FALSE)</f>
        <v>0.1</v>
      </c>
      <c r="N78" s="655">
        <f t="shared" si="0"/>
        <v>0</v>
      </c>
      <c r="O78" s="655">
        <f t="shared" si="1"/>
        <v>0</v>
      </c>
      <c r="P78" s="564" t="s">
        <v>366</v>
      </c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작가기획</v>
      </c>
      <c r="D79" s="564" t="s">
        <v>132</v>
      </c>
      <c r="E79" s="564" t="s">
        <v>9</v>
      </c>
      <c r="F79" s="564" t="s">
        <v>519</v>
      </c>
      <c r="G79" s="564" t="s">
        <v>308</v>
      </c>
      <c r="H79" s="565">
        <v>44992</v>
      </c>
      <c r="I79" s="652">
        <v>45627</v>
      </c>
      <c r="J79" s="653">
        <v>0</v>
      </c>
      <c r="K79" s="603">
        <v>0.5</v>
      </c>
      <c r="L79" s="646">
        <v>0</v>
      </c>
      <c r="M79" s="654" t="str">
        <f>VLOOKUP(G:G,list!B:E,4,FALSE)</f>
        <v>-</v>
      </c>
      <c r="N79" s="655">
        <f t="shared" si="0"/>
        <v>0</v>
      </c>
      <c r="O79" s="655">
        <f t="shared" si="1"/>
        <v>0</v>
      </c>
      <c r="P79" s="564" t="s">
        <v>366</v>
      </c>
      <c r="Q79" s="672" t="str">
        <f>VLOOKUP(G:G,list!B:F,5,FALSE)</f>
        <v>-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538</v>
      </c>
      <c r="E80" s="564" t="s">
        <v>9</v>
      </c>
      <c r="F80" s="564" t="s">
        <v>519</v>
      </c>
      <c r="G80" s="564" t="s">
        <v>308</v>
      </c>
      <c r="H80" s="565">
        <v>45610</v>
      </c>
      <c r="I80" s="652">
        <v>45627</v>
      </c>
      <c r="J80" s="653">
        <v>6251</v>
      </c>
      <c r="K80" s="603">
        <v>0.5</v>
      </c>
      <c r="L80" s="646">
        <v>3125.5</v>
      </c>
      <c r="M80" s="654" t="str">
        <f>VLOOKUP(G:G,list!B:E,4,FALSE)</f>
        <v>-</v>
      </c>
      <c r="N80" s="655">
        <f t="shared" si="0"/>
        <v>0</v>
      </c>
      <c r="O80" s="655">
        <f t="shared" si="1"/>
        <v>3125.5</v>
      </c>
      <c r="P80" s="564"/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36</v>
      </c>
      <c r="H81" s="565">
        <v>45198</v>
      </c>
      <c r="I81" s="652">
        <v>45627</v>
      </c>
      <c r="J81" s="653">
        <v>691201</v>
      </c>
      <c r="K81" s="603">
        <v>0.5</v>
      </c>
      <c r="L81" s="646">
        <v>345600.5</v>
      </c>
      <c r="M81" s="654" t="str">
        <f>VLOOKUP(G:G,list!B:E,4,FALSE)</f>
        <v>-</v>
      </c>
      <c r="N81" s="655">
        <f t="shared" si="0"/>
        <v>0</v>
      </c>
      <c r="O81" s="655">
        <f t="shared" si="1"/>
        <v>345600.5</v>
      </c>
      <c r="P81" s="564"/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36</v>
      </c>
      <c r="H82" s="565">
        <v>45479</v>
      </c>
      <c r="I82" s="652">
        <v>45627</v>
      </c>
      <c r="J82" s="653">
        <v>6384</v>
      </c>
      <c r="K82" s="603">
        <v>0.5</v>
      </c>
      <c r="L82" s="646">
        <v>3192</v>
      </c>
      <c r="M82" s="654" t="str">
        <f>VLOOKUP(G:G,list!B:E,4,FALSE)</f>
        <v>-</v>
      </c>
      <c r="N82" s="655">
        <f t="shared" si="0"/>
        <v>0</v>
      </c>
      <c r="O82" s="655">
        <f t="shared" si="1"/>
        <v>3192</v>
      </c>
      <c r="P82" s="564"/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123</v>
      </c>
      <c r="E83" s="564" t="s">
        <v>9</v>
      </c>
      <c r="F83" s="564" t="s">
        <v>519</v>
      </c>
      <c r="G83" s="564" t="s">
        <v>36</v>
      </c>
      <c r="H83" s="565">
        <v>45555</v>
      </c>
      <c r="I83" s="652">
        <v>45627</v>
      </c>
      <c r="J83" s="653">
        <v>798</v>
      </c>
      <c r="K83" s="603">
        <v>0.5</v>
      </c>
      <c r="L83" s="646">
        <v>399</v>
      </c>
      <c r="M83" s="654" t="str">
        <f>VLOOKUP(G:G,list!B:E,4,FALSE)</f>
        <v>-</v>
      </c>
      <c r="N83" s="655">
        <f t="shared" si="0"/>
        <v>0</v>
      </c>
      <c r="O83" s="655">
        <f t="shared" si="1"/>
        <v>399</v>
      </c>
      <c r="P83" s="564"/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132</v>
      </c>
      <c r="E84" s="564" t="s">
        <v>9</v>
      </c>
      <c r="F84" s="564" t="s">
        <v>519</v>
      </c>
      <c r="G84" s="564" t="s">
        <v>139</v>
      </c>
      <c r="H84" s="565">
        <v>45276</v>
      </c>
      <c r="I84" s="652">
        <v>45627</v>
      </c>
      <c r="J84" s="653">
        <v>70091</v>
      </c>
      <c r="K84" s="603">
        <v>0.5</v>
      </c>
      <c r="L84" s="646">
        <v>35045.5</v>
      </c>
      <c r="M84" s="654" t="str">
        <f>VLOOKUP(G:G,list!B:E,4,FALSE)</f>
        <v>-</v>
      </c>
      <c r="N84" s="655">
        <f t="shared" si="0"/>
        <v>0</v>
      </c>
      <c r="O84" s="655">
        <f t="shared" si="1"/>
        <v>35045.5</v>
      </c>
      <c r="P84" s="564"/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538</v>
      </c>
      <c r="E85" s="564" t="s">
        <v>9</v>
      </c>
      <c r="F85" s="564" t="s">
        <v>519</v>
      </c>
      <c r="G85" s="564" t="s">
        <v>139</v>
      </c>
      <c r="H85" s="565">
        <v>45534</v>
      </c>
      <c r="I85" s="652">
        <v>45627</v>
      </c>
      <c r="J85" s="653">
        <v>1995</v>
      </c>
      <c r="K85" s="603">
        <v>0.5</v>
      </c>
      <c r="L85" s="646">
        <v>997.5</v>
      </c>
      <c r="M85" s="654" t="str">
        <f>VLOOKUP(G:G,list!B:E,4,FALSE)</f>
        <v>-</v>
      </c>
      <c r="N85" s="655">
        <f t="shared" si="0"/>
        <v>0</v>
      </c>
      <c r="O85" s="655">
        <f t="shared" si="1"/>
        <v>997.5</v>
      </c>
      <c r="P85" s="564"/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182</v>
      </c>
      <c r="E86" s="564" t="s">
        <v>115</v>
      </c>
      <c r="F86" s="564" t="s">
        <v>550</v>
      </c>
      <c r="G86" s="564" t="s">
        <v>308</v>
      </c>
      <c r="H86" s="565">
        <v>45347</v>
      </c>
      <c r="I86" s="652">
        <v>45566</v>
      </c>
      <c r="J86" s="653">
        <v>1582</v>
      </c>
      <c r="K86" s="603">
        <v>0.5</v>
      </c>
      <c r="L86" s="646">
        <v>791</v>
      </c>
      <c r="M86" s="654" t="str">
        <f>VLOOKUP(G:G,list!B:E,4,FALSE)</f>
        <v>-</v>
      </c>
      <c r="N86" s="655">
        <f t="shared" si="0"/>
        <v>0</v>
      </c>
      <c r="O86" s="655">
        <f t="shared" si="1"/>
        <v>791</v>
      </c>
      <c r="P86" s="564"/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원작료</v>
      </c>
      <c r="D87" s="564" t="s">
        <v>182</v>
      </c>
      <c r="E87" s="564" t="s">
        <v>115</v>
      </c>
      <c r="F87" s="564" t="s">
        <v>550</v>
      </c>
      <c r="G87" s="564" t="s">
        <v>316</v>
      </c>
      <c r="H87" s="565">
        <v>45359</v>
      </c>
      <c r="I87" s="652">
        <v>45566</v>
      </c>
      <c r="J87" s="653">
        <v>3692</v>
      </c>
      <c r="K87" s="603">
        <v>0.5</v>
      </c>
      <c r="L87" s="646">
        <v>1846</v>
      </c>
      <c r="M87" s="654">
        <f>VLOOKUP(G:G,list!B:E,4,FALSE)</f>
        <v>0.1</v>
      </c>
      <c r="N87" s="655">
        <f t="shared" si="0"/>
        <v>185</v>
      </c>
      <c r="O87" s="655">
        <f t="shared" si="1"/>
        <v>1661</v>
      </c>
      <c r="P87" s="564"/>
      <c r="Q87" s="672" t="str">
        <f>VLOOKUP(G:G,list!B:F,5,FALSE)</f>
        <v>웹소설본부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원작료</v>
      </c>
      <c r="D88" s="564" t="s">
        <v>32</v>
      </c>
      <c r="E88" s="564" t="s">
        <v>9</v>
      </c>
      <c r="F88" s="564" t="s">
        <v>31</v>
      </c>
      <c r="G88" s="564" t="s">
        <v>30</v>
      </c>
      <c r="H88" s="565">
        <v>44239</v>
      </c>
      <c r="I88" s="652">
        <v>45597</v>
      </c>
      <c r="J88" s="653">
        <v>24301</v>
      </c>
      <c r="K88" s="603">
        <v>0.4</v>
      </c>
      <c r="L88" s="646">
        <v>9238</v>
      </c>
      <c r="M88" s="654">
        <f>VLOOKUP(G:G,list!B:E,4,FALSE)</f>
        <v>0.1</v>
      </c>
      <c r="N88" s="655">
        <f t="shared" si="0"/>
        <v>924</v>
      </c>
      <c r="O88" s="655">
        <f t="shared" si="1"/>
        <v>8314</v>
      </c>
      <c r="P88" s="564"/>
      <c r="Q88" s="672" t="str">
        <f>VLOOKUP(G:G,list!B:F,5,FALSE)</f>
        <v>웹소설본부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123</v>
      </c>
      <c r="E89" s="564" t="s">
        <v>9</v>
      </c>
      <c r="F89" s="564" t="s">
        <v>213</v>
      </c>
      <c r="G89" s="564" t="s">
        <v>56</v>
      </c>
      <c r="H89" s="565">
        <v>44581</v>
      </c>
      <c r="I89" s="652">
        <v>45627</v>
      </c>
      <c r="J89" s="653">
        <v>926140</v>
      </c>
      <c r="K89" s="603">
        <v>0.3</v>
      </c>
      <c r="L89" s="568">
        <v>277842</v>
      </c>
      <c r="M89" s="654">
        <f>VLOOKUP(G:G,list!B:E,4,FALSE)</f>
        <v>0.1</v>
      </c>
      <c r="N89" s="655">
        <f t="shared" si="0"/>
        <v>27784</v>
      </c>
      <c r="O89" s="655">
        <f t="shared" si="1"/>
        <v>250058</v>
      </c>
      <c r="P89" s="564" t="s">
        <v>186</v>
      </c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183</v>
      </c>
      <c r="E90" s="564" t="s">
        <v>9</v>
      </c>
      <c r="F90" s="564" t="s">
        <v>213</v>
      </c>
      <c r="G90" s="564" t="s">
        <v>56</v>
      </c>
      <c r="H90" s="565">
        <v>44829</v>
      </c>
      <c r="I90" s="652">
        <v>45627</v>
      </c>
      <c r="J90" s="653">
        <v>913310</v>
      </c>
      <c r="K90" s="603">
        <v>0.3</v>
      </c>
      <c r="L90" s="568">
        <v>273993</v>
      </c>
      <c r="M90" s="654">
        <f>VLOOKUP(G:G,list!B:E,4,FALSE)</f>
        <v>0.1</v>
      </c>
      <c r="N90" s="655">
        <f t="shared" si="0"/>
        <v>27399</v>
      </c>
      <c r="O90" s="655">
        <f t="shared" si="1"/>
        <v>246594</v>
      </c>
      <c r="P90" s="564" t="s">
        <v>186</v>
      </c>
      <c r="Q90" s="672" t="str">
        <f>VLOOKUP(G:G,list!B:F,5,FALSE)</f>
        <v>웹소설본부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123</v>
      </c>
      <c r="E91" s="564" t="s">
        <v>9</v>
      </c>
      <c r="F91" s="564" t="s">
        <v>213</v>
      </c>
      <c r="G91" s="564" t="s">
        <v>454</v>
      </c>
      <c r="H91" s="565">
        <v>44854</v>
      </c>
      <c r="I91" s="652">
        <v>45627</v>
      </c>
      <c r="J91" s="653">
        <v>869260</v>
      </c>
      <c r="K91" s="603">
        <v>0.3</v>
      </c>
      <c r="L91" s="568">
        <v>260778</v>
      </c>
      <c r="M91" s="654">
        <f>VLOOKUP(G:G,list!B:E,4,FALSE)</f>
        <v>0.1</v>
      </c>
      <c r="N91" s="655">
        <f t="shared" si="0"/>
        <v>26078</v>
      </c>
      <c r="O91" s="655">
        <f t="shared" si="1"/>
        <v>234700</v>
      </c>
      <c r="P91" s="564" t="s">
        <v>186</v>
      </c>
      <c r="Q91" s="672" t="str">
        <f>VLOOKUP(G:G,list!B:F,5,FALSE)</f>
        <v>-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123</v>
      </c>
      <c r="E92" s="564" t="s">
        <v>9</v>
      </c>
      <c r="F92" s="564" t="s">
        <v>213</v>
      </c>
      <c r="G92" s="564" t="s">
        <v>481</v>
      </c>
      <c r="H92" s="565">
        <v>44981</v>
      </c>
      <c r="I92" s="652">
        <v>45627</v>
      </c>
      <c r="J92" s="653">
        <v>200117</v>
      </c>
      <c r="K92" s="603">
        <v>0.3</v>
      </c>
      <c r="L92" s="568">
        <v>60035</v>
      </c>
      <c r="M92" s="654">
        <f>VLOOKUP(G:G,list!B:E,4,FALSE)</f>
        <v>0.1</v>
      </c>
      <c r="N92" s="655">
        <f t="shared" si="0"/>
        <v>6004</v>
      </c>
      <c r="O92" s="655">
        <f t="shared" si="1"/>
        <v>54031</v>
      </c>
      <c r="P92" s="564" t="s">
        <v>186</v>
      </c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123</v>
      </c>
      <c r="E93" s="564" t="s">
        <v>9</v>
      </c>
      <c r="F93" s="564" t="s">
        <v>213</v>
      </c>
      <c r="G93" s="564" t="s">
        <v>352</v>
      </c>
      <c r="H93" s="565">
        <v>44984</v>
      </c>
      <c r="I93" s="652">
        <v>45627</v>
      </c>
      <c r="J93" s="653">
        <v>307263</v>
      </c>
      <c r="K93" s="603">
        <v>0.3</v>
      </c>
      <c r="L93" s="568">
        <v>92179</v>
      </c>
      <c r="M93" s="654">
        <f>VLOOKUP(G:G,list!B:E,4,FALSE)</f>
        <v>0.1</v>
      </c>
      <c r="N93" s="655">
        <f t="shared" si="0"/>
        <v>9218</v>
      </c>
      <c r="O93" s="655">
        <f t="shared" si="1"/>
        <v>82961</v>
      </c>
      <c r="P93" s="564" t="s">
        <v>186</v>
      </c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72</v>
      </c>
      <c r="E94" s="564" t="s">
        <v>9</v>
      </c>
      <c r="F94" s="564" t="s">
        <v>213</v>
      </c>
      <c r="G94" s="564" t="s">
        <v>454</v>
      </c>
      <c r="H94" s="565">
        <v>44902</v>
      </c>
      <c r="I94" s="652">
        <v>45597</v>
      </c>
      <c r="J94" s="653">
        <v>2689540</v>
      </c>
      <c r="K94" s="603">
        <v>0.3</v>
      </c>
      <c r="L94" s="568">
        <v>806862</v>
      </c>
      <c r="M94" s="654">
        <f>VLOOKUP(G:G,list!B:E,4,FALSE)</f>
        <v>0.1</v>
      </c>
      <c r="N94" s="655">
        <f t="shared" ref="N94:N116" si="4">ROUND(IF(M94="-",0,L94*M94),0)</f>
        <v>80686</v>
      </c>
      <c r="O94" s="655">
        <f t="shared" ref="O94:O116" si="5">L94-N94</f>
        <v>726176</v>
      </c>
      <c r="P94" s="564" t="s">
        <v>282</v>
      </c>
      <c r="Q94" s="672" t="str">
        <f>VLOOKUP(G:G,list!B:F,5,FALSE)</f>
        <v>-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72</v>
      </c>
      <c r="E95" s="564" t="s">
        <v>9</v>
      </c>
      <c r="F95" s="564" t="s">
        <v>213</v>
      </c>
      <c r="G95" s="564" t="s">
        <v>454</v>
      </c>
      <c r="H95" s="565">
        <v>45257</v>
      </c>
      <c r="I95" s="652">
        <v>45597</v>
      </c>
      <c r="J95" s="653">
        <v>63497</v>
      </c>
      <c r="K95" s="603">
        <v>0.3</v>
      </c>
      <c r="L95" s="568">
        <v>19049</v>
      </c>
      <c r="M95" s="654">
        <f>VLOOKUP(G:G,list!B:E,4,FALSE)</f>
        <v>0.1</v>
      </c>
      <c r="N95" s="655">
        <f t="shared" si="4"/>
        <v>1905</v>
      </c>
      <c r="O95" s="655">
        <f t="shared" si="5"/>
        <v>17144</v>
      </c>
      <c r="P95" s="564" t="s">
        <v>546</v>
      </c>
      <c r="Q95" s="672" t="str">
        <f>VLOOKUP(G:G,list!B:F,5,FALSE)</f>
        <v>-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작가기획</v>
      </c>
      <c r="D96" s="564" t="s">
        <v>72</v>
      </c>
      <c r="E96" s="564" t="s">
        <v>9</v>
      </c>
      <c r="F96" s="564" t="s">
        <v>73</v>
      </c>
      <c r="G96" s="564" t="s">
        <v>308</v>
      </c>
      <c r="H96" s="565" t="s">
        <v>168</v>
      </c>
      <c r="I96" s="652">
        <v>45474</v>
      </c>
      <c r="J96" s="653">
        <v>131</v>
      </c>
      <c r="K96" s="603">
        <v>0.78900000000000003</v>
      </c>
      <c r="L96" s="568">
        <v>93</v>
      </c>
      <c r="M96" s="654" t="str">
        <f>VLOOKUP(G:G,list!B:E,4,FALSE)</f>
        <v>-</v>
      </c>
      <c r="N96" s="655">
        <f t="shared" si="4"/>
        <v>0</v>
      </c>
      <c r="O96" s="655">
        <f t="shared" si="5"/>
        <v>93</v>
      </c>
      <c r="P96" s="564" t="s">
        <v>564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작가기획</v>
      </c>
      <c r="D97" s="564" t="s">
        <v>72</v>
      </c>
      <c r="E97" s="564" t="s">
        <v>9</v>
      </c>
      <c r="F97" s="564" t="s">
        <v>73</v>
      </c>
      <c r="G97" s="564" t="s">
        <v>308</v>
      </c>
      <c r="H97" s="565" t="s">
        <v>168</v>
      </c>
      <c r="I97" s="652">
        <v>45505</v>
      </c>
      <c r="J97" s="653">
        <v>0</v>
      </c>
      <c r="K97" s="603">
        <v>0.78900000000000003</v>
      </c>
      <c r="L97" s="568">
        <v>0</v>
      </c>
      <c r="M97" s="654" t="str">
        <f>VLOOKUP(G:G,list!B:E,4,FALSE)</f>
        <v>-</v>
      </c>
      <c r="N97" s="655">
        <f t="shared" si="4"/>
        <v>0</v>
      </c>
      <c r="O97" s="655">
        <f t="shared" si="5"/>
        <v>0</v>
      </c>
      <c r="P97" s="564" t="s">
        <v>564</v>
      </c>
      <c r="Q97" s="672" t="str">
        <f>VLOOKUP(G:G,list!B:F,5,FALSE)</f>
        <v>-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작가기획</v>
      </c>
      <c r="D98" s="564" t="s">
        <v>72</v>
      </c>
      <c r="E98" s="564" t="s">
        <v>9</v>
      </c>
      <c r="F98" s="564" t="s">
        <v>73</v>
      </c>
      <c r="G98" s="564" t="s">
        <v>308</v>
      </c>
      <c r="H98" s="565" t="s">
        <v>168</v>
      </c>
      <c r="I98" s="652">
        <v>45536</v>
      </c>
      <c r="J98" s="653">
        <v>278</v>
      </c>
      <c r="K98" s="603">
        <v>0.78900000000000003</v>
      </c>
      <c r="L98" s="568">
        <v>197</v>
      </c>
      <c r="M98" s="654" t="str">
        <f>VLOOKUP(G:G,list!B:E,4,FALSE)</f>
        <v>-</v>
      </c>
      <c r="N98" s="655">
        <f t="shared" si="4"/>
        <v>0</v>
      </c>
      <c r="O98" s="655">
        <f t="shared" si="5"/>
        <v>197</v>
      </c>
      <c r="P98" s="564" t="s">
        <v>564</v>
      </c>
      <c r="Q98" s="672" t="str">
        <f>VLOOKUP(G:G,list!B:F,5,FALSE)</f>
        <v>-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작가기획</v>
      </c>
      <c r="D99" s="564" t="s">
        <v>182</v>
      </c>
      <c r="E99" s="564" t="s">
        <v>115</v>
      </c>
      <c r="F99" s="564" t="s">
        <v>565</v>
      </c>
      <c r="G99" s="564" t="s">
        <v>36</v>
      </c>
      <c r="H99" s="565">
        <v>45364</v>
      </c>
      <c r="I99" s="652">
        <v>45474</v>
      </c>
      <c r="J99" s="653">
        <v>577743.89065892634</v>
      </c>
      <c r="K99" s="603">
        <v>0.5</v>
      </c>
      <c r="L99" s="568">
        <v>288872</v>
      </c>
      <c r="M99" s="654" t="str">
        <f>VLOOKUP(G:G,list!B:E,4,FALSE)</f>
        <v>-</v>
      </c>
      <c r="N99" s="655">
        <f t="shared" si="4"/>
        <v>0</v>
      </c>
      <c r="O99" s="655">
        <f t="shared" si="5"/>
        <v>288872</v>
      </c>
      <c r="P99" s="564"/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작가기획</v>
      </c>
      <c r="D100" s="564" t="s">
        <v>182</v>
      </c>
      <c r="E100" s="564" t="s">
        <v>115</v>
      </c>
      <c r="F100" s="564" t="s">
        <v>565</v>
      </c>
      <c r="G100" s="564" t="s">
        <v>36</v>
      </c>
      <c r="H100" s="565">
        <v>45364</v>
      </c>
      <c r="I100" s="652">
        <v>45505</v>
      </c>
      <c r="J100" s="653">
        <v>601642.95942815288</v>
      </c>
      <c r="K100" s="603">
        <v>0.5</v>
      </c>
      <c r="L100" s="568">
        <v>300821</v>
      </c>
      <c r="M100" s="654" t="str">
        <f>VLOOKUP(G:G,list!B:E,4,FALSE)</f>
        <v>-</v>
      </c>
      <c r="N100" s="655">
        <f t="shared" si="4"/>
        <v>0</v>
      </c>
      <c r="O100" s="655">
        <f t="shared" si="5"/>
        <v>300821</v>
      </c>
      <c r="P100" s="564"/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작가기획</v>
      </c>
      <c r="D101" s="564" t="s">
        <v>182</v>
      </c>
      <c r="E101" s="564" t="s">
        <v>115</v>
      </c>
      <c r="F101" s="564" t="s">
        <v>565</v>
      </c>
      <c r="G101" s="564" t="s">
        <v>36</v>
      </c>
      <c r="H101" s="565">
        <v>45364</v>
      </c>
      <c r="I101" s="652">
        <v>45536</v>
      </c>
      <c r="J101" s="653">
        <v>216795.98991292084</v>
      </c>
      <c r="K101" s="603">
        <v>0.5</v>
      </c>
      <c r="L101" s="568">
        <v>108398</v>
      </c>
      <c r="M101" s="654" t="str">
        <f>VLOOKUP(G:G,list!B:E,4,FALSE)</f>
        <v>-</v>
      </c>
      <c r="N101" s="655">
        <f t="shared" si="4"/>
        <v>0</v>
      </c>
      <c r="O101" s="655">
        <f t="shared" si="5"/>
        <v>108398</v>
      </c>
      <c r="P101" s="564"/>
      <c r="Q101" s="672" t="str">
        <f>VLOOKUP(G:G,list!B:F,5,FALSE)</f>
        <v>-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작가기획</v>
      </c>
      <c r="D102" s="564" t="s">
        <v>182</v>
      </c>
      <c r="E102" s="564" t="s">
        <v>115</v>
      </c>
      <c r="F102" s="564" t="s">
        <v>565</v>
      </c>
      <c r="G102" s="564" t="s">
        <v>139</v>
      </c>
      <c r="H102" s="565">
        <v>45362</v>
      </c>
      <c r="I102" s="652">
        <v>45474</v>
      </c>
      <c r="J102" s="653">
        <v>109009.88074285716</v>
      </c>
      <c r="K102" s="603">
        <v>0.5</v>
      </c>
      <c r="L102" s="568">
        <v>54505</v>
      </c>
      <c r="M102" s="654" t="str">
        <f>VLOOKUP(G:G,list!B:E,4,FALSE)</f>
        <v>-</v>
      </c>
      <c r="N102" s="655">
        <f t="shared" si="4"/>
        <v>0</v>
      </c>
      <c r="O102" s="655">
        <f t="shared" si="5"/>
        <v>54505</v>
      </c>
      <c r="P102" s="564"/>
      <c r="Q102" s="672" t="str">
        <f>VLOOKUP(G:G,list!B:F,5,FALSE)</f>
        <v>-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작가기획</v>
      </c>
      <c r="D103" s="564" t="s">
        <v>182</v>
      </c>
      <c r="E103" s="564" t="s">
        <v>115</v>
      </c>
      <c r="F103" s="564" t="s">
        <v>565</v>
      </c>
      <c r="G103" s="564" t="s">
        <v>139</v>
      </c>
      <c r="H103" s="565">
        <v>45362</v>
      </c>
      <c r="I103" s="652">
        <v>45505</v>
      </c>
      <c r="J103" s="653">
        <v>5581.9397142857142</v>
      </c>
      <c r="K103" s="603">
        <v>0.5</v>
      </c>
      <c r="L103" s="568">
        <v>2791</v>
      </c>
      <c r="M103" s="654" t="str">
        <f>VLOOKUP(G:G,list!B:E,4,FALSE)</f>
        <v>-</v>
      </c>
      <c r="N103" s="655">
        <f t="shared" si="4"/>
        <v>0</v>
      </c>
      <c r="O103" s="655">
        <f t="shared" si="5"/>
        <v>2791</v>
      </c>
      <c r="P103" s="564"/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작가기획</v>
      </c>
      <c r="D104" s="564" t="s">
        <v>182</v>
      </c>
      <c r="E104" s="564" t="s">
        <v>115</v>
      </c>
      <c r="F104" s="564" t="s">
        <v>565</v>
      </c>
      <c r="G104" s="564" t="s">
        <v>139</v>
      </c>
      <c r="H104" s="565">
        <v>45362</v>
      </c>
      <c r="I104" s="652">
        <v>45536</v>
      </c>
      <c r="J104" s="653">
        <v>11451.979542857145</v>
      </c>
      <c r="K104" s="603">
        <v>0.5</v>
      </c>
      <c r="L104" s="568">
        <v>5726</v>
      </c>
      <c r="M104" s="654" t="str">
        <f>VLOOKUP(G:G,list!B:E,4,FALSE)</f>
        <v>-</v>
      </c>
      <c r="N104" s="655">
        <f t="shared" si="4"/>
        <v>0</v>
      </c>
      <c r="O104" s="655">
        <f t="shared" si="5"/>
        <v>5726</v>
      </c>
      <c r="P104" s="564"/>
      <c r="Q104" s="672" t="str">
        <f>VLOOKUP(G:G,list!B:F,5,FALSE)</f>
        <v>-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182</v>
      </c>
      <c r="E105" s="564" t="s">
        <v>115</v>
      </c>
      <c r="F105" s="564" t="s">
        <v>565</v>
      </c>
      <c r="G105" s="564" t="s">
        <v>30</v>
      </c>
      <c r="H105" s="565">
        <v>45379</v>
      </c>
      <c r="I105" s="652">
        <v>45474</v>
      </c>
      <c r="J105" s="653">
        <v>31181.937459283392</v>
      </c>
      <c r="K105" s="603">
        <v>0.5</v>
      </c>
      <c r="L105" s="568">
        <v>15591</v>
      </c>
      <c r="M105" s="654">
        <f>VLOOKUP(G:G,list!B:E,4,FALSE)</f>
        <v>0.1</v>
      </c>
      <c r="N105" s="655">
        <f t="shared" si="4"/>
        <v>1559</v>
      </c>
      <c r="O105" s="655">
        <f t="shared" si="5"/>
        <v>14032</v>
      </c>
      <c r="P105" s="564"/>
      <c r="Q105" s="672" t="str">
        <f>VLOOKUP(G:G,list!B:F,5,FALSE)</f>
        <v>웹소설본부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182</v>
      </c>
      <c r="E106" s="564" t="s">
        <v>115</v>
      </c>
      <c r="F106" s="564" t="s">
        <v>565</v>
      </c>
      <c r="G106" s="564" t="s">
        <v>30</v>
      </c>
      <c r="H106" s="565">
        <v>45379</v>
      </c>
      <c r="I106" s="652">
        <v>45505</v>
      </c>
      <c r="J106" s="653">
        <v>34726.983713355054</v>
      </c>
      <c r="K106" s="603">
        <v>0.5</v>
      </c>
      <c r="L106" s="568">
        <v>17363</v>
      </c>
      <c r="M106" s="654">
        <f>VLOOKUP(G:G,list!B:E,4,FALSE)</f>
        <v>0.1</v>
      </c>
      <c r="N106" s="655">
        <f t="shared" si="4"/>
        <v>1736</v>
      </c>
      <c r="O106" s="655">
        <f t="shared" si="5"/>
        <v>15627</v>
      </c>
      <c r="P106" s="564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182</v>
      </c>
      <c r="E107" s="564" t="s">
        <v>115</v>
      </c>
      <c r="F107" s="564" t="s">
        <v>565</v>
      </c>
      <c r="G107" s="564" t="s">
        <v>30</v>
      </c>
      <c r="H107" s="565">
        <v>45379</v>
      </c>
      <c r="I107" s="652">
        <v>45536</v>
      </c>
      <c r="J107" s="653">
        <v>723.47882736156362</v>
      </c>
      <c r="K107" s="603">
        <v>0.5</v>
      </c>
      <c r="L107" s="568">
        <v>362</v>
      </c>
      <c r="M107" s="654">
        <f>VLOOKUP(G:G,list!B:E,4,FALSE)</f>
        <v>0.1</v>
      </c>
      <c r="N107" s="655">
        <f t="shared" ref="N107:N115" si="6">ROUND(IF(M107="-",0,L107*M107),0)</f>
        <v>36</v>
      </c>
      <c r="O107" s="655">
        <f t="shared" ref="O107:O115" si="7">L107-N107</f>
        <v>326</v>
      </c>
      <c r="P107" s="564"/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작가기획</v>
      </c>
      <c r="D108" s="564" t="s">
        <v>182</v>
      </c>
      <c r="E108" s="564" t="s">
        <v>115</v>
      </c>
      <c r="F108" s="564" t="s">
        <v>565</v>
      </c>
      <c r="G108" s="564" t="s">
        <v>308</v>
      </c>
      <c r="H108" s="565">
        <v>45382</v>
      </c>
      <c r="I108" s="652">
        <v>45474</v>
      </c>
      <c r="J108" s="653">
        <v>24629.62860962567</v>
      </c>
      <c r="K108" s="603">
        <v>0.5</v>
      </c>
      <c r="L108" s="568">
        <v>12315</v>
      </c>
      <c r="M108" s="654" t="str">
        <f>VLOOKUP(G:G,list!B:E,4,FALSE)</f>
        <v>-</v>
      </c>
      <c r="N108" s="655">
        <f t="shared" si="6"/>
        <v>0</v>
      </c>
      <c r="O108" s="655">
        <f t="shared" si="7"/>
        <v>12315</v>
      </c>
      <c r="P108" s="564"/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작가기획</v>
      </c>
      <c r="D109" s="564" t="s">
        <v>182</v>
      </c>
      <c r="E109" s="564" t="s">
        <v>115</v>
      </c>
      <c r="F109" s="564" t="s">
        <v>565</v>
      </c>
      <c r="G109" s="564" t="s">
        <v>308</v>
      </c>
      <c r="H109" s="565">
        <v>45382</v>
      </c>
      <c r="I109" s="652">
        <v>45505</v>
      </c>
      <c r="J109" s="653">
        <v>17664.952139037432</v>
      </c>
      <c r="K109" s="603">
        <v>0.5</v>
      </c>
      <c r="L109" s="568">
        <v>8832</v>
      </c>
      <c r="M109" s="654" t="str">
        <f>VLOOKUP(G:G,list!B:E,4,FALSE)</f>
        <v>-</v>
      </c>
      <c r="N109" s="655">
        <f t="shared" si="6"/>
        <v>0</v>
      </c>
      <c r="O109" s="655">
        <f t="shared" si="7"/>
        <v>8832</v>
      </c>
      <c r="P109" s="564"/>
      <c r="Q109" s="672" t="str">
        <f>VLOOKUP(G:G,list!B:F,5,FALSE)</f>
        <v>-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작가기획</v>
      </c>
      <c r="D110" s="564" t="s">
        <v>182</v>
      </c>
      <c r="E110" s="564" t="s">
        <v>115</v>
      </c>
      <c r="F110" s="564" t="s">
        <v>565</v>
      </c>
      <c r="G110" s="564" t="s">
        <v>308</v>
      </c>
      <c r="H110" s="565">
        <v>45382</v>
      </c>
      <c r="I110" s="652">
        <v>45536</v>
      </c>
      <c r="J110" s="653">
        <v>5065.2192513368982</v>
      </c>
      <c r="K110" s="603">
        <v>0.5</v>
      </c>
      <c r="L110" s="568">
        <v>2533</v>
      </c>
      <c r="M110" s="654" t="str">
        <f>VLOOKUP(G:G,list!B:E,4,FALSE)</f>
        <v>-</v>
      </c>
      <c r="N110" s="655">
        <f t="shared" si="6"/>
        <v>0</v>
      </c>
      <c r="O110" s="655">
        <f t="shared" si="7"/>
        <v>2533</v>
      </c>
      <c r="P110" s="564"/>
      <c r="Q110" s="672" t="str">
        <f>VLOOKUP(G:G,list!B:F,5,FALSE)</f>
        <v>-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182</v>
      </c>
      <c r="E111" s="564" t="s">
        <v>115</v>
      </c>
      <c r="F111" s="564" t="s">
        <v>565</v>
      </c>
      <c r="G111" s="564" t="s">
        <v>316</v>
      </c>
      <c r="H111" s="565">
        <v>45390</v>
      </c>
      <c r="I111" s="652">
        <v>45474</v>
      </c>
      <c r="J111" s="653">
        <v>50018.915012106547</v>
      </c>
      <c r="K111" s="603">
        <v>0.5</v>
      </c>
      <c r="L111" s="568">
        <v>25009</v>
      </c>
      <c r="M111" s="654">
        <f>VLOOKUP(G:G,list!B:E,4,FALSE)</f>
        <v>0.1</v>
      </c>
      <c r="N111" s="655">
        <f t="shared" si="6"/>
        <v>2501</v>
      </c>
      <c r="O111" s="655">
        <f t="shared" si="7"/>
        <v>22508</v>
      </c>
      <c r="P111" s="564"/>
      <c r="Q111" s="672" t="str">
        <f>VLOOKUP(G:G,list!B:F,5,FALSE)</f>
        <v>웹소설본부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182</v>
      </c>
      <c r="E112" s="564" t="s">
        <v>115</v>
      </c>
      <c r="F112" s="564" t="s">
        <v>565</v>
      </c>
      <c r="G112" s="564" t="s">
        <v>316</v>
      </c>
      <c r="H112" s="565">
        <v>45390</v>
      </c>
      <c r="I112" s="652">
        <v>45505</v>
      </c>
      <c r="J112" s="653">
        <v>38602.988498789346</v>
      </c>
      <c r="K112" s="603">
        <v>0.5</v>
      </c>
      <c r="L112" s="568">
        <v>19301</v>
      </c>
      <c r="M112" s="654">
        <f>VLOOKUP(G:G,list!B:E,4,FALSE)</f>
        <v>0.1</v>
      </c>
      <c r="N112" s="655">
        <f t="shared" si="6"/>
        <v>1930</v>
      </c>
      <c r="O112" s="655">
        <f t="shared" si="7"/>
        <v>17371</v>
      </c>
      <c r="P112" s="564"/>
      <c r="Q112" s="672" t="str">
        <f>VLOOKUP(G:G,list!B:F,5,FALSE)</f>
        <v>웹소설본부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182</v>
      </c>
      <c r="E113" s="564" t="s">
        <v>115</v>
      </c>
      <c r="F113" s="564" t="s">
        <v>565</v>
      </c>
      <c r="G113" s="564" t="s">
        <v>316</v>
      </c>
      <c r="H113" s="565">
        <v>45390</v>
      </c>
      <c r="I113" s="652">
        <v>45536</v>
      </c>
      <c r="J113" s="653">
        <v>20390.296489104119</v>
      </c>
      <c r="K113" s="603">
        <v>0.5</v>
      </c>
      <c r="L113" s="568">
        <v>10195</v>
      </c>
      <c r="M113" s="654">
        <f>VLOOKUP(G:G,list!B:E,4,FALSE)</f>
        <v>0.1</v>
      </c>
      <c r="N113" s="655">
        <f t="shared" si="6"/>
        <v>1020</v>
      </c>
      <c r="O113" s="655">
        <f t="shared" si="7"/>
        <v>9175</v>
      </c>
      <c r="P113" s="564"/>
      <c r="Q113" s="672" t="str">
        <f>VLOOKUP(G:G,list!B:F,5,FALSE)</f>
        <v>웹소설본부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182</v>
      </c>
      <c r="E114" s="564" t="s">
        <v>115</v>
      </c>
      <c r="F114" s="564" t="s">
        <v>565</v>
      </c>
      <c r="G114" s="564" t="s">
        <v>56</v>
      </c>
      <c r="H114" s="565">
        <v>45391</v>
      </c>
      <c r="I114" s="652">
        <v>45474</v>
      </c>
      <c r="J114" s="653">
        <v>205965.202814983</v>
      </c>
      <c r="K114" s="603">
        <v>0.5</v>
      </c>
      <c r="L114" s="568">
        <v>102983</v>
      </c>
      <c r="M114" s="654">
        <f>VLOOKUP(G:G,list!B:E,4,FALSE)</f>
        <v>0.1</v>
      </c>
      <c r="N114" s="655">
        <f t="shared" si="6"/>
        <v>10298</v>
      </c>
      <c r="O114" s="655">
        <f t="shared" si="7"/>
        <v>92685</v>
      </c>
      <c r="P114" s="564"/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182</v>
      </c>
      <c r="E115" s="564" t="s">
        <v>115</v>
      </c>
      <c r="F115" s="564" t="s">
        <v>565</v>
      </c>
      <c r="G115" s="564" t="s">
        <v>56</v>
      </c>
      <c r="H115" s="565">
        <v>45391</v>
      </c>
      <c r="I115" s="652">
        <v>45505</v>
      </c>
      <c r="J115" s="653">
        <v>80421.042088535774</v>
      </c>
      <c r="K115" s="603">
        <v>0.5</v>
      </c>
      <c r="L115" s="568">
        <v>40211</v>
      </c>
      <c r="M115" s="654">
        <f>VLOOKUP(G:G,list!B:E,4,FALSE)</f>
        <v>0.1</v>
      </c>
      <c r="N115" s="655">
        <f t="shared" si="6"/>
        <v>4021</v>
      </c>
      <c r="O115" s="655">
        <f t="shared" si="7"/>
        <v>36190</v>
      </c>
      <c r="P115" s="564"/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182</v>
      </c>
      <c r="E116" s="564" t="s">
        <v>115</v>
      </c>
      <c r="F116" s="564" t="s">
        <v>565</v>
      </c>
      <c r="G116" s="564" t="s">
        <v>56</v>
      </c>
      <c r="H116" s="565">
        <v>45391</v>
      </c>
      <c r="I116" s="652">
        <v>45536</v>
      </c>
      <c r="J116" s="653">
        <v>34206.235096481272</v>
      </c>
      <c r="K116" s="603">
        <v>0.5</v>
      </c>
      <c r="L116" s="568">
        <v>17103</v>
      </c>
      <c r="M116" s="654">
        <f>VLOOKUP(G:G,list!B:E,4,FALSE)</f>
        <v>0.1</v>
      </c>
      <c r="N116" s="655">
        <f t="shared" si="4"/>
        <v>1710</v>
      </c>
      <c r="O116" s="655">
        <f t="shared" si="5"/>
        <v>15393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작가기획</v>
      </c>
      <c r="D117" s="564" t="s">
        <v>32</v>
      </c>
      <c r="E117" s="564" t="s">
        <v>9</v>
      </c>
      <c r="F117" s="564" t="s">
        <v>567</v>
      </c>
      <c r="G117" s="564" t="s">
        <v>36</v>
      </c>
      <c r="H117" s="565">
        <v>45158</v>
      </c>
      <c r="I117" s="652" t="s">
        <v>566</v>
      </c>
      <c r="J117" s="653">
        <v>113809</v>
      </c>
      <c r="K117" s="603">
        <v>0.4</v>
      </c>
      <c r="L117" s="568">
        <v>108119</v>
      </c>
      <c r="M117" s="654" t="str">
        <f>VLOOKUP(G:G,list!B:E,4,FALSE)</f>
        <v>-</v>
      </c>
      <c r="N117" s="655">
        <f t="shared" ref="N117:N118" si="8">ROUND(IF(M117="-",0,L117*M117),0)</f>
        <v>0</v>
      </c>
      <c r="O117" s="655">
        <f t="shared" ref="O117:O118" si="9">L117-N117</f>
        <v>108119</v>
      </c>
      <c r="P117" s="564" t="s">
        <v>568</v>
      </c>
      <c r="Q117" s="672" t="str">
        <f>VLOOKUP(G:G,list!B:F,5,FALSE)</f>
        <v>-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작가기획</v>
      </c>
      <c r="D118" s="564" t="s">
        <v>32</v>
      </c>
      <c r="E118" s="564" t="s">
        <v>9</v>
      </c>
      <c r="F118" s="564" t="s">
        <v>567</v>
      </c>
      <c r="G118" s="564" t="s">
        <v>37</v>
      </c>
      <c r="H118" s="565">
        <v>45157</v>
      </c>
      <c r="I118" s="652" t="s">
        <v>566</v>
      </c>
      <c r="J118" s="653">
        <v>39694</v>
      </c>
      <c r="K118" s="603">
        <v>0.4</v>
      </c>
      <c r="L118" s="568">
        <v>37709</v>
      </c>
      <c r="M118" s="654" t="str">
        <f>VLOOKUP(G:G,list!B:E,4,FALSE)</f>
        <v>-</v>
      </c>
      <c r="N118" s="655">
        <f t="shared" si="8"/>
        <v>0</v>
      </c>
      <c r="O118" s="655">
        <f t="shared" si="9"/>
        <v>37709</v>
      </c>
      <c r="P118" s="564" t="s">
        <v>568</v>
      </c>
      <c r="Q118" s="672" t="str">
        <f>VLOOKUP(G:G,list!B:F,5,FALSE)</f>
        <v>-</v>
      </c>
      <c r="R118" s="656" t="str">
        <f>VLOOKUP(G:G,list!B:D,3,FALSE)</f>
        <v>Y</v>
      </c>
    </row>
    <row r="119" spans="2:18" ht="11.25" customHeight="1">
      <c r="B119" s="52"/>
      <c r="C119" s="551"/>
      <c r="D119" s="551"/>
      <c r="E119" s="551"/>
      <c r="F119" s="551"/>
      <c r="G119" s="551"/>
      <c r="H119" s="622"/>
      <c r="I119" s="551"/>
      <c r="J119" s="435"/>
      <c r="K119" s="623"/>
      <c r="L119"/>
      <c r="M119" s="438"/>
      <c r="N119" s="439"/>
      <c r="O119" s="440"/>
      <c r="P119" s="633"/>
      <c r="Q119" s="438"/>
      <c r="R119" s="486"/>
    </row>
    <row r="120" spans="2:18" s="7" customFormat="1" ht="16.5" customHeight="1">
      <c r="B120" s="624" t="s">
        <v>387</v>
      </c>
      <c r="C120" s="625"/>
      <c r="D120" s="625"/>
      <c r="E120" s="626"/>
      <c r="F120" s="625"/>
      <c r="G120" s="625"/>
      <c r="H120" s="625"/>
      <c r="I120" s="311"/>
      <c r="J120" s="311"/>
      <c r="K120" s="311"/>
      <c r="M120" s="424"/>
      <c r="N120"/>
      <c r="O120" s="333"/>
      <c r="P120" s="631"/>
      <c r="Q120" s="424"/>
      <c r="R120" s="484"/>
    </row>
    <row r="121" spans="2:18" s="7" customFormat="1" ht="16.5" customHeight="1">
      <c r="B121" s="629" t="s">
        <v>299</v>
      </c>
      <c r="C121" s="625"/>
      <c r="D121" s="625"/>
      <c r="E121" s="626"/>
      <c r="F121" s="625"/>
      <c r="G121" s="625"/>
      <c r="H121" s="625"/>
      <c r="I121" s="311"/>
      <c r="K121" s="311"/>
      <c r="L121" s="311"/>
      <c r="M121" s="424"/>
      <c r="N121"/>
      <c r="O121" s="333"/>
      <c r="P121" s="631"/>
      <c r="Q121" s="424"/>
      <c r="R121" s="484"/>
    </row>
    <row r="122" spans="2:18" s="7" customFormat="1" ht="16.5" customHeight="1">
      <c r="B122" s="628" t="s">
        <v>302</v>
      </c>
      <c r="C122" s="627"/>
      <c r="D122" s="625"/>
      <c r="E122" s="626"/>
      <c r="F122" s="625"/>
      <c r="G122" s="625"/>
      <c r="H122" s="625"/>
      <c r="I122" s="311"/>
      <c r="J122" s="311"/>
      <c r="L122" s="311"/>
      <c r="M122" s="424"/>
      <c r="N122"/>
      <c r="O122" s="333"/>
      <c r="P122" s="631"/>
      <c r="Q122" s="424"/>
      <c r="R122" s="484"/>
    </row>
    <row r="123" spans="2:18" s="7" customFormat="1" ht="16.5" customHeight="1">
      <c r="B123" s="630" t="s">
        <v>303</v>
      </c>
      <c r="C123" s="627"/>
      <c r="D123" s="625"/>
      <c r="E123" s="626"/>
      <c r="F123" s="625"/>
      <c r="G123" s="625"/>
      <c r="H123" s="625"/>
      <c r="I123" s="311"/>
      <c r="J123" s="311"/>
      <c r="K123" s="311"/>
      <c r="L123" s="311"/>
      <c r="M123" s="424"/>
      <c r="N123"/>
      <c r="O123" s="333"/>
      <c r="P123" s="631"/>
      <c r="Q123" s="424"/>
      <c r="R123" s="484"/>
    </row>
    <row r="124" spans="2:18" ht="16.5" customHeight="1">
      <c r="B124" s="629" t="s">
        <v>340</v>
      </c>
      <c r="C124" s="625"/>
      <c r="D124" s="625"/>
      <c r="E124" s="626"/>
      <c r="F124" s="625"/>
      <c r="G124" s="625"/>
      <c r="H124" s="625"/>
      <c r="I124" s="311"/>
      <c r="J124" s="311"/>
      <c r="K124" s="311"/>
    </row>
    <row r="125" spans="2:18" ht="16.5" customHeight="1">
      <c r="B125" s="629" t="s">
        <v>512</v>
      </c>
      <c r="C125" s="625"/>
      <c r="D125" s="625"/>
      <c r="E125" s="626"/>
      <c r="F125" s="625"/>
      <c r="G125" s="625"/>
      <c r="H125" s="625"/>
      <c r="I125" s="311"/>
      <c r="J125" s="311"/>
      <c r="K125" s="311"/>
    </row>
    <row r="126" spans="2:18" ht="16.5" customHeight="1">
      <c r="B126" s="629" t="s">
        <v>522</v>
      </c>
      <c r="C126" s="625"/>
      <c r="D126" s="625"/>
      <c r="E126" s="626"/>
      <c r="F126" s="625"/>
      <c r="G126" s="625"/>
      <c r="H126" s="625"/>
      <c r="I126" s="311"/>
      <c r="J126" s="311"/>
      <c r="K126" s="311"/>
    </row>
    <row r="127" spans="2:18" ht="16.5" customHeight="1">
      <c r="B127" s="629" t="s">
        <v>520</v>
      </c>
      <c r="C127" s="625"/>
      <c r="D127" s="625"/>
      <c r="E127" s="626"/>
      <c r="F127" s="625"/>
      <c r="G127" s="625"/>
      <c r="H127" s="625"/>
      <c r="I127" s="311"/>
      <c r="J127" s="311"/>
      <c r="K127" s="311"/>
    </row>
    <row r="128" spans="2:18" ht="16.5" customHeight="1">
      <c r="B128" s="629" t="s">
        <v>521</v>
      </c>
      <c r="C128" s="625"/>
      <c r="D128" s="625"/>
      <c r="E128" s="626"/>
      <c r="F128" s="625"/>
      <c r="G128" s="625"/>
      <c r="H128" s="625"/>
      <c r="I128" s="311"/>
      <c r="J128" s="311"/>
      <c r="K128" s="311"/>
    </row>
    <row r="129" spans="2:11" ht="16.5" customHeight="1">
      <c r="B129" s="629" t="s">
        <v>529</v>
      </c>
      <c r="C129" s="625"/>
      <c r="D129" s="625"/>
      <c r="E129" s="626"/>
      <c r="F129" s="625"/>
      <c r="G129" s="625"/>
      <c r="H129" s="625"/>
      <c r="I129" s="311"/>
      <c r="J129" s="311"/>
      <c r="K129" s="3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2BCE-A00D-48E9-A227-2F707502543F}">
  <dimension ref="B1:R135"/>
  <sheetViews>
    <sheetView showGridLines="0" zoomScaleNormal="100" workbookViewId="0">
      <pane xSplit="1" ySplit="5" topLeftCell="B39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556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555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38655747.573146999</v>
      </c>
      <c r="K4" s="52"/>
      <c r="L4" s="648">
        <f>SUBTOTAL(109,L6:L1048576)</f>
        <v>15173768</v>
      </c>
      <c r="M4" s="543"/>
      <c r="N4" s="649">
        <f>SUBTOTAL(109,N6:N1048576)</f>
        <v>1262476</v>
      </c>
      <c r="O4" s="649">
        <f>SUBTOTAL(109,O6:O1048576)</f>
        <v>13911292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45597</v>
      </c>
      <c r="J6" s="653">
        <v>420638.3</v>
      </c>
      <c r="K6" s="567">
        <v>0.6</v>
      </c>
      <c r="L6" s="646">
        <v>252383</v>
      </c>
      <c r="M6" s="654" t="str">
        <f>VLOOKUP(G:G,list!B:E,4,FALSE)</f>
        <v>-</v>
      </c>
      <c r="N6" s="655">
        <f t="shared" ref="N6:N110" si="0">ROUND(IF(M6="-",0,L6*M6),0)</f>
        <v>0</v>
      </c>
      <c r="O6" s="655">
        <f t="shared" ref="O6:O110" si="1">L6-N6</f>
        <v>252383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45597</v>
      </c>
      <c r="J7" s="653">
        <v>244714</v>
      </c>
      <c r="K7" s="600">
        <v>0.6</v>
      </c>
      <c r="L7" s="646">
        <v>146827</v>
      </c>
      <c r="M7" s="654" t="str">
        <f>VLOOKUP(G:G,list!B:E,4,FALSE)</f>
        <v>-</v>
      </c>
      <c r="N7" s="655">
        <f t="shared" si="0"/>
        <v>0</v>
      </c>
      <c r="O7" s="655">
        <f t="shared" si="1"/>
        <v>146827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45597</v>
      </c>
      <c r="J8" s="653">
        <v>286530.90000000002</v>
      </c>
      <c r="K8" s="567">
        <v>0.6</v>
      </c>
      <c r="L8" s="646">
        <v>171919</v>
      </c>
      <c r="M8" s="654" t="str">
        <f>VLOOKUP(G:G,list!B:E,4,FALSE)</f>
        <v>-</v>
      </c>
      <c r="N8" s="655">
        <f t="shared" si="0"/>
        <v>0</v>
      </c>
      <c r="O8" s="655">
        <f t="shared" si="1"/>
        <v>171919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45597</v>
      </c>
      <c r="J9" s="653">
        <v>507659</v>
      </c>
      <c r="K9" s="606">
        <v>0.6</v>
      </c>
      <c r="L9" s="646">
        <v>304597</v>
      </c>
      <c r="M9" s="654">
        <f>VLOOKUP(G:G,list!B:E,4,FALSE)</f>
        <v>0.1</v>
      </c>
      <c r="N9" s="655">
        <f t="shared" si="0"/>
        <v>30460</v>
      </c>
      <c r="O9" s="655">
        <f t="shared" si="1"/>
        <v>274137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45597</v>
      </c>
      <c r="J10" s="653">
        <v>397611.4</v>
      </c>
      <c r="K10" s="600">
        <v>0.6</v>
      </c>
      <c r="L10" s="646">
        <v>238568</v>
      </c>
      <c r="M10" s="654">
        <f>VLOOKUP(G:G,list!B:E,4,FALSE)</f>
        <v>0.1</v>
      </c>
      <c r="N10" s="655">
        <f t="shared" si="0"/>
        <v>23857</v>
      </c>
      <c r="O10" s="655">
        <f t="shared" si="1"/>
        <v>214711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45597</v>
      </c>
      <c r="J11" s="653">
        <v>5206</v>
      </c>
      <c r="K11" s="603">
        <v>0.6</v>
      </c>
      <c r="L11" s="646">
        <v>3124</v>
      </c>
      <c r="M11" s="654" t="str">
        <f>VLOOKUP(G:G,list!B:E,4,FALSE)</f>
        <v>-</v>
      </c>
      <c r="N11" s="655">
        <f t="shared" si="0"/>
        <v>0</v>
      </c>
      <c r="O11" s="655">
        <f t="shared" si="1"/>
        <v>3124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45597</v>
      </c>
      <c r="J12" s="653">
        <v>445743.5</v>
      </c>
      <c r="K12" s="603">
        <v>0.6</v>
      </c>
      <c r="L12" s="646">
        <v>267447</v>
      </c>
      <c r="M12" s="654">
        <f>VLOOKUP(G:G,list!B:E,4,FALSE)</f>
        <v>0.1</v>
      </c>
      <c r="N12" s="655">
        <f t="shared" si="0"/>
        <v>26745</v>
      </c>
      <c r="O12" s="655">
        <f t="shared" si="1"/>
        <v>240702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45597</v>
      </c>
      <c r="J13" s="653">
        <v>150037.20000000001</v>
      </c>
      <c r="K13" s="600">
        <v>0.6</v>
      </c>
      <c r="L13" s="646">
        <v>90022</v>
      </c>
      <c r="M13" s="654">
        <f>VLOOKUP(G:G,list!B:E,4,FALSE)</f>
        <v>0.1</v>
      </c>
      <c r="N13" s="655">
        <f t="shared" si="0"/>
        <v>9002</v>
      </c>
      <c r="O13" s="655">
        <f t="shared" si="1"/>
        <v>81020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45597</v>
      </c>
      <c r="J14" s="653">
        <v>425976.9</v>
      </c>
      <c r="K14" s="606">
        <v>0.6</v>
      </c>
      <c r="L14" s="646">
        <v>255587</v>
      </c>
      <c r="M14" s="654">
        <f>VLOOKUP(G:G,list!B:E,4,FALSE)</f>
        <v>0.11</v>
      </c>
      <c r="N14" s="655">
        <f t="shared" si="0"/>
        <v>28115</v>
      </c>
      <c r="O14" s="655">
        <f t="shared" si="1"/>
        <v>227472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45597</v>
      </c>
      <c r="J15" s="653">
        <v>990139.8</v>
      </c>
      <c r="K15" s="567">
        <v>0.6</v>
      </c>
      <c r="L15" s="646">
        <v>594086</v>
      </c>
      <c r="M15" s="654">
        <f>VLOOKUP(G:G,list!B:E,4,FALSE)</f>
        <v>0.1</v>
      </c>
      <c r="N15" s="655">
        <f t="shared" si="0"/>
        <v>59409</v>
      </c>
      <c r="O15" s="655">
        <f t="shared" si="1"/>
        <v>534677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45597</v>
      </c>
      <c r="J16" s="653">
        <v>214152.2</v>
      </c>
      <c r="K16" s="567">
        <v>0.6</v>
      </c>
      <c r="L16" s="646">
        <v>128492</v>
      </c>
      <c r="M16" s="654">
        <f>VLOOKUP(G:G,list!B:E,4,FALSE)</f>
        <v>0.1</v>
      </c>
      <c r="N16" s="655">
        <f t="shared" si="0"/>
        <v>12849</v>
      </c>
      <c r="O16" s="655">
        <f t="shared" si="1"/>
        <v>115643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45597</v>
      </c>
      <c r="J17" s="653">
        <v>40585</v>
      </c>
      <c r="K17" s="600">
        <v>0.7</v>
      </c>
      <c r="L17" s="646">
        <v>28410</v>
      </c>
      <c r="M17" s="654" t="str">
        <f>VLOOKUP(G:G,list!B:E,4,FALSE)</f>
        <v>-</v>
      </c>
      <c r="N17" s="655">
        <f t="shared" si="0"/>
        <v>0</v>
      </c>
      <c r="O17" s="655">
        <f t="shared" si="1"/>
        <v>28410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45597</v>
      </c>
      <c r="J18" s="653">
        <v>1248284.7</v>
      </c>
      <c r="K18" s="603">
        <v>0.6</v>
      </c>
      <c r="L18" s="646">
        <v>748970</v>
      </c>
      <c r="M18" s="654">
        <f>VLOOKUP(G:G,list!B:E,4,FALSE)</f>
        <v>0.1</v>
      </c>
      <c r="N18" s="655">
        <f t="shared" si="0"/>
        <v>74897</v>
      </c>
      <c r="O18" s="655">
        <f t="shared" si="1"/>
        <v>674073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45597</v>
      </c>
      <c r="J19" s="653">
        <v>364422</v>
      </c>
      <c r="K19" s="603">
        <v>0.7</v>
      </c>
      <c r="L19" s="646">
        <v>255096</v>
      </c>
      <c r="M19" s="654">
        <f>VLOOKUP(G:G,list!B:E,4,FALSE)</f>
        <v>0.1</v>
      </c>
      <c r="N19" s="655">
        <f t="shared" si="0"/>
        <v>25510</v>
      </c>
      <c r="O19" s="655">
        <f t="shared" si="1"/>
        <v>229586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45597</v>
      </c>
      <c r="J20" s="653">
        <v>152471.5</v>
      </c>
      <c r="K20" s="603">
        <v>0.6</v>
      </c>
      <c r="L20" s="646">
        <v>91483</v>
      </c>
      <c r="M20" s="654">
        <f>VLOOKUP(G:G,list!B:E,4,FALSE)</f>
        <v>0.1</v>
      </c>
      <c r="N20" s="655">
        <f t="shared" si="0"/>
        <v>9148</v>
      </c>
      <c r="O20" s="655">
        <f t="shared" si="1"/>
        <v>82335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45597</v>
      </c>
      <c r="J21" s="653">
        <v>20234.3</v>
      </c>
      <c r="K21" s="567">
        <v>0.6</v>
      </c>
      <c r="L21" s="646">
        <v>14163</v>
      </c>
      <c r="M21" s="654" t="str">
        <f>VLOOKUP(G:G,list!B:E,4,FALSE)</f>
        <v>-</v>
      </c>
      <c r="N21" s="655">
        <f t="shared" si="0"/>
        <v>0</v>
      </c>
      <c r="O21" s="655">
        <f t="shared" si="1"/>
        <v>14163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45597</v>
      </c>
      <c r="J22" s="653">
        <v>106700.5</v>
      </c>
      <c r="K22" s="567">
        <v>0.6</v>
      </c>
      <c r="L22" s="646">
        <v>64020</v>
      </c>
      <c r="M22" s="654">
        <f>VLOOKUP(G:G,list!B:E,4,FALSE)</f>
        <v>0.1</v>
      </c>
      <c r="N22" s="655">
        <f t="shared" si="0"/>
        <v>6402</v>
      </c>
      <c r="O22" s="655">
        <f t="shared" si="1"/>
        <v>57618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45597</v>
      </c>
      <c r="J23" s="653">
        <v>396</v>
      </c>
      <c r="K23" s="567">
        <v>0.6</v>
      </c>
      <c r="L23" s="646">
        <v>238</v>
      </c>
      <c r="M23" s="654" t="str">
        <f>VLOOKUP(G:G,list!B:E,4,FALSE)</f>
        <v>-</v>
      </c>
      <c r="N23" s="655">
        <f t="shared" si="0"/>
        <v>0</v>
      </c>
      <c r="O23" s="655">
        <f t="shared" si="1"/>
        <v>238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45597</v>
      </c>
      <c r="J24" s="653">
        <v>106449.5</v>
      </c>
      <c r="K24" s="603">
        <v>0.6</v>
      </c>
      <c r="L24" s="646">
        <v>63870</v>
      </c>
      <c r="M24" s="654">
        <f>VLOOKUP(G:G,list!B:E,4,FALSE)</f>
        <v>0.1</v>
      </c>
      <c r="N24" s="655">
        <f t="shared" si="0"/>
        <v>6387</v>
      </c>
      <c r="O24" s="655">
        <f t="shared" si="1"/>
        <v>57483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45597</v>
      </c>
      <c r="J25" s="653">
        <v>17580</v>
      </c>
      <c r="K25" s="603">
        <v>0.6</v>
      </c>
      <c r="L25" s="646">
        <v>10548</v>
      </c>
      <c r="M25" s="654">
        <f>VLOOKUP(G:G,list!B:E,4,FALSE)</f>
        <v>0.1</v>
      </c>
      <c r="N25" s="655">
        <f t="shared" si="0"/>
        <v>1055</v>
      </c>
      <c r="O25" s="655">
        <f t="shared" si="1"/>
        <v>9493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45597</v>
      </c>
      <c r="J26" s="653">
        <v>51888.2</v>
      </c>
      <c r="K26" s="567">
        <v>0.6</v>
      </c>
      <c r="L26" s="646">
        <v>31133</v>
      </c>
      <c r="M26" s="654">
        <f>VLOOKUP(G:G,list!B:E,4,FALSE)</f>
        <v>0.1</v>
      </c>
      <c r="N26" s="655">
        <f t="shared" si="0"/>
        <v>3113</v>
      </c>
      <c r="O26" s="655">
        <f t="shared" si="1"/>
        <v>28020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45597</v>
      </c>
      <c r="J27" s="653">
        <v>13150</v>
      </c>
      <c r="K27" s="567">
        <v>0.6</v>
      </c>
      <c r="L27" s="646">
        <v>7890</v>
      </c>
      <c r="M27" s="654">
        <f>VLOOKUP(G:G,list!B:E,4,FALSE)</f>
        <v>0.1</v>
      </c>
      <c r="N27" s="655">
        <f t="shared" si="0"/>
        <v>789</v>
      </c>
      <c r="O27" s="655">
        <f t="shared" si="1"/>
        <v>7101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45597</v>
      </c>
      <c r="J28" s="653">
        <v>57114.5</v>
      </c>
      <c r="K28" s="567">
        <v>0.6</v>
      </c>
      <c r="L28" s="646">
        <v>34268</v>
      </c>
      <c r="M28" s="654" t="str">
        <f>VLOOKUP(G:G,list!B:E,4,FALSE)</f>
        <v>-</v>
      </c>
      <c r="N28" s="655">
        <f t="shared" si="0"/>
        <v>0</v>
      </c>
      <c r="O28" s="655">
        <f t="shared" si="1"/>
        <v>34268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45597</v>
      </c>
      <c r="J29" s="653">
        <v>17496</v>
      </c>
      <c r="K29" s="567">
        <v>0.6</v>
      </c>
      <c r="L29" s="646">
        <v>10497</v>
      </c>
      <c r="M29" s="654">
        <f>VLOOKUP(G:G,list!B:E,4,FALSE)</f>
        <v>0.11</v>
      </c>
      <c r="N29" s="655">
        <f t="shared" si="0"/>
        <v>1155</v>
      </c>
      <c r="O29" s="655">
        <f t="shared" si="1"/>
        <v>9342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45597</v>
      </c>
      <c r="J30" s="653">
        <v>243938.6</v>
      </c>
      <c r="K30" s="567">
        <v>0.6</v>
      </c>
      <c r="L30" s="646">
        <v>146363</v>
      </c>
      <c r="M30" s="654" t="str">
        <f>VLOOKUP(G:G,list!B:E,4,FALSE)</f>
        <v>-</v>
      </c>
      <c r="N30" s="655">
        <f t="shared" si="0"/>
        <v>0</v>
      </c>
      <c r="O30" s="655">
        <f t="shared" si="1"/>
        <v>146363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45597</v>
      </c>
      <c r="J31" s="653">
        <v>133688.4</v>
      </c>
      <c r="K31" s="567">
        <v>0.6</v>
      </c>
      <c r="L31" s="646">
        <v>80213</v>
      </c>
      <c r="M31" s="654" t="str">
        <f>VLOOKUP(G:G,list!B:E,4,FALSE)</f>
        <v>-</v>
      </c>
      <c r="N31" s="655">
        <f t="shared" si="0"/>
        <v>0</v>
      </c>
      <c r="O31" s="655">
        <f t="shared" si="1"/>
        <v>80213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45597</v>
      </c>
      <c r="J32" s="653">
        <v>141995.1</v>
      </c>
      <c r="K32" s="567">
        <v>0.6</v>
      </c>
      <c r="L32" s="646">
        <v>85198</v>
      </c>
      <c r="M32" s="654">
        <f>VLOOKUP(G:G,list!B:E,4,FALSE)</f>
        <v>0.1</v>
      </c>
      <c r="N32" s="655">
        <f t="shared" si="0"/>
        <v>8520</v>
      </c>
      <c r="O32" s="655">
        <f t="shared" si="1"/>
        <v>76678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45566</v>
      </c>
      <c r="J33" s="653">
        <v>293158</v>
      </c>
      <c r="K33" s="674">
        <v>0.224</v>
      </c>
      <c r="L33" s="646">
        <v>59102</v>
      </c>
      <c r="M33" s="654">
        <f>VLOOKUP(G:G,list!B:E,4,FALSE)</f>
        <v>0.1</v>
      </c>
      <c r="N33" s="655">
        <f t="shared" si="0"/>
        <v>5910</v>
      </c>
      <c r="O33" s="655">
        <f t="shared" si="1"/>
        <v>53192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45566</v>
      </c>
      <c r="J34" s="653">
        <v>2892315</v>
      </c>
      <c r="K34" s="674">
        <v>0.224</v>
      </c>
      <c r="L34" s="646">
        <v>583098</v>
      </c>
      <c r="M34" s="654">
        <f>VLOOKUP(G:G,list!B:E,4,FALSE)</f>
        <v>0.1</v>
      </c>
      <c r="N34" s="655">
        <f t="shared" si="0"/>
        <v>58310</v>
      </c>
      <c r="O34" s="655">
        <f t="shared" si="1"/>
        <v>524788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45566</v>
      </c>
      <c r="J35" s="653">
        <v>7743</v>
      </c>
      <c r="K35" s="674">
        <v>0.224</v>
      </c>
      <c r="L35" s="646">
        <v>1649</v>
      </c>
      <c r="M35" s="654" t="str">
        <f>VLOOKUP(G:G,list!B:E,4,FALSE)</f>
        <v>-</v>
      </c>
      <c r="N35" s="655">
        <f t="shared" si="0"/>
        <v>0</v>
      </c>
      <c r="O35" s="655">
        <f t="shared" si="1"/>
        <v>1649</v>
      </c>
      <c r="P35" s="564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45566</v>
      </c>
      <c r="J36" s="653">
        <v>350131</v>
      </c>
      <c r="K36" s="674">
        <v>0.224</v>
      </c>
      <c r="L36" s="646">
        <v>70594</v>
      </c>
      <c r="M36" s="654">
        <f>VLOOKUP(G:G,list!B:E,4,FALSE)</f>
        <v>0.1</v>
      </c>
      <c r="N36" s="655">
        <f t="shared" si="0"/>
        <v>7059</v>
      </c>
      <c r="O36" s="655">
        <f t="shared" si="1"/>
        <v>63535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45566</v>
      </c>
      <c r="J37" s="653">
        <v>154323</v>
      </c>
      <c r="K37" s="674">
        <v>0.224</v>
      </c>
      <c r="L37" s="646">
        <v>31113</v>
      </c>
      <c r="M37" s="654">
        <f>VLOOKUP(G:G,list!B:E,4,FALSE)</f>
        <v>0.11</v>
      </c>
      <c r="N37" s="655">
        <f t="shared" si="0"/>
        <v>3422</v>
      </c>
      <c r="O37" s="655">
        <f t="shared" si="1"/>
        <v>27691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45566</v>
      </c>
      <c r="J38" s="653">
        <v>358428</v>
      </c>
      <c r="K38" s="674">
        <v>0.224</v>
      </c>
      <c r="L38" s="646">
        <v>72262</v>
      </c>
      <c r="M38" s="654">
        <f>VLOOKUP(G:G,list!B:E,4,FALSE)</f>
        <v>0.1</v>
      </c>
      <c r="N38" s="655">
        <f t="shared" si="0"/>
        <v>7226</v>
      </c>
      <c r="O38" s="655">
        <f t="shared" si="1"/>
        <v>65036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45566</v>
      </c>
      <c r="J39" s="653">
        <v>386084</v>
      </c>
      <c r="K39" s="674">
        <v>0.224</v>
      </c>
      <c r="L39" s="646">
        <v>77841</v>
      </c>
      <c r="M39" s="654" t="str">
        <f>VLOOKUP(G:G,list!B:E,4,FALSE)</f>
        <v>-</v>
      </c>
      <c r="N39" s="655">
        <f t="shared" si="0"/>
        <v>0</v>
      </c>
      <c r="O39" s="655">
        <f t="shared" si="1"/>
        <v>77841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45566</v>
      </c>
      <c r="J40" s="653">
        <v>5112024</v>
      </c>
      <c r="K40" s="674">
        <v>0.224</v>
      </c>
      <c r="L40" s="646">
        <v>1030586</v>
      </c>
      <c r="M40" s="654">
        <f>VLOOKUP(G:G,list!B:E,4,FALSE)</f>
        <v>0.1</v>
      </c>
      <c r="N40" s="655">
        <f t="shared" si="0"/>
        <v>103059</v>
      </c>
      <c r="O40" s="655">
        <f t="shared" si="1"/>
        <v>927527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45566</v>
      </c>
      <c r="J41" s="653">
        <v>6084</v>
      </c>
      <c r="K41" s="674">
        <v>0.224</v>
      </c>
      <c r="L41" s="646">
        <v>1227</v>
      </c>
      <c r="M41" s="654" t="str">
        <f>VLOOKUP(G:G,list!B:E,4,FALSE)</f>
        <v>-</v>
      </c>
      <c r="N41" s="655">
        <f t="shared" si="0"/>
        <v>0</v>
      </c>
      <c r="O41" s="655">
        <f t="shared" si="1"/>
        <v>1227</v>
      </c>
      <c r="P41" s="564"/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45566</v>
      </c>
      <c r="J42" s="653">
        <v>125560</v>
      </c>
      <c r="K42" s="674">
        <v>0.224</v>
      </c>
      <c r="L42" s="646">
        <v>25314</v>
      </c>
      <c r="M42" s="654">
        <f>VLOOKUP(G:G,list!B:E,4,FALSE)</f>
        <v>0.1</v>
      </c>
      <c r="N42" s="655">
        <f t="shared" si="0"/>
        <v>2531</v>
      </c>
      <c r="O42" s="655">
        <f t="shared" si="1"/>
        <v>22783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45566</v>
      </c>
      <c r="J43" s="653">
        <v>4460991</v>
      </c>
      <c r="K43" s="674">
        <v>0.224</v>
      </c>
      <c r="L43" s="646">
        <v>899335</v>
      </c>
      <c r="M43" s="654">
        <f>VLOOKUP(G:G,list!B:E,4,FALSE)</f>
        <v>0.1</v>
      </c>
      <c r="N43" s="655">
        <f t="shared" si="0"/>
        <v>89934</v>
      </c>
      <c r="O43" s="655">
        <f t="shared" si="1"/>
        <v>809401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45566</v>
      </c>
      <c r="J44" s="653">
        <v>2432111</v>
      </c>
      <c r="K44" s="674">
        <v>0.224</v>
      </c>
      <c r="L44" s="646">
        <v>490314</v>
      </c>
      <c r="M44" s="654" t="str">
        <f>VLOOKUP(G:G,list!B:E,4,FALSE)</f>
        <v>-</v>
      </c>
      <c r="N44" s="655">
        <f t="shared" si="0"/>
        <v>0</v>
      </c>
      <c r="O44" s="655">
        <f t="shared" si="1"/>
        <v>490314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67</v>
      </c>
      <c r="E45" s="564" t="s">
        <v>9</v>
      </c>
      <c r="F45" s="564" t="s">
        <v>73</v>
      </c>
      <c r="G45" s="564" t="s">
        <v>353</v>
      </c>
      <c r="H45" s="565">
        <v>44957</v>
      </c>
      <c r="I45" s="652">
        <v>45536</v>
      </c>
      <c r="J45" s="653">
        <v>0</v>
      </c>
      <c r="K45" s="603">
        <v>0.28000000000000003</v>
      </c>
      <c r="L45" s="568">
        <v>0</v>
      </c>
      <c r="M45" s="654">
        <f>VLOOKUP(G:G,list!B:E,4,FALSE)</f>
        <v>0.11</v>
      </c>
      <c r="N45" s="655">
        <f>ROUND(IF(M45="-",0,L45*M45),0)</f>
        <v>0</v>
      </c>
      <c r="O45" s="655">
        <f t="shared" si="1"/>
        <v>0</v>
      </c>
      <c r="P45" s="564" t="s">
        <v>366</v>
      </c>
      <c r="Q45" s="672" t="str">
        <f>VLOOKUP(G:G,list!B:F,5,FALSE)</f>
        <v>-</v>
      </c>
      <c r="R45" s="656" t="str">
        <f>VLOOKUP(G:G,list!B:D,3,FALSE)</f>
        <v>N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67</v>
      </c>
      <c r="E46" s="564" t="s">
        <v>9</v>
      </c>
      <c r="F46" s="564" t="s">
        <v>73</v>
      </c>
      <c r="G46" s="564" t="s">
        <v>353</v>
      </c>
      <c r="H46" s="565">
        <v>44957</v>
      </c>
      <c r="I46" s="652" t="s">
        <v>203</v>
      </c>
      <c r="J46" s="653">
        <v>0</v>
      </c>
      <c r="K46" s="603">
        <v>0.28000000000000003</v>
      </c>
      <c r="L46" s="646">
        <v>1292677</v>
      </c>
      <c r="M46" s="654">
        <f>VLOOKUP(G:G,list!B:E,4,FALSE)</f>
        <v>0.11</v>
      </c>
      <c r="N46" s="655">
        <f>ROUND(IF(M46="-",0,L46*M46),0)</f>
        <v>142194</v>
      </c>
      <c r="O46" s="655">
        <f t="shared" ref="O46" si="2">L46-N46</f>
        <v>1150483</v>
      </c>
      <c r="P46" s="564" t="s">
        <v>558</v>
      </c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23</v>
      </c>
      <c r="E47" s="564" t="s">
        <v>62</v>
      </c>
      <c r="F47" s="564" t="s">
        <v>257</v>
      </c>
      <c r="G47" s="564" t="s">
        <v>30</v>
      </c>
      <c r="H47" s="565">
        <v>45394</v>
      </c>
      <c r="I47" s="652">
        <v>45597</v>
      </c>
      <c r="J47" s="653">
        <v>7516</v>
      </c>
      <c r="K47" s="567">
        <v>0.28000000000000003</v>
      </c>
      <c r="L47" s="646">
        <v>2105</v>
      </c>
      <c r="M47" s="654">
        <f>VLOOKUP(G:G,list!B:E,4,FALSE)</f>
        <v>0.1</v>
      </c>
      <c r="N47" s="655">
        <f t="shared" si="0"/>
        <v>211</v>
      </c>
      <c r="O47" s="655">
        <f t="shared" si="1"/>
        <v>1894</v>
      </c>
      <c r="P47" s="645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원작료</v>
      </c>
      <c r="D48" s="564" t="s">
        <v>24</v>
      </c>
      <c r="E48" s="564" t="s">
        <v>62</v>
      </c>
      <c r="F48" s="564" t="s">
        <v>257</v>
      </c>
      <c r="G48" s="564" t="s">
        <v>30</v>
      </c>
      <c r="H48" s="565">
        <v>44743</v>
      </c>
      <c r="I48" s="652">
        <v>45597</v>
      </c>
      <c r="J48" s="653">
        <v>0</v>
      </c>
      <c r="K48" s="567">
        <v>0.35</v>
      </c>
      <c r="L48" s="646">
        <v>0</v>
      </c>
      <c r="M48" s="654">
        <f>VLOOKUP(G:G,list!B:E,4,FALSE)</f>
        <v>0.1</v>
      </c>
      <c r="N48" s="655">
        <f t="shared" si="0"/>
        <v>0</v>
      </c>
      <c r="O48" s="655">
        <f t="shared" si="1"/>
        <v>0</v>
      </c>
      <c r="P48" s="564" t="s">
        <v>366</v>
      </c>
      <c r="Q48" s="672" t="str">
        <f>VLOOKUP(G:G,list!B:F,5,FALSE)</f>
        <v>웹소설본부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원작료</v>
      </c>
      <c r="D49" s="564" t="s">
        <v>25</v>
      </c>
      <c r="E49" s="564" t="s">
        <v>62</v>
      </c>
      <c r="F49" s="564" t="s">
        <v>257</v>
      </c>
      <c r="G49" s="564" t="s">
        <v>316</v>
      </c>
      <c r="H49" s="565">
        <v>45577</v>
      </c>
      <c r="I49" s="652">
        <v>45597</v>
      </c>
      <c r="J49" s="653">
        <v>188372</v>
      </c>
      <c r="K49" s="567">
        <v>0.35</v>
      </c>
      <c r="L49" s="646">
        <v>65930</v>
      </c>
      <c r="M49" s="654">
        <f>VLOOKUP(G:G,list!B:E,4,FALSE)</f>
        <v>0.1</v>
      </c>
      <c r="N49" s="655">
        <f t="shared" si="0"/>
        <v>6593</v>
      </c>
      <c r="O49" s="655">
        <f t="shared" si="1"/>
        <v>59337</v>
      </c>
      <c r="P49" s="564"/>
      <c r="Q49" s="672" t="str">
        <f>VLOOKUP(G:G,list!B:F,5,FALSE)</f>
        <v>웹소설본부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24</v>
      </c>
      <c r="E50" s="564" t="s">
        <v>62</v>
      </c>
      <c r="F50" s="564" t="s">
        <v>257</v>
      </c>
      <c r="G50" s="564" t="s">
        <v>316</v>
      </c>
      <c r="H50" s="565">
        <v>44782</v>
      </c>
      <c r="I50" s="652">
        <v>45597</v>
      </c>
      <c r="J50" s="653">
        <v>0</v>
      </c>
      <c r="K50" s="567">
        <v>0.35</v>
      </c>
      <c r="L50" s="646">
        <v>72</v>
      </c>
      <c r="M50" s="654">
        <f>VLOOKUP(G:G,list!B:E,4,FALSE)</f>
        <v>0.1</v>
      </c>
      <c r="N50" s="655">
        <f t="shared" si="0"/>
        <v>7</v>
      </c>
      <c r="O50" s="655">
        <f t="shared" si="1"/>
        <v>65</v>
      </c>
      <c r="P50" s="564"/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원작료</v>
      </c>
      <c r="D51" s="564" t="s">
        <v>23</v>
      </c>
      <c r="E51" s="564" t="s">
        <v>62</v>
      </c>
      <c r="F51" s="564" t="s">
        <v>257</v>
      </c>
      <c r="G51" s="564" t="s">
        <v>353</v>
      </c>
      <c r="H51" s="565">
        <v>44916</v>
      </c>
      <c r="I51" s="652">
        <v>45597</v>
      </c>
      <c r="J51" s="653">
        <v>-44992</v>
      </c>
      <c r="K51" s="567">
        <v>0.35</v>
      </c>
      <c r="L51" s="646">
        <v>14585</v>
      </c>
      <c r="M51" s="654">
        <f>VLOOKUP(G:G,list!B:E,4,FALSE)</f>
        <v>0.11</v>
      </c>
      <c r="N51" s="655">
        <f t="shared" si="0"/>
        <v>1604</v>
      </c>
      <c r="O51" s="655">
        <f t="shared" si="1"/>
        <v>12981</v>
      </c>
      <c r="P51" s="564" t="s">
        <v>557</v>
      </c>
      <c r="Q51" s="672" t="str">
        <f>VLOOKUP(G:G,list!B:F,5,FALSE)</f>
        <v>-</v>
      </c>
      <c r="R51" s="656" t="str">
        <f>VLOOKUP(G:G,list!B:D,3,FALSE)</f>
        <v>N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25</v>
      </c>
      <c r="E52" s="564" t="s">
        <v>62</v>
      </c>
      <c r="F52" s="564" t="s">
        <v>257</v>
      </c>
      <c r="G52" s="564" t="s">
        <v>353</v>
      </c>
      <c r="H52" s="565">
        <v>44916</v>
      </c>
      <c r="I52" s="652">
        <v>45597</v>
      </c>
      <c r="J52" s="653">
        <v>76637</v>
      </c>
      <c r="K52" s="567">
        <v>0.35</v>
      </c>
      <c r="L52" s="646">
        <v>26823</v>
      </c>
      <c r="M52" s="654">
        <f>VLOOKUP(G:G,list!B:E,4,FALSE)</f>
        <v>0.11</v>
      </c>
      <c r="N52" s="655">
        <f t="shared" si="0"/>
        <v>2951</v>
      </c>
      <c r="O52" s="655">
        <f t="shared" si="1"/>
        <v>23872</v>
      </c>
      <c r="P52" s="564"/>
      <c r="Q52" s="672" t="str">
        <f>VLOOKUP(G:G,list!B:F,5,FALSE)</f>
        <v>-</v>
      </c>
      <c r="R52" s="656" t="str">
        <f>VLOOKUP(G:G,list!B:D,3,FALSE)</f>
        <v>N</v>
      </c>
    </row>
    <row r="53" spans="2:18" ht="18" customHeight="1">
      <c r="B53" s="650">
        <v>48</v>
      </c>
      <c r="C53" s="651" t="str">
        <f>VLOOKUP(G:G,list!B:D,2,FALSE)</f>
        <v>원작료</v>
      </c>
      <c r="D53" s="564" t="s">
        <v>24</v>
      </c>
      <c r="E53" s="564" t="s">
        <v>62</v>
      </c>
      <c r="F53" s="564" t="s">
        <v>257</v>
      </c>
      <c r="G53" s="564" t="s">
        <v>353</v>
      </c>
      <c r="H53" s="565">
        <v>44914</v>
      </c>
      <c r="I53" s="652">
        <v>45597</v>
      </c>
      <c r="J53" s="653">
        <v>0</v>
      </c>
      <c r="K53" s="567">
        <v>0.35</v>
      </c>
      <c r="L53" s="646">
        <v>0</v>
      </c>
      <c r="M53" s="654">
        <f>VLOOKUP(G:G,list!B:E,4,FALSE)</f>
        <v>0.11</v>
      </c>
      <c r="N53" s="655">
        <f t="shared" si="0"/>
        <v>0</v>
      </c>
      <c r="O53" s="655">
        <f t="shared" si="1"/>
        <v>0</v>
      </c>
      <c r="P53" s="564" t="s">
        <v>366</v>
      </c>
      <c r="Q53" s="672" t="str">
        <f>VLOOKUP(G:G,list!B:F,5,FALSE)</f>
        <v>-</v>
      </c>
      <c r="R53" s="656" t="str">
        <f>VLOOKUP(G:G,list!B:D,3,FALSE)</f>
        <v>N</v>
      </c>
    </row>
    <row r="54" spans="2:18" ht="18" customHeight="1">
      <c r="B54" s="563">
        <v>49</v>
      </c>
      <c r="C54" s="651" t="str">
        <f>VLOOKUP(G:G,list!B:D,2,FALSE)</f>
        <v>원작료</v>
      </c>
      <c r="D54" s="564" t="s">
        <v>25</v>
      </c>
      <c r="E54" s="564" t="s">
        <v>62</v>
      </c>
      <c r="F54" s="564" t="s">
        <v>257</v>
      </c>
      <c r="G54" s="564" t="s">
        <v>352</v>
      </c>
      <c r="H54" s="565">
        <v>45098</v>
      </c>
      <c r="I54" s="652">
        <v>45597</v>
      </c>
      <c r="J54" s="653">
        <v>72095</v>
      </c>
      <c r="K54" s="600">
        <v>0.35</v>
      </c>
      <c r="L54" s="646">
        <v>25234</v>
      </c>
      <c r="M54" s="654">
        <f>VLOOKUP(G:G,list!B:E,4,FALSE)</f>
        <v>0.1</v>
      </c>
      <c r="N54" s="655">
        <f t="shared" si="0"/>
        <v>2523</v>
      </c>
      <c r="O54" s="655">
        <f t="shared" si="1"/>
        <v>22711</v>
      </c>
      <c r="P54" s="564"/>
      <c r="Q54" s="672" t="str">
        <f>VLOOKUP(G:G,list!B:F,5,FALSE)</f>
        <v>웹소설본부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24</v>
      </c>
      <c r="E55" s="564" t="s">
        <v>62</v>
      </c>
      <c r="F55" s="564" t="s">
        <v>257</v>
      </c>
      <c r="G55" s="564" t="s">
        <v>352</v>
      </c>
      <c r="H55" s="565">
        <v>45020</v>
      </c>
      <c r="I55" s="652">
        <v>45597</v>
      </c>
      <c r="J55" s="653">
        <v>2487</v>
      </c>
      <c r="K55" s="600">
        <v>0.35</v>
      </c>
      <c r="L55" s="646">
        <v>1300</v>
      </c>
      <c r="M55" s="654">
        <f>VLOOKUP(G:G,list!B:E,4,FALSE)</f>
        <v>0.1</v>
      </c>
      <c r="N55" s="655">
        <f t="shared" si="0"/>
        <v>130</v>
      </c>
      <c r="O55" s="655">
        <f t="shared" si="1"/>
        <v>1170</v>
      </c>
      <c r="P55" s="564"/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246</v>
      </c>
      <c r="G56" s="564" t="s">
        <v>36</v>
      </c>
      <c r="H56" s="565">
        <v>43810</v>
      </c>
      <c r="I56" s="652">
        <v>45597</v>
      </c>
      <c r="J56" s="653">
        <v>131580</v>
      </c>
      <c r="K56" s="600" t="s">
        <v>532</v>
      </c>
      <c r="L56" s="646">
        <v>50661</v>
      </c>
      <c r="M56" s="654" t="str">
        <f>VLOOKUP(G:G,list!B:E,4,FALSE)</f>
        <v>-</v>
      </c>
      <c r="N56" s="655">
        <f t="shared" si="0"/>
        <v>0</v>
      </c>
      <c r="O56" s="655">
        <f t="shared" si="1"/>
        <v>50661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9</v>
      </c>
      <c r="F57" s="564" t="s">
        <v>246</v>
      </c>
      <c r="G57" s="564" t="s">
        <v>139</v>
      </c>
      <c r="H57" s="565">
        <v>43852</v>
      </c>
      <c r="I57" s="652">
        <v>45597</v>
      </c>
      <c r="J57" s="653">
        <v>7200</v>
      </c>
      <c r="K57" s="600" t="s">
        <v>532</v>
      </c>
      <c r="L57" s="646">
        <v>3240</v>
      </c>
      <c r="M57" s="654" t="str">
        <f>VLOOKUP(G:G,list!B:E,4,FALSE)</f>
        <v>-</v>
      </c>
      <c r="N57" s="655">
        <f t="shared" si="0"/>
        <v>0</v>
      </c>
      <c r="O57" s="655">
        <f t="shared" si="1"/>
        <v>3240</v>
      </c>
      <c r="P57" s="564"/>
      <c r="Q57" s="672" t="str">
        <f>VLOOKUP(G:G,list!B:F,5,FALSE)</f>
        <v>-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544</v>
      </c>
      <c r="G58" s="564" t="s">
        <v>36</v>
      </c>
      <c r="H58" s="565">
        <v>45124</v>
      </c>
      <c r="I58" s="652">
        <v>45566</v>
      </c>
      <c r="J58" s="653">
        <v>338666</v>
      </c>
      <c r="K58" s="600">
        <v>0.5</v>
      </c>
      <c r="L58" s="646">
        <v>169334</v>
      </c>
      <c r="M58" s="654" t="str">
        <f>VLOOKUP(G:G,list!B:E,4,FALSE)</f>
        <v>-</v>
      </c>
      <c r="N58" s="655">
        <f t="shared" si="0"/>
        <v>0</v>
      </c>
      <c r="O58" s="655">
        <f t="shared" si="1"/>
        <v>169334</v>
      </c>
      <c r="P58" s="564"/>
      <c r="Q58" s="672" t="str">
        <f>VLOOKUP(G:G,list!B:F,5,FALSE)</f>
        <v>-</v>
      </c>
      <c r="R58" s="656" t="str">
        <f>VLOOKUP(G:G,list!B:D,3,FALSE)</f>
        <v>Y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9</v>
      </c>
      <c r="F59" s="564" t="s">
        <v>544</v>
      </c>
      <c r="G59" s="564" t="s">
        <v>139</v>
      </c>
      <c r="H59" s="565">
        <v>44513</v>
      </c>
      <c r="I59" s="652">
        <v>45566</v>
      </c>
      <c r="J59" s="653">
        <v>15932</v>
      </c>
      <c r="K59" s="600">
        <v>0.5</v>
      </c>
      <c r="L59" s="646">
        <v>7966</v>
      </c>
      <c r="M59" s="654" t="str">
        <f>VLOOKUP(G:G,list!B:E,4,FALSE)</f>
        <v>-</v>
      </c>
      <c r="N59" s="655">
        <f t="shared" si="0"/>
        <v>0</v>
      </c>
      <c r="O59" s="655">
        <f t="shared" si="1"/>
        <v>7966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원작료</v>
      </c>
      <c r="D60" s="564" t="s">
        <v>66</v>
      </c>
      <c r="E60" s="564" t="s">
        <v>64</v>
      </c>
      <c r="F60" s="564" t="s">
        <v>65</v>
      </c>
      <c r="G60" s="564" t="s">
        <v>30</v>
      </c>
      <c r="H60" s="565">
        <v>44586</v>
      </c>
      <c r="I60" s="652">
        <v>45597</v>
      </c>
      <c r="J60" s="653">
        <v>194420</v>
      </c>
      <c r="K60" s="567">
        <v>0.4</v>
      </c>
      <c r="L60" s="646">
        <v>77768</v>
      </c>
      <c r="M60" s="654">
        <f>VLOOKUP(G:G,list!B:E,4,FALSE)</f>
        <v>0.1</v>
      </c>
      <c r="N60" s="655">
        <f t="shared" si="0"/>
        <v>7777</v>
      </c>
      <c r="O60" s="655">
        <f t="shared" si="1"/>
        <v>69991</v>
      </c>
      <c r="P60" s="564"/>
      <c r="Q60" s="672" t="str">
        <f>VLOOKUP(G:G,list!B:F,5,FALSE)</f>
        <v>웹소설본부</v>
      </c>
      <c r="R60" s="656" t="str">
        <f>VLOOKUP(G:G,list!B:D,3,FALSE)</f>
        <v>Y</v>
      </c>
    </row>
    <row r="61" spans="2:18" ht="18" customHeight="1">
      <c r="B61" s="650">
        <v>56</v>
      </c>
      <c r="C61" s="651" t="str">
        <f>VLOOKUP(G:G,list!B:D,2,FALSE)</f>
        <v>작가기획</v>
      </c>
      <c r="D61" s="564" t="s">
        <v>66</v>
      </c>
      <c r="E61" s="564" t="s">
        <v>9</v>
      </c>
      <c r="F61" s="564" t="s">
        <v>65</v>
      </c>
      <c r="G61" s="564" t="s">
        <v>36</v>
      </c>
      <c r="H61" s="565">
        <v>44992</v>
      </c>
      <c r="I61" s="652">
        <v>45597</v>
      </c>
      <c r="J61" s="653">
        <v>578090</v>
      </c>
      <c r="K61" s="600">
        <v>0.4</v>
      </c>
      <c r="L61" s="646">
        <v>231236</v>
      </c>
      <c r="M61" s="654" t="str">
        <f>VLOOKUP(G:G,list!B:E,4,FALSE)</f>
        <v>-</v>
      </c>
      <c r="N61" s="655">
        <f t="shared" si="0"/>
        <v>0</v>
      </c>
      <c r="O61" s="655">
        <f t="shared" si="1"/>
        <v>231236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작가기획</v>
      </c>
      <c r="D62" s="564" t="s">
        <v>66</v>
      </c>
      <c r="E62" s="564" t="s">
        <v>9</v>
      </c>
      <c r="F62" s="564" t="s">
        <v>65</v>
      </c>
      <c r="G62" s="564" t="s">
        <v>37</v>
      </c>
      <c r="H62" s="565">
        <v>45169</v>
      </c>
      <c r="I62" s="652">
        <v>45597</v>
      </c>
      <c r="J62" s="653">
        <v>115400</v>
      </c>
      <c r="K62" s="600">
        <v>0.4</v>
      </c>
      <c r="L62" s="646">
        <v>46160</v>
      </c>
      <c r="M62" s="654" t="str">
        <f>VLOOKUP(G:G,list!B:E,4,FALSE)</f>
        <v>-</v>
      </c>
      <c r="N62" s="655">
        <f t="shared" si="0"/>
        <v>0</v>
      </c>
      <c r="O62" s="655">
        <f t="shared" si="1"/>
        <v>46160</v>
      </c>
      <c r="P62" s="564"/>
      <c r="Q62" s="672" t="str">
        <f>VLOOKUP(G:G,list!B:F,5,FALSE)</f>
        <v>-</v>
      </c>
      <c r="R62" s="656" t="str">
        <f>VLOOKUP(G:G,list!B:D,3,FALSE)</f>
        <v>Y</v>
      </c>
    </row>
    <row r="63" spans="2:18" ht="18" customHeight="1">
      <c r="B63" s="650">
        <v>58</v>
      </c>
      <c r="C63" s="651" t="str">
        <f>VLOOKUP(G:G,list!B:D,2,FALSE)</f>
        <v>작가기획</v>
      </c>
      <c r="D63" s="564" t="s">
        <v>67</v>
      </c>
      <c r="E63" s="564" t="s">
        <v>9</v>
      </c>
      <c r="F63" s="564" t="s">
        <v>65</v>
      </c>
      <c r="G63" s="564" t="s">
        <v>37</v>
      </c>
      <c r="H63" s="565">
        <v>43921</v>
      </c>
      <c r="I63" s="652">
        <v>45597</v>
      </c>
      <c r="J63" s="653">
        <v>252233</v>
      </c>
      <c r="K63" s="600">
        <v>0.4</v>
      </c>
      <c r="L63" s="646">
        <v>100893</v>
      </c>
      <c r="M63" s="654" t="str">
        <f>VLOOKUP(G:G,list!B:E,4,FALSE)</f>
        <v>-</v>
      </c>
      <c r="N63" s="655">
        <f t="shared" si="0"/>
        <v>0</v>
      </c>
      <c r="O63" s="655">
        <f t="shared" si="1"/>
        <v>100893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작가기획</v>
      </c>
      <c r="D64" s="564" t="s">
        <v>67</v>
      </c>
      <c r="E64" s="564" t="s">
        <v>9</v>
      </c>
      <c r="F64" s="564" t="s">
        <v>65</v>
      </c>
      <c r="G64" s="564" t="s">
        <v>36</v>
      </c>
      <c r="H64" s="565">
        <v>43941</v>
      </c>
      <c r="I64" s="652">
        <v>45597</v>
      </c>
      <c r="J64" s="653">
        <v>54778</v>
      </c>
      <c r="K64" s="600">
        <v>0.4</v>
      </c>
      <c r="L64" s="646">
        <v>21911</v>
      </c>
      <c r="M64" s="654" t="str">
        <f>VLOOKUP(G:G,list!B:E,4,FALSE)</f>
        <v>-</v>
      </c>
      <c r="N64" s="655">
        <f t="shared" si="0"/>
        <v>0</v>
      </c>
      <c r="O64" s="655">
        <f t="shared" si="1"/>
        <v>21911</v>
      </c>
      <c r="P64" s="564"/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67</v>
      </c>
      <c r="E65" s="564" t="s">
        <v>64</v>
      </c>
      <c r="F65" s="564" t="s">
        <v>65</v>
      </c>
      <c r="G65" s="564" t="s">
        <v>30</v>
      </c>
      <c r="H65" s="565">
        <v>44258</v>
      </c>
      <c r="I65" s="652">
        <v>45597</v>
      </c>
      <c r="J65" s="653">
        <v>38480</v>
      </c>
      <c r="K65" s="600">
        <v>0.4</v>
      </c>
      <c r="L65" s="646">
        <v>15392</v>
      </c>
      <c r="M65" s="654">
        <f>VLOOKUP(G:G,list!B:E,4,FALSE)</f>
        <v>0.1</v>
      </c>
      <c r="N65" s="655">
        <f t="shared" si="0"/>
        <v>1539</v>
      </c>
      <c r="O65" s="655">
        <f t="shared" si="1"/>
        <v>13853</v>
      </c>
      <c r="P65" s="564"/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78</v>
      </c>
      <c r="E66" s="564" t="s">
        <v>9</v>
      </c>
      <c r="F66" s="564" t="s">
        <v>131</v>
      </c>
      <c r="G66" s="564" t="s">
        <v>60</v>
      </c>
      <c r="H66" s="565">
        <v>44333</v>
      </c>
      <c r="I66" s="652">
        <v>45597</v>
      </c>
      <c r="J66" s="653">
        <v>0</v>
      </c>
      <c r="K66" s="603">
        <v>0.5</v>
      </c>
      <c r="L66" s="646">
        <v>0</v>
      </c>
      <c r="M66" s="654" t="str">
        <f>VLOOKUP(G:G,list!B:E,4,FALSE)</f>
        <v>-</v>
      </c>
      <c r="N66" s="655">
        <f t="shared" si="0"/>
        <v>0</v>
      </c>
      <c r="O66" s="655">
        <f t="shared" si="1"/>
        <v>0</v>
      </c>
      <c r="P66" s="564"/>
      <c r="Q66" s="672" t="str">
        <f>VLOOKUP(G:G,list!B:F,5,FALSE)</f>
        <v>-</v>
      </c>
      <c r="R66" s="656" t="str">
        <f>VLOOKUP(G:G,list!B:D,3,FALSE)</f>
        <v>N</v>
      </c>
    </row>
    <row r="67" spans="2:18" ht="18" customHeight="1">
      <c r="B67" s="650">
        <v>62</v>
      </c>
      <c r="C67" s="651" t="str">
        <f>VLOOKUP(G:G,list!B:D,2,FALSE)</f>
        <v>작가기획</v>
      </c>
      <c r="D67" s="564" t="s">
        <v>78</v>
      </c>
      <c r="E67" s="564" t="s">
        <v>115</v>
      </c>
      <c r="F67" s="564" t="s">
        <v>131</v>
      </c>
      <c r="G67" s="564" t="s">
        <v>518</v>
      </c>
      <c r="H67" s="565">
        <v>44897</v>
      </c>
      <c r="I67" s="652">
        <v>45597</v>
      </c>
      <c r="J67" s="653">
        <v>52416</v>
      </c>
      <c r="K67" s="603">
        <v>0.5</v>
      </c>
      <c r="L67" s="646">
        <v>26208</v>
      </c>
      <c r="M67" s="654" t="str">
        <f>VLOOKUP(G:G,list!B:E,4,FALSE)</f>
        <v>-</v>
      </c>
      <c r="N67" s="655">
        <f t="shared" si="0"/>
        <v>0</v>
      </c>
      <c r="O67" s="655">
        <f t="shared" si="1"/>
        <v>26208</v>
      </c>
      <c r="P67" s="564"/>
      <c r="Q67" s="672" t="str">
        <f>VLOOKUP(G:G,list!B:F,5,FALSE)</f>
        <v>-</v>
      </c>
      <c r="R67" s="656" t="str">
        <f>VLOOKUP(G:G,list!B:D,3,FALSE)</f>
        <v>N</v>
      </c>
    </row>
    <row r="68" spans="2:18" ht="18" customHeight="1">
      <c r="B68" s="563">
        <v>63</v>
      </c>
      <c r="C68" s="651" t="str">
        <f>VLOOKUP(G:G,list!B:D,2,FALSE)</f>
        <v>작가기획</v>
      </c>
      <c r="D68" s="564" t="s">
        <v>182</v>
      </c>
      <c r="E68" s="564" t="s">
        <v>115</v>
      </c>
      <c r="F68" s="564" t="s">
        <v>131</v>
      </c>
      <c r="G68" s="564" t="s">
        <v>518</v>
      </c>
      <c r="H68" s="565">
        <v>45049</v>
      </c>
      <c r="I68" s="652">
        <v>45566</v>
      </c>
      <c r="J68" s="653">
        <v>149487</v>
      </c>
      <c r="K68" s="603">
        <v>0.3</v>
      </c>
      <c r="L68" s="646">
        <v>44846</v>
      </c>
      <c r="M68" s="654" t="str">
        <f>VLOOKUP(G:G,list!B:E,4,FALSE)</f>
        <v>-</v>
      </c>
      <c r="N68" s="655">
        <f t="shared" si="0"/>
        <v>0</v>
      </c>
      <c r="O68" s="655">
        <f t="shared" si="1"/>
        <v>44846</v>
      </c>
      <c r="P68" s="564"/>
      <c r="Q68" s="672" t="str">
        <f>VLOOKUP(G:G,list!B:F,5,FALSE)</f>
        <v>-</v>
      </c>
      <c r="R68" s="656" t="str">
        <f>VLOOKUP(G:G,list!B:D,3,FALSE)</f>
        <v>N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182</v>
      </c>
      <c r="E69" s="564" t="s">
        <v>115</v>
      </c>
      <c r="F69" s="564" t="s">
        <v>131</v>
      </c>
      <c r="G69" s="564" t="s">
        <v>525</v>
      </c>
      <c r="H69" s="565">
        <v>45591</v>
      </c>
      <c r="I69" s="652">
        <v>45566</v>
      </c>
      <c r="J69" s="653">
        <v>816</v>
      </c>
      <c r="K69" s="603">
        <v>0.5</v>
      </c>
      <c r="L69" s="646">
        <v>408</v>
      </c>
      <c r="M69" s="654">
        <f>VLOOKUP(G:G,list!B:E,4,FALSE)</f>
        <v>0.1</v>
      </c>
      <c r="N69" s="655">
        <f t="shared" ref="N69" si="3">ROUND(IF(M69="-",0,L69*M69),0)</f>
        <v>41</v>
      </c>
      <c r="O69" s="655">
        <f t="shared" ref="O69" si="4">L69-N69</f>
        <v>367</v>
      </c>
      <c r="P69" s="564" t="s">
        <v>270</v>
      </c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78</v>
      </c>
      <c r="E70" s="564" t="s">
        <v>9</v>
      </c>
      <c r="F70" s="564" t="s">
        <v>545</v>
      </c>
      <c r="G70" s="564" t="s">
        <v>454</v>
      </c>
      <c r="H70" s="565">
        <v>44750</v>
      </c>
      <c r="I70" s="652">
        <v>45566</v>
      </c>
      <c r="J70" s="653">
        <v>2376738</v>
      </c>
      <c r="K70" s="603">
        <v>0.7</v>
      </c>
      <c r="L70" s="646">
        <v>1665887</v>
      </c>
      <c r="M70" s="654">
        <f>VLOOKUP(G:G,list!B:E,4,FALSE)</f>
        <v>0.1</v>
      </c>
      <c r="N70" s="655">
        <f t="shared" si="0"/>
        <v>166589</v>
      </c>
      <c r="O70" s="655">
        <f t="shared" si="1"/>
        <v>1499298</v>
      </c>
      <c r="P70" s="564"/>
      <c r="Q70" s="672" t="str">
        <f>VLOOKUP(G:G,list!B:F,5,FALSE)</f>
        <v>-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78</v>
      </c>
      <c r="E71" s="564" t="s">
        <v>9</v>
      </c>
      <c r="F71" s="564" t="s">
        <v>264</v>
      </c>
      <c r="G71" s="564" t="s">
        <v>454</v>
      </c>
      <c r="H71" s="565" t="s">
        <v>203</v>
      </c>
      <c r="I71" s="652">
        <v>45566</v>
      </c>
      <c r="J71" s="653">
        <v>326058.07314699999</v>
      </c>
      <c r="K71" s="603">
        <v>0.25</v>
      </c>
      <c r="L71" s="646">
        <v>81515</v>
      </c>
      <c r="M71" s="654">
        <f>VLOOKUP(G:G,list!B:E,4,FALSE)</f>
        <v>0.1</v>
      </c>
      <c r="N71" s="655">
        <f t="shared" si="0"/>
        <v>8152</v>
      </c>
      <c r="O71" s="655">
        <f t="shared" si="1"/>
        <v>73363</v>
      </c>
      <c r="P71" s="564" t="s">
        <v>554</v>
      </c>
      <c r="Q71" s="672" t="str">
        <f>VLOOKUP(G:G,list!B:F,5,FALSE)</f>
        <v>-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작가기획</v>
      </c>
      <c r="D72" s="564" t="s">
        <v>32</v>
      </c>
      <c r="E72" s="564" t="s">
        <v>9</v>
      </c>
      <c r="F72" s="564" t="s">
        <v>154</v>
      </c>
      <c r="G72" s="564" t="s">
        <v>36</v>
      </c>
      <c r="H72" s="565">
        <v>44106</v>
      </c>
      <c r="I72" s="652">
        <v>45566</v>
      </c>
      <c r="J72" s="653">
        <v>19317</v>
      </c>
      <c r="K72" s="603">
        <v>0.4</v>
      </c>
      <c r="L72" s="646">
        <v>7341</v>
      </c>
      <c r="M72" s="654" t="str">
        <f>VLOOKUP(G:G,list!B:E,4,FALSE)</f>
        <v>-</v>
      </c>
      <c r="N72" s="655">
        <f t="shared" si="0"/>
        <v>0</v>
      </c>
      <c r="O72" s="655">
        <f t="shared" si="1"/>
        <v>7341</v>
      </c>
      <c r="P72" s="564"/>
      <c r="Q72" s="672" t="str">
        <f>VLOOKUP(G:G,list!B:F,5,FALSE)</f>
        <v>-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작가기획</v>
      </c>
      <c r="D73" s="564" t="s">
        <v>32</v>
      </c>
      <c r="E73" s="564" t="s">
        <v>9</v>
      </c>
      <c r="F73" s="564" t="s">
        <v>154</v>
      </c>
      <c r="G73" s="564" t="s">
        <v>37</v>
      </c>
      <c r="H73" s="565">
        <v>44113</v>
      </c>
      <c r="I73" s="652">
        <v>45566</v>
      </c>
      <c r="J73" s="653">
        <v>132</v>
      </c>
      <c r="K73" s="603">
        <v>0.4</v>
      </c>
      <c r="L73" s="646">
        <v>50</v>
      </c>
      <c r="M73" s="654" t="str">
        <f>VLOOKUP(G:G,list!B:E,4,FALSE)</f>
        <v>-</v>
      </c>
      <c r="N73" s="655">
        <f t="shared" si="0"/>
        <v>0</v>
      </c>
      <c r="O73" s="655">
        <f t="shared" si="1"/>
        <v>50</v>
      </c>
      <c r="P73" s="564"/>
      <c r="Q73" s="672" t="str">
        <f>VLOOKUP(G:G,list!B:F,5,FALSE)</f>
        <v>-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32</v>
      </c>
      <c r="E74" s="564" t="s">
        <v>9</v>
      </c>
      <c r="F74" s="564" t="s">
        <v>154</v>
      </c>
      <c r="G74" s="564" t="s">
        <v>454</v>
      </c>
      <c r="H74" s="565">
        <v>44869</v>
      </c>
      <c r="I74" s="652">
        <v>45566</v>
      </c>
      <c r="J74" s="653">
        <v>1052051</v>
      </c>
      <c r="K74" s="603">
        <v>0.4</v>
      </c>
      <c r="L74" s="646">
        <v>399780</v>
      </c>
      <c r="M74" s="654">
        <f>VLOOKUP(G:G,list!B:E,4,FALSE)</f>
        <v>0.1</v>
      </c>
      <c r="N74" s="655">
        <f t="shared" si="0"/>
        <v>39978</v>
      </c>
      <c r="O74" s="655">
        <f t="shared" si="1"/>
        <v>359802</v>
      </c>
      <c r="P74" s="564"/>
      <c r="Q74" s="672" t="str">
        <f>VLOOKUP(G:G,list!B:F,5,FALSE)</f>
        <v>-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182</v>
      </c>
      <c r="E75" s="564" t="s">
        <v>115</v>
      </c>
      <c r="F75" s="564" t="s">
        <v>386</v>
      </c>
      <c r="G75" s="564" t="s">
        <v>30</v>
      </c>
      <c r="H75" s="565">
        <v>44591</v>
      </c>
      <c r="I75" s="652">
        <v>45536</v>
      </c>
      <c r="J75" s="653">
        <v>0</v>
      </c>
      <c r="K75" s="603">
        <v>0.5</v>
      </c>
      <c r="L75" s="646">
        <v>0</v>
      </c>
      <c r="M75" s="654">
        <f>VLOOKUP(G:G,list!B:E,4,FALSE)</f>
        <v>0.1</v>
      </c>
      <c r="N75" s="655">
        <f t="shared" si="0"/>
        <v>0</v>
      </c>
      <c r="O75" s="655">
        <f t="shared" si="1"/>
        <v>0</v>
      </c>
      <c r="P75" s="564" t="s">
        <v>366</v>
      </c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작가기획</v>
      </c>
      <c r="D76" s="564" t="s">
        <v>182</v>
      </c>
      <c r="E76" s="564" t="s">
        <v>115</v>
      </c>
      <c r="F76" s="564" t="s">
        <v>386</v>
      </c>
      <c r="G76" s="564" t="s">
        <v>36</v>
      </c>
      <c r="H76" s="565">
        <v>44643</v>
      </c>
      <c r="I76" s="652">
        <v>45536</v>
      </c>
      <c r="J76" s="653">
        <v>120260</v>
      </c>
      <c r="K76" s="603">
        <v>0.5</v>
      </c>
      <c r="L76" s="646">
        <v>60130</v>
      </c>
      <c r="M76" s="654" t="str">
        <f>VLOOKUP(G:G,list!B:E,4,FALSE)</f>
        <v>-</v>
      </c>
      <c r="N76" s="655">
        <f t="shared" si="0"/>
        <v>0</v>
      </c>
      <c r="O76" s="655">
        <f t="shared" si="1"/>
        <v>60130</v>
      </c>
      <c r="P76" s="564"/>
      <c r="Q76" s="672" t="str">
        <f>VLOOKUP(G:G,list!B:F,5,FALSE)</f>
        <v>-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작가기획</v>
      </c>
      <c r="D77" s="564" t="s">
        <v>182</v>
      </c>
      <c r="E77" s="564" t="s">
        <v>115</v>
      </c>
      <c r="F77" s="564" t="s">
        <v>386</v>
      </c>
      <c r="G77" s="564" t="s">
        <v>37</v>
      </c>
      <c r="H77" s="565">
        <v>44643</v>
      </c>
      <c r="I77" s="652">
        <v>45536</v>
      </c>
      <c r="J77" s="653">
        <v>0</v>
      </c>
      <c r="K77" s="603">
        <v>0.5</v>
      </c>
      <c r="L77" s="646">
        <v>0</v>
      </c>
      <c r="M77" s="654" t="str">
        <f>VLOOKUP(G:G,list!B:E,4,FALSE)</f>
        <v>-</v>
      </c>
      <c r="N77" s="655">
        <f t="shared" si="0"/>
        <v>0</v>
      </c>
      <c r="O77" s="655">
        <f t="shared" si="1"/>
        <v>0</v>
      </c>
      <c r="P77" s="564" t="s">
        <v>366</v>
      </c>
      <c r="Q77" s="672" t="str">
        <f>VLOOKUP(G:G,list!B:F,5,FALSE)</f>
        <v>-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182</v>
      </c>
      <c r="E78" s="564" t="s">
        <v>115</v>
      </c>
      <c r="F78" s="564" t="s">
        <v>386</v>
      </c>
      <c r="G78" s="564" t="s">
        <v>56</v>
      </c>
      <c r="H78" s="565">
        <v>44599</v>
      </c>
      <c r="I78" s="652">
        <v>45536</v>
      </c>
      <c r="J78" s="653">
        <v>431081</v>
      </c>
      <c r="K78" s="603">
        <v>0.5</v>
      </c>
      <c r="L78" s="646">
        <v>215541</v>
      </c>
      <c r="M78" s="654">
        <f>VLOOKUP(G:G,list!B:E,4,FALSE)</f>
        <v>0.1</v>
      </c>
      <c r="N78" s="655">
        <f t="shared" si="0"/>
        <v>21554</v>
      </c>
      <c r="O78" s="655">
        <f t="shared" si="1"/>
        <v>193987</v>
      </c>
      <c r="P78" s="564"/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538</v>
      </c>
      <c r="E79" s="564" t="s">
        <v>9</v>
      </c>
      <c r="F79" s="564" t="s">
        <v>519</v>
      </c>
      <c r="G79" s="564" t="s">
        <v>316</v>
      </c>
      <c r="H79" s="565">
        <v>45446</v>
      </c>
      <c r="I79" s="652">
        <v>45597</v>
      </c>
      <c r="J79" s="653">
        <v>19817</v>
      </c>
      <c r="K79" s="603">
        <v>0.7</v>
      </c>
      <c r="L79" s="646">
        <v>13871.9</v>
      </c>
      <c r="M79" s="654">
        <f>VLOOKUP(G:G,list!B:E,4,FALSE)</f>
        <v>0.1</v>
      </c>
      <c r="N79" s="655">
        <f t="shared" si="0"/>
        <v>1387</v>
      </c>
      <c r="O79" s="655">
        <f t="shared" si="1"/>
        <v>12484.9</v>
      </c>
      <c r="P79" s="564"/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549</v>
      </c>
      <c r="E80" s="564" t="s">
        <v>9</v>
      </c>
      <c r="F80" s="564" t="s">
        <v>519</v>
      </c>
      <c r="G80" s="564" t="s">
        <v>316</v>
      </c>
      <c r="H80" s="565">
        <v>45524</v>
      </c>
      <c r="I80" s="652">
        <v>45597</v>
      </c>
      <c r="J80" s="653">
        <v>399.00000000000006</v>
      </c>
      <c r="K80" s="603">
        <v>0.7</v>
      </c>
      <c r="L80" s="646">
        <v>279.3</v>
      </c>
      <c r="M80" s="654">
        <f>VLOOKUP(G:G,list!B:E,4,FALSE)</f>
        <v>0.1</v>
      </c>
      <c r="N80" s="655">
        <f t="shared" si="0"/>
        <v>28</v>
      </c>
      <c r="O80" s="655">
        <f t="shared" si="1"/>
        <v>251.3</v>
      </c>
      <c r="P80" s="564"/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원작료</v>
      </c>
      <c r="D81" s="564" t="s">
        <v>123</v>
      </c>
      <c r="E81" s="564" t="s">
        <v>9</v>
      </c>
      <c r="F81" s="564" t="s">
        <v>519</v>
      </c>
      <c r="G81" s="564" t="s">
        <v>316</v>
      </c>
      <c r="H81" s="565">
        <v>45536</v>
      </c>
      <c r="I81" s="652">
        <v>45597</v>
      </c>
      <c r="J81" s="653">
        <v>0</v>
      </c>
      <c r="K81" s="603">
        <v>0.7</v>
      </c>
      <c r="L81" s="646">
        <v>0</v>
      </c>
      <c r="M81" s="654">
        <f>VLOOKUP(G:G,list!B:E,4,FALSE)</f>
        <v>0.1</v>
      </c>
      <c r="N81" s="655">
        <f t="shared" si="0"/>
        <v>0</v>
      </c>
      <c r="O81" s="655">
        <f t="shared" si="1"/>
        <v>0</v>
      </c>
      <c r="P81" s="564" t="s">
        <v>270</v>
      </c>
      <c r="Q81" s="672" t="str">
        <f>VLOOKUP(G:G,list!B:F,5,FALSE)</f>
        <v>웹소설본부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원작료</v>
      </c>
      <c r="D82" s="564" t="s">
        <v>132</v>
      </c>
      <c r="E82" s="564" t="s">
        <v>9</v>
      </c>
      <c r="F82" s="564" t="s">
        <v>519</v>
      </c>
      <c r="G82" s="564" t="s">
        <v>56</v>
      </c>
      <c r="H82" s="565">
        <v>44952</v>
      </c>
      <c r="I82" s="652">
        <v>45597</v>
      </c>
      <c r="J82" s="653">
        <v>22344</v>
      </c>
      <c r="K82" s="567">
        <v>0.5</v>
      </c>
      <c r="L82" s="646">
        <v>11172</v>
      </c>
      <c r="M82" s="654">
        <f>VLOOKUP(G:G,list!B:E,4,FALSE)</f>
        <v>0.1</v>
      </c>
      <c r="N82" s="655">
        <f t="shared" si="0"/>
        <v>1117</v>
      </c>
      <c r="O82" s="655">
        <f t="shared" si="1"/>
        <v>10055</v>
      </c>
      <c r="P82" s="564"/>
      <c r="Q82" s="672" t="str">
        <f>VLOOKUP(G:G,list!B:F,5,FALSE)</f>
        <v>웹소설본부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원작료</v>
      </c>
      <c r="D83" s="564" t="s">
        <v>538</v>
      </c>
      <c r="E83" s="564" t="s">
        <v>9</v>
      </c>
      <c r="F83" s="564" t="s">
        <v>519</v>
      </c>
      <c r="G83" s="564" t="s">
        <v>56</v>
      </c>
      <c r="H83" s="565">
        <v>45503</v>
      </c>
      <c r="I83" s="652">
        <v>45597</v>
      </c>
      <c r="J83" s="653">
        <v>28595</v>
      </c>
      <c r="K83" s="567">
        <v>0.5</v>
      </c>
      <c r="L83" s="646">
        <v>14297.5</v>
      </c>
      <c r="M83" s="654">
        <f>VLOOKUP(G:G,list!B:E,4,FALSE)</f>
        <v>0.1</v>
      </c>
      <c r="N83" s="655">
        <f t="shared" si="0"/>
        <v>1430</v>
      </c>
      <c r="O83" s="655">
        <f t="shared" si="1"/>
        <v>12867.5</v>
      </c>
      <c r="P83" s="564"/>
      <c r="Q83" s="672" t="str">
        <f>VLOOKUP(G:G,list!B:F,5,FALSE)</f>
        <v>웹소설본부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원작료</v>
      </c>
      <c r="D84" s="564" t="s">
        <v>549</v>
      </c>
      <c r="E84" s="564" t="s">
        <v>9</v>
      </c>
      <c r="F84" s="564" t="s">
        <v>519</v>
      </c>
      <c r="G84" s="564" t="s">
        <v>56</v>
      </c>
      <c r="H84" s="565">
        <v>45547</v>
      </c>
      <c r="I84" s="652">
        <v>45597</v>
      </c>
      <c r="J84" s="653">
        <v>3591</v>
      </c>
      <c r="K84" s="567">
        <v>0.5</v>
      </c>
      <c r="L84" s="646">
        <v>1795.5</v>
      </c>
      <c r="M84" s="654">
        <f>VLOOKUP(G:G,list!B:E,4,FALSE)</f>
        <v>0.1</v>
      </c>
      <c r="N84" s="655">
        <f t="shared" si="0"/>
        <v>180</v>
      </c>
      <c r="O84" s="655">
        <f t="shared" si="1"/>
        <v>1615.5</v>
      </c>
      <c r="P84" s="564"/>
      <c r="Q84" s="672" t="str">
        <f>VLOOKUP(G:G,list!B:F,5,FALSE)</f>
        <v>웹소설본부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원작료</v>
      </c>
      <c r="D85" s="564" t="s">
        <v>132</v>
      </c>
      <c r="E85" s="564" t="s">
        <v>9</v>
      </c>
      <c r="F85" s="564" t="s">
        <v>519</v>
      </c>
      <c r="G85" s="564" t="s">
        <v>30</v>
      </c>
      <c r="H85" s="565">
        <v>44953</v>
      </c>
      <c r="I85" s="652">
        <v>45597</v>
      </c>
      <c r="J85" s="653">
        <v>0</v>
      </c>
      <c r="K85" s="567">
        <v>0.5</v>
      </c>
      <c r="L85" s="646">
        <v>0</v>
      </c>
      <c r="M85" s="654">
        <f>VLOOKUP(G:G,list!B:E,4,FALSE)</f>
        <v>0.1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웹소설본부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132</v>
      </c>
      <c r="E86" s="564" t="s">
        <v>9</v>
      </c>
      <c r="F86" s="564" t="s">
        <v>519</v>
      </c>
      <c r="G86" s="564" t="s">
        <v>308</v>
      </c>
      <c r="H86" s="565">
        <v>44992</v>
      </c>
      <c r="I86" s="652">
        <v>45597</v>
      </c>
      <c r="J86" s="653">
        <v>0</v>
      </c>
      <c r="K86" s="603">
        <v>0.5</v>
      </c>
      <c r="L86" s="646">
        <v>0</v>
      </c>
      <c r="M86" s="654" t="str">
        <f>VLOOKUP(G:G,list!B:E,4,FALSE)</f>
        <v>-</v>
      </c>
      <c r="N86" s="655">
        <f t="shared" si="0"/>
        <v>0</v>
      </c>
      <c r="O86" s="655">
        <f t="shared" si="1"/>
        <v>0</v>
      </c>
      <c r="P86" s="564" t="s">
        <v>366</v>
      </c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538</v>
      </c>
      <c r="E87" s="564" t="s">
        <v>9</v>
      </c>
      <c r="F87" s="564" t="s">
        <v>519</v>
      </c>
      <c r="G87" s="564" t="s">
        <v>308</v>
      </c>
      <c r="H87" s="565">
        <v>45610</v>
      </c>
      <c r="I87" s="652">
        <v>45597</v>
      </c>
      <c r="J87" s="653">
        <v>798</v>
      </c>
      <c r="K87" s="603">
        <v>0.5</v>
      </c>
      <c r="L87" s="646">
        <v>399</v>
      </c>
      <c r="M87" s="654" t="str">
        <f>VLOOKUP(G:G,list!B:E,4,FALSE)</f>
        <v>-</v>
      </c>
      <c r="N87" s="655">
        <f t="shared" si="0"/>
        <v>0</v>
      </c>
      <c r="O87" s="655">
        <f t="shared" si="1"/>
        <v>399</v>
      </c>
      <c r="P87" s="564"/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132</v>
      </c>
      <c r="E88" s="564" t="s">
        <v>9</v>
      </c>
      <c r="F88" s="564" t="s">
        <v>519</v>
      </c>
      <c r="G88" s="564" t="s">
        <v>36</v>
      </c>
      <c r="H88" s="565">
        <v>45198</v>
      </c>
      <c r="I88" s="652">
        <v>45597</v>
      </c>
      <c r="J88" s="653">
        <v>494228</v>
      </c>
      <c r="K88" s="603">
        <v>0.5</v>
      </c>
      <c r="L88" s="646">
        <v>247114</v>
      </c>
      <c r="M88" s="654" t="str">
        <f>VLOOKUP(G:G,list!B:E,4,FALSE)</f>
        <v>-</v>
      </c>
      <c r="N88" s="655">
        <f t="shared" si="0"/>
        <v>0</v>
      </c>
      <c r="O88" s="655">
        <f t="shared" si="1"/>
        <v>247114</v>
      </c>
      <c r="P88" s="564"/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작가기획</v>
      </c>
      <c r="D89" s="564" t="s">
        <v>538</v>
      </c>
      <c r="E89" s="564" t="s">
        <v>9</v>
      </c>
      <c r="F89" s="564" t="s">
        <v>519</v>
      </c>
      <c r="G89" s="564" t="s">
        <v>36</v>
      </c>
      <c r="H89" s="565">
        <v>45479</v>
      </c>
      <c r="I89" s="652">
        <v>45597</v>
      </c>
      <c r="J89" s="653">
        <v>6783</v>
      </c>
      <c r="K89" s="603">
        <v>0.5</v>
      </c>
      <c r="L89" s="646">
        <v>3391.5</v>
      </c>
      <c r="M89" s="654" t="str">
        <f>VLOOKUP(G:G,list!B:E,4,FALSE)</f>
        <v>-</v>
      </c>
      <c r="N89" s="655">
        <f t="shared" si="0"/>
        <v>0</v>
      </c>
      <c r="O89" s="655">
        <f t="shared" si="1"/>
        <v>3391.5</v>
      </c>
      <c r="P89" s="564"/>
      <c r="Q89" s="672" t="str">
        <f>VLOOKUP(G:G,list!B:F,5,FALSE)</f>
        <v>-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작가기획</v>
      </c>
      <c r="D90" s="564" t="s">
        <v>123</v>
      </c>
      <c r="E90" s="564" t="s">
        <v>9</v>
      </c>
      <c r="F90" s="564" t="s">
        <v>519</v>
      </c>
      <c r="G90" s="564" t="s">
        <v>36</v>
      </c>
      <c r="H90" s="565">
        <v>45555</v>
      </c>
      <c r="I90" s="652">
        <v>45597</v>
      </c>
      <c r="J90" s="653">
        <v>0</v>
      </c>
      <c r="K90" s="603">
        <v>0.5</v>
      </c>
      <c r="L90" s="646">
        <v>0</v>
      </c>
      <c r="M90" s="654" t="str">
        <f>VLOOKUP(G:G,list!B:E,4,FALSE)</f>
        <v>-</v>
      </c>
      <c r="N90" s="655">
        <f t="shared" si="0"/>
        <v>0</v>
      </c>
      <c r="O90" s="655">
        <f t="shared" si="1"/>
        <v>0</v>
      </c>
      <c r="P90" s="564" t="s">
        <v>366</v>
      </c>
      <c r="Q90" s="672" t="str">
        <f>VLOOKUP(G:G,list!B:F,5,FALSE)</f>
        <v>-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작가기획</v>
      </c>
      <c r="D91" s="564" t="s">
        <v>132</v>
      </c>
      <c r="E91" s="564" t="s">
        <v>9</v>
      </c>
      <c r="F91" s="564" t="s">
        <v>519</v>
      </c>
      <c r="G91" s="564" t="s">
        <v>139</v>
      </c>
      <c r="H91" s="565">
        <v>45276</v>
      </c>
      <c r="I91" s="652">
        <v>45597</v>
      </c>
      <c r="J91" s="653">
        <v>28728</v>
      </c>
      <c r="K91" s="603">
        <v>0.5</v>
      </c>
      <c r="L91" s="646">
        <v>14364</v>
      </c>
      <c r="M91" s="654" t="str">
        <f>VLOOKUP(G:G,list!B:E,4,FALSE)</f>
        <v>-</v>
      </c>
      <c r="N91" s="655">
        <f t="shared" si="0"/>
        <v>0</v>
      </c>
      <c r="O91" s="655">
        <f t="shared" si="1"/>
        <v>14364</v>
      </c>
      <c r="P91" s="564"/>
      <c r="Q91" s="672" t="str">
        <f>VLOOKUP(G:G,list!B:F,5,FALSE)</f>
        <v>-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작가기획</v>
      </c>
      <c r="D92" s="564" t="s">
        <v>538</v>
      </c>
      <c r="E92" s="564" t="s">
        <v>9</v>
      </c>
      <c r="F92" s="564" t="s">
        <v>519</v>
      </c>
      <c r="G92" s="564" t="s">
        <v>139</v>
      </c>
      <c r="H92" s="565">
        <v>45534</v>
      </c>
      <c r="I92" s="652">
        <v>45597</v>
      </c>
      <c r="J92" s="653">
        <v>1064</v>
      </c>
      <c r="K92" s="603">
        <v>0.5</v>
      </c>
      <c r="L92" s="646">
        <v>532</v>
      </c>
      <c r="M92" s="654" t="str">
        <f>VLOOKUP(G:G,list!B:E,4,FALSE)</f>
        <v>-</v>
      </c>
      <c r="N92" s="655">
        <f t="shared" ref="N92:N102" si="5">ROUND(IF(M92="-",0,L92*M92),0)</f>
        <v>0</v>
      </c>
      <c r="O92" s="655">
        <f t="shared" ref="O92:O102" si="6">L92-N92</f>
        <v>532</v>
      </c>
      <c r="P92" s="564"/>
      <c r="Q92" s="672" t="str">
        <f>VLOOKUP(G:G,list!B:F,5,FALSE)</f>
        <v>-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작가기획</v>
      </c>
      <c r="D93" s="564" t="s">
        <v>132</v>
      </c>
      <c r="E93" s="564" t="s">
        <v>9</v>
      </c>
      <c r="F93" s="564" t="s">
        <v>519</v>
      </c>
      <c r="G93" s="564" t="s">
        <v>36</v>
      </c>
      <c r="H93" s="565">
        <v>45198</v>
      </c>
      <c r="I93" s="652">
        <v>45566</v>
      </c>
      <c r="J93" s="653">
        <v>289408</v>
      </c>
      <c r="K93" s="603">
        <v>0.5</v>
      </c>
      <c r="L93" s="646">
        <v>144704</v>
      </c>
      <c r="M93" s="654" t="str">
        <f>VLOOKUP(G:G,list!B:E,4,FALSE)</f>
        <v>-</v>
      </c>
      <c r="N93" s="655">
        <f t="shared" si="5"/>
        <v>0</v>
      </c>
      <c r="O93" s="655">
        <f t="shared" si="6"/>
        <v>144704</v>
      </c>
      <c r="P93" s="564" t="s">
        <v>561</v>
      </c>
      <c r="Q93" s="672" t="str">
        <f>VLOOKUP(G:G,list!B:F,5,FALSE)</f>
        <v>-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작가기획</v>
      </c>
      <c r="D94" s="564" t="s">
        <v>538</v>
      </c>
      <c r="E94" s="564" t="s">
        <v>9</v>
      </c>
      <c r="F94" s="564" t="s">
        <v>519</v>
      </c>
      <c r="G94" s="564" t="s">
        <v>36</v>
      </c>
      <c r="H94" s="565">
        <v>45479</v>
      </c>
      <c r="I94" s="652">
        <v>45566</v>
      </c>
      <c r="J94" s="653">
        <v>2394</v>
      </c>
      <c r="K94" s="603">
        <v>0.5</v>
      </c>
      <c r="L94" s="646">
        <v>1197</v>
      </c>
      <c r="M94" s="654" t="str">
        <f>VLOOKUP(G:G,list!B:E,4,FALSE)</f>
        <v>-</v>
      </c>
      <c r="N94" s="655">
        <f t="shared" si="5"/>
        <v>0</v>
      </c>
      <c r="O94" s="655">
        <f t="shared" si="6"/>
        <v>1197</v>
      </c>
      <c r="P94" s="564" t="s">
        <v>561</v>
      </c>
      <c r="Q94" s="672" t="str">
        <f>VLOOKUP(G:G,list!B:F,5,FALSE)</f>
        <v>-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작가기획</v>
      </c>
      <c r="D95" s="564" t="s">
        <v>132</v>
      </c>
      <c r="E95" s="564" t="s">
        <v>9</v>
      </c>
      <c r="F95" s="564" t="s">
        <v>519</v>
      </c>
      <c r="G95" s="564" t="s">
        <v>139</v>
      </c>
      <c r="H95" s="565">
        <v>45276</v>
      </c>
      <c r="I95" s="652">
        <v>45566</v>
      </c>
      <c r="J95" s="653">
        <v>51604</v>
      </c>
      <c r="K95" s="603">
        <v>0.5</v>
      </c>
      <c r="L95" s="646">
        <v>25802</v>
      </c>
      <c r="M95" s="654" t="str">
        <f>VLOOKUP(G:G,list!B:E,4,FALSE)</f>
        <v>-</v>
      </c>
      <c r="N95" s="655">
        <f t="shared" si="5"/>
        <v>0</v>
      </c>
      <c r="O95" s="655">
        <f t="shared" si="6"/>
        <v>25802</v>
      </c>
      <c r="P95" s="564" t="s">
        <v>561</v>
      </c>
      <c r="Q95" s="672" t="str">
        <f>VLOOKUP(G:G,list!B:F,5,FALSE)</f>
        <v>-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작가기획</v>
      </c>
      <c r="D96" s="564" t="s">
        <v>538</v>
      </c>
      <c r="E96" s="564" t="s">
        <v>9</v>
      </c>
      <c r="F96" s="564" t="s">
        <v>519</v>
      </c>
      <c r="G96" s="564" t="s">
        <v>139</v>
      </c>
      <c r="H96" s="565">
        <v>45534</v>
      </c>
      <c r="I96" s="652">
        <v>45566</v>
      </c>
      <c r="J96" s="653">
        <v>399</v>
      </c>
      <c r="K96" s="603">
        <v>0.5</v>
      </c>
      <c r="L96" s="646">
        <v>199.5</v>
      </c>
      <c r="M96" s="654" t="str">
        <f>VLOOKUP(G:G,list!B:E,4,FALSE)</f>
        <v>-</v>
      </c>
      <c r="N96" s="655">
        <f t="shared" si="5"/>
        <v>0</v>
      </c>
      <c r="O96" s="655">
        <f t="shared" si="6"/>
        <v>199.5</v>
      </c>
      <c r="P96" s="564" t="s">
        <v>561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538</v>
      </c>
      <c r="E97" s="564" t="s">
        <v>9</v>
      </c>
      <c r="F97" s="564" t="s">
        <v>519</v>
      </c>
      <c r="G97" s="564" t="s">
        <v>56</v>
      </c>
      <c r="H97" s="565">
        <v>45503</v>
      </c>
      <c r="I97" s="652">
        <v>45566</v>
      </c>
      <c r="J97" s="653">
        <v>8778</v>
      </c>
      <c r="K97" s="603">
        <v>0.5</v>
      </c>
      <c r="L97" s="646">
        <v>4389</v>
      </c>
      <c r="M97" s="654">
        <f>VLOOKUP(G:G,list!B:E,4,FALSE)</f>
        <v>0.1</v>
      </c>
      <c r="N97" s="655">
        <f t="shared" si="5"/>
        <v>439</v>
      </c>
      <c r="O97" s="655">
        <f t="shared" si="6"/>
        <v>3950</v>
      </c>
      <c r="P97" s="564" t="s">
        <v>561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549</v>
      </c>
      <c r="E98" s="564" t="s">
        <v>9</v>
      </c>
      <c r="F98" s="564" t="s">
        <v>519</v>
      </c>
      <c r="G98" s="564" t="s">
        <v>56</v>
      </c>
      <c r="H98" s="565">
        <v>45547</v>
      </c>
      <c r="I98" s="652">
        <v>45566</v>
      </c>
      <c r="J98" s="653">
        <v>2793</v>
      </c>
      <c r="K98" s="603">
        <v>0.5</v>
      </c>
      <c r="L98" s="646">
        <v>1396.5</v>
      </c>
      <c r="M98" s="654">
        <f>VLOOKUP(G:G,list!B:E,4,FALSE)</f>
        <v>0.1</v>
      </c>
      <c r="N98" s="655">
        <f t="shared" si="5"/>
        <v>140</v>
      </c>
      <c r="O98" s="655">
        <f t="shared" si="6"/>
        <v>1256.5</v>
      </c>
      <c r="P98" s="564" t="s">
        <v>561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132</v>
      </c>
      <c r="E99" s="564" t="s">
        <v>9</v>
      </c>
      <c r="F99" s="564" t="s">
        <v>519</v>
      </c>
      <c r="G99" s="564" t="s">
        <v>56</v>
      </c>
      <c r="H99" s="565">
        <v>44952</v>
      </c>
      <c r="I99" s="652">
        <v>45566</v>
      </c>
      <c r="J99" s="653">
        <v>4788</v>
      </c>
      <c r="K99" s="603">
        <v>0.5</v>
      </c>
      <c r="L99" s="646">
        <v>2394</v>
      </c>
      <c r="M99" s="654">
        <f>VLOOKUP(G:G,list!B:E,4,FALSE)</f>
        <v>0.1</v>
      </c>
      <c r="N99" s="655">
        <f t="shared" si="5"/>
        <v>239</v>
      </c>
      <c r="O99" s="655">
        <f t="shared" si="6"/>
        <v>2155</v>
      </c>
      <c r="P99" s="564" t="s">
        <v>561</v>
      </c>
      <c r="Q99" s="672" t="str">
        <f>VLOOKUP(G:G,list!B:F,5,FALSE)</f>
        <v>웹소설본부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538</v>
      </c>
      <c r="E100" s="564" t="s">
        <v>9</v>
      </c>
      <c r="F100" s="564" t="s">
        <v>519</v>
      </c>
      <c r="G100" s="564" t="s">
        <v>316</v>
      </c>
      <c r="H100" s="565">
        <v>45446</v>
      </c>
      <c r="I100" s="652">
        <v>45566</v>
      </c>
      <c r="J100" s="653">
        <v>4787.9999999999991</v>
      </c>
      <c r="K100" s="603">
        <v>0.7</v>
      </c>
      <c r="L100" s="646">
        <v>3351.5999999999995</v>
      </c>
      <c r="M100" s="654">
        <f>VLOOKUP(G:G,list!B:E,4,FALSE)</f>
        <v>0.1</v>
      </c>
      <c r="N100" s="655">
        <f t="shared" si="5"/>
        <v>335</v>
      </c>
      <c r="O100" s="655">
        <f t="shared" si="6"/>
        <v>3016.5999999999995</v>
      </c>
      <c r="P100" s="564" t="s">
        <v>561</v>
      </c>
      <c r="Q100" s="672" t="str">
        <f>VLOOKUP(G:G,list!B:F,5,FALSE)</f>
        <v>웹소설본부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123</v>
      </c>
      <c r="E101" s="564" t="s">
        <v>9</v>
      </c>
      <c r="F101" s="564" t="s">
        <v>519</v>
      </c>
      <c r="G101" s="564" t="s">
        <v>316</v>
      </c>
      <c r="H101" s="565">
        <v>45536</v>
      </c>
      <c r="I101" s="652">
        <v>45566</v>
      </c>
      <c r="J101" s="653">
        <v>797.99999999999989</v>
      </c>
      <c r="K101" s="603">
        <v>0.7</v>
      </c>
      <c r="L101" s="646">
        <v>558.59999999999991</v>
      </c>
      <c r="M101" s="654">
        <f>VLOOKUP(G:G,list!B:E,4,FALSE)</f>
        <v>0.1</v>
      </c>
      <c r="N101" s="655">
        <f t="shared" si="5"/>
        <v>56</v>
      </c>
      <c r="O101" s="655">
        <f t="shared" si="6"/>
        <v>502.59999999999991</v>
      </c>
      <c r="P101" s="564" t="s">
        <v>561</v>
      </c>
      <c r="Q101" s="672" t="str">
        <f>VLOOKUP(G:G,list!B:F,5,FALSE)</f>
        <v>웹소설본부</v>
      </c>
      <c r="R101" s="656" t="str">
        <f>VLOOKUP(G:G,list!B:D,3,FALSE)</f>
        <v>Y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549</v>
      </c>
      <c r="E102" s="564" t="s">
        <v>9</v>
      </c>
      <c r="F102" s="564" t="s">
        <v>519</v>
      </c>
      <c r="G102" s="564" t="s">
        <v>316</v>
      </c>
      <c r="H102" s="565">
        <v>45524</v>
      </c>
      <c r="I102" s="652">
        <v>45566</v>
      </c>
      <c r="J102" s="653">
        <v>2793</v>
      </c>
      <c r="K102" s="603">
        <v>0.7</v>
      </c>
      <c r="L102" s="646">
        <v>1955.1</v>
      </c>
      <c r="M102" s="654">
        <f>VLOOKUP(G:G,list!B:E,4,FALSE)</f>
        <v>0.1</v>
      </c>
      <c r="N102" s="655">
        <f t="shared" si="5"/>
        <v>196</v>
      </c>
      <c r="O102" s="655">
        <f t="shared" si="6"/>
        <v>1759.1</v>
      </c>
      <c r="P102" s="564" t="s">
        <v>561</v>
      </c>
      <c r="Q102" s="672" t="str">
        <f>VLOOKUP(G:G,list!B:F,5,FALSE)</f>
        <v>웹소설본부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작가기획</v>
      </c>
      <c r="D103" s="564" t="s">
        <v>182</v>
      </c>
      <c r="E103" s="564" t="s">
        <v>115</v>
      </c>
      <c r="F103" s="564" t="s">
        <v>550</v>
      </c>
      <c r="G103" s="564" t="s">
        <v>308</v>
      </c>
      <c r="H103" s="565">
        <v>45347</v>
      </c>
      <c r="I103" s="652">
        <v>45536</v>
      </c>
      <c r="J103" s="653">
        <v>1524</v>
      </c>
      <c r="K103" s="603">
        <v>0.5</v>
      </c>
      <c r="L103" s="646">
        <v>762</v>
      </c>
      <c r="M103" s="654" t="str">
        <f>VLOOKUP(G:G,list!B:E,4,FALSE)</f>
        <v>-</v>
      </c>
      <c r="N103" s="655">
        <f t="shared" si="0"/>
        <v>0</v>
      </c>
      <c r="O103" s="655">
        <f t="shared" si="1"/>
        <v>762</v>
      </c>
      <c r="P103" s="564"/>
      <c r="Q103" s="672" t="str">
        <f>VLOOKUP(G:G,list!B:F,5,FALSE)</f>
        <v>-</v>
      </c>
      <c r="R103" s="656" t="str">
        <f>VLOOKUP(G:G,list!B:D,3,FALSE)</f>
        <v>Y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182</v>
      </c>
      <c r="E104" s="564" t="s">
        <v>115</v>
      </c>
      <c r="F104" s="564" t="s">
        <v>550</v>
      </c>
      <c r="G104" s="564" t="s">
        <v>316</v>
      </c>
      <c r="H104" s="565">
        <v>45359</v>
      </c>
      <c r="I104" s="652">
        <v>45536</v>
      </c>
      <c r="J104" s="653">
        <v>3557</v>
      </c>
      <c r="K104" s="603">
        <v>0.5</v>
      </c>
      <c r="L104" s="646">
        <v>1779</v>
      </c>
      <c r="M104" s="654">
        <f>VLOOKUP(G:G,list!B:E,4,FALSE)</f>
        <v>0.1</v>
      </c>
      <c r="N104" s="655">
        <f t="shared" si="0"/>
        <v>178</v>
      </c>
      <c r="O104" s="655">
        <f t="shared" si="1"/>
        <v>1601</v>
      </c>
      <c r="P104" s="564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32</v>
      </c>
      <c r="E105" s="564" t="s">
        <v>9</v>
      </c>
      <c r="F105" s="564" t="s">
        <v>31</v>
      </c>
      <c r="G105" s="564" t="s">
        <v>30</v>
      </c>
      <c r="H105" s="565">
        <v>44239</v>
      </c>
      <c r="I105" s="652">
        <v>45566</v>
      </c>
      <c r="J105" s="653">
        <v>7499</v>
      </c>
      <c r="K105" s="603">
        <v>0.4</v>
      </c>
      <c r="L105" s="646">
        <v>2844</v>
      </c>
      <c r="M105" s="654">
        <f>VLOOKUP(G:G,list!B:E,4,FALSE)</f>
        <v>0.1</v>
      </c>
      <c r="N105" s="655">
        <f t="shared" si="0"/>
        <v>284</v>
      </c>
      <c r="O105" s="655">
        <f t="shared" si="1"/>
        <v>2560</v>
      </c>
      <c r="P105" s="564"/>
      <c r="Q105" s="672" t="str">
        <f>VLOOKUP(G:G,list!B:F,5,FALSE)</f>
        <v>웹소설본부</v>
      </c>
      <c r="R105" s="656" t="str">
        <f>VLOOKUP(G:G,list!B:D,3,FALSE)</f>
        <v>Y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123</v>
      </c>
      <c r="E106" s="564" t="s">
        <v>9</v>
      </c>
      <c r="F106" s="564" t="s">
        <v>213</v>
      </c>
      <c r="G106" s="564" t="s">
        <v>56</v>
      </c>
      <c r="H106" s="565">
        <v>44581</v>
      </c>
      <c r="I106" s="652">
        <v>45597</v>
      </c>
      <c r="J106" s="653">
        <v>874997</v>
      </c>
      <c r="K106" s="603">
        <v>0.3</v>
      </c>
      <c r="L106" s="568">
        <v>262499</v>
      </c>
      <c r="M106" s="654">
        <f>VLOOKUP(G:G,list!B:E,4,FALSE)</f>
        <v>0.1</v>
      </c>
      <c r="N106" s="655">
        <f t="shared" si="0"/>
        <v>26250</v>
      </c>
      <c r="O106" s="655">
        <f t="shared" si="1"/>
        <v>236249</v>
      </c>
      <c r="P106" s="564" t="s">
        <v>186</v>
      </c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183</v>
      </c>
      <c r="E107" s="564" t="s">
        <v>9</v>
      </c>
      <c r="F107" s="564" t="s">
        <v>213</v>
      </c>
      <c r="G107" s="564" t="s">
        <v>56</v>
      </c>
      <c r="H107" s="565">
        <v>44829</v>
      </c>
      <c r="I107" s="652">
        <v>45597</v>
      </c>
      <c r="J107" s="653">
        <v>635517</v>
      </c>
      <c r="K107" s="603">
        <v>0.3</v>
      </c>
      <c r="L107" s="568">
        <v>190655</v>
      </c>
      <c r="M107" s="654">
        <f>VLOOKUP(G:G,list!B:E,4,FALSE)</f>
        <v>0.1</v>
      </c>
      <c r="N107" s="655">
        <f t="shared" si="0"/>
        <v>19066</v>
      </c>
      <c r="O107" s="655">
        <f t="shared" si="1"/>
        <v>171589</v>
      </c>
      <c r="P107" s="564" t="s">
        <v>186</v>
      </c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123</v>
      </c>
      <c r="E108" s="564" t="s">
        <v>9</v>
      </c>
      <c r="F108" s="564" t="s">
        <v>213</v>
      </c>
      <c r="G108" s="564" t="s">
        <v>454</v>
      </c>
      <c r="H108" s="565">
        <v>44854</v>
      </c>
      <c r="I108" s="652">
        <v>45597</v>
      </c>
      <c r="J108" s="653">
        <v>690093</v>
      </c>
      <c r="K108" s="603">
        <v>0.3</v>
      </c>
      <c r="L108" s="568">
        <v>207028</v>
      </c>
      <c r="M108" s="654">
        <f>VLOOKUP(G:G,list!B:E,4,FALSE)</f>
        <v>0.1</v>
      </c>
      <c r="N108" s="655">
        <f t="shared" si="0"/>
        <v>20703</v>
      </c>
      <c r="O108" s="655">
        <f t="shared" si="1"/>
        <v>186325</v>
      </c>
      <c r="P108" s="564" t="s">
        <v>186</v>
      </c>
      <c r="Q108" s="672" t="str">
        <f>VLOOKUP(G:G,list!B:F,5,FALSE)</f>
        <v>-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123</v>
      </c>
      <c r="E109" s="564" t="s">
        <v>9</v>
      </c>
      <c r="F109" s="564" t="s">
        <v>213</v>
      </c>
      <c r="G109" s="564" t="s">
        <v>481</v>
      </c>
      <c r="H109" s="565">
        <v>44981</v>
      </c>
      <c r="I109" s="652">
        <v>45597</v>
      </c>
      <c r="J109" s="653">
        <v>233310</v>
      </c>
      <c r="K109" s="603">
        <v>0.3</v>
      </c>
      <c r="L109" s="568">
        <v>69993</v>
      </c>
      <c r="M109" s="654">
        <f>VLOOKUP(G:G,list!B:E,4,FALSE)</f>
        <v>0.1</v>
      </c>
      <c r="N109" s="655">
        <f t="shared" si="0"/>
        <v>6999</v>
      </c>
      <c r="O109" s="655">
        <f t="shared" si="1"/>
        <v>62994</v>
      </c>
      <c r="P109" s="564" t="s">
        <v>186</v>
      </c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123</v>
      </c>
      <c r="E110" s="564" t="s">
        <v>9</v>
      </c>
      <c r="F110" s="564" t="s">
        <v>213</v>
      </c>
      <c r="G110" s="564" t="s">
        <v>352</v>
      </c>
      <c r="H110" s="565">
        <v>44984</v>
      </c>
      <c r="I110" s="652">
        <v>45597</v>
      </c>
      <c r="J110" s="653">
        <v>204630</v>
      </c>
      <c r="K110" s="603">
        <v>0.3</v>
      </c>
      <c r="L110" s="568">
        <v>61389</v>
      </c>
      <c r="M110" s="654">
        <f>VLOOKUP(G:G,list!B:E,4,FALSE)</f>
        <v>0.1</v>
      </c>
      <c r="N110" s="655">
        <f t="shared" si="0"/>
        <v>6139</v>
      </c>
      <c r="O110" s="655">
        <f t="shared" si="1"/>
        <v>55250</v>
      </c>
      <c r="P110" s="564" t="s">
        <v>186</v>
      </c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72</v>
      </c>
      <c r="E111" s="564" t="s">
        <v>9</v>
      </c>
      <c r="F111" s="564" t="s">
        <v>213</v>
      </c>
      <c r="G111" s="564" t="s">
        <v>454</v>
      </c>
      <c r="H111" s="565">
        <v>44902</v>
      </c>
      <c r="I111" s="652">
        <v>45566</v>
      </c>
      <c r="J111" s="653">
        <v>3030887</v>
      </c>
      <c r="K111" s="603">
        <v>0.3</v>
      </c>
      <c r="L111" s="568">
        <v>909266</v>
      </c>
      <c r="M111" s="654">
        <f>VLOOKUP(G:G,list!B:E,4,FALSE)</f>
        <v>0.1</v>
      </c>
      <c r="N111" s="655">
        <f t="shared" ref="N111:N124" si="7">ROUND(IF(M111="-",0,L111*M111),0)</f>
        <v>90927</v>
      </c>
      <c r="O111" s="655">
        <f t="shared" ref="O111:O124" si="8">L111-N111</f>
        <v>818339</v>
      </c>
      <c r="P111" s="564" t="s">
        <v>282</v>
      </c>
      <c r="Q111" s="672" t="str">
        <f>VLOOKUP(G:G,list!B:F,5,FALSE)</f>
        <v>-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72</v>
      </c>
      <c r="E112" s="564" t="s">
        <v>9</v>
      </c>
      <c r="F112" s="564" t="s">
        <v>213</v>
      </c>
      <c r="G112" s="564" t="s">
        <v>454</v>
      </c>
      <c r="H112" s="565">
        <v>45257</v>
      </c>
      <c r="I112" s="652">
        <v>45566</v>
      </c>
      <c r="J112" s="653">
        <v>134457</v>
      </c>
      <c r="K112" s="603">
        <v>0.3</v>
      </c>
      <c r="L112" s="568">
        <v>40337</v>
      </c>
      <c r="M112" s="654">
        <f>VLOOKUP(G:G,list!B:E,4,FALSE)</f>
        <v>0.1</v>
      </c>
      <c r="N112" s="655">
        <f t="shared" si="7"/>
        <v>4034</v>
      </c>
      <c r="O112" s="655">
        <f t="shared" si="8"/>
        <v>36303</v>
      </c>
      <c r="P112" s="564" t="s">
        <v>546</v>
      </c>
      <c r="Q112" s="672" t="str">
        <f>VLOOKUP(G:G,list!B:F,5,FALSE)</f>
        <v>-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67</v>
      </c>
      <c r="E113" s="564" t="s">
        <v>9</v>
      </c>
      <c r="F113" s="564" t="s">
        <v>559</v>
      </c>
      <c r="G113" s="564" t="s">
        <v>30</v>
      </c>
      <c r="H113" s="565">
        <v>45275</v>
      </c>
      <c r="I113" s="652">
        <v>45474</v>
      </c>
      <c r="J113" s="653">
        <v>130625</v>
      </c>
      <c r="K113" s="603">
        <v>0.4</v>
      </c>
      <c r="L113" s="568">
        <v>52251</v>
      </c>
      <c r="M113" s="654">
        <f>VLOOKUP(G:G,list!B:E,4,FALSE)</f>
        <v>0.1</v>
      </c>
      <c r="N113" s="655">
        <f t="shared" ref="N113:N115" si="9">ROUND(IF(M113="-",0,L113*M113),0)</f>
        <v>5225</v>
      </c>
      <c r="O113" s="655">
        <f t="shared" ref="O113:O115" si="10">L113-N113</f>
        <v>47026</v>
      </c>
      <c r="P113" s="564" t="s">
        <v>560</v>
      </c>
      <c r="Q113" s="672" t="str">
        <f>VLOOKUP(G:G,list!B:F,5,FALSE)</f>
        <v>웹소설본부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67</v>
      </c>
      <c r="E114" s="564" t="s">
        <v>9</v>
      </c>
      <c r="F114" s="564" t="s">
        <v>559</v>
      </c>
      <c r="G114" s="564" t="s">
        <v>30</v>
      </c>
      <c r="H114" s="565">
        <v>45275</v>
      </c>
      <c r="I114" s="652">
        <v>45505</v>
      </c>
      <c r="J114" s="653">
        <v>37955</v>
      </c>
      <c r="K114" s="603">
        <v>0.4</v>
      </c>
      <c r="L114" s="568">
        <v>15182</v>
      </c>
      <c r="M114" s="654">
        <f>VLOOKUP(G:G,list!B:E,4,FALSE)</f>
        <v>0.1</v>
      </c>
      <c r="N114" s="655">
        <f t="shared" si="9"/>
        <v>1518</v>
      </c>
      <c r="O114" s="655">
        <f t="shared" si="10"/>
        <v>13664</v>
      </c>
      <c r="P114" s="564" t="s">
        <v>560</v>
      </c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67</v>
      </c>
      <c r="E115" s="564" t="s">
        <v>9</v>
      </c>
      <c r="F115" s="564" t="s">
        <v>559</v>
      </c>
      <c r="G115" s="564" t="s">
        <v>30</v>
      </c>
      <c r="H115" s="565">
        <v>45275</v>
      </c>
      <c r="I115" s="652">
        <v>45536</v>
      </c>
      <c r="J115" s="653">
        <v>23825</v>
      </c>
      <c r="K115" s="603">
        <v>0.4</v>
      </c>
      <c r="L115" s="568">
        <v>9531</v>
      </c>
      <c r="M115" s="654">
        <f>VLOOKUP(G:G,list!B:E,4,FALSE)</f>
        <v>0.1</v>
      </c>
      <c r="N115" s="655">
        <f t="shared" si="9"/>
        <v>953</v>
      </c>
      <c r="O115" s="655">
        <f t="shared" si="10"/>
        <v>8578</v>
      </c>
      <c r="P115" s="564" t="s">
        <v>560</v>
      </c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원작료</v>
      </c>
      <c r="D116" s="564" t="s">
        <v>79</v>
      </c>
      <c r="E116" s="564" t="s">
        <v>9</v>
      </c>
      <c r="F116" s="564" t="s">
        <v>235</v>
      </c>
      <c r="G116" s="564" t="s">
        <v>30</v>
      </c>
      <c r="H116" s="565">
        <v>44281</v>
      </c>
      <c r="I116" s="652">
        <v>45474</v>
      </c>
      <c r="J116" s="653">
        <v>16116</v>
      </c>
      <c r="K116" s="603">
        <v>0.5</v>
      </c>
      <c r="L116" s="568">
        <v>6787</v>
      </c>
      <c r="M116" s="654">
        <f>VLOOKUP(G:G,list!B:E,4,FALSE)</f>
        <v>0.1</v>
      </c>
      <c r="N116" s="655">
        <f t="shared" si="7"/>
        <v>679</v>
      </c>
      <c r="O116" s="655">
        <f t="shared" si="8"/>
        <v>6108</v>
      </c>
      <c r="P116" s="564"/>
      <c r="Q116" s="672" t="str">
        <f>VLOOKUP(G:G,list!B:F,5,FALSE)</f>
        <v>웹소설본부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작가기획</v>
      </c>
      <c r="D117" s="564" t="s">
        <v>79</v>
      </c>
      <c r="E117" s="564" t="s">
        <v>9</v>
      </c>
      <c r="F117" s="564" t="s">
        <v>235</v>
      </c>
      <c r="G117" s="564" t="s">
        <v>36</v>
      </c>
      <c r="H117" s="565">
        <v>44293</v>
      </c>
      <c r="I117" s="652">
        <v>45474</v>
      </c>
      <c r="J117" s="653">
        <v>88866</v>
      </c>
      <c r="K117" s="603">
        <v>0.5</v>
      </c>
      <c r="L117" s="568">
        <v>37424</v>
      </c>
      <c r="M117" s="654" t="str">
        <f>VLOOKUP(G:G,list!B:E,4,FALSE)</f>
        <v>-</v>
      </c>
      <c r="N117" s="655">
        <f t="shared" si="7"/>
        <v>0</v>
      </c>
      <c r="O117" s="655">
        <f t="shared" si="8"/>
        <v>37424</v>
      </c>
      <c r="P117" s="564"/>
      <c r="Q117" s="672" t="str">
        <f>VLOOKUP(G:G,list!B:F,5,FALSE)</f>
        <v>-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원작료</v>
      </c>
      <c r="D118" s="564" t="s">
        <v>79</v>
      </c>
      <c r="E118" s="564" t="s">
        <v>9</v>
      </c>
      <c r="F118" s="564" t="s">
        <v>235</v>
      </c>
      <c r="G118" s="564" t="s">
        <v>454</v>
      </c>
      <c r="H118" s="565">
        <v>44840</v>
      </c>
      <c r="I118" s="652">
        <v>45474</v>
      </c>
      <c r="J118" s="653">
        <v>409191</v>
      </c>
      <c r="K118" s="603">
        <v>0.5</v>
      </c>
      <c r="L118" s="568">
        <v>173713</v>
      </c>
      <c r="M118" s="654">
        <f>VLOOKUP(G:G,list!B:E,4,FALSE)</f>
        <v>0.1</v>
      </c>
      <c r="N118" s="655">
        <f t="shared" si="7"/>
        <v>17371</v>
      </c>
      <c r="O118" s="655">
        <f t="shared" si="8"/>
        <v>156342</v>
      </c>
      <c r="P118" s="564"/>
      <c r="Q118" s="672" t="str">
        <f>VLOOKUP(G:G,list!B:F,5,FALSE)</f>
        <v>-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원작료</v>
      </c>
      <c r="D119" s="564" t="s">
        <v>79</v>
      </c>
      <c r="E119" s="564" t="s">
        <v>9</v>
      </c>
      <c r="F119" s="564" t="s">
        <v>235</v>
      </c>
      <c r="G119" s="564" t="s">
        <v>30</v>
      </c>
      <c r="H119" s="565">
        <v>44281</v>
      </c>
      <c r="I119" s="652">
        <v>45505</v>
      </c>
      <c r="J119" s="653">
        <v>14413</v>
      </c>
      <c r="K119" s="603">
        <v>0.5</v>
      </c>
      <c r="L119" s="568">
        <v>6069</v>
      </c>
      <c r="M119" s="654">
        <f>VLOOKUP(G:G,list!B:E,4,FALSE)</f>
        <v>0.1</v>
      </c>
      <c r="N119" s="655">
        <f t="shared" si="7"/>
        <v>607</v>
      </c>
      <c r="O119" s="655">
        <f t="shared" si="8"/>
        <v>5462</v>
      </c>
      <c r="P119" s="564"/>
      <c r="Q119" s="672" t="str">
        <f>VLOOKUP(G:G,list!B:F,5,FALSE)</f>
        <v>웹소설본부</v>
      </c>
      <c r="R119" s="656" t="str">
        <f>VLOOKUP(G:G,list!B:D,3,FALSE)</f>
        <v>Y</v>
      </c>
    </row>
    <row r="120" spans="2:18" ht="18" customHeight="1">
      <c r="B120" s="563">
        <v>115</v>
      </c>
      <c r="C120" s="651" t="str">
        <f>VLOOKUP(G:G,list!B:D,2,FALSE)</f>
        <v>작가기획</v>
      </c>
      <c r="D120" s="564" t="s">
        <v>79</v>
      </c>
      <c r="E120" s="564" t="s">
        <v>9</v>
      </c>
      <c r="F120" s="564" t="s">
        <v>235</v>
      </c>
      <c r="G120" s="564" t="s">
        <v>36</v>
      </c>
      <c r="H120" s="565">
        <v>44293</v>
      </c>
      <c r="I120" s="652">
        <v>45505</v>
      </c>
      <c r="J120" s="653">
        <v>25904</v>
      </c>
      <c r="K120" s="603">
        <v>0.5</v>
      </c>
      <c r="L120" s="568">
        <v>10909</v>
      </c>
      <c r="M120" s="654" t="str">
        <f>VLOOKUP(G:G,list!B:E,4,FALSE)</f>
        <v>-</v>
      </c>
      <c r="N120" s="655">
        <f t="shared" si="7"/>
        <v>0</v>
      </c>
      <c r="O120" s="655">
        <f t="shared" si="8"/>
        <v>10909</v>
      </c>
      <c r="P120" s="564"/>
      <c r="Q120" s="672" t="str">
        <f>VLOOKUP(G:G,list!B:F,5,FALSE)</f>
        <v>-</v>
      </c>
      <c r="R120" s="656" t="str">
        <f>VLOOKUP(G:G,list!B:D,3,FALSE)</f>
        <v>Y</v>
      </c>
    </row>
    <row r="121" spans="2:18" ht="18" customHeight="1">
      <c r="B121" s="650">
        <v>116</v>
      </c>
      <c r="C121" s="651" t="str">
        <f>VLOOKUP(G:G,list!B:D,2,FALSE)</f>
        <v>원작료</v>
      </c>
      <c r="D121" s="564" t="s">
        <v>79</v>
      </c>
      <c r="E121" s="564" t="s">
        <v>9</v>
      </c>
      <c r="F121" s="564" t="s">
        <v>235</v>
      </c>
      <c r="G121" s="564" t="s">
        <v>454</v>
      </c>
      <c r="H121" s="565">
        <v>44840</v>
      </c>
      <c r="I121" s="652">
        <v>45505</v>
      </c>
      <c r="J121" s="653">
        <v>895176</v>
      </c>
      <c r="K121" s="603">
        <v>0.5</v>
      </c>
      <c r="L121" s="568">
        <v>380029</v>
      </c>
      <c r="M121" s="654">
        <f>VLOOKUP(G:G,list!B:E,4,FALSE)</f>
        <v>0.1</v>
      </c>
      <c r="N121" s="655">
        <f t="shared" si="7"/>
        <v>38003</v>
      </c>
      <c r="O121" s="655">
        <f t="shared" si="8"/>
        <v>342026</v>
      </c>
      <c r="P121" s="564"/>
      <c r="Q121" s="672" t="str">
        <f>VLOOKUP(G:G,list!B:F,5,FALSE)</f>
        <v>-</v>
      </c>
      <c r="R121" s="656" t="str">
        <f>VLOOKUP(G:G,list!B:D,3,FALSE)</f>
        <v>Y</v>
      </c>
    </row>
    <row r="122" spans="2:18" ht="18" customHeight="1">
      <c r="B122" s="563">
        <v>117</v>
      </c>
      <c r="C122" s="651" t="str">
        <f>VLOOKUP(G:G,list!B:D,2,FALSE)</f>
        <v>원작료</v>
      </c>
      <c r="D122" s="564" t="s">
        <v>79</v>
      </c>
      <c r="E122" s="564" t="s">
        <v>9</v>
      </c>
      <c r="F122" s="564" t="s">
        <v>235</v>
      </c>
      <c r="G122" s="564" t="s">
        <v>30</v>
      </c>
      <c r="H122" s="565">
        <v>44281</v>
      </c>
      <c r="I122" s="652">
        <v>45474</v>
      </c>
      <c r="J122" s="653">
        <v>16717</v>
      </c>
      <c r="K122" s="603">
        <v>0.5</v>
      </c>
      <c r="L122" s="568">
        <v>7042</v>
      </c>
      <c r="M122" s="654">
        <f>VLOOKUP(G:G,list!B:E,4,FALSE)</f>
        <v>0.1</v>
      </c>
      <c r="N122" s="655">
        <f t="shared" si="7"/>
        <v>704</v>
      </c>
      <c r="O122" s="655">
        <f t="shared" si="8"/>
        <v>6338</v>
      </c>
      <c r="P122" s="564"/>
      <c r="Q122" s="672" t="str">
        <f>VLOOKUP(G:G,list!B:F,5,FALSE)</f>
        <v>웹소설본부</v>
      </c>
      <c r="R122" s="656" t="str">
        <f>VLOOKUP(G:G,list!B:D,3,FALSE)</f>
        <v>Y</v>
      </c>
    </row>
    <row r="123" spans="2:18" ht="18" customHeight="1">
      <c r="B123" s="650">
        <v>118</v>
      </c>
      <c r="C123" s="651" t="str">
        <f>VLOOKUP(G:G,list!B:D,2,FALSE)</f>
        <v>작가기획</v>
      </c>
      <c r="D123" s="564" t="s">
        <v>79</v>
      </c>
      <c r="E123" s="564" t="s">
        <v>9</v>
      </c>
      <c r="F123" s="564" t="s">
        <v>235</v>
      </c>
      <c r="G123" s="564" t="s">
        <v>36</v>
      </c>
      <c r="H123" s="565">
        <v>44293</v>
      </c>
      <c r="I123" s="652">
        <v>45474</v>
      </c>
      <c r="J123" s="653">
        <v>15322</v>
      </c>
      <c r="K123" s="603">
        <v>0.5</v>
      </c>
      <c r="L123" s="568">
        <v>6453</v>
      </c>
      <c r="M123" s="654" t="str">
        <f>VLOOKUP(G:G,list!B:E,4,FALSE)</f>
        <v>-</v>
      </c>
      <c r="N123" s="655">
        <f t="shared" si="7"/>
        <v>0</v>
      </c>
      <c r="O123" s="655">
        <f t="shared" si="8"/>
        <v>6453</v>
      </c>
      <c r="P123" s="564"/>
      <c r="Q123" s="672" t="str">
        <f>VLOOKUP(G:G,list!B:F,5,FALSE)</f>
        <v>-</v>
      </c>
      <c r="R123" s="656" t="str">
        <f>VLOOKUP(G:G,list!B:D,3,FALSE)</f>
        <v>Y</v>
      </c>
    </row>
    <row r="124" spans="2:18" ht="18" customHeight="1">
      <c r="B124" s="563">
        <v>119</v>
      </c>
      <c r="C124" s="651" t="str">
        <f>VLOOKUP(G:G,list!B:D,2,FALSE)</f>
        <v>원작료</v>
      </c>
      <c r="D124" s="564" t="s">
        <v>79</v>
      </c>
      <c r="E124" s="564" t="s">
        <v>9</v>
      </c>
      <c r="F124" s="564" t="s">
        <v>235</v>
      </c>
      <c r="G124" s="564" t="s">
        <v>454</v>
      </c>
      <c r="H124" s="565">
        <v>44840</v>
      </c>
      <c r="I124" s="652">
        <v>45474</v>
      </c>
      <c r="J124" s="653">
        <v>249271</v>
      </c>
      <c r="K124" s="603">
        <v>0.5</v>
      </c>
      <c r="L124" s="568">
        <v>105822</v>
      </c>
      <c r="M124" s="654">
        <f>VLOOKUP(G:G,list!B:E,4,FALSE)</f>
        <v>0.1</v>
      </c>
      <c r="N124" s="655">
        <f t="shared" si="7"/>
        <v>10582</v>
      </c>
      <c r="O124" s="655">
        <f t="shared" si="8"/>
        <v>95240</v>
      </c>
      <c r="P124" s="564"/>
      <c r="Q124" s="672" t="str">
        <f>VLOOKUP(G:G,list!B:F,5,FALSE)</f>
        <v>-</v>
      </c>
      <c r="R124" s="656" t="str">
        <f>VLOOKUP(G:G,list!B:D,3,FALSE)</f>
        <v>Y</v>
      </c>
    </row>
    <row r="125" spans="2:18" ht="11.25" customHeight="1">
      <c r="B125" s="52"/>
      <c r="C125" s="551"/>
      <c r="D125" s="551"/>
      <c r="E125" s="551"/>
      <c r="F125" s="551"/>
      <c r="G125" s="551"/>
      <c r="H125" s="622"/>
      <c r="I125" s="551"/>
      <c r="J125" s="435"/>
      <c r="K125" s="623"/>
      <c r="L125"/>
      <c r="M125" s="438"/>
      <c r="N125" s="439"/>
      <c r="O125" s="440"/>
      <c r="P125" s="633"/>
      <c r="Q125" s="438"/>
      <c r="R125" s="486"/>
    </row>
    <row r="126" spans="2:18" s="7" customFormat="1" ht="16.5" customHeight="1">
      <c r="B126" s="624" t="s">
        <v>387</v>
      </c>
      <c r="C126" s="625"/>
      <c r="D126" s="625"/>
      <c r="E126" s="626"/>
      <c r="F126" s="625"/>
      <c r="G126" s="625"/>
      <c r="H126" s="625"/>
      <c r="I126" s="311"/>
      <c r="J126" s="311"/>
      <c r="K126" s="311"/>
      <c r="M126" s="424"/>
      <c r="N126"/>
      <c r="O126" s="333"/>
      <c r="P126" s="631"/>
      <c r="Q126" s="424"/>
      <c r="R126" s="484"/>
    </row>
    <row r="127" spans="2:18" s="7" customFormat="1" ht="16.5" customHeight="1">
      <c r="B127" s="629" t="s">
        <v>299</v>
      </c>
      <c r="C127" s="625"/>
      <c r="D127" s="625"/>
      <c r="E127" s="626"/>
      <c r="F127" s="625"/>
      <c r="G127" s="625"/>
      <c r="H127" s="625"/>
      <c r="I127" s="311"/>
      <c r="K127" s="311"/>
      <c r="L127" s="311"/>
      <c r="M127" s="424"/>
      <c r="N127"/>
      <c r="O127" s="333"/>
      <c r="P127" s="631"/>
      <c r="Q127" s="424"/>
      <c r="R127" s="484"/>
    </row>
    <row r="128" spans="2:18" s="7" customFormat="1" ht="16.5" customHeight="1">
      <c r="B128" s="628" t="s">
        <v>302</v>
      </c>
      <c r="C128" s="627"/>
      <c r="D128" s="625"/>
      <c r="E128" s="626"/>
      <c r="F128" s="625"/>
      <c r="G128" s="625"/>
      <c r="H128" s="625"/>
      <c r="I128" s="311"/>
      <c r="J128" s="311"/>
      <c r="L128" s="311"/>
      <c r="M128" s="424"/>
      <c r="N128"/>
      <c r="O128" s="333"/>
      <c r="P128" s="631"/>
      <c r="Q128" s="424"/>
      <c r="R128" s="484"/>
    </row>
    <row r="129" spans="2:18" s="7" customFormat="1" ht="16.5" customHeight="1">
      <c r="B129" s="630" t="s">
        <v>303</v>
      </c>
      <c r="C129" s="627"/>
      <c r="D129" s="625"/>
      <c r="E129" s="626"/>
      <c r="F129" s="625"/>
      <c r="G129" s="625"/>
      <c r="H129" s="625"/>
      <c r="I129" s="311"/>
      <c r="J129" s="311"/>
      <c r="K129" s="311"/>
      <c r="L129" s="311"/>
      <c r="M129" s="424"/>
      <c r="N129"/>
      <c r="O129" s="333"/>
      <c r="P129" s="631"/>
      <c r="Q129" s="424"/>
      <c r="R129" s="484"/>
    </row>
    <row r="130" spans="2:18" ht="16.5" customHeight="1">
      <c r="B130" s="629" t="s">
        <v>340</v>
      </c>
      <c r="C130" s="625"/>
      <c r="D130" s="625"/>
      <c r="E130" s="626"/>
      <c r="F130" s="625"/>
      <c r="G130" s="625"/>
      <c r="H130" s="625"/>
      <c r="I130" s="311"/>
      <c r="J130" s="311"/>
      <c r="K130" s="311"/>
    </row>
    <row r="131" spans="2:18" ht="16.5" customHeight="1">
      <c r="B131" s="629" t="s">
        <v>512</v>
      </c>
      <c r="C131" s="625"/>
      <c r="D131" s="625"/>
      <c r="E131" s="626"/>
      <c r="F131" s="625"/>
      <c r="G131" s="625"/>
      <c r="H131" s="625"/>
      <c r="I131" s="311"/>
      <c r="J131" s="311"/>
      <c r="K131" s="311"/>
    </row>
    <row r="132" spans="2:18" ht="16.5" customHeight="1">
      <c r="B132" s="629" t="s">
        <v>522</v>
      </c>
      <c r="C132" s="625"/>
      <c r="D132" s="625"/>
      <c r="E132" s="626"/>
      <c r="F132" s="625"/>
      <c r="G132" s="625"/>
      <c r="H132" s="625"/>
      <c r="I132" s="311"/>
      <c r="J132" s="311"/>
      <c r="K132" s="311"/>
    </row>
    <row r="133" spans="2:18" ht="16.5" customHeight="1">
      <c r="B133" s="629" t="s">
        <v>520</v>
      </c>
      <c r="C133" s="625"/>
      <c r="D133" s="625"/>
      <c r="E133" s="626"/>
      <c r="F133" s="625"/>
      <c r="G133" s="625"/>
      <c r="H133" s="625"/>
      <c r="I133" s="311"/>
      <c r="J133" s="311"/>
      <c r="K133" s="311"/>
    </row>
    <row r="134" spans="2:18" ht="16.5" customHeight="1">
      <c r="B134" s="629" t="s">
        <v>521</v>
      </c>
      <c r="C134" s="625"/>
      <c r="D134" s="625"/>
      <c r="E134" s="626"/>
      <c r="F134" s="625"/>
      <c r="G134" s="625"/>
      <c r="H134" s="625"/>
      <c r="I134" s="311"/>
      <c r="J134" s="311"/>
      <c r="K134" s="311"/>
    </row>
    <row r="135" spans="2:18" ht="16.5" customHeight="1">
      <c r="B135" s="629" t="s">
        <v>529</v>
      </c>
      <c r="C135" s="625"/>
      <c r="D135" s="625"/>
      <c r="E135" s="626"/>
      <c r="F135" s="625"/>
      <c r="G135" s="625"/>
      <c r="H135" s="625"/>
      <c r="I135" s="311"/>
      <c r="J135" s="311"/>
      <c r="K135" s="3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BFF2-B17B-46A3-8A54-07D37D42E38D}">
  <dimension ref="B1:R144"/>
  <sheetViews>
    <sheetView showGridLines="0" zoomScaleNormal="100" workbookViewId="0">
      <pane xSplit="1" ySplit="5" topLeftCell="B31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551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552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59445262.140000001</v>
      </c>
      <c r="K4" s="52"/>
      <c r="L4" s="648">
        <f>SUBTOTAL(109,L6:L1048576)</f>
        <v>20262871.399999999</v>
      </c>
      <c r="M4" s="543"/>
      <c r="N4" s="649">
        <f>SUBTOTAL(109,N6:N1048576)</f>
        <v>1810862</v>
      </c>
      <c r="O4" s="649">
        <f>SUBTOTAL(109,O6:O1048576)</f>
        <v>18452009.399999999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45566</v>
      </c>
      <c r="J6" s="653">
        <v>581721.5</v>
      </c>
      <c r="K6" s="567">
        <v>0.6</v>
      </c>
      <c r="L6" s="646">
        <v>349034</v>
      </c>
      <c r="M6" s="654" t="str">
        <f>VLOOKUP(G:G,list!B:E,4,FALSE)</f>
        <v>-</v>
      </c>
      <c r="N6" s="655">
        <f t="shared" ref="N6:N98" si="0">ROUND(IF(M6="-",0,L6*M6),0)</f>
        <v>0</v>
      </c>
      <c r="O6" s="655">
        <f t="shared" ref="O6:O98" si="1">L6-N6</f>
        <v>349034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45566</v>
      </c>
      <c r="J7" s="653">
        <v>148409</v>
      </c>
      <c r="K7" s="600">
        <v>0.6</v>
      </c>
      <c r="L7" s="646">
        <v>89046</v>
      </c>
      <c r="M7" s="654" t="str">
        <f>VLOOKUP(G:G,list!B:E,4,FALSE)</f>
        <v>-</v>
      </c>
      <c r="N7" s="655">
        <f t="shared" si="0"/>
        <v>0</v>
      </c>
      <c r="O7" s="655">
        <f t="shared" si="1"/>
        <v>89046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45566</v>
      </c>
      <c r="J8" s="653">
        <v>358360</v>
      </c>
      <c r="K8" s="567">
        <v>0.6</v>
      </c>
      <c r="L8" s="646">
        <v>215015</v>
      </c>
      <c r="M8" s="654" t="str">
        <f>VLOOKUP(G:G,list!B:E,4,FALSE)</f>
        <v>-</v>
      </c>
      <c r="N8" s="655">
        <f t="shared" si="0"/>
        <v>0</v>
      </c>
      <c r="O8" s="655">
        <f t="shared" si="1"/>
        <v>215015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45566</v>
      </c>
      <c r="J9" s="653">
        <v>163941.4</v>
      </c>
      <c r="K9" s="606">
        <v>0.6</v>
      </c>
      <c r="L9" s="646">
        <v>98367</v>
      </c>
      <c r="M9" s="654">
        <f>VLOOKUP(G:G,list!B:E,4,FALSE)</f>
        <v>0.1</v>
      </c>
      <c r="N9" s="655">
        <f t="shared" si="0"/>
        <v>9837</v>
      </c>
      <c r="O9" s="655">
        <f t="shared" si="1"/>
        <v>88530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45566</v>
      </c>
      <c r="J10" s="653">
        <v>423518</v>
      </c>
      <c r="K10" s="600">
        <v>0.6</v>
      </c>
      <c r="L10" s="646">
        <v>254111</v>
      </c>
      <c r="M10" s="654">
        <f>VLOOKUP(G:G,list!B:E,4,FALSE)</f>
        <v>0.1</v>
      </c>
      <c r="N10" s="655">
        <f t="shared" si="0"/>
        <v>25411</v>
      </c>
      <c r="O10" s="655">
        <f t="shared" si="1"/>
        <v>228700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45566</v>
      </c>
      <c r="J11" s="653">
        <v>31632.2</v>
      </c>
      <c r="K11" s="603">
        <v>0.6</v>
      </c>
      <c r="L11" s="646">
        <v>18981</v>
      </c>
      <c r="M11" s="654" t="str">
        <f>VLOOKUP(G:G,list!B:E,4,FALSE)</f>
        <v>-</v>
      </c>
      <c r="N11" s="655">
        <f t="shared" si="0"/>
        <v>0</v>
      </c>
      <c r="O11" s="655">
        <f t="shared" si="1"/>
        <v>18981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45566</v>
      </c>
      <c r="J12" s="653">
        <v>405309.7</v>
      </c>
      <c r="K12" s="603">
        <v>0.6</v>
      </c>
      <c r="L12" s="646">
        <v>243184</v>
      </c>
      <c r="M12" s="654">
        <f>VLOOKUP(G:G,list!B:E,4,FALSE)</f>
        <v>0.1</v>
      </c>
      <c r="N12" s="655">
        <f t="shared" si="0"/>
        <v>24318</v>
      </c>
      <c r="O12" s="655">
        <f t="shared" si="1"/>
        <v>218866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45566</v>
      </c>
      <c r="J13" s="653">
        <v>93634.8</v>
      </c>
      <c r="K13" s="600">
        <v>0.6</v>
      </c>
      <c r="L13" s="646">
        <v>56182</v>
      </c>
      <c r="M13" s="654">
        <f>VLOOKUP(G:G,list!B:E,4,FALSE)</f>
        <v>0.1</v>
      </c>
      <c r="N13" s="655">
        <f t="shared" si="0"/>
        <v>5618</v>
      </c>
      <c r="O13" s="655">
        <f t="shared" si="1"/>
        <v>50564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45566</v>
      </c>
      <c r="J14" s="653">
        <v>359464.8</v>
      </c>
      <c r="K14" s="606">
        <v>0.6</v>
      </c>
      <c r="L14" s="646">
        <v>215679</v>
      </c>
      <c r="M14" s="654">
        <f>VLOOKUP(G:G,list!B:E,4,FALSE)</f>
        <v>0.11</v>
      </c>
      <c r="N14" s="655">
        <f t="shared" si="0"/>
        <v>23725</v>
      </c>
      <c r="O14" s="655">
        <f t="shared" si="1"/>
        <v>191954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45566</v>
      </c>
      <c r="J15" s="653">
        <v>1541615.9</v>
      </c>
      <c r="K15" s="567">
        <v>0.6</v>
      </c>
      <c r="L15" s="646">
        <v>924968</v>
      </c>
      <c r="M15" s="654">
        <f>VLOOKUP(G:G,list!B:E,4,FALSE)</f>
        <v>0.1</v>
      </c>
      <c r="N15" s="655">
        <f t="shared" si="0"/>
        <v>92497</v>
      </c>
      <c r="O15" s="655">
        <f t="shared" si="1"/>
        <v>832471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45566</v>
      </c>
      <c r="J16" s="653">
        <v>220828.2</v>
      </c>
      <c r="K16" s="567">
        <v>0.6</v>
      </c>
      <c r="L16" s="646">
        <v>132496</v>
      </c>
      <c r="M16" s="654">
        <f>VLOOKUP(G:G,list!B:E,4,FALSE)</f>
        <v>0.1</v>
      </c>
      <c r="N16" s="655">
        <f t="shared" si="0"/>
        <v>13250</v>
      </c>
      <c r="O16" s="655">
        <f t="shared" si="1"/>
        <v>119246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45566</v>
      </c>
      <c r="J17" s="653">
        <v>12346</v>
      </c>
      <c r="K17" s="600">
        <v>0.7</v>
      </c>
      <c r="L17" s="646">
        <v>8642</v>
      </c>
      <c r="M17" s="654" t="str">
        <f>VLOOKUP(G:G,list!B:E,4,FALSE)</f>
        <v>-</v>
      </c>
      <c r="N17" s="655">
        <f t="shared" si="0"/>
        <v>0</v>
      </c>
      <c r="O17" s="655">
        <f t="shared" si="1"/>
        <v>8642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45566</v>
      </c>
      <c r="J18" s="653">
        <v>1514403.3</v>
      </c>
      <c r="K18" s="603">
        <v>0.6</v>
      </c>
      <c r="L18" s="646">
        <v>908642</v>
      </c>
      <c r="M18" s="654">
        <f>VLOOKUP(G:G,list!B:E,4,FALSE)</f>
        <v>0.1</v>
      </c>
      <c r="N18" s="655">
        <f t="shared" si="0"/>
        <v>90864</v>
      </c>
      <c r="O18" s="655">
        <f t="shared" si="1"/>
        <v>817778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45566</v>
      </c>
      <c r="J19" s="653">
        <v>482307.2</v>
      </c>
      <c r="K19" s="603">
        <v>0.7</v>
      </c>
      <c r="L19" s="646">
        <v>337615</v>
      </c>
      <c r="M19" s="654">
        <f>VLOOKUP(G:G,list!B:E,4,FALSE)</f>
        <v>0.1</v>
      </c>
      <c r="N19" s="655">
        <f t="shared" si="0"/>
        <v>33762</v>
      </c>
      <c r="O19" s="655">
        <f t="shared" si="1"/>
        <v>303853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45566</v>
      </c>
      <c r="J20" s="653">
        <v>60707</v>
      </c>
      <c r="K20" s="603">
        <v>0.6</v>
      </c>
      <c r="L20" s="646">
        <v>36424</v>
      </c>
      <c r="M20" s="654">
        <f>VLOOKUP(G:G,list!B:E,4,FALSE)</f>
        <v>0.1</v>
      </c>
      <c r="N20" s="655">
        <f t="shared" si="0"/>
        <v>3642</v>
      </c>
      <c r="O20" s="655">
        <f t="shared" si="1"/>
        <v>32782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45566</v>
      </c>
      <c r="J21" s="653">
        <v>1940</v>
      </c>
      <c r="K21" s="567">
        <v>0.6</v>
      </c>
      <c r="L21" s="646">
        <v>1358</v>
      </c>
      <c r="M21" s="654" t="str">
        <f>VLOOKUP(G:G,list!B:E,4,FALSE)</f>
        <v>-</v>
      </c>
      <c r="N21" s="655">
        <f t="shared" si="0"/>
        <v>0</v>
      </c>
      <c r="O21" s="655">
        <f t="shared" si="1"/>
        <v>1358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45566</v>
      </c>
      <c r="J22" s="653">
        <v>54381</v>
      </c>
      <c r="K22" s="567">
        <v>0.6</v>
      </c>
      <c r="L22" s="646">
        <v>32628</v>
      </c>
      <c r="M22" s="654">
        <f>VLOOKUP(G:G,list!B:E,4,FALSE)</f>
        <v>0.1</v>
      </c>
      <c r="N22" s="655">
        <f t="shared" si="0"/>
        <v>3263</v>
      </c>
      <c r="O22" s="655">
        <f t="shared" si="1"/>
        <v>29365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45566</v>
      </c>
      <c r="J23" s="653">
        <v>3600</v>
      </c>
      <c r="K23" s="567">
        <v>0.6</v>
      </c>
      <c r="L23" s="646">
        <v>2160</v>
      </c>
      <c r="M23" s="654" t="str">
        <f>VLOOKUP(G:G,list!B:E,4,FALSE)</f>
        <v>-</v>
      </c>
      <c r="N23" s="655">
        <f t="shared" si="0"/>
        <v>0</v>
      </c>
      <c r="O23" s="655">
        <f t="shared" si="1"/>
        <v>2160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45566</v>
      </c>
      <c r="J24" s="653">
        <v>290444</v>
      </c>
      <c r="K24" s="603">
        <v>0.6</v>
      </c>
      <c r="L24" s="646">
        <v>174267</v>
      </c>
      <c r="M24" s="654">
        <f>VLOOKUP(G:G,list!B:E,4,FALSE)</f>
        <v>0.1</v>
      </c>
      <c r="N24" s="655">
        <f t="shared" si="0"/>
        <v>17427</v>
      </c>
      <c r="O24" s="655">
        <f t="shared" si="1"/>
        <v>156840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45566</v>
      </c>
      <c r="J25" s="653">
        <v>21983</v>
      </c>
      <c r="K25" s="603">
        <v>0.6</v>
      </c>
      <c r="L25" s="646">
        <v>13190</v>
      </c>
      <c r="M25" s="654">
        <f>VLOOKUP(G:G,list!B:E,4,FALSE)</f>
        <v>0.1</v>
      </c>
      <c r="N25" s="655">
        <f t="shared" si="0"/>
        <v>1319</v>
      </c>
      <c r="O25" s="655">
        <f t="shared" si="1"/>
        <v>11871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45566</v>
      </c>
      <c r="J26" s="653">
        <v>33643</v>
      </c>
      <c r="K26" s="567">
        <v>0.6</v>
      </c>
      <c r="L26" s="646">
        <v>20185</v>
      </c>
      <c r="M26" s="654">
        <f>VLOOKUP(G:G,list!B:E,4,FALSE)</f>
        <v>0.1</v>
      </c>
      <c r="N26" s="655">
        <f t="shared" si="0"/>
        <v>2019</v>
      </c>
      <c r="O26" s="655">
        <f t="shared" si="1"/>
        <v>18166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45566</v>
      </c>
      <c r="J27" s="653">
        <v>24519</v>
      </c>
      <c r="K27" s="567">
        <v>0.6</v>
      </c>
      <c r="L27" s="646">
        <v>14711</v>
      </c>
      <c r="M27" s="654">
        <f>VLOOKUP(G:G,list!B:E,4,FALSE)</f>
        <v>0.1</v>
      </c>
      <c r="N27" s="655">
        <f t="shared" si="0"/>
        <v>1471</v>
      </c>
      <c r="O27" s="655">
        <f t="shared" si="1"/>
        <v>13240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45566</v>
      </c>
      <c r="J28" s="653">
        <v>22675</v>
      </c>
      <c r="K28" s="567">
        <v>0.6</v>
      </c>
      <c r="L28" s="646">
        <v>13605</v>
      </c>
      <c r="M28" s="654" t="str">
        <f>VLOOKUP(G:G,list!B:E,4,FALSE)</f>
        <v>-</v>
      </c>
      <c r="N28" s="655">
        <f t="shared" si="0"/>
        <v>0</v>
      </c>
      <c r="O28" s="655">
        <f t="shared" si="1"/>
        <v>13605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45566</v>
      </c>
      <c r="J29" s="653">
        <v>77136</v>
      </c>
      <c r="K29" s="567">
        <v>0.6</v>
      </c>
      <c r="L29" s="646">
        <v>46282</v>
      </c>
      <c r="M29" s="654">
        <f>VLOOKUP(G:G,list!B:E,4,FALSE)</f>
        <v>0.11</v>
      </c>
      <c r="N29" s="655">
        <f t="shared" si="0"/>
        <v>5091</v>
      </c>
      <c r="O29" s="655">
        <f t="shared" si="1"/>
        <v>41191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45566</v>
      </c>
      <c r="J30" s="653">
        <v>347204</v>
      </c>
      <c r="K30" s="567">
        <v>0.6</v>
      </c>
      <c r="L30" s="646">
        <v>208323</v>
      </c>
      <c r="M30" s="654" t="str">
        <f>VLOOKUP(G:G,list!B:E,4,FALSE)</f>
        <v>-</v>
      </c>
      <c r="N30" s="655">
        <f t="shared" si="0"/>
        <v>0</v>
      </c>
      <c r="O30" s="655">
        <f t="shared" si="1"/>
        <v>208323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45566</v>
      </c>
      <c r="J31" s="653">
        <v>145007</v>
      </c>
      <c r="K31" s="567">
        <v>0.6</v>
      </c>
      <c r="L31" s="646">
        <v>87005</v>
      </c>
      <c r="M31" s="654" t="str">
        <f>VLOOKUP(G:G,list!B:E,4,FALSE)</f>
        <v>-</v>
      </c>
      <c r="N31" s="655">
        <f t="shared" si="0"/>
        <v>0</v>
      </c>
      <c r="O31" s="655">
        <f t="shared" si="1"/>
        <v>87005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45566</v>
      </c>
      <c r="J32" s="653">
        <v>122662</v>
      </c>
      <c r="K32" s="567">
        <v>0.6</v>
      </c>
      <c r="L32" s="646">
        <v>73598</v>
      </c>
      <c r="M32" s="654">
        <f>VLOOKUP(G:G,list!B:E,4,FALSE)</f>
        <v>0.1</v>
      </c>
      <c r="N32" s="655">
        <f t="shared" si="0"/>
        <v>7360</v>
      </c>
      <c r="O32" s="655">
        <f t="shared" si="1"/>
        <v>66238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45536</v>
      </c>
      <c r="J33" s="653">
        <v>138876</v>
      </c>
      <c r="K33" s="674">
        <v>0.224</v>
      </c>
      <c r="L33" s="646">
        <v>28004</v>
      </c>
      <c r="M33" s="654">
        <f>VLOOKUP(G:G,list!B:E,4,FALSE)</f>
        <v>0.1</v>
      </c>
      <c r="N33" s="655">
        <f t="shared" si="0"/>
        <v>2800</v>
      </c>
      <c r="O33" s="655">
        <f t="shared" si="1"/>
        <v>25204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45536</v>
      </c>
      <c r="J34" s="653">
        <v>2869356</v>
      </c>
      <c r="K34" s="674">
        <v>0.224</v>
      </c>
      <c r="L34" s="646">
        <v>578468</v>
      </c>
      <c r="M34" s="654">
        <f>VLOOKUP(G:G,list!B:E,4,FALSE)</f>
        <v>0.1</v>
      </c>
      <c r="N34" s="655">
        <f t="shared" si="0"/>
        <v>57847</v>
      </c>
      <c r="O34" s="655">
        <f t="shared" si="1"/>
        <v>520621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45536</v>
      </c>
      <c r="J35" s="653">
        <v>0</v>
      </c>
      <c r="K35" s="674">
        <v>0.224</v>
      </c>
      <c r="L35" s="646">
        <v>0</v>
      </c>
      <c r="M35" s="654" t="str">
        <f>VLOOKUP(G:G,list!B:E,4,FALSE)</f>
        <v>-</v>
      </c>
      <c r="N35" s="655">
        <f t="shared" si="0"/>
        <v>0</v>
      </c>
      <c r="O35" s="655">
        <f t="shared" si="1"/>
        <v>0</v>
      </c>
      <c r="P35" s="564" t="s">
        <v>366</v>
      </c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45536</v>
      </c>
      <c r="J36" s="653">
        <v>334437</v>
      </c>
      <c r="K36" s="674">
        <v>0.224</v>
      </c>
      <c r="L36" s="646">
        <v>67424</v>
      </c>
      <c r="M36" s="654">
        <f>VLOOKUP(G:G,list!B:E,4,FALSE)</f>
        <v>0.1</v>
      </c>
      <c r="N36" s="655">
        <f t="shared" si="0"/>
        <v>6742</v>
      </c>
      <c r="O36" s="655">
        <f t="shared" si="1"/>
        <v>60682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45536</v>
      </c>
      <c r="J37" s="653">
        <v>177421</v>
      </c>
      <c r="K37" s="674">
        <v>0.224</v>
      </c>
      <c r="L37" s="646">
        <v>35774</v>
      </c>
      <c r="M37" s="654">
        <f>VLOOKUP(G:G,list!B:E,4,FALSE)</f>
        <v>0.11</v>
      </c>
      <c r="N37" s="655">
        <f t="shared" si="0"/>
        <v>3935</v>
      </c>
      <c r="O37" s="655">
        <f t="shared" si="1"/>
        <v>31839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45536</v>
      </c>
      <c r="J38" s="653">
        <v>316864</v>
      </c>
      <c r="K38" s="674">
        <v>0.224</v>
      </c>
      <c r="L38" s="646">
        <v>63887</v>
      </c>
      <c r="M38" s="654">
        <f>VLOOKUP(G:G,list!B:E,4,FALSE)</f>
        <v>0.1</v>
      </c>
      <c r="N38" s="655">
        <f t="shared" si="0"/>
        <v>6389</v>
      </c>
      <c r="O38" s="655">
        <f t="shared" si="1"/>
        <v>57498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45536</v>
      </c>
      <c r="J39" s="653">
        <v>412661</v>
      </c>
      <c r="K39" s="674">
        <v>0.224</v>
      </c>
      <c r="L39" s="646">
        <v>83199</v>
      </c>
      <c r="M39" s="654" t="str">
        <f>VLOOKUP(G:G,list!B:E,4,FALSE)</f>
        <v>-</v>
      </c>
      <c r="N39" s="655">
        <f t="shared" si="0"/>
        <v>0</v>
      </c>
      <c r="O39" s="655">
        <f t="shared" si="1"/>
        <v>83199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45536</v>
      </c>
      <c r="J40" s="653">
        <v>9522340</v>
      </c>
      <c r="K40" s="674">
        <v>0.224</v>
      </c>
      <c r="L40" s="646">
        <v>1919704</v>
      </c>
      <c r="M40" s="654">
        <f>VLOOKUP(G:G,list!B:E,4,FALSE)</f>
        <v>0.1</v>
      </c>
      <c r="N40" s="655">
        <f t="shared" si="0"/>
        <v>191970</v>
      </c>
      <c r="O40" s="655">
        <f t="shared" si="1"/>
        <v>1727734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45536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45536</v>
      </c>
      <c r="J42" s="653">
        <v>113935</v>
      </c>
      <c r="K42" s="674">
        <v>0.224</v>
      </c>
      <c r="L42" s="646">
        <v>22975</v>
      </c>
      <c r="M42" s="654">
        <f>VLOOKUP(G:G,list!B:E,4,FALSE)</f>
        <v>0.1</v>
      </c>
      <c r="N42" s="655">
        <f t="shared" si="0"/>
        <v>2298</v>
      </c>
      <c r="O42" s="655">
        <f t="shared" si="1"/>
        <v>20677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45536</v>
      </c>
      <c r="J43" s="653">
        <v>8332584</v>
      </c>
      <c r="K43" s="674">
        <v>0.224</v>
      </c>
      <c r="L43" s="646">
        <v>1679849</v>
      </c>
      <c r="M43" s="654">
        <f>VLOOKUP(G:G,list!B:E,4,FALSE)</f>
        <v>0.1</v>
      </c>
      <c r="N43" s="655">
        <f t="shared" si="0"/>
        <v>167985</v>
      </c>
      <c r="O43" s="655">
        <f t="shared" si="1"/>
        <v>1511864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45536</v>
      </c>
      <c r="J44" s="653">
        <v>2940212</v>
      </c>
      <c r="K44" s="674">
        <v>0.224</v>
      </c>
      <c r="L44" s="646">
        <v>592751</v>
      </c>
      <c r="M44" s="654" t="str">
        <f>VLOOKUP(G:G,list!B:E,4,FALSE)</f>
        <v>-</v>
      </c>
      <c r="N44" s="655">
        <f t="shared" si="0"/>
        <v>0</v>
      </c>
      <c r="O44" s="655">
        <f t="shared" si="1"/>
        <v>592751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67</v>
      </c>
      <c r="E45" s="564" t="s">
        <v>9</v>
      </c>
      <c r="F45" s="564" t="s">
        <v>73</v>
      </c>
      <c r="G45" s="564" t="s">
        <v>353</v>
      </c>
      <c r="H45" s="565">
        <v>44957</v>
      </c>
      <c r="I45" s="652">
        <v>45474</v>
      </c>
      <c r="J45" s="653">
        <v>12087</v>
      </c>
      <c r="K45" s="603">
        <v>0.28000000000000003</v>
      </c>
      <c r="L45" s="568">
        <v>2766</v>
      </c>
      <c r="M45" s="654">
        <f>VLOOKUP(G:G,list!B:E,4,FALSE)</f>
        <v>0.11</v>
      </c>
      <c r="N45" s="655">
        <f>ROUND(IF(M45="-",0,L45*M45),0)</f>
        <v>304</v>
      </c>
      <c r="O45" s="655">
        <f t="shared" ref="O45:O46" si="2">L45-N45</f>
        <v>2462</v>
      </c>
      <c r="P45" s="564"/>
      <c r="Q45" s="672" t="str">
        <f>VLOOKUP(G:G,list!B:F,5,FALSE)</f>
        <v>-</v>
      </c>
      <c r="R45" s="656" t="str">
        <f>VLOOKUP(G:G,list!B:D,3,FALSE)</f>
        <v>N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67</v>
      </c>
      <c r="E46" s="564" t="s">
        <v>9</v>
      </c>
      <c r="F46" s="564" t="s">
        <v>73</v>
      </c>
      <c r="G46" s="564" t="s">
        <v>353</v>
      </c>
      <c r="H46" s="565">
        <v>44957</v>
      </c>
      <c r="I46" s="652">
        <v>45505</v>
      </c>
      <c r="J46" s="653">
        <v>15556</v>
      </c>
      <c r="K46" s="603">
        <v>0.28000000000000003</v>
      </c>
      <c r="L46" s="568">
        <v>3579</v>
      </c>
      <c r="M46" s="654">
        <f>VLOOKUP(G:G,list!B:E,4,FALSE)</f>
        <v>0.11</v>
      </c>
      <c r="N46" s="655">
        <f t="shared" ref="N46" si="3">ROUND(IF(M46="-",0,L46*M46),0)</f>
        <v>394</v>
      </c>
      <c r="O46" s="655">
        <f t="shared" si="2"/>
        <v>3185</v>
      </c>
      <c r="P46" s="564"/>
      <c r="Q46" s="672" t="str">
        <f>VLOOKUP(G:G,list!B:F,5,FALSE)</f>
        <v>-</v>
      </c>
      <c r="R46" s="656" t="str">
        <f>VLOOKUP(G:G,list!B:D,3,FALSE)</f>
        <v>N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23</v>
      </c>
      <c r="E47" s="564" t="s">
        <v>62</v>
      </c>
      <c r="F47" s="564" t="s">
        <v>257</v>
      </c>
      <c r="G47" s="564" t="s">
        <v>30</v>
      </c>
      <c r="H47" s="565">
        <v>45394</v>
      </c>
      <c r="I47" s="652">
        <v>45566</v>
      </c>
      <c r="J47" s="653">
        <v>45157</v>
      </c>
      <c r="K47" s="567">
        <v>0.28000000000000003</v>
      </c>
      <c r="L47" s="646">
        <v>12644</v>
      </c>
      <c r="M47" s="654">
        <f>VLOOKUP(G:G,list!B:E,4,FALSE)</f>
        <v>0.1</v>
      </c>
      <c r="N47" s="655">
        <f t="shared" si="0"/>
        <v>1264</v>
      </c>
      <c r="O47" s="655">
        <f t="shared" si="1"/>
        <v>11380</v>
      </c>
      <c r="P47" s="645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원작료</v>
      </c>
      <c r="D48" s="564" t="s">
        <v>24</v>
      </c>
      <c r="E48" s="564" t="s">
        <v>62</v>
      </c>
      <c r="F48" s="564" t="s">
        <v>257</v>
      </c>
      <c r="G48" s="564" t="s">
        <v>30</v>
      </c>
      <c r="H48" s="565">
        <v>44743</v>
      </c>
      <c r="I48" s="652">
        <v>45566</v>
      </c>
      <c r="J48" s="653">
        <v>897</v>
      </c>
      <c r="K48" s="567">
        <v>0.35</v>
      </c>
      <c r="L48" s="646">
        <v>313</v>
      </c>
      <c r="M48" s="654">
        <f>VLOOKUP(G:G,list!B:E,4,FALSE)</f>
        <v>0.1</v>
      </c>
      <c r="N48" s="655">
        <f t="shared" si="0"/>
        <v>31</v>
      </c>
      <c r="O48" s="655">
        <f t="shared" si="1"/>
        <v>282</v>
      </c>
      <c r="P48" s="564"/>
      <c r="Q48" s="672" t="str">
        <f>VLOOKUP(G:G,list!B:F,5,FALSE)</f>
        <v>웹소설본부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원작료</v>
      </c>
      <c r="D49" s="564" t="s">
        <v>25</v>
      </c>
      <c r="E49" s="564" t="s">
        <v>62</v>
      </c>
      <c r="F49" s="564" t="s">
        <v>257</v>
      </c>
      <c r="G49" s="564" t="s">
        <v>316</v>
      </c>
      <c r="H49" s="565">
        <v>45577</v>
      </c>
      <c r="I49" s="652">
        <v>45566</v>
      </c>
      <c r="J49" s="653">
        <v>859491</v>
      </c>
      <c r="K49" s="567">
        <v>0.35</v>
      </c>
      <c r="L49" s="646">
        <v>300823</v>
      </c>
      <c r="M49" s="654">
        <f>VLOOKUP(G:G,list!B:E,4,FALSE)</f>
        <v>0.1</v>
      </c>
      <c r="N49" s="655">
        <f t="shared" si="0"/>
        <v>30082</v>
      </c>
      <c r="O49" s="655">
        <f t="shared" si="1"/>
        <v>270741</v>
      </c>
      <c r="P49" s="564"/>
      <c r="Q49" s="672" t="str">
        <f>VLOOKUP(G:G,list!B:F,5,FALSE)</f>
        <v>웹소설본부</v>
      </c>
      <c r="R49" s="656" t="str">
        <f>VLOOKUP(G:G,list!B:D,3,FALSE)</f>
        <v>Y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24</v>
      </c>
      <c r="E50" s="564" t="s">
        <v>62</v>
      </c>
      <c r="F50" s="564" t="s">
        <v>257</v>
      </c>
      <c r="G50" s="564" t="s">
        <v>316</v>
      </c>
      <c r="H50" s="565">
        <v>44782</v>
      </c>
      <c r="I50" s="652">
        <v>45566</v>
      </c>
      <c r="J50" s="653">
        <v>-207</v>
      </c>
      <c r="K50" s="567">
        <v>0.35</v>
      </c>
      <c r="L50" s="646">
        <v>-72</v>
      </c>
      <c r="M50" s="654">
        <f>VLOOKUP(G:G,list!B:E,4,FALSE)</f>
        <v>0.1</v>
      </c>
      <c r="N50" s="655">
        <f t="shared" ref="N50" si="4">ROUND(IF(M50="-",0,L50*M50),0)</f>
        <v>-7</v>
      </c>
      <c r="O50" s="655">
        <f t="shared" ref="O50" si="5">L50-N50</f>
        <v>-65</v>
      </c>
      <c r="P50" s="564" t="s">
        <v>270</v>
      </c>
      <c r="Q50" s="672" t="str">
        <f>VLOOKUP(G:G,list!B:F,5,FALSE)</f>
        <v>웹소설본부</v>
      </c>
      <c r="R50" s="656" t="str">
        <f>VLOOKUP(G:G,list!B:D,3,FALSE)</f>
        <v>Y</v>
      </c>
    </row>
    <row r="51" spans="2:18" ht="18" customHeight="1">
      <c r="B51" s="650">
        <v>46</v>
      </c>
      <c r="C51" s="651" t="str">
        <f>VLOOKUP(G:G,list!B:D,2,FALSE)</f>
        <v>원작료</v>
      </c>
      <c r="D51" s="564" t="s">
        <v>23</v>
      </c>
      <c r="E51" s="564" t="s">
        <v>62</v>
      </c>
      <c r="F51" s="564" t="s">
        <v>257</v>
      </c>
      <c r="G51" s="564" t="s">
        <v>353</v>
      </c>
      <c r="H51" s="565">
        <v>44916</v>
      </c>
      <c r="I51" s="652">
        <v>45566</v>
      </c>
      <c r="J51" s="653">
        <v>-41672</v>
      </c>
      <c r="K51" s="567">
        <v>0.35</v>
      </c>
      <c r="L51" s="646">
        <v>-14585</v>
      </c>
      <c r="M51" s="654">
        <f>VLOOKUP(G:G,list!B:E,4,FALSE)</f>
        <v>0.11</v>
      </c>
      <c r="N51" s="655">
        <f t="shared" si="0"/>
        <v>-1604</v>
      </c>
      <c r="O51" s="655">
        <f t="shared" si="1"/>
        <v>-12981</v>
      </c>
      <c r="P51" s="564"/>
      <c r="Q51" s="672" t="str">
        <f>VLOOKUP(G:G,list!B:F,5,FALSE)</f>
        <v>-</v>
      </c>
      <c r="R51" s="656" t="str">
        <f>VLOOKUP(G:G,list!B:D,3,FALSE)</f>
        <v>N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25</v>
      </c>
      <c r="E52" s="564" t="s">
        <v>62</v>
      </c>
      <c r="F52" s="564" t="s">
        <v>257</v>
      </c>
      <c r="G52" s="564" t="s">
        <v>353</v>
      </c>
      <c r="H52" s="565">
        <v>44916</v>
      </c>
      <c r="I52" s="652">
        <v>45566</v>
      </c>
      <c r="J52" s="653">
        <v>80703</v>
      </c>
      <c r="K52" s="567">
        <v>0.35</v>
      </c>
      <c r="L52" s="646">
        <v>28246</v>
      </c>
      <c r="M52" s="654">
        <f>VLOOKUP(G:G,list!B:E,4,FALSE)</f>
        <v>0.11</v>
      </c>
      <c r="N52" s="655">
        <f t="shared" si="0"/>
        <v>3107</v>
      </c>
      <c r="O52" s="655">
        <f t="shared" si="1"/>
        <v>25139</v>
      </c>
      <c r="P52" s="564"/>
      <c r="Q52" s="672" t="str">
        <f>VLOOKUP(G:G,list!B:F,5,FALSE)</f>
        <v>-</v>
      </c>
      <c r="R52" s="656" t="str">
        <f>VLOOKUP(G:G,list!B:D,3,FALSE)</f>
        <v>N</v>
      </c>
    </row>
    <row r="53" spans="2:18" ht="18" customHeight="1">
      <c r="B53" s="650">
        <v>48</v>
      </c>
      <c r="C53" s="651" t="str">
        <f>VLOOKUP(G:G,list!B:D,2,FALSE)</f>
        <v>원작료</v>
      </c>
      <c r="D53" s="564" t="s">
        <v>24</v>
      </c>
      <c r="E53" s="564" t="s">
        <v>62</v>
      </c>
      <c r="F53" s="564" t="s">
        <v>257</v>
      </c>
      <c r="G53" s="564" t="s">
        <v>353</v>
      </c>
      <c r="H53" s="565">
        <v>44914</v>
      </c>
      <c r="I53" s="652">
        <v>45566</v>
      </c>
      <c r="J53" s="653">
        <v>13152</v>
      </c>
      <c r="K53" s="567">
        <v>0.35</v>
      </c>
      <c r="L53" s="646">
        <v>4604</v>
      </c>
      <c r="M53" s="654">
        <f>VLOOKUP(G:G,list!B:E,4,FALSE)</f>
        <v>0.11</v>
      </c>
      <c r="N53" s="655">
        <f t="shared" si="0"/>
        <v>506</v>
      </c>
      <c r="O53" s="655">
        <f t="shared" si="1"/>
        <v>4098</v>
      </c>
      <c r="P53" s="564"/>
      <c r="Q53" s="672" t="str">
        <f>VLOOKUP(G:G,list!B:F,5,FALSE)</f>
        <v>-</v>
      </c>
      <c r="R53" s="656" t="str">
        <f>VLOOKUP(G:G,list!B:D,3,FALSE)</f>
        <v>N</v>
      </c>
    </row>
    <row r="54" spans="2:18" ht="18" customHeight="1">
      <c r="B54" s="563">
        <v>49</v>
      </c>
      <c r="C54" s="651" t="str">
        <f>VLOOKUP(G:G,list!B:D,2,FALSE)</f>
        <v>원작료</v>
      </c>
      <c r="D54" s="564" t="s">
        <v>25</v>
      </c>
      <c r="E54" s="564" t="s">
        <v>62</v>
      </c>
      <c r="F54" s="564" t="s">
        <v>257</v>
      </c>
      <c r="G54" s="564" t="s">
        <v>352</v>
      </c>
      <c r="H54" s="565">
        <v>45098</v>
      </c>
      <c r="I54" s="652">
        <v>45566</v>
      </c>
      <c r="J54" s="653">
        <v>164</v>
      </c>
      <c r="K54" s="600">
        <v>0.35</v>
      </c>
      <c r="L54" s="646">
        <v>57</v>
      </c>
      <c r="M54" s="654">
        <f>VLOOKUP(G:G,list!B:E,4,FALSE)</f>
        <v>0.1</v>
      </c>
      <c r="N54" s="655">
        <f t="shared" si="0"/>
        <v>6</v>
      </c>
      <c r="O54" s="655">
        <f t="shared" si="1"/>
        <v>51</v>
      </c>
      <c r="P54" s="564"/>
      <c r="Q54" s="672" t="str">
        <f>VLOOKUP(G:G,list!B:F,5,FALSE)</f>
        <v>웹소설본부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원작료</v>
      </c>
      <c r="D55" s="564" t="s">
        <v>24</v>
      </c>
      <c r="E55" s="564" t="s">
        <v>62</v>
      </c>
      <c r="F55" s="564" t="s">
        <v>257</v>
      </c>
      <c r="G55" s="564" t="s">
        <v>352</v>
      </c>
      <c r="H55" s="565">
        <v>45020</v>
      </c>
      <c r="I55" s="652">
        <v>45566</v>
      </c>
      <c r="J55" s="653">
        <v>-1228</v>
      </c>
      <c r="K55" s="600">
        <v>0.35</v>
      </c>
      <c r="L55" s="646">
        <v>-430</v>
      </c>
      <c r="M55" s="654">
        <f>VLOOKUP(G:G,list!B:E,4,FALSE)</f>
        <v>0.1</v>
      </c>
      <c r="N55" s="655">
        <f t="shared" si="0"/>
        <v>-43</v>
      </c>
      <c r="O55" s="655">
        <f t="shared" si="1"/>
        <v>-387</v>
      </c>
      <c r="P55" s="564" t="s">
        <v>553</v>
      </c>
      <c r="Q55" s="672" t="str">
        <f>VLOOKUP(G:G,list!B:F,5,FALSE)</f>
        <v>웹소설본부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246</v>
      </c>
      <c r="G56" s="564" t="s">
        <v>36</v>
      </c>
      <c r="H56" s="565">
        <v>43810</v>
      </c>
      <c r="I56" s="652">
        <v>45566</v>
      </c>
      <c r="J56" s="653">
        <v>22320</v>
      </c>
      <c r="K56" s="600" t="s">
        <v>532</v>
      </c>
      <c r="L56" s="646">
        <v>8244</v>
      </c>
      <c r="M56" s="654" t="str">
        <f>VLOOKUP(G:G,list!B:E,4,FALSE)</f>
        <v>-</v>
      </c>
      <c r="N56" s="655">
        <f t="shared" si="0"/>
        <v>0</v>
      </c>
      <c r="O56" s="655">
        <f t="shared" si="1"/>
        <v>8244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작가기획</v>
      </c>
      <c r="D57" s="564" t="s">
        <v>78</v>
      </c>
      <c r="E57" s="564" t="s">
        <v>9</v>
      </c>
      <c r="F57" s="564" t="s">
        <v>246</v>
      </c>
      <c r="G57" s="564" t="s">
        <v>139</v>
      </c>
      <c r="H57" s="565">
        <v>43852</v>
      </c>
      <c r="I57" s="652">
        <v>45566</v>
      </c>
      <c r="J57" s="653">
        <v>7560</v>
      </c>
      <c r="K57" s="600" t="s">
        <v>532</v>
      </c>
      <c r="L57" s="646">
        <v>3402</v>
      </c>
      <c r="M57" s="654" t="str">
        <f>VLOOKUP(G:G,list!B:E,4,FALSE)</f>
        <v>-</v>
      </c>
      <c r="N57" s="655">
        <f t="shared" si="0"/>
        <v>0</v>
      </c>
      <c r="O57" s="655">
        <f t="shared" si="1"/>
        <v>3402</v>
      </c>
      <c r="P57" s="564"/>
      <c r="Q57" s="672" t="str">
        <f>VLOOKUP(G:G,list!B:F,5,FALSE)</f>
        <v>-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78</v>
      </c>
      <c r="E58" s="564" t="s">
        <v>9</v>
      </c>
      <c r="F58" s="564" t="s">
        <v>544</v>
      </c>
      <c r="G58" s="564" t="s">
        <v>36</v>
      </c>
      <c r="H58" s="565">
        <v>45124</v>
      </c>
      <c r="I58" s="652">
        <v>45536</v>
      </c>
      <c r="J58" s="653">
        <v>321768</v>
      </c>
      <c r="K58" s="600">
        <v>0.5</v>
      </c>
      <c r="L58" s="646">
        <v>160885</v>
      </c>
      <c r="M58" s="654" t="str">
        <f>VLOOKUP(G:G,list!B:E,4,FALSE)</f>
        <v>-</v>
      </c>
      <c r="N58" s="655">
        <f t="shared" si="0"/>
        <v>0</v>
      </c>
      <c r="O58" s="655">
        <f t="shared" si="1"/>
        <v>160885</v>
      </c>
      <c r="P58" s="564"/>
      <c r="Q58" s="672" t="str">
        <f>VLOOKUP(G:G,list!B:F,5,FALSE)</f>
        <v>-</v>
      </c>
      <c r="R58" s="656" t="str">
        <f>VLOOKUP(G:G,list!B:D,3,FALSE)</f>
        <v>Y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78</v>
      </c>
      <c r="E59" s="564" t="s">
        <v>9</v>
      </c>
      <c r="F59" s="564" t="s">
        <v>544</v>
      </c>
      <c r="G59" s="564" t="s">
        <v>139</v>
      </c>
      <c r="H59" s="565">
        <v>44513</v>
      </c>
      <c r="I59" s="652">
        <v>45536</v>
      </c>
      <c r="J59" s="653">
        <v>16411</v>
      </c>
      <c r="K59" s="600">
        <v>0.5</v>
      </c>
      <c r="L59" s="646">
        <v>8206</v>
      </c>
      <c r="M59" s="654" t="str">
        <f>VLOOKUP(G:G,list!B:E,4,FALSE)</f>
        <v>-</v>
      </c>
      <c r="N59" s="655">
        <f t="shared" si="0"/>
        <v>0</v>
      </c>
      <c r="O59" s="655">
        <f t="shared" si="1"/>
        <v>8206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원작료</v>
      </c>
      <c r="D60" s="564" t="s">
        <v>66</v>
      </c>
      <c r="E60" s="564" t="s">
        <v>64</v>
      </c>
      <c r="F60" s="564" t="s">
        <v>65</v>
      </c>
      <c r="G60" s="564" t="s">
        <v>30</v>
      </c>
      <c r="H60" s="565">
        <v>44586</v>
      </c>
      <c r="I60" s="652">
        <v>45566</v>
      </c>
      <c r="J60" s="653">
        <v>53208</v>
      </c>
      <c r="K60" s="567">
        <v>0.4</v>
      </c>
      <c r="L60" s="646">
        <v>21283</v>
      </c>
      <c r="M60" s="654">
        <f>VLOOKUP(G:G,list!B:E,4,FALSE)</f>
        <v>0.1</v>
      </c>
      <c r="N60" s="655">
        <f t="shared" si="0"/>
        <v>2128</v>
      </c>
      <c r="O60" s="655">
        <f t="shared" si="1"/>
        <v>19155</v>
      </c>
      <c r="P60" s="564"/>
      <c r="Q60" s="672" t="str">
        <f>VLOOKUP(G:G,list!B:F,5,FALSE)</f>
        <v>웹소설본부</v>
      </c>
      <c r="R60" s="656" t="str">
        <f>VLOOKUP(G:G,list!B:D,3,FALSE)</f>
        <v>Y</v>
      </c>
    </row>
    <row r="61" spans="2:18" ht="18" customHeight="1">
      <c r="B61" s="650">
        <v>56</v>
      </c>
      <c r="C61" s="651" t="str">
        <f>VLOOKUP(G:G,list!B:D,2,FALSE)</f>
        <v>작가기획</v>
      </c>
      <c r="D61" s="564" t="s">
        <v>66</v>
      </c>
      <c r="E61" s="564" t="s">
        <v>9</v>
      </c>
      <c r="F61" s="564" t="s">
        <v>65</v>
      </c>
      <c r="G61" s="564" t="s">
        <v>36</v>
      </c>
      <c r="H61" s="565">
        <v>44992</v>
      </c>
      <c r="I61" s="652">
        <v>45566</v>
      </c>
      <c r="J61" s="653">
        <v>121115</v>
      </c>
      <c r="K61" s="600">
        <v>0.4</v>
      </c>
      <c r="L61" s="646">
        <v>48446</v>
      </c>
      <c r="M61" s="654" t="str">
        <f>VLOOKUP(G:G,list!B:E,4,FALSE)</f>
        <v>-</v>
      </c>
      <c r="N61" s="655">
        <f t="shared" si="0"/>
        <v>0</v>
      </c>
      <c r="O61" s="655">
        <f t="shared" si="1"/>
        <v>48446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작가기획</v>
      </c>
      <c r="D62" s="564" t="s">
        <v>66</v>
      </c>
      <c r="E62" s="564" t="s">
        <v>9</v>
      </c>
      <c r="F62" s="564" t="s">
        <v>65</v>
      </c>
      <c r="G62" s="564" t="s">
        <v>37</v>
      </c>
      <c r="H62" s="565">
        <v>45169</v>
      </c>
      <c r="I62" s="652">
        <v>45566</v>
      </c>
      <c r="J62" s="653">
        <v>0</v>
      </c>
      <c r="K62" s="600">
        <v>0.4</v>
      </c>
      <c r="L62" s="646">
        <v>0</v>
      </c>
      <c r="M62" s="654" t="str">
        <f>VLOOKUP(G:G,list!B:E,4,FALSE)</f>
        <v>-</v>
      </c>
      <c r="N62" s="655">
        <f t="shared" si="0"/>
        <v>0</v>
      </c>
      <c r="O62" s="655">
        <f t="shared" si="1"/>
        <v>0</v>
      </c>
      <c r="P62" s="564" t="s">
        <v>366</v>
      </c>
      <c r="Q62" s="672" t="str">
        <f>VLOOKUP(G:G,list!B:F,5,FALSE)</f>
        <v>-</v>
      </c>
      <c r="R62" s="656" t="str">
        <f>VLOOKUP(G:G,list!B:D,3,FALSE)</f>
        <v>Y</v>
      </c>
    </row>
    <row r="63" spans="2:18" ht="18" customHeight="1">
      <c r="B63" s="650">
        <v>58</v>
      </c>
      <c r="C63" s="651" t="str">
        <f>VLOOKUP(G:G,list!B:D,2,FALSE)</f>
        <v>작가기획</v>
      </c>
      <c r="D63" s="564" t="s">
        <v>67</v>
      </c>
      <c r="E63" s="564" t="s">
        <v>9</v>
      </c>
      <c r="F63" s="564" t="s">
        <v>65</v>
      </c>
      <c r="G63" s="564" t="s">
        <v>37</v>
      </c>
      <c r="H63" s="565">
        <v>43921</v>
      </c>
      <c r="I63" s="652">
        <v>45566</v>
      </c>
      <c r="J63" s="653">
        <v>22403</v>
      </c>
      <c r="K63" s="600">
        <v>0.4</v>
      </c>
      <c r="L63" s="646">
        <v>8961</v>
      </c>
      <c r="M63" s="654" t="str">
        <f>VLOOKUP(G:G,list!B:E,4,FALSE)</f>
        <v>-</v>
      </c>
      <c r="N63" s="655">
        <f t="shared" si="0"/>
        <v>0</v>
      </c>
      <c r="O63" s="655">
        <f t="shared" si="1"/>
        <v>8961</v>
      </c>
      <c r="P63" s="564"/>
      <c r="Q63" s="672" t="str">
        <f>VLOOKUP(G:G,list!B:F,5,FALSE)</f>
        <v>-</v>
      </c>
      <c r="R63" s="656" t="str">
        <f>VLOOKUP(G:G,list!B:D,3,FALSE)</f>
        <v>Y</v>
      </c>
    </row>
    <row r="64" spans="2:18" ht="18" customHeight="1">
      <c r="B64" s="563">
        <v>59</v>
      </c>
      <c r="C64" s="651" t="str">
        <f>VLOOKUP(G:G,list!B:D,2,FALSE)</f>
        <v>작가기획</v>
      </c>
      <c r="D64" s="564" t="s">
        <v>67</v>
      </c>
      <c r="E64" s="564" t="s">
        <v>9</v>
      </c>
      <c r="F64" s="564" t="s">
        <v>65</v>
      </c>
      <c r="G64" s="564" t="s">
        <v>36</v>
      </c>
      <c r="H64" s="565">
        <v>43941</v>
      </c>
      <c r="I64" s="652">
        <v>45566</v>
      </c>
      <c r="J64" s="653">
        <v>81940</v>
      </c>
      <c r="K64" s="600">
        <v>0.4</v>
      </c>
      <c r="L64" s="646">
        <v>32776</v>
      </c>
      <c r="M64" s="654" t="str">
        <f>VLOOKUP(G:G,list!B:E,4,FALSE)</f>
        <v>-</v>
      </c>
      <c r="N64" s="655">
        <f t="shared" si="0"/>
        <v>0</v>
      </c>
      <c r="O64" s="655">
        <f t="shared" si="1"/>
        <v>32776</v>
      </c>
      <c r="P64" s="564"/>
      <c r="Q64" s="672" t="str">
        <f>VLOOKUP(G:G,list!B:F,5,FALSE)</f>
        <v>-</v>
      </c>
      <c r="R64" s="656" t="str">
        <f>VLOOKUP(G:G,list!B:D,3,FALSE)</f>
        <v>Y</v>
      </c>
    </row>
    <row r="65" spans="2:18" ht="18" customHeight="1">
      <c r="B65" s="650">
        <v>60</v>
      </c>
      <c r="C65" s="651" t="str">
        <f>VLOOKUP(G:G,list!B:D,2,FALSE)</f>
        <v>원작료</v>
      </c>
      <c r="D65" s="564" t="s">
        <v>67</v>
      </c>
      <c r="E65" s="564" t="s">
        <v>64</v>
      </c>
      <c r="F65" s="564" t="s">
        <v>65</v>
      </c>
      <c r="G65" s="564" t="s">
        <v>30</v>
      </c>
      <c r="H65" s="565">
        <v>44258</v>
      </c>
      <c r="I65" s="652">
        <v>45566</v>
      </c>
      <c r="J65" s="653">
        <v>27438</v>
      </c>
      <c r="K65" s="600">
        <v>0.4</v>
      </c>
      <c r="L65" s="646">
        <v>10975</v>
      </c>
      <c r="M65" s="654">
        <f>VLOOKUP(G:G,list!B:E,4,FALSE)</f>
        <v>0.1</v>
      </c>
      <c r="N65" s="655">
        <f t="shared" si="0"/>
        <v>1098</v>
      </c>
      <c r="O65" s="655">
        <f t="shared" si="1"/>
        <v>9877</v>
      </c>
      <c r="P65" s="564"/>
      <c r="Q65" s="672" t="str">
        <f>VLOOKUP(G:G,list!B:F,5,FALSE)</f>
        <v>웹소설본부</v>
      </c>
      <c r="R65" s="656" t="str">
        <f>VLOOKUP(G:G,list!B:D,3,FALSE)</f>
        <v>Y</v>
      </c>
    </row>
    <row r="66" spans="2:18" ht="18" customHeight="1">
      <c r="B66" s="563">
        <v>61</v>
      </c>
      <c r="C66" s="651" t="str">
        <f>VLOOKUP(G:G,list!B:D,2,FALSE)</f>
        <v>작가기획</v>
      </c>
      <c r="D66" s="564" t="s">
        <v>78</v>
      </c>
      <c r="E66" s="564" t="s">
        <v>9</v>
      </c>
      <c r="F66" s="564" t="s">
        <v>131</v>
      </c>
      <c r="G66" s="564" t="s">
        <v>60</v>
      </c>
      <c r="H66" s="565">
        <v>44333</v>
      </c>
      <c r="I66" s="652">
        <v>45566</v>
      </c>
      <c r="J66" s="653">
        <v>3000</v>
      </c>
      <c r="K66" s="603">
        <v>0.5</v>
      </c>
      <c r="L66" s="646">
        <v>1500</v>
      </c>
      <c r="M66" s="654" t="str">
        <f>VLOOKUP(G:G,list!B:E,4,FALSE)</f>
        <v>-</v>
      </c>
      <c r="N66" s="655">
        <f t="shared" si="0"/>
        <v>0</v>
      </c>
      <c r="O66" s="655">
        <f t="shared" si="1"/>
        <v>1500</v>
      </c>
      <c r="P66" s="564"/>
      <c r="Q66" s="672" t="str">
        <f>VLOOKUP(G:G,list!B:F,5,FALSE)</f>
        <v>-</v>
      </c>
      <c r="R66" s="656" t="str">
        <f>VLOOKUP(G:G,list!B:D,3,FALSE)</f>
        <v>N</v>
      </c>
    </row>
    <row r="67" spans="2:18" ht="18" customHeight="1">
      <c r="B67" s="650">
        <v>62</v>
      </c>
      <c r="C67" s="651" t="str">
        <f>VLOOKUP(G:G,list!B:D,2,FALSE)</f>
        <v>작가기획</v>
      </c>
      <c r="D67" s="564" t="s">
        <v>78</v>
      </c>
      <c r="E67" s="564" t="s">
        <v>115</v>
      </c>
      <c r="F67" s="564" t="s">
        <v>131</v>
      </c>
      <c r="G67" s="564" t="s">
        <v>518</v>
      </c>
      <c r="H67" s="565">
        <v>44897</v>
      </c>
      <c r="I67" s="652">
        <v>45566</v>
      </c>
      <c r="J67" s="653">
        <v>63000</v>
      </c>
      <c r="K67" s="603">
        <v>0.5</v>
      </c>
      <c r="L67" s="646">
        <v>31500</v>
      </c>
      <c r="M67" s="654" t="str">
        <f>VLOOKUP(G:G,list!B:E,4,FALSE)</f>
        <v>-</v>
      </c>
      <c r="N67" s="655">
        <f t="shared" si="0"/>
        <v>0</v>
      </c>
      <c r="O67" s="655">
        <f t="shared" si="1"/>
        <v>31500</v>
      </c>
      <c r="P67" s="564"/>
      <c r="Q67" s="672" t="str">
        <f>VLOOKUP(G:G,list!B:F,5,FALSE)</f>
        <v>-</v>
      </c>
      <c r="R67" s="656" t="str">
        <f>VLOOKUP(G:G,list!B:D,3,FALSE)</f>
        <v>N</v>
      </c>
    </row>
    <row r="68" spans="2:18" ht="18" customHeight="1">
      <c r="B68" s="563">
        <v>63</v>
      </c>
      <c r="C68" s="651" t="str">
        <f>VLOOKUP(G:G,list!B:D,2,FALSE)</f>
        <v>작가기획</v>
      </c>
      <c r="D68" s="564" t="s">
        <v>78</v>
      </c>
      <c r="E68" s="564" t="s">
        <v>115</v>
      </c>
      <c r="F68" s="564" t="s">
        <v>131</v>
      </c>
      <c r="G68" s="564" t="s">
        <v>518</v>
      </c>
      <c r="H68" s="565">
        <v>45049</v>
      </c>
      <c r="I68" s="652">
        <v>45536</v>
      </c>
      <c r="J68" s="653">
        <v>163810</v>
      </c>
      <c r="K68" s="603">
        <v>0.3</v>
      </c>
      <c r="L68" s="646">
        <v>49143</v>
      </c>
      <c r="M68" s="654" t="str">
        <f>VLOOKUP(G:G,list!B:E,4,FALSE)</f>
        <v>-</v>
      </c>
      <c r="N68" s="655">
        <f t="shared" si="0"/>
        <v>0</v>
      </c>
      <c r="O68" s="655">
        <f t="shared" si="1"/>
        <v>49143</v>
      </c>
      <c r="P68" s="564"/>
      <c r="Q68" s="672" t="str">
        <f>VLOOKUP(G:G,list!B:F,5,FALSE)</f>
        <v>-</v>
      </c>
      <c r="R68" s="656" t="str">
        <f>VLOOKUP(G:G,list!B:D,3,FALSE)</f>
        <v>N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78</v>
      </c>
      <c r="E69" s="564" t="s">
        <v>9</v>
      </c>
      <c r="F69" s="564" t="s">
        <v>545</v>
      </c>
      <c r="G69" s="564" t="s">
        <v>454</v>
      </c>
      <c r="H69" s="565">
        <v>44750</v>
      </c>
      <c r="I69" s="652">
        <v>45536</v>
      </c>
      <c r="J69" s="653">
        <v>1864723</v>
      </c>
      <c r="K69" s="603">
        <v>0.7</v>
      </c>
      <c r="L69" s="646">
        <v>1305815</v>
      </c>
      <c r="M69" s="654">
        <f>VLOOKUP(G:G,list!B:E,4,FALSE)</f>
        <v>0.1</v>
      </c>
      <c r="N69" s="655">
        <f t="shared" si="0"/>
        <v>130582</v>
      </c>
      <c r="O69" s="655">
        <f t="shared" si="1"/>
        <v>1175233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78</v>
      </c>
      <c r="E70" s="564" t="s">
        <v>9</v>
      </c>
      <c r="F70" s="564" t="s">
        <v>264</v>
      </c>
      <c r="G70" s="564" t="s">
        <v>454</v>
      </c>
      <c r="H70" s="565" t="s">
        <v>203</v>
      </c>
      <c r="I70" s="652">
        <v>45536</v>
      </c>
      <c r="J70" s="653">
        <v>625475.14</v>
      </c>
      <c r="K70" s="603">
        <v>0.25</v>
      </c>
      <c r="L70" s="646">
        <v>156369</v>
      </c>
      <c r="M70" s="654">
        <f>VLOOKUP(G:G,list!B:E,4,FALSE)</f>
        <v>0.1</v>
      </c>
      <c r="N70" s="655">
        <f t="shared" ref="N70" si="6">ROUND(IF(M70="-",0,L70*M70),0)</f>
        <v>15637</v>
      </c>
      <c r="O70" s="655">
        <f t="shared" ref="O70" si="7">L70-N70</f>
        <v>140732</v>
      </c>
      <c r="P70" s="564" t="s">
        <v>554</v>
      </c>
      <c r="Q70" s="672" t="str">
        <f>VLOOKUP(G:G,list!B:F,5,FALSE)</f>
        <v>-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작가기획</v>
      </c>
      <c r="D71" s="564" t="s">
        <v>32</v>
      </c>
      <c r="E71" s="564" t="s">
        <v>9</v>
      </c>
      <c r="F71" s="564" t="s">
        <v>154</v>
      </c>
      <c r="G71" s="564" t="s">
        <v>36</v>
      </c>
      <c r="H71" s="565">
        <v>44106</v>
      </c>
      <c r="I71" s="652">
        <v>45536</v>
      </c>
      <c r="J71" s="653">
        <v>4873</v>
      </c>
      <c r="K71" s="603">
        <v>0.4</v>
      </c>
      <c r="L71" s="646">
        <v>1852</v>
      </c>
      <c r="M71" s="654" t="str">
        <f>VLOOKUP(G:G,list!B:E,4,FALSE)</f>
        <v>-</v>
      </c>
      <c r="N71" s="655">
        <f t="shared" si="0"/>
        <v>0</v>
      </c>
      <c r="O71" s="655">
        <f t="shared" si="1"/>
        <v>1852</v>
      </c>
      <c r="P71" s="564"/>
      <c r="Q71" s="672" t="str">
        <f>VLOOKUP(G:G,list!B:F,5,FALSE)</f>
        <v>-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작가기획</v>
      </c>
      <c r="D72" s="564" t="s">
        <v>32</v>
      </c>
      <c r="E72" s="564" t="s">
        <v>9</v>
      </c>
      <c r="F72" s="564" t="s">
        <v>154</v>
      </c>
      <c r="G72" s="564" t="s">
        <v>37</v>
      </c>
      <c r="H72" s="565">
        <v>44113</v>
      </c>
      <c r="I72" s="652">
        <v>45536</v>
      </c>
      <c r="J72" s="653">
        <v>10621</v>
      </c>
      <c r="K72" s="603">
        <v>0.4</v>
      </c>
      <c r="L72" s="646">
        <v>4036</v>
      </c>
      <c r="M72" s="654" t="str">
        <f>VLOOKUP(G:G,list!B:E,4,FALSE)</f>
        <v>-</v>
      </c>
      <c r="N72" s="655">
        <f t="shared" si="0"/>
        <v>0</v>
      </c>
      <c r="O72" s="655">
        <f t="shared" si="1"/>
        <v>4036</v>
      </c>
      <c r="P72" s="564"/>
      <c r="Q72" s="672" t="str">
        <f>VLOOKUP(G:G,list!B:F,5,FALSE)</f>
        <v>-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32</v>
      </c>
      <c r="E73" s="564" t="s">
        <v>9</v>
      </c>
      <c r="F73" s="564" t="s">
        <v>154</v>
      </c>
      <c r="G73" s="564" t="s">
        <v>454</v>
      </c>
      <c r="H73" s="565">
        <v>44869</v>
      </c>
      <c r="I73" s="652">
        <v>45536</v>
      </c>
      <c r="J73" s="653">
        <v>215828</v>
      </c>
      <c r="K73" s="603">
        <v>0.4</v>
      </c>
      <c r="L73" s="646">
        <v>82015</v>
      </c>
      <c r="M73" s="654">
        <f>VLOOKUP(G:G,list!B:E,4,FALSE)</f>
        <v>0.1</v>
      </c>
      <c r="N73" s="655">
        <f t="shared" si="0"/>
        <v>8202</v>
      </c>
      <c r="O73" s="655">
        <f t="shared" si="1"/>
        <v>73813</v>
      </c>
      <c r="P73" s="564"/>
      <c r="Q73" s="672" t="str">
        <f>VLOOKUP(G:G,list!B:F,5,FALSE)</f>
        <v>-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182</v>
      </c>
      <c r="E74" s="564" t="s">
        <v>115</v>
      </c>
      <c r="F74" s="564" t="s">
        <v>386</v>
      </c>
      <c r="G74" s="564" t="s">
        <v>30</v>
      </c>
      <c r="H74" s="565">
        <v>44591</v>
      </c>
      <c r="I74" s="652">
        <v>45505</v>
      </c>
      <c r="J74" s="653">
        <v>0</v>
      </c>
      <c r="K74" s="603">
        <v>0.5</v>
      </c>
      <c r="L74" s="646">
        <v>0</v>
      </c>
      <c r="M74" s="654">
        <f>VLOOKUP(G:G,list!B:E,4,FALSE)</f>
        <v>0.1</v>
      </c>
      <c r="N74" s="655">
        <f t="shared" si="0"/>
        <v>0</v>
      </c>
      <c r="O74" s="655">
        <f t="shared" si="1"/>
        <v>0</v>
      </c>
      <c r="P74" s="564" t="s">
        <v>366</v>
      </c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작가기획</v>
      </c>
      <c r="D75" s="564" t="s">
        <v>182</v>
      </c>
      <c r="E75" s="564" t="s">
        <v>115</v>
      </c>
      <c r="F75" s="564" t="s">
        <v>386</v>
      </c>
      <c r="G75" s="564" t="s">
        <v>36</v>
      </c>
      <c r="H75" s="565">
        <v>44643</v>
      </c>
      <c r="I75" s="652">
        <v>45505</v>
      </c>
      <c r="J75" s="653">
        <v>11654</v>
      </c>
      <c r="K75" s="603">
        <v>0.5</v>
      </c>
      <c r="L75" s="646">
        <v>5827</v>
      </c>
      <c r="M75" s="654" t="str">
        <f>VLOOKUP(G:G,list!B:E,4,FALSE)</f>
        <v>-</v>
      </c>
      <c r="N75" s="655">
        <f t="shared" si="0"/>
        <v>0</v>
      </c>
      <c r="O75" s="655">
        <f t="shared" si="1"/>
        <v>5827</v>
      </c>
      <c r="P75" s="564"/>
      <c r="Q75" s="672" t="str">
        <f>VLOOKUP(G:G,list!B:F,5,FALSE)</f>
        <v>-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작가기획</v>
      </c>
      <c r="D76" s="564" t="s">
        <v>182</v>
      </c>
      <c r="E76" s="564" t="s">
        <v>115</v>
      </c>
      <c r="F76" s="564" t="s">
        <v>386</v>
      </c>
      <c r="G76" s="564" t="s">
        <v>37</v>
      </c>
      <c r="H76" s="565">
        <v>44643</v>
      </c>
      <c r="I76" s="652">
        <v>45505</v>
      </c>
      <c r="J76" s="653">
        <v>0</v>
      </c>
      <c r="K76" s="603">
        <v>0.5</v>
      </c>
      <c r="L76" s="646">
        <v>0</v>
      </c>
      <c r="M76" s="654" t="str">
        <f>VLOOKUP(G:G,list!B:E,4,FALSE)</f>
        <v>-</v>
      </c>
      <c r="N76" s="655">
        <f t="shared" si="0"/>
        <v>0</v>
      </c>
      <c r="O76" s="655">
        <f t="shared" si="1"/>
        <v>0</v>
      </c>
      <c r="P76" s="564" t="s">
        <v>366</v>
      </c>
      <c r="Q76" s="672" t="str">
        <f>VLOOKUP(G:G,list!B:F,5,FALSE)</f>
        <v>-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182</v>
      </c>
      <c r="E77" s="564" t="s">
        <v>115</v>
      </c>
      <c r="F77" s="564" t="s">
        <v>386</v>
      </c>
      <c r="G77" s="564" t="s">
        <v>56</v>
      </c>
      <c r="H77" s="565">
        <v>44599</v>
      </c>
      <c r="I77" s="652">
        <v>45505</v>
      </c>
      <c r="J77" s="653">
        <v>207769</v>
      </c>
      <c r="K77" s="603">
        <v>0.5</v>
      </c>
      <c r="L77" s="646">
        <v>103885</v>
      </c>
      <c r="M77" s="654">
        <f>VLOOKUP(G:G,list!B:E,4,FALSE)</f>
        <v>0.1</v>
      </c>
      <c r="N77" s="655">
        <f t="shared" si="0"/>
        <v>10389</v>
      </c>
      <c r="O77" s="655">
        <f t="shared" si="1"/>
        <v>93496</v>
      </c>
      <c r="P77" s="564"/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538</v>
      </c>
      <c r="E78" s="564" t="s">
        <v>9</v>
      </c>
      <c r="F78" s="564" t="s">
        <v>519</v>
      </c>
      <c r="G78" s="564" t="s">
        <v>316</v>
      </c>
      <c r="H78" s="565">
        <v>45446</v>
      </c>
      <c r="I78" s="652">
        <v>45566</v>
      </c>
      <c r="J78" s="653">
        <v>7581</v>
      </c>
      <c r="K78" s="603">
        <v>0.7</v>
      </c>
      <c r="L78" s="646">
        <v>5306.7</v>
      </c>
      <c r="M78" s="654">
        <f>VLOOKUP(G:G,list!B:E,4,FALSE)</f>
        <v>0.1</v>
      </c>
      <c r="N78" s="655">
        <f t="shared" si="0"/>
        <v>531</v>
      </c>
      <c r="O78" s="655">
        <f t="shared" si="1"/>
        <v>4775.7</v>
      </c>
      <c r="P78" s="564"/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549</v>
      </c>
      <c r="E79" s="564" t="s">
        <v>9</v>
      </c>
      <c r="F79" s="564" t="s">
        <v>519</v>
      </c>
      <c r="G79" s="564" t="s">
        <v>316</v>
      </c>
      <c r="H79" s="565">
        <v>45524</v>
      </c>
      <c r="I79" s="652">
        <v>45566</v>
      </c>
      <c r="J79" s="653">
        <v>1197</v>
      </c>
      <c r="K79" s="603">
        <v>0.7</v>
      </c>
      <c r="L79" s="646">
        <v>837.9</v>
      </c>
      <c r="M79" s="654">
        <f>VLOOKUP(G:G,list!B:E,4,FALSE)</f>
        <v>0.1</v>
      </c>
      <c r="N79" s="655">
        <f t="shared" si="0"/>
        <v>84</v>
      </c>
      <c r="O79" s="655">
        <f t="shared" si="1"/>
        <v>753.9</v>
      </c>
      <c r="P79" s="564"/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123</v>
      </c>
      <c r="E80" s="564" t="s">
        <v>9</v>
      </c>
      <c r="F80" s="564" t="s">
        <v>519</v>
      </c>
      <c r="G80" s="564" t="s">
        <v>316</v>
      </c>
      <c r="H80" s="565">
        <v>45536</v>
      </c>
      <c r="I80" s="652">
        <v>45566</v>
      </c>
      <c r="J80" s="653">
        <v>399.00000000000006</v>
      </c>
      <c r="K80" s="603">
        <v>0.7</v>
      </c>
      <c r="L80" s="646">
        <v>279.3</v>
      </c>
      <c r="M80" s="654">
        <f>VLOOKUP(G:G,list!B:E,4,FALSE)</f>
        <v>0.1</v>
      </c>
      <c r="N80" s="655">
        <f t="shared" ref="N80" si="8">ROUND(IF(M80="-",0,L80*M80),0)</f>
        <v>28</v>
      </c>
      <c r="O80" s="655">
        <f t="shared" ref="O80" si="9">L80-N80</f>
        <v>251.3</v>
      </c>
      <c r="P80" s="564" t="s">
        <v>270</v>
      </c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원작료</v>
      </c>
      <c r="D81" s="564" t="s">
        <v>132</v>
      </c>
      <c r="E81" s="564" t="s">
        <v>9</v>
      </c>
      <c r="F81" s="564" t="s">
        <v>519</v>
      </c>
      <c r="G81" s="564" t="s">
        <v>56</v>
      </c>
      <c r="H81" s="565">
        <v>44952</v>
      </c>
      <c r="I81" s="652">
        <v>45566</v>
      </c>
      <c r="J81" s="653">
        <v>15960</v>
      </c>
      <c r="K81" s="567">
        <v>0.5</v>
      </c>
      <c r="L81" s="646">
        <v>7980</v>
      </c>
      <c r="M81" s="654">
        <f>VLOOKUP(G:G,list!B:E,4,FALSE)</f>
        <v>0.1</v>
      </c>
      <c r="N81" s="655">
        <f t="shared" si="0"/>
        <v>798</v>
      </c>
      <c r="O81" s="655">
        <f t="shared" si="1"/>
        <v>7182</v>
      </c>
      <c r="P81" s="564"/>
      <c r="Q81" s="672" t="str">
        <f>VLOOKUP(G:G,list!B:F,5,FALSE)</f>
        <v>웹소설본부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원작료</v>
      </c>
      <c r="D82" s="564" t="s">
        <v>538</v>
      </c>
      <c r="E82" s="564" t="s">
        <v>9</v>
      </c>
      <c r="F82" s="564" t="s">
        <v>519</v>
      </c>
      <c r="G82" s="564" t="s">
        <v>56</v>
      </c>
      <c r="H82" s="565">
        <v>45503</v>
      </c>
      <c r="I82" s="652">
        <v>45566</v>
      </c>
      <c r="J82" s="653">
        <v>4389</v>
      </c>
      <c r="K82" s="567">
        <v>0.5</v>
      </c>
      <c r="L82" s="646">
        <v>2194.5</v>
      </c>
      <c r="M82" s="654">
        <f>VLOOKUP(G:G,list!B:E,4,FALSE)</f>
        <v>0.1</v>
      </c>
      <c r="N82" s="655">
        <f t="shared" si="0"/>
        <v>219</v>
      </c>
      <c r="O82" s="655">
        <f t="shared" si="1"/>
        <v>1975.5</v>
      </c>
      <c r="P82" s="564"/>
      <c r="Q82" s="672" t="str">
        <f>VLOOKUP(G:G,list!B:F,5,FALSE)</f>
        <v>웹소설본부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원작료</v>
      </c>
      <c r="D83" s="564" t="s">
        <v>549</v>
      </c>
      <c r="E83" s="564" t="s">
        <v>9</v>
      </c>
      <c r="F83" s="564" t="s">
        <v>519</v>
      </c>
      <c r="G83" s="564" t="s">
        <v>56</v>
      </c>
      <c r="H83" s="565">
        <v>45547</v>
      </c>
      <c r="I83" s="652">
        <v>45566</v>
      </c>
      <c r="J83" s="653">
        <v>2660</v>
      </c>
      <c r="K83" s="567">
        <v>0.5</v>
      </c>
      <c r="L83" s="646">
        <v>1330</v>
      </c>
      <c r="M83" s="654">
        <f>VLOOKUP(G:G,list!B:E,4,FALSE)</f>
        <v>0.1</v>
      </c>
      <c r="N83" s="655">
        <f t="shared" si="0"/>
        <v>133</v>
      </c>
      <c r="O83" s="655">
        <f t="shared" si="1"/>
        <v>1197</v>
      </c>
      <c r="P83" s="564"/>
      <c r="Q83" s="672" t="str">
        <f>VLOOKUP(G:G,list!B:F,5,FALSE)</f>
        <v>웹소설본부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원작료</v>
      </c>
      <c r="D84" s="564" t="s">
        <v>132</v>
      </c>
      <c r="E84" s="564" t="s">
        <v>9</v>
      </c>
      <c r="F84" s="564" t="s">
        <v>519</v>
      </c>
      <c r="G84" s="564" t="s">
        <v>30</v>
      </c>
      <c r="H84" s="565">
        <v>44953</v>
      </c>
      <c r="I84" s="652">
        <v>45566</v>
      </c>
      <c r="J84" s="653">
        <v>0</v>
      </c>
      <c r="K84" s="567">
        <v>0.5</v>
      </c>
      <c r="L84" s="646">
        <v>0</v>
      </c>
      <c r="M84" s="654">
        <f>VLOOKUP(G:G,list!B:E,4,FALSE)</f>
        <v>0.1</v>
      </c>
      <c r="N84" s="655">
        <f t="shared" si="0"/>
        <v>0</v>
      </c>
      <c r="O84" s="655">
        <f t="shared" si="1"/>
        <v>0</v>
      </c>
      <c r="P84" s="564" t="s">
        <v>366</v>
      </c>
      <c r="Q84" s="672" t="str">
        <f>VLOOKUP(G:G,list!B:F,5,FALSE)</f>
        <v>웹소설본부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132</v>
      </c>
      <c r="E85" s="564" t="s">
        <v>9</v>
      </c>
      <c r="F85" s="564" t="s">
        <v>519</v>
      </c>
      <c r="G85" s="564" t="s">
        <v>308</v>
      </c>
      <c r="H85" s="565">
        <v>44992</v>
      </c>
      <c r="I85" s="652">
        <v>45566</v>
      </c>
      <c r="J85" s="653">
        <v>0</v>
      </c>
      <c r="K85" s="603">
        <v>0.5</v>
      </c>
      <c r="L85" s="646">
        <v>0</v>
      </c>
      <c r="M85" s="654" t="str">
        <f>VLOOKUP(G:G,list!B:E,4,FALSE)</f>
        <v>-</v>
      </c>
      <c r="N85" s="655">
        <f t="shared" si="0"/>
        <v>0</v>
      </c>
      <c r="O85" s="655">
        <f t="shared" si="1"/>
        <v>0</v>
      </c>
      <c r="P85" s="564" t="s">
        <v>366</v>
      </c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작가기획</v>
      </c>
      <c r="D86" s="564" t="s">
        <v>132</v>
      </c>
      <c r="E86" s="564" t="s">
        <v>9</v>
      </c>
      <c r="F86" s="564" t="s">
        <v>519</v>
      </c>
      <c r="G86" s="564" t="s">
        <v>36</v>
      </c>
      <c r="H86" s="565">
        <v>45198</v>
      </c>
      <c r="I86" s="652">
        <v>45566</v>
      </c>
      <c r="J86" s="653">
        <v>641193</v>
      </c>
      <c r="K86" s="603">
        <v>0.5</v>
      </c>
      <c r="L86" s="646">
        <v>320596.5</v>
      </c>
      <c r="M86" s="654" t="str">
        <f>VLOOKUP(G:G,list!B:E,4,FALSE)</f>
        <v>-</v>
      </c>
      <c r="N86" s="655">
        <f t="shared" si="0"/>
        <v>0</v>
      </c>
      <c r="O86" s="655">
        <f t="shared" si="1"/>
        <v>320596.5</v>
      </c>
      <c r="P86" s="564"/>
      <c r="Q86" s="672" t="str">
        <f>VLOOKUP(G:G,list!B:F,5,FALSE)</f>
        <v>-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작가기획</v>
      </c>
      <c r="D87" s="564" t="s">
        <v>538</v>
      </c>
      <c r="E87" s="564" t="s">
        <v>9</v>
      </c>
      <c r="F87" s="564" t="s">
        <v>519</v>
      </c>
      <c r="G87" s="564" t="s">
        <v>36</v>
      </c>
      <c r="H87" s="565">
        <v>45479</v>
      </c>
      <c r="I87" s="652">
        <v>45566</v>
      </c>
      <c r="J87" s="653">
        <v>5187</v>
      </c>
      <c r="K87" s="603">
        <v>0.5</v>
      </c>
      <c r="L87" s="646">
        <v>2593.5</v>
      </c>
      <c r="M87" s="654" t="str">
        <f>VLOOKUP(G:G,list!B:E,4,FALSE)</f>
        <v>-</v>
      </c>
      <c r="N87" s="655">
        <f t="shared" si="0"/>
        <v>0</v>
      </c>
      <c r="O87" s="655">
        <f t="shared" si="1"/>
        <v>2593.5</v>
      </c>
      <c r="P87" s="564"/>
      <c r="Q87" s="672" t="str">
        <f>VLOOKUP(G:G,list!B:F,5,FALSE)</f>
        <v>-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작가기획</v>
      </c>
      <c r="D88" s="564" t="s">
        <v>123</v>
      </c>
      <c r="E88" s="564" t="s">
        <v>9</v>
      </c>
      <c r="F88" s="564" t="s">
        <v>519</v>
      </c>
      <c r="G88" s="564" t="s">
        <v>36</v>
      </c>
      <c r="H88" s="565">
        <v>45555</v>
      </c>
      <c r="I88" s="652">
        <v>45566</v>
      </c>
      <c r="J88" s="653">
        <v>1995</v>
      </c>
      <c r="K88" s="603">
        <v>0.5</v>
      </c>
      <c r="L88" s="646">
        <v>997.5</v>
      </c>
      <c r="M88" s="654" t="str">
        <f>VLOOKUP(G:G,list!B:E,4,FALSE)</f>
        <v>-</v>
      </c>
      <c r="N88" s="655">
        <f t="shared" ref="N88" si="10">ROUND(IF(M88="-",0,L88*M88),0)</f>
        <v>0</v>
      </c>
      <c r="O88" s="655">
        <f t="shared" ref="O88" si="11">L88-N88</f>
        <v>997.5</v>
      </c>
      <c r="P88" s="564" t="s">
        <v>270</v>
      </c>
      <c r="Q88" s="672" t="str">
        <f>VLOOKUP(G:G,list!B:F,5,FALSE)</f>
        <v>-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작가기획</v>
      </c>
      <c r="D89" s="564" t="s">
        <v>132</v>
      </c>
      <c r="E89" s="564" t="s">
        <v>9</v>
      </c>
      <c r="F89" s="564" t="s">
        <v>519</v>
      </c>
      <c r="G89" s="564" t="s">
        <v>139</v>
      </c>
      <c r="H89" s="565">
        <v>45276</v>
      </c>
      <c r="I89" s="652">
        <v>45566</v>
      </c>
      <c r="J89" s="653">
        <v>1596</v>
      </c>
      <c r="K89" s="603">
        <v>0.5</v>
      </c>
      <c r="L89" s="646">
        <v>798</v>
      </c>
      <c r="M89" s="654" t="str">
        <f>VLOOKUP(G:G,list!B:E,4,FALSE)</f>
        <v>-</v>
      </c>
      <c r="N89" s="655">
        <f t="shared" si="0"/>
        <v>0</v>
      </c>
      <c r="O89" s="655">
        <f t="shared" si="1"/>
        <v>798</v>
      </c>
      <c r="P89" s="564"/>
      <c r="Q89" s="672" t="str">
        <f>VLOOKUP(G:G,list!B:F,5,FALSE)</f>
        <v>-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작가기획</v>
      </c>
      <c r="D90" s="564" t="s">
        <v>538</v>
      </c>
      <c r="E90" s="564" t="s">
        <v>9</v>
      </c>
      <c r="F90" s="564" t="s">
        <v>519</v>
      </c>
      <c r="G90" s="564" t="s">
        <v>139</v>
      </c>
      <c r="H90" s="565">
        <v>45534</v>
      </c>
      <c r="I90" s="652">
        <v>45566</v>
      </c>
      <c r="J90" s="653">
        <v>399</v>
      </c>
      <c r="K90" s="603">
        <v>0.5</v>
      </c>
      <c r="L90" s="646">
        <v>199.5</v>
      </c>
      <c r="M90" s="654" t="str">
        <f>VLOOKUP(G:G,list!B:E,4,FALSE)</f>
        <v>-</v>
      </c>
      <c r="N90" s="655">
        <f t="shared" si="0"/>
        <v>0</v>
      </c>
      <c r="O90" s="655">
        <f t="shared" si="1"/>
        <v>199.5</v>
      </c>
      <c r="P90" s="564"/>
      <c r="Q90" s="672" t="str">
        <f>VLOOKUP(G:G,list!B:F,5,FALSE)</f>
        <v>-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작가기획</v>
      </c>
      <c r="D91" s="564" t="s">
        <v>182</v>
      </c>
      <c r="E91" s="564" t="s">
        <v>115</v>
      </c>
      <c r="F91" s="564" t="s">
        <v>550</v>
      </c>
      <c r="G91" s="564" t="s">
        <v>308</v>
      </c>
      <c r="H91" s="565">
        <v>45347</v>
      </c>
      <c r="I91" s="652">
        <v>45505</v>
      </c>
      <c r="J91" s="653">
        <v>2009</v>
      </c>
      <c r="K91" s="603">
        <v>0.5</v>
      </c>
      <c r="L91" s="646">
        <v>1005</v>
      </c>
      <c r="M91" s="654" t="str">
        <f>VLOOKUP(G:G,list!B:E,4,FALSE)</f>
        <v>-</v>
      </c>
      <c r="N91" s="655">
        <f t="shared" si="0"/>
        <v>0</v>
      </c>
      <c r="O91" s="655">
        <f t="shared" si="1"/>
        <v>1005</v>
      </c>
      <c r="P91" s="564"/>
      <c r="Q91" s="672" t="str">
        <f>VLOOKUP(G:G,list!B:F,5,FALSE)</f>
        <v>-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182</v>
      </c>
      <c r="E92" s="564" t="s">
        <v>115</v>
      </c>
      <c r="F92" s="564" t="s">
        <v>550</v>
      </c>
      <c r="G92" s="564" t="s">
        <v>316</v>
      </c>
      <c r="H92" s="565">
        <v>45359</v>
      </c>
      <c r="I92" s="652">
        <v>45505</v>
      </c>
      <c r="J92" s="653">
        <v>2009</v>
      </c>
      <c r="K92" s="603">
        <v>0.5</v>
      </c>
      <c r="L92" s="646">
        <v>1005</v>
      </c>
      <c r="M92" s="654">
        <f>VLOOKUP(G:G,list!B:E,4,FALSE)</f>
        <v>0.1</v>
      </c>
      <c r="N92" s="655">
        <f t="shared" si="0"/>
        <v>101</v>
      </c>
      <c r="O92" s="655">
        <f t="shared" si="1"/>
        <v>904</v>
      </c>
      <c r="P92" s="564"/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32</v>
      </c>
      <c r="E93" s="564" t="s">
        <v>9</v>
      </c>
      <c r="F93" s="564" t="s">
        <v>31</v>
      </c>
      <c r="G93" s="564" t="s">
        <v>30</v>
      </c>
      <c r="H93" s="565">
        <v>44239</v>
      </c>
      <c r="I93" s="652">
        <v>45536</v>
      </c>
      <c r="J93" s="653">
        <v>42060</v>
      </c>
      <c r="K93" s="603">
        <v>0.4</v>
      </c>
      <c r="L93" s="646">
        <v>15978</v>
      </c>
      <c r="M93" s="654">
        <f>VLOOKUP(G:G,list!B:E,4,FALSE)</f>
        <v>0.1</v>
      </c>
      <c r="N93" s="655">
        <f t="shared" si="0"/>
        <v>1598</v>
      </c>
      <c r="O93" s="655">
        <f t="shared" si="1"/>
        <v>14380</v>
      </c>
      <c r="P93" s="564"/>
      <c r="Q93" s="672" t="str">
        <f>VLOOKUP(G:G,list!B:F,5,FALSE)</f>
        <v>웹소설본부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123</v>
      </c>
      <c r="E94" s="564" t="s">
        <v>9</v>
      </c>
      <c r="F94" s="564" t="s">
        <v>213</v>
      </c>
      <c r="G94" s="564" t="s">
        <v>56</v>
      </c>
      <c r="H94" s="565">
        <v>44581</v>
      </c>
      <c r="I94" s="652">
        <v>45566</v>
      </c>
      <c r="J94" s="653">
        <v>771340</v>
      </c>
      <c r="K94" s="603">
        <v>0.3</v>
      </c>
      <c r="L94" s="568">
        <v>231402</v>
      </c>
      <c r="M94" s="654">
        <f>VLOOKUP(G:G,list!B:E,4,FALSE)</f>
        <v>0.1</v>
      </c>
      <c r="N94" s="655">
        <f t="shared" si="0"/>
        <v>23140</v>
      </c>
      <c r="O94" s="655">
        <f t="shared" si="1"/>
        <v>208262</v>
      </c>
      <c r="P94" s="564" t="s">
        <v>186</v>
      </c>
      <c r="Q94" s="672" t="str">
        <f>VLOOKUP(G:G,list!B:F,5,FALSE)</f>
        <v>웹소설본부</v>
      </c>
      <c r="R94" s="656" t="str">
        <f>VLOOKUP(G:G,list!B:D,3,FALSE)</f>
        <v>Y</v>
      </c>
    </row>
    <row r="95" spans="2:18" ht="18" customHeight="1">
      <c r="B95" s="650">
        <v>90</v>
      </c>
      <c r="C95" s="651" t="str">
        <f>VLOOKUP(G:G,list!B:D,2,FALSE)</f>
        <v>원작료</v>
      </c>
      <c r="D95" s="564" t="s">
        <v>183</v>
      </c>
      <c r="E95" s="564" t="s">
        <v>9</v>
      </c>
      <c r="F95" s="564" t="s">
        <v>213</v>
      </c>
      <c r="G95" s="564" t="s">
        <v>56</v>
      </c>
      <c r="H95" s="565">
        <v>44829</v>
      </c>
      <c r="I95" s="652">
        <v>45566</v>
      </c>
      <c r="J95" s="653">
        <v>693367</v>
      </c>
      <c r="K95" s="603">
        <v>0.3</v>
      </c>
      <c r="L95" s="568">
        <v>208010</v>
      </c>
      <c r="M95" s="654">
        <f>VLOOKUP(G:G,list!B:E,4,FALSE)</f>
        <v>0.1</v>
      </c>
      <c r="N95" s="655">
        <f t="shared" si="0"/>
        <v>20801</v>
      </c>
      <c r="O95" s="655">
        <f t="shared" si="1"/>
        <v>187209</v>
      </c>
      <c r="P95" s="564" t="s">
        <v>186</v>
      </c>
      <c r="Q95" s="672" t="str">
        <f>VLOOKUP(G:G,list!B:F,5,FALSE)</f>
        <v>웹소설본부</v>
      </c>
      <c r="R95" s="656" t="str">
        <f>VLOOKUP(G:G,list!B:D,3,FALSE)</f>
        <v>Y</v>
      </c>
    </row>
    <row r="96" spans="2:18" ht="18" customHeight="1">
      <c r="B96" s="563">
        <v>91</v>
      </c>
      <c r="C96" s="651" t="str">
        <f>VLOOKUP(G:G,list!B:D,2,FALSE)</f>
        <v>원작료</v>
      </c>
      <c r="D96" s="564" t="s">
        <v>123</v>
      </c>
      <c r="E96" s="564" t="s">
        <v>9</v>
      </c>
      <c r="F96" s="564" t="s">
        <v>213</v>
      </c>
      <c r="G96" s="564" t="s">
        <v>454</v>
      </c>
      <c r="H96" s="565">
        <v>44854</v>
      </c>
      <c r="I96" s="652">
        <v>45566</v>
      </c>
      <c r="J96" s="653">
        <v>685560</v>
      </c>
      <c r="K96" s="603">
        <v>0.3</v>
      </c>
      <c r="L96" s="568">
        <v>205668</v>
      </c>
      <c r="M96" s="654">
        <f>VLOOKUP(G:G,list!B:E,4,FALSE)</f>
        <v>0.1</v>
      </c>
      <c r="N96" s="655">
        <f t="shared" si="0"/>
        <v>20567</v>
      </c>
      <c r="O96" s="655">
        <f t="shared" si="1"/>
        <v>185101</v>
      </c>
      <c r="P96" s="564" t="s">
        <v>186</v>
      </c>
      <c r="Q96" s="672" t="str">
        <f>VLOOKUP(G:G,list!B:F,5,FALSE)</f>
        <v>-</v>
      </c>
      <c r="R96" s="656" t="str">
        <f>VLOOKUP(G:G,list!B:D,3,FALSE)</f>
        <v>Y</v>
      </c>
    </row>
    <row r="97" spans="2:18" ht="18" customHeight="1">
      <c r="B97" s="650">
        <v>92</v>
      </c>
      <c r="C97" s="651" t="str">
        <f>VLOOKUP(G:G,list!B:D,2,FALSE)</f>
        <v>원작료</v>
      </c>
      <c r="D97" s="564" t="s">
        <v>123</v>
      </c>
      <c r="E97" s="564" t="s">
        <v>9</v>
      </c>
      <c r="F97" s="564" t="s">
        <v>213</v>
      </c>
      <c r="G97" s="564" t="s">
        <v>481</v>
      </c>
      <c r="H97" s="565">
        <v>44981</v>
      </c>
      <c r="I97" s="652">
        <v>45566</v>
      </c>
      <c r="J97" s="653">
        <v>237203</v>
      </c>
      <c r="K97" s="603">
        <v>0.3</v>
      </c>
      <c r="L97" s="568">
        <v>71161</v>
      </c>
      <c r="M97" s="654">
        <f>VLOOKUP(G:G,list!B:E,4,FALSE)</f>
        <v>0.1</v>
      </c>
      <c r="N97" s="655">
        <f t="shared" si="0"/>
        <v>7116</v>
      </c>
      <c r="O97" s="655">
        <f t="shared" si="1"/>
        <v>64045</v>
      </c>
      <c r="P97" s="564" t="s">
        <v>186</v>
      </c>
      <c r="Q97" s="672" t="str">
        <f>VLOOKUP(G:G,list!B:F,5,FALSE)</f>
        <v>웹소설본부</v>
      </c>
      <c r="R97" s="656" t="str">
        <f>VLOOKUP(G:G,list!B:D,3,FALSE)</f>
        <v>Y</v>
      </c>
    </row>
    <row r="98" spans="2:18" ht="18" customHeight="1">
      <c r="B98" s="563">
        <v>93</v>
      </c>
      <c r="C98" s="651" t="str">
        <f>VLOOKUP(G:G,list!B:D,2,FALSE)</f>
        <v>원작료</v>
      </c>
      <c r="D98" s="564" t="s">
        <v>123</v>
      </c>
      <c r="E98" s="564" t="s">
        <v>9</v>
      </c>
      <c r="F98" s="564" t="s">
        <v>213</v>
      </c>
      <c r="G98" s="564" t="s">
        <v>352</v>
      </c>
      <c r="H98" s="565">
        <v>44984</v>
      </c>
      <c r="I98" s="652">
        <v>45566</v>
      </c>
      <c r="J98" s="653">
        <v>215883</v>
      </c>
      <c r="K98" s="603">
        <v>0.3</v>
      </c>
      <c r="L98" s="568">
        <v>64765</v>
      </c>
      <c r="M98" s="654">
        <f>VLOOKUP(G:G,list!B:E,4,FALSE)</f>
        <v>0.1</v>
      </c>
      <c r="N98" s="655">
        <f t="shared" si="0"/>
        <v>6477</v>
      </c>
      <c r="O98" s="655">
        <f t="shared" si="1"/>
        <v>58288</v>
      </c>
      <c r="P98" s="564" t="s">
        <v>186</v>
      </c>
      <c r="Q98" s="672" t="str">
        <f>VLOOKUP(G:G,list!B:F,5,FALSE)</f>
        <v>웹소설본부</v>
      </c>
      <c r="R98" s="656" t="str">
        <f>VLOOKUP(G:G,list!B:D,3,FALSE)</f>
        <v>Y</v>
      </c>
    </row>
    <row r="99" spans="2:18" ht="18" customHeight="1">
      <c r="B99" s="650">
        <v>94</v>
      </c>
      <c r="C99" s="651" t="str">
        <f>VLOOKUP(G:G,list!B:D,2,FALSE)</f>
        <v>원작료</v>
      </c>
      <c r="D99" s="564" t="s">
        <v>72</v>
      </c>
      <c r="E99" s="564" t="s">
        <v>9</v>
      </c>
      <c r="F99" s="564" t="s">
        <v>213</v>
      </c>
      <c r="G99" s="564" t="s">
        <v>454</v>
      </c>
      <c r="H99" s="565">
        <v>44902</v>
      </c>
      <c r="I99" s="652">
        <v>45536</v>
      </c>
      <c r="J99" s="653">
        <v>3228727</v>
      </c>
      <c r="K99" s="603">
        <v>0.3</v>
      </c>
      <c r="L99" s="568">
        <v>968618</v>
      </c>
      <c r="M99" s="654">
        <f>VLOOKUP(G:G,list!B:E,4,FALSE)</f>
        <v>0.1</v>
      </c>
      <c r="N99" s="655">
        <f t="shared" ref="N99:N100" si="12">ROUND(IF(M99="-",0,L99*M99),0)</f>
        <v>96862</v>
      </c>
      <c r="O99" s="655">
        <f t="shared" ref="O99:O100" si="13">L99-N99</f>
        <v>871756</v>
      </c>
      <c r="P99" s="564" t="s">
        <v>282</v>
      </c>
      <c r="Q99" s="672" t="str">
        <f>VLOOKUP(G:G,list!B:F,5,FALSE)</f>
        <v>-</v>
      </c>
      <c r="R99" s="656" t="str">
        <f>VLOOKUP(G:G,list!B:D,3,FALSE)</f>
        <v>Y</v>
      </c>
    </row>
    <row r="100" spans="2:18" ht="18" customHeight="1">
      <c r="B100" s="563">
        <v>95</v>
      </c>
      <c r="C100" s="651" t="str">
        <f>VLOOKUP(G:G,list!B:D,2,FALSE)</f>
        <v>원작료</v>
      </c>
      <c r="D100" s="564" t="s">
        <v>72</v>
      </c>
      <c r="E100" s="564" t="s">
        <v>9</v>
      </c>
      <c r="F100" s="564" t="s">
        <v>213</v>
      </c>
      <c r="G100" s="564" t="s">
        <v>454</v>
      </c>
      <c r="H100" s="565">
        <v>45257</v>
      </c>
      <c r="I100" s="652">
        <v>45536</v>
      </c>
      <c r="J100" s="653">
        <v>119597</v>
      </c>
      <c r="K100" s="603">
        <v>0.3</v>
      </c>
      <c r="L100" s="568">
        <v>35879</v>
      </c>
      <c r="M100" s="654">
        <f>VLOOKUP(G:G,list!B:E,4,FALSE)</f>
        <v>0.1</v>
      </c>
      <c r="N100" s="655">
        <f t="shared" si="12"/>
        <v>3588</v>
      </c>
      <c r="O100" s="655">
        <f t="shared" si="13"/>
        <v>32291</v>
      </c>
      <c r="P100" s="564" t="s">
        <v>546</v>
      </c>
      <c r="Q100" s="672" t="str">
        <f>VLOOKUP(G:G,list!B:F,5,FALSE)</f>
        <v>-</v>
      </c>
      <c r="R100" s="656" t="str">
        <f>VLOOKUP(G:G,list!B:D,3,FALSE)</f>
        <v>Y</v>
      </c>
    </row>
    <row r="101" spans="2:18" ht="18" customHeight="1">
      <c r="B101" s="650">
        <v>96</v>
      </c>
      <c r="C101" s="651" t="str">
        <f>VLOOKUP(G:G,list!B:D,2,FALSE)</f>
        <v>원작료</v>
      </c>
      <c r="D101" s="564" t="s">
        <v>229</v>
      </c>
      <c r="E101" s="564" t="s">
        <v>9</v>
      </c>
      <c r="F101" s="564" t="s">
        <v>230</v>
      </c>
      <c r="G101" s="564" t="s">
        <v>353</v>
      </c>
      <c r="H101" s="565">
        <v>44916</v>
      </c>
      <c r="I101" s="652">
        <v>45474</v>
      </c>
      <c r="J101" s="653">
        <v>2142329</v>
      </c>
      <c r="K101" s="603">
        <v>0.35</v>
      </c>
      <c r="L101" s="568">
        <v>674833</v>
      </c>
      <c r="M101" s="654">
        <f>VLOOKUP(G:G,list!B:E,4,FALSE)</f>
        <v>0.11</v>
      </c>
      <c r="N101" s="655">
        <f t="shared" ref="N101:N106" si="14">ROUND(IF(M101="-",0,L101*M101),0)</f>
        <v>74232</v>
      </c>
      <c r="O101" s="655">
        <f t="shared" ref="O101:O106" si="15">L101-N101</f>
        <v>600601</v>
      </c>
      <c r="P101" s="564"/>
      <c r="Q101" s="672" t="str">
        <f>VLOOKUP(G:G,list!B:F,5,FALSE)</f>
        <v>-</v>
      </c>
      <c r="R101" s="656" t="str">
        <f>VLOOKUP(G:G,list!B:D,3,FALSE)</f>
        <v>N</v>
      </c>
    </row>
    <row r="102" spans="2:18" ht="18" customHeight="1">
      <c r="B102" s="563">
        <v>97</v>
      </c>
      <c r="C102" s="651" t="str">
        <f>VLOOKUP(G:G,list!B:D,2,FALSE)</f>
        <v>원작료</v>
      </c>
      <c r="D102" s="564" t="s">
        <v>229</v>
      </c>
      <c r="E102" s="564" t="s">
        <v>9</v>
      </c>
      <c r="F102" s="564" t="s">
        <v>230</v>
      </c>
      <c r="G102" s="564" t="s">
        <v>352</v>
      </c>
      <c r="H102" s="565">
        <v>45106</v>
      </c>
      <c r="I102" s="652">
        <v>45474</v>
      </c>
      <c r="J102" s="653">
        <v>170280</v>
      </c>
      <c r="K102" s="603">
        <v>0.35</v>
      </c>
      <c r="L102" s="568">
        <v>53638</v>
      </c>
      <c r="M102" s="654">
        <f>VLOOKUP(G:G,list!B:E,4,FALSE)</f>
        <v>0.1</v>
      </c>
      <c r="N102" s="655">
        <f t="shared" si="14"/>
        <v>5364</v>
      </c>
      <c r="O102" s="655">
        <f t="shared" si="15"/>
        <v>48274</v>
      </c>
      <c r="P102" s="564"/>
      <c r="Q102" s="672" t="str">
        <f>VLOOKUP(G:G,list!B:F,5,FALSE)</f>
        <v>웹소설본부</v>
      </c>
      <c r="R102" s="656" t="str">
        <f>VLOOKUP(G:G,list!B:D,3,FALSE)</f>
        <v>Y</v>
      </c>
    </row>
    <row r="103" spans="2:18" ht="18" customHeight="1">
      <c r="B103" s="650">
        <v>98</v>
      </c>
      <c r="C103" s="651" t="str">
        <f>VLOOKUP(G:G,list!B:D,2,FALSE)</f>
        <v>원작료</v>
      </c>
      <c r="D103" s="564" t="s">
        <v>229</v>
      </c>
      <c r="E103" s="564" t="s">
        <v>9</v>
      </c>
      <c r="F103" s="564" t="s">
        <v>230</v>
      </c>
      <c r="G103" s="564" t="s">
        <v>353</v>
      </c>
      <c r="H103" s="565">
        <v>44916</v>
      </c>
      <c r="I103" s="652">
        <v>45505</v>
      </c>
      <c r="J103" s="653">
        <v>1867955</v>
      </c>
      <c r="K103" s="603">
        <v>0.35</v>
      </c>
      <c r="L103" s="568">
        <v>588405</v>
      </c>
      <c r="M103" s="654">
        <f>VLOOKUP(G:G,list!B:E,4,FALSE)</f>
        <v>0.11</v>
      </c>
      <c r="N103" s="655">
        <f t="shared" si="14"/>
        <v>64725</v>
      </c>
      <c r="O103" s="655">
        <f t="shared" si="15"/>
        <v>523680</v>
      </c>
      <c r="P103" s="564"/>
      <c r="Q103" s="672" t="str">
        <f>VLOOKUP(G:G,list!B:F,5,FALSE)</f>
        <v>-</v>
      </c>
      <c r="R103" s="656" t="str">
        <f>VLOOKUP(G:G,list!B:D,3,FALSE)</f>
        <v>N</v>
      </c>
    </row>
    <row r="104" spans="2:18" ht="18" customHeight="1">
      <c r="B104" s="563">
        <v>99</v>
      </c>
      <c r="C104" s="651" t="str">
        <f>VLOOKUP(G:G,list!B:D,2,FALSE)</f>
        <v>원작료</v>
      </c>
      <c r="D104" s="564" t="s">
        <v>229</v>
      </c>
      <c r="E104" s="564" t="s">
        <v>9</v>
      </c>
      <c r="F104" s="564" t="s">
        <v>230</v>
      </c>
      <c r="G104" s="564" t="s">
        <v>352</v>
      </c>
      <c r="H104" s="565">
        <v>45106</v>
      </c>
      <c r="I104" s="652">
        <v>45505</v>
      </c>
      <c r="J104" s="653">
        <v>126599</v>
      </c>
      <c r="K104" s="603">
        <v>0.35</v>
      </c>
      <c r="L104" s="568">
        <v>39878</v>
      </c>
      <c r="M104" s="654">
        <f>VLOOKUP(G:G,list!B:E,4,FALSE)</f>
        <v>0.1</v>
      </c>
      <c r="N104" s="655">
        <f t="shared" si="14"/>
        <v>3988</v>
      </c>
      <c r="O104" s="655">
        <f t="shared" si="15"/>
        <v>35890</v>
      </c>
      <c r="P104" s="564"/>
      <c r="Q104" s="672" t="str">
        <f>VLOOKUP(G:G,list!B:F,5,FALSE)</f>
        <v>웹소설본부</v>
      </c>
      <c r="R104" s="656" t="str">
        <f>VLOOKUP(G:G,list!B:D,3,FALSE)</f>
        <v>Y</v>
      </c>
    </row>
    <row r="105" spans="2:18" ht="18" customHeight="1">
      <c r="B105" s="650">
        <v>100</v>
      </c>
      <c r="C105" s="651" t="str">
        <f>VLOOKUP(G:G,list!B:D,2,FALSE)</f>
        <v>원작료</v>
      </c>
      <c r="D105" s="564" t="s">
        <v>229</v>
      </c>
      <c r="E105" s="564" t="s">
        <v>9</v>
      </c>
      <c r="F105" s="564" t="s">
        <v>230</v>
      </c>
      <c r="G105" s="564" t="s">
        <v>353</v>
      </c>
      <c r="H105" s="565">
        <v>44916</v>
      </c>
      <c r="I105" s="652">
        <v>45536</v>
      </c>
      <c r="J105" s="653">
        <v>1615399</v>
      </c>
      <c r="K105" s="603">
        <v>0.35</v>
      </c>
      <c r="L105" s="568">
        <v>508850</v>
      </c>
      <c r="M105" s="654">
        <f>VLOOKUP(G:G,list!B:E,4,FALSE)</f>
        <v>0.11</v>
      </c>
      <c r="N105" s="655">
        <f t="shared" si="14"/>
        <v>55974</v>
      </c>
      <c r="O105" s="655">
        <f t="shared" si="15"/>
        <v>452876</v>
      </c>
      <c r="P105" s="564"/>
      <c r="Q105" s="672" t="str">
        <f>VLOOKUP(G:G,list!B:F,5,FALSE)</f>
        <v>-</v>
      </c>
      <c r="R105" s="656" t="str">
        <f>VLOOKUP(G:G,list!B:D,3,FALSE)</f>
        <v>N</v>
      </c>
    </row>
    <row r="106" spans="2:18" ht="18" customHeight="1">
      <c r="B106" s="563">
        <v>101</v>
      </c>
      <c r="C106" s="651" t="str">
        <f>VLOOKUP(G:G,list!B:D,2,FALSE)</f>
        <v>원작료</v>
      </c>
      <c r="D106" s="564" t="s">
        <v>229</v>
      </c>
      <c r="E106" s="564" t="s">
        <v>9</v>
      </c>
      <c r="F106" s="564" t="s">
        <v>230</v>
      </c>
      <c r="G106" s="564" t="s">
        <v>352</v>
      </c>
      <c r="H106" s="565">
        <v>45106</v>
      </c>
      <c r="I106" s="652">
        <v>45536</v>
      </c>
      <c r="J106" s="653">
        <v>1532119</v>
      </c>
      <c r="K106" s="603">
        <v>0.35</v>
      </c>
      <c r="L106" s="568">
        <v>482617</v>
      </c>
      <c r="M106" s="654">
        <f>VLOOKUP(G:G,list!B:E,4,FALSE)</f>
        <v>0.1</v>
      </c>
      <c r="N106" s="655">
        <f t="shared" si="14"/>
        <v>48262</v>
      </c>
      <c r="O106" s="655">
        <f t="shared" si="15"/>
        <v>434355</v>
      </c>
      <c r="P106" s="564"/>
      <c r="Q106" s="672" t="str">
        <f>VLOOKUP(G:G,list!B:F,5,FALSE)</f>
        <v>웹소설본부</v>
      </c>
      <c r="R106" s="656" t="str">
        <f>VLOOKUP(G:G,list!B:D,3,FALSE)</f>
        <v>Y</v>
      </c>
    </row>
    <row r="107" spans="2:18" ht="18" customHeight="1">
      <c r="B107" s="650">
        <v>102</v>
      </c>
      <c r="C107" s="651" t="str">
        <f>VLOOKUP(G:G,list!B:D,2,FALSE)</f>
        <v>원작료</v>
      </c>
      <c r="D107" s="564" t="s">
        <v>79</v>
      </c>
      <c r="E107" s="564" t="s">
        <v>9</v>
      </c>
      <c r="F107" s="564" t="s">
        <v>297</v>
      </c>
      <c r="G107" s="564" t="s">
        <v>56</v>
      </c>
      <c r="H107" s="565">
        <v>44625</v>
      </c>
      <c r="I107" s="652">
        <v>45474</v>
      </c>
      <c r="J107" s="653">
        <v>189936</v>
      </c>
      <c r="K107" s="603">
        <v>0.28000000000000003</v>
      </c>
      <c r="L107" s="568">
        <v>44286</v>
      </c>
      <c r="M107" s="654">
        <f>VLOOKUP(G:G,list!B:E,4,FALSE)</f>
        <v>0.1</v>
      </c>
      <c r="N107" s="655">
        <f t="shared" ref="N107:N115" si="16">ROUND(IF(M107="-",0,L107*M107),0)</f>
        <v>4429</v>
      </c>
      <c r="O107" s="655">
        <f t="shared" ref="O107:O115" si="17">L107-N107</f>
        <v>39857</v>
      </c>
      <c r="P107" s="564"/>
      <c r="Q107" s="672" t="str">
        <f>VLOOKUP(G:G,list!B:F,5,FALSE)</f>
        <v>웹소설본부</v>
      </c>
      <c r="R107" s="656" t="str">
        <f>VLOOKUP(G:G,list!B:D,3,FALSE)</f>
        <v>Y</v>
      </c>
    </row>
    <row r="108" spans="2:18" ht="18" customHeight="1">
      <c r="B108" s="563">
        <v>103</v>
      </c>
      <c r="C108" s="651" t="str">
        <f>VLOOKUP(G:G,list!B:D,2,FALSE)</f>
        <v>원작료</v>
      </c>
      <c r="D108" s="564" t="s">
        <v>79</v>
      </c>
      <c r="E108" s="564" t="s">
        <v>9</v>
      </c>
      <c r="F108" s="564" t="s">
        <v>297</v>
      </c>
      <c r="G108" s="564" t="s">
        <v>316</v>
      </c>
      <c r="H108" s="565">
        <v>44802</v>
      </c>
      <c r="I108" s="652">
        <v>45474</v>
      </c>
      <c r="J108" s="653">
        <v>22954</v>
      </c>
      <c r="K108" s="603">
        <v>0.28000000000000003</v>
      </c>
      <c r="L108" s="568">
        <v>5356</v>
      </c>
      <c r="M108" s="654">
        <f>VLOOKUP(G:G,list!B:E,4,FALSE)</f>
        <v>0.1</v>
      </c>
      <c r="N108" s="655">
        <f t="shared" si="16"/>
        <v>536</v>
      </c>
      <c r="O108" s="655">
        <f t="shared" si="17"/>
        <v>4820</v>
      </c>
      <c r="P108" s="564"/>
      <c r="Q108" s="672" t="str">
        <f>VLOOKUP(G:G,list!B:F,5,FALSE)</f>
        <v>웹소설본부</v>
      </c>
      <c r="R108" s="656" t="str">
        <f>VLOOKUP(G:G,list!B:D,3,FALSE)</f>
        <v>Y</v>
      </c>
    </row>
    <row r="109" spans="2:18" ht="18" customHeight="1">
      <c r="B109" s="650">
        <v>104</v>
      </c>
      <c r="C109" s="651" t="str">
        <f>VLOOKUP(G:G,list!B:D,2,FALSE)</f>
        <v>원작료</v>
      </c>
      <c r="D109" s="564" t="s">
        <v>79</v>
      </c>
      <c r="E109" s="564" t="s">
        <v>9</v>
      </c>
      <c r="F109" s="564" t="s">
        <v>297</v>
      </c>
      <c r="G109" s="564" t="s">
        <v>352</v>
      </c>
      <c r="H109" s="565">
        <v>44916</v>
      </c>
      <c r="I109" s="652">
        <v>45474</v>
      </c>
      <c r="J109" s="653">
        <v>43208</v>
      </c>
      <c r="K109" s="603">
        <v>0.28000000000000003</v>
      </c>
      <c r="L109" s="568">
        <v>10491</v>
      </c>
      <c r="M109" s="654">
        <f>VLOOKUP(G:G,list!B:E,4,FALSE)</f>
        <v>0.1</v>
      </c>
      <c r="N109" s="655">
        <f t="shared" si="16"/>
        <v>1049</v>
      </c>
      <c r="O109" s="655">
        <f t="shared" si="17"/>
        <v>9442</v>
      </c>
      <c r="P109" s="564"/>
      <c r="Q109" s="672" t="str">
        <f>VLOOKUP(G:G,list!B:F,5,FALSE)</f>
        <v>웹소설본부</v>
      </c>
      <c r="R109" s="656" t="str">
        <f>VLOOKUP(G:G,list!B:D,3,FALSE)</f>
        <v>Y</v>
      </c>
    </row>
    <row r="110" spans="2:18" ht="18" customHeight="1">
      <c r="B110" s="563">
        <v>105</v>
      </c>
      <c r="C110" s="651" t="str">
        <f>VLOOKUP(G:G,list!B:D,2,FALSE)</f>
        <v>원작료</v>
      </c>
      <c r="D110" s="564" t="s">
        <v>79</v>
      </c>
      <c r="E110" s="564" t="s">
        <v>9</v>
      </c>
      <c r="F110" s="564" t="s">
        <v>297</v>
      </c>
      <c r="G110" s="564" t="s">
        <v>56</v>
      </c>
      <c r="H110" s="565">
        <v>44625</v>
      </c>
      <c r="I110" s="652">
        <v>45505</v>
      </c>
      <c r="J110" s="653">
        <v>100224</v>
      </c>
      <c r="K110" s="603">
        <v>0.28000000000000003</v>
      </c>
      <c r="L110" s="568">
        <v>23472</v>
      </c>
      <c r="M110" s="654">
        <f>VLOOKUP(G:G,list!B:E,4,FALSE)</f>
        <v>0.1</v>
      </c>
      <c r="N110" s="655">
        <f t="shared" si="16"/>
        <v>2347</v>
      </c>
      <c r="O110" s="655">
        <f t="shared" si="17"/>
        <v>21125</v>
      </c>
      <c r="P110" s="564"/>
      <c r="Q110" s="672" t="str">
        <f>VLOOKUP(G:G,list!B:F,5,FALSE)</f>
        <v>웹소설본부</v>
      </c>
      <c r="R110" s="656" t="str">
        <f>VLOOKUP(G:G,list!B:D,3,FALSE)</f>
        <v>Y</v>
      </c>
    </row>
    <row r="111" spans="2:18" ht="18" customHeight="1">
      <c r="B111" s="650">
        <v>106</v>
      </c>
      <c r="C111" s="651" t="str">
        <f>VLOOKUP(G:G,list!B:D,2,FALSE)</f>
        <v>원작료</v>
      </c>
      <c r="D111" s="564" t="s">
        <v>79</v>
      </c>
      <c r="E111" s="564" t="s">
        <v>9</v>
      </c>
      <c r="F111" s="564" t="s">
        <v>297</v>
      </c>
      <c r="G111" s="564" t="s">
        <v>316</v>
      </c>
      <c r="H111" s="565">
        <v>44802</v>
      </c>
      <c r="I111" s="652">
        <v>45505</v>
      </c>
      <c r="J111" s="653">
        <v>40627</v>
      </c>
      <c r="K111" s="603">
        <v>0.28000000000000003</v>
      </c>
      <c r="L111" s="568">
        <v>9522</v>
      </c>
      <c r="M111" s="654">
        <f>VLOOKUP(G:G,list!B:E,4,FALSE)</f>
        <v>0.1</v>
      </c>
      <c r="N111" s="655">
        <f t="shared" si="16"/>
        <v>952</v>
      </c>
      <c r="O111" s="655">
        <f t="shared" si="17"/>
        <v>8570</v>
      </c>
      <c r="P111" s="564"/>
      <c r="Q111" s="672" t="str">
        <f>VLOOKUP(G:G,list!B:F,5,FALSE)</f>
        <v>웹소설본부</v>
      </c>
      <c r="R111" s="656" t="str">
        <f>VLOOKUP(G:G,list!B:D,3,FALSE)</f>
        <v>Y</v>
      </c>
    </row>
    <row r="112" spans="2:18" ht="18" customHeight="1">
      <c r="B112" s="563">
        <v>107</v>
      </c>
      <c r="C112" s="651" t="str">
        <f>VLOOKUP(G:G,list!B:D,2,FALSE)</f>
        <v>원작료</v>
      </c>
      <c r="D112" s="564" t="s">
        <v>79</v>
      </c>
      <c r="E112" s="564" t="s">
        <v>9</v>
      </c>
      <c r="F112" s="564" t="s">
        <v>297</v>
      </c>
      <c r="G112" s="564" t="s">
        <v>352</v>
      </c>
      <c r="H112" s="565">
        <v>44916</v>
      </c>
      <c r="I112" s="652">
        <v>45505</v>
      </c>
      <c r="J112" s="653">
        <v>45556</v>
      </c>
      <c r="K112" s="603">
        <v>0.28000000000000003</v>
      </c>
      <c r="L112" s="568">
        <v>11111</v>
      </c>
      <c r="M112" s="654">
        <f>VLOOKUP(G:G,list!B:E,4,FALSE)</f>
        <v>0.1</v>
      </c>
      <c r="N112" s="655">
        <f t="shared" si="16"/>
        <v>1111</v>
      </c>
      <c r="O112" s="655">
        <f t="shared" si="17"/>
        <v>10000</v>
      </c>
      <c r="P112" s="564"/>
      <c r="Q112" s="672" t="str">
        <f>VLOOKUP(G:G,list!B:F,5,FALSE)</f>
        <v>웹소설본부</v>
      </c>
      <c r="R112" s="656" t="str">
        <f>VLOOKUP(G:G,list!B:D,3,FALSE)</f>
        <v>Y</v>
      </c>
    </row>
    <row r="113" spans="2:18" ht="18" customHeight="1">
      <c r="B113" s="650">
        <v>108</v>
      </c>
      <c r="C113" s="651" t="str">
        <f>VLOOKUP(G:G,list!B:D,2,FALSE)</f>
        <v>원작료</v>
      </c>
      <c r="D113" s="564" t="s">
        <v>79</v>
      </c>
      <c r="E113" s="564" t="s">
        <v>9</v>
      </c>
      <c r="F113" s="564" t="s">
        <v>297</v>
      </c>
      <c r="G113" s="564" t="s">
        <v>56</v>
      </c>
      <c r="H113" s="565">
        <v>44625</v>
      </c>
      <c r="I113" s="652">
        <v>45536</v>
      </c>
      <c r="J113" s="653">
        <v>88767</v>
      </c>
      <c r="K113" s="603">
        <v>0.28000000000000003</v>
      </c>
      <c r="L113" s="568">
        <v>20849</v>
      </c>
      <c r="M113" s="654">
        <f>VLOOKUP(G:G,list!B:E,4,FALSE)</f>
        <v>0.1</v>
      </c>
      <c r="N113" s="655">
        <f t="shared" si="16"/>
        <v>2085</v>
      </c>
      <c r="O113" s="655">
        <f t="shared" si="17"/>
        <v>18764</v>
      </c>
      <c r="P113" s="564"/>
      <c r="Q113" s="672" t="str">
        <f>VLOOKUP(G:G,list!B:F,5,FALSE)</f>
        <v>웹소설본부</v>
      </c>
      <c r="R113" s="656" t="str">
        <f>VLOOKUP(G:G,list!B:D,3,FALSE)</f>
        <v>Y</v>
      </c>
    </row>
    <row r="114" spans="2:18" ht="18" customHeight="1">
      <c r="B114" s="563">
        <v>109</v>
      </c>
      <c r="C114" s="651" t="str">
        <f>VLOOKUP(G:G,list!B:D,2,FALSE)</f>
        <v>원작료</v>
      </c>
      <c r="D114" s="564" t="s">
        <v>79</v>
      </c>
      <c r="E114" s="564" t="s">
        <v>9</v>
      </c>
      <c r="F114" s="564" t="s">
        <v>297</v>
      </c>
      <c r="G114" s="564" t="s">
        <v>316</v>
      </c>
      <c r="H114" s="565">
        <v>44802</v>
      </c>
      <c r="I114" s="652">
        <v>45536</v>
      </c>
      <c r="J114" s="653">
        <v>297</v>
      </c>
      <c r="K114" s="603">
        <v>0.28000000000000003</v>
      </c>
      <c r="L114" s="568">
        <v>70</v>
      </c>
      <c r="M114" s="654">
        <f>VLOOKUP(G:G,list!B:E,4,FALSE)</f>
        <v>0.1</v>
      </c>
      <c r="N114" s="655">
        <f t="shared" si="16"/>
        <v>7</v>
      </c>
      <c r="O114" s="655">
        <f t="shared" si="17"/>
        <v>63</v>
      </c>
      <c r="P114" s="564"/>
      <c r="Q114" s="672" t="str">
        <f>VLOOKUP(G:G,list!B:F,5,FALSE)</f>
        <v>웹소설본부</v>
      </c>
      <c r="R114" s="656" t="str">
        <f>VLOOKUP(G:G,list!B:D,3,FALSE)</f>
        <v>Y</v>
      </c>
    </row>
    <row r="115" spans="2:18" ht="18" customHeight="1">
      <c r="B115" s="650">
        <v>110</v>
      </c>
      <c r="C115" s="651" t="str">
        <f>VLOOKUP(G:G,list!B:D,2,FALSE)</f>
        <v>원작료</v>
      </c>
      <c r="D115" s="564" t="s">
        <v>79</v>
      </c>
      <c r="E115" s="564" t="s">
        <v>9</v>
      </c>
      <c r="F115" s="564" t="s">
        <v>297</v>
      </c>
      <c r="G115" s="564" t="s">
        <v>352</v>
      </c>
      <c r="H115" s="565">
        <v>44916</v>
      </c>
      <c r="I115" s="652">
        <v>45536</v>
      </c>
      <c r="J115" s="653">
        <v>42262</v>
      </c>
      <c r="K115" s="603">
        <v>0.28000000000000003</v>
      </c>
      <c r="L115" s="568">
        <v>10337</v>
      </c>
      <c r="M115" s="654">
        <f>VLOOKUP(G:G,list!B:E,4,FALSE)</f>
        <v>0.1</v>
      </c>
      <c r="N115" s="655">
        <f t="shared" si="16"/>
        <v>1034</v>
      </c>
      <c r="O115" s="655">
        <f t="shared" si="17"/>
        <v>9303</v>
      </c>
      <c r="P115" s="564"/>
      <c r="Q115" s="672" t="str">
        <f>VLOOKUP(G:G,list!B:F,5,FALSE)</f>
        <v>웹소설본부</v>
      </c>
      <c r="R115" s="656" t="str">
        <f>VLOOKUP(G:G,list!B:D,3,FALSE)</f>
        <v>Y</v>
      </c>
    </row>
    <row r="116" spans="2:18" ht="18" customHeight="1">
      <c r="B116" s="563">
        <v>111</v>
      </c>
      <c r="C116" s="651" t="str">
        <f>VLOOKUP(G:G,list!B:D,2,FALSE)</f>
        <v>작가기획</v>
      </c>
      <c r="D116" s="564" t="s">
        <v>177</v>
      </c>
      <c r="E116" s="564" t="s">
        <v>9</v>
      </c>
      <c r="F116" s="564" t="s">
        <v>246</v>
      </c>
      <c r="G116" s="564" t="s">
        <v>36</v>
      </c>
      <c r="H116" s="565">
        <v>44505</v>
      </c>
      <c r="I116" s="652">
        <v>45474</v>
      </c>
      <c r="J116" s="653">
        <v>7519</v>
      </c>
      <c r="K116" s="603">
        <v>0.4</v>
      </c>
      <c r="L116" s="568">
        <v>3007</v>
      </c>
      <c r="M116" s="654" t="str">
        <f>VLOOKUP(G:G,list!B:E,4,FALSE)</f>
        <v>-</v>
      </c>
      <c r="N116" s="655">
        <f t="shared" ref="N116:N118" si="18">ROUND(IF(M116="-",0,L116*M116),0)</f>
        <v>0</v>
      </c>
      <c r="O116" s="655">
        <f t="shared" ref="O116:O118" si="19">L116-N116</f>
        <v>3007</v>
      </c>
      <c r="P116" s="564"/>
      <c r="Q116" s="672" t="str">
        <f>VLOOKUP(G:G,list!B:F,5,FALSE)</f>
        <v>-</v>
      </c>
      <c r="R116" s="656" t="str">
        <f>VLOOKUP(G:G,list!B:D,3,FALSE)</f>
        <v>Y</v>
      </c>
    </row>
    <row r="117" spans="2:18" ht="18" customHeight="1">
      <c r="B117" s="650">
        <v>112</v>
      </c>
      <c r="C117" s="651" t="str">
        <f>VLOOKUP(G:G,list!B:D,2,FALSE)</f>
        <v>작가기획</v>
      </c>
      <c r="D117" s="564" t="s">
        <v>177</v>
      </c>
      <c r="E117" s="564" t="s">
        <v>9</v>
      </c>
      <c r="F117" s="564" t="s">
        <v>246</v>
      </c>
      <c r="G117" s="564" t="s">
        <v>36</v>
      </c>
      <c r="H117" s="565">
        <v>44505</v>
      </c>
      <c r="I117" s="652">
        <v>45505</v>
      </c>
      <c r="J117" s="653">
        <v>564</v>
      </c>
      <c r="K117" s="603">
        <v>0.4</v>
      </c>
      <c r="L117" s="568">
        <v>226</v>
      </c>
      <c r="M117" s="654" t="str">
        <f>VLOOKUP(G:G,list!B:E,4,FALSE)</f>
        <v>-</v>
      </c>
      <c r="N117" s="655">
        <f t="shared" si="18"/>
        <v>0</v>
      </c>
      <c r="O117" s="655">
        <f t="shared" si="19"/>
        <v>226</v>
      </c>
      <c r="P117" s="564"/>
      <c r="Q117" s="672" t="str">
        <f>VLOOKUP(G:G,list!B:F,5,FALSE)</f>
        <v>-</v>
      </c>
      <c r="R117" s="656" t="str">
        <f>VLOOKUP(G:G,list!B:D,3,FALSE)</f>
        <v>Y</v>
      </c>
    </row>
    <row r="118" spans="2:18" ht="18" customHeight="1">
      <c r="B118" s="563">
        <v>113</v>
      </c>
      <c r="C118" s="651" t="str">
        <f>VLOOKUP(G:G,list!B:D,2,FALSE)</f>
        <v>작가기획</v>
      </c>
      <c r="D118" s="564" t="s">
        <v>177</v>
      </c>
      <c r="E118" s="564" t="s">
        <v>9</v>
      </c>
      <c r="F118" s="564" t="s">
        <v>246</v>
      </c>
      <c r="G118" s="564" t="s">
        <v>36</v>
      </c>
      <c r="H118" s="565">
        <v>44505</v>
      </c>
      <c r="I118" s="652">
        <v>45536</v>
      </c>
      <c r="J118" s="653">
        <v>1128</v>
      </c>
      <c r="K118" s="603">
        <v>0.4</v>
      </c>
      <c r="L118" s="568">
        <v>451</v>
      </c>
      <c r="M118" s="654" t="str">
        <f>VLOOKUP(G:G,list!B:E,4,FALSE)</f>
        <v>-</v>
      </c>
      <c r="N118" s="655">
        <f t="shared" si="18"/>
        <v>0</v>
      </c>
      <c r="O118" s="655">
        <f t="shared" si="19"/>
        <v>451</v>
      </c>
      <c r="P118" s="564"/>
      <c r="Q118" s="672" t="str">
        <f>VLOOKUP(G:G,list!B:F,5,FALSE)</f>
        <v>-</v>
      </c>
      <c r="R118" s="656" t="str">
        <f>VLOOKUP(G:G,list!B:D,3,FALSE)</f>
        <v>Y</v>
      </c>
    </row>
    <row r="119" spans="2:18" ht="18" customHeight="1">
      <c r="B119" s="650">
        <v>114</v>
      </c>
      <c r="C119" s="651" t="str">
        <f>VLOOKUP(G:G,list!B:D,2,FALSE)</f>
        <v>원작료</v>
      </c>
      <c r="D119" s="564" t="s">
        <v>182</v>
      </c>
      <c r="E119" s="564" t="s">
        <v>115</v>
      </c>
      <c r="F119" s="564" t="s">
        <v>283</v>
      </c>
      <c r="G119" s="564" t="s">
        <v>30</v>
      </c>
      <c r="H119" s="565">
        <v>44358</v>
      </c>
      <c r="I119" s="652">
        <v>45474</v>
      </c>
      <c r="J119" s="653">
        <v>170646</v>
      </c>
      <c r="K119" s="603">
        <v>0.5</v>
      </c>
      <c r="L119" s="568">
        <v>85323</v>
      </c>
      <c r="M119" s="654">
        <f>VLOOKUP(G:G,list!B:E,4,FALSE)</f>
        <v>0.1</v>
      </c>
      <c r="N119" s="655">
        <f t="shared" ref="N119:N127" si="20">ROUND(IF(M119="-",0,L119*M119),0)</f>
        <v>8532</v>
      </c>
      <c r="O119" s="655">
        <f t="shared" ref="O119:O127" si="21">L119-N119</f>
        <v>76791</v>
      </c>
      <c r="P119" s="564"/>
      <c r="Q119" s="672" t="str">
        <f>VLOOKUP(G:G,list!B:F,5,FALSE)</f>
        <v>웹소설본부</v>
      </c>
      <c r="R119" s="656" t="str">
        <f>VLOOKUP(G:G,list!B:D,3,FALSE)</f>
        <v>Y</v>
      </c>
    </row>
    <row r="120" spans="2:18" ht="18" customHeight="1">
      <c r="B120" s="563">
        <v>115</v>
      </c>
      <c r="C120" s="651" t="str">
        <f>VLOOKUP(G:G,list!B:D,2,FALSE)</f>
        <v>원작료</v>
      </c>
      <c r="D120" s="564" t="s">
        <v>182</v>
      </c>
      <c r="E120" s="564" t="s">
        <v>115</v>
      </c>
      <c r="F120" s="564" t="s">
        <v>283</v>
      </c>
      <c r="G120" s="564" t="s">
        <v>30</v>
      </c>
      <c r="H120" s="565">
        <v>44358</v>
      </c>
      <c r="I120" s="652">
        <v>45505</v>
      </c>
      <c r="J120" s="653">
        <v>119082</v>
      </c>
      <c r="K120" s="603">
        <v>0.5</v>
      </c>
      <c r="L120" s="568">
        <v>59541</v>
      </c>
      <c r="M120" s="654">
        <f>VLOOKUP(G:G,list!B:E,4,FALSE)</f>
        <v>0.1</v>
      </c>
      <c r="N120" s="655">
        <f t="shared" si="20"/>
        <v>5954</v>
      </c>
      <c r="O120" s="655">
        <f t="shared" si="21"/>
        <v>53587</v>
      </c>
      <c r="P120" s="564"/>
      <c r="Q120" s="672" t="str">
        <f>VLOOKUP(G:G,list!B:F,5,FALSE)</f>
        <v>웹소설본부</v>
      </c>
      <c r="R120" s="656" t="str">
        <f>VLOOKUP(G:G,list!B:D,3,FALSE)</f>
        <v>Y</v>
      </c>
    </row>
    <row r="121" spans="2:18" ht="18" customHeight="1">
      <c r="B121" s="650">
        <v>116</v>
      </c>
      <c r="C121" s="651" t="str">
        <f>VLOOKUP(G:G,list!B:D,2,FALSE)</f>
        <v>원작료</v>
      </c>
      <c r="D121" s="564" t="s">
        <v>182</v>
      </c>
      <c r="E121" s="564" t="s">
        <v>115</v>
      </c>
      <c r="F121" s="564" t="s">
        <v>283</v>
      </c>
      <c r="G121" s="564" t="s">
        <v>30</v>
      </c>
      <c r="H121" s="565">
        <v>44358</v>
      </c>
      <c r="I121" s="652">
        <v>45536</v>
      </c>
      <c r="J121" s="653">
        <v>84162</v>
      </c>
      <c r="K121" s="603">
        <v>0.5</v>
      </c>
      <c r="L121" s="568">
        <v>42081</v>
      </c>
      <c r="M121" s="654">
        <f>VLOOKUP(G:G,list!B:E,4,FALSE)</f>
        <v>0.1</v>
      </c>
      <c r="N121" s="655">
        <f t="shared" si="20"/>
        <v>4208</v>
      </c>
      <c r="O121" s="655">
        <f t="shared" si="21"/>
        <v>37873</v>
      </c>
      <c r="P121" s="564"/>
      <c r="Q121" s="672" t="str">
        <f>VLOOKUP(G:G,list!B:F,5,FALSE)</f>
        <v>웹소설본부</v>
      </c>
      <c r="R121" s="656" t="str">
        <f>VLOOKUP(G:G,list!B:D,3,FALSE)</f>
        <v>Y</v>
      </c>
    </row>
    <row r="122" spans="2:18" ht="18" customHeight="1">
      <c r="B122" s="563">
        <v>117</v>
      </c>
      <c r="C122" s="651" t="str">
        <f>VLOOKUP(G:G,list!B:D,2,FALSE)</f>
        <v>원작료</v>
      </c>
      <c r="D122" s="564" t="s">
        <v>182</v>
      </c>
      <c r="E122" s="564" t="s">
        <v>115</v>
      </c>
      <c r="F122" s="564" t="s">
        <v>283</v>
      </c>
      <c r="G122" s="564" t="s">
        <v>56</v>
      </c>
      <c r="H122" s="565">
        <v>44391</v>
      </c>
      <c r="I122" s="652">
        <v>45474</v>
      </c>
      <c r="J122" s="653">
        <v>430461</v>
      </c>
      <c r="K122" s="603">
        <v>0.5</v>
      </c>
      <c r="L122" s="568">
        <v>215231</v>
      </c>
      <c r="M122" s="654">
        <f>VLOOKUP(G:G,list!B:E,4,FALSE)</f>
        <v>0.1</v>
      </c>
      <c r="N122" s="655">
        <f t="shared" si="20"/>
        <v>21523</v>
      </c>
      <c r="O122" s="655">
        <f t="shared" si="21"/>
        <v>193708</v>
      </c>
      <c r="P122" s="564"/>
      <c r="Q122" s="672" t="str">
        <f>VLOOKUP(G:G,list!B:F,5,FALSE)</f>
        <v>웹소설본부</v>
      </c>
      <c r="R122" s="656" t="str">
        <f>VLOOKUP(G:G,list!B:D,3,FALSE)</f>
        <v>Y</v>
      </c>
    </row>
    <row r="123" spans="2:18" ht="18" customHeight="1">
      <c r="B123" s="650">
        <v>118</v>
      </c>
      <c r="C123" s="651" t="str">
        <f>VLOOKUP(G:G,list!B:D,2,FALSE)</f>
        <v>원작료</v>
      </c>
      <c r="D123" s="564" t="s">
        <v>182</v>
      </c>
      <c r="E123" s="564" t="s">
        <v>115</v>
      </c>
      <c r="F123" s="564" t="s">
        <v>283</v>
      </c>
      <c r="G123" s="564" t="s">
        <v>56</v>
      </c>
      <c r="H123" s="565">
        <v>44391</v>
      </c>
      <c r="I123" s="652">
        <v>45505</v>
      </c>
      <c r="J123" s="653">
        <v>403608</v>
      </c>
      <c r="K123" s="603">
        <v>0.5</v>
      </c>
      <c r="L123" s="568">
        <v>201804</v>
      </c>
      <c r="M123" s="654">
        <f>VLOOKUP(G:G,list!B:E,4,FALSE)</f>
        <v>0.1</v>
      </c>
      <c r="N123" s="655">
        <f t="shared" si="20"/>
        <v>20180</v>
      </c>
      <c r="O123" s="655">
        <f t="shared" si="21"/>
        <v>181624</v>
      </c>
      <c r="P123" s="564"/>
      <c r="Q123" s="672" t="str">
        <f>VLOOKUP(G:G,list!B:F,5,FALSE)</f>
        <v>웹소설본부</v>
      </c>
      <c r="R123" s="656" t="str">
        <f>VLOOKUP(G:G,list!B:D,3,FALSE)</f>
        <v>Y</v>
      </c>
    </row>
    <row r="124" spans="2:18" ht="18" customHeight="1">
      <c r="B124" s="563">
        <v>119</v>
      </c>
      <c r="C124" s="651" t="str">
        <f>VLOOKUP(G:G,list!B:D,2,FALSE)</f>
        <v>원작료</v>
      </c>
      <c r="D124" s="564" t="s">
        <v>182</v>
      </c>
      <c r="E124" s="564" t="s">
        <v>115</v>
      </c>
      <c r="F124" s="564" t="s">
        <v>283</v>
      </c>
      <c r="G124" s="564" t="s">
        <v>56</v>
      </c>
      <c r="H124" s="565">
        <v>44391</v>
      </c>
      <c r="I124" s="652">
        <v>45536</v>
      </c>
      <c r="J124" s="653">
        <v>448977</v>
      </c>
      <c r="K124" s="603">
        <v>0.5</v>
      </c>
      <c r="L124" s="568">
        <v>224489</v>
      </c>
      <c r="M124" s="654">
        <f>VLOOKUP(G:G,list!B:E,4,FALSE)</f>
        <v>0.1</v>
      </c>
      <c r="N124" s="655">
        <f t="shared" si="20"/>
        <v>22449</v>
      </c>
      <c r="O124" s="655">
        <f t="shared" si="21"/>
        <v>202040</v>
      </c>
      <c r="P124" s="564"/>
      <c r="Q124" s="672" t="str">
        <f>VLOOKUP(G:G,list!B:F,5,FALSE)</f>
        <v>웹소설본부</v>
      </c>
      <c r="R124" s="656" t="str">
        <f>VLOOKUP(G:G,list!B:D,3,FALSE)</f>
        <v>Y</v>
      </c>
    </row>
    <row r="125" spans="2:18" ht="18" customHeight="1">
      <c r="B125" s="650">
        <v>120</v>
      </c>
      <c r="C125" s="651" t="str">
        <f>VLOOKUP(G:G,list!B:D,2,FALSE)</f>
        <v>원작료</v>
      </c>
      <c r="D125" s="564" t="s">
        <v>182</v>
      </c>
      <c r="E125" s="564" t="s">
        <v>115</v>
      </c>
      <c r="F125" s="564" t="s">
        <v>283</v>
      </c>
      <c r="G125" s="564" t="s">
        <v>316</v>
      </c>
      <c r="H125" s="565">
        <v>44969</v>
      </c>
      <c r="I125" s="652">
        <v>45474</v>
      </c>
      <c r="J125" s="653">
        <v>89936</v>
      </c>
      <c r="K125" s="603">
        <v>0.5</v>
      </c>
      <c r="L125" s="568">
        <v>44968</v>
      </c>
      <c r="M125" s="654">
        <f>VLOOKUP(G:G,list!B:E,4,FALSE)</f>
        <v>0.1</v>
      </c>
      <c r="N125" s="655">
        <f t="shared" si="20"/>
        <v>4497</v>
      </c>
      <c r="O125" s="655">
        <f t="shared" si="21"/>
        <v>40471</v>
      </c>
      <c r="P125" s="564"/>
      <c r="Q125" s="672" t="str">
        <f>VLOOKUP(G:G,list!B:F,5,FALSE)</f>
        <v>웹소설본부</v>
      </c>
      <c r="R125" s="656" t="str">
        <f>VLOOKUP(G:G,list!B:D,3,FALSE)</f>
        <v>Y</v>
      </c>
    </row>
    <row r="126" spans="2:18" ht="18" customHeight="1">
      <c r="B126" s="563">
        <v>121</v>
      </c>
      <c r="C126" s="651" t="str">
        <f>VLOOKUP(G:G,list!B:D,2,FALSE)</f>
        <v>원작료</v>
      </c>
      <c r="D126" s="564" t="s">
        <v>182</v>
      </c>
      <c r="E126" s="564" t="s">
        <v>115</v>
      </c>
      <c r="F126" s="564" t="s">
        <v>283</v>
      </c>
      <c r="G126" s="564" t="s">
        <v>316</v>
      </c>
      <c r="H126" s="565">
        <v>44969</v>
      </c>
      <c r="I126" s="652">
        <v>45505</v>
      </c>
      <c r="J126" s="653">
        <v>43181</v>
      </c>
      <c r="K126" s="603">
        <v>0.5</v>
      </c>
      <c r="L126" s="568">
        <v>21591</v>
      </c>
      <c r="M126" s="654">
        <f>VLOOKUP(G:G,list!B:E,4,FALSE)</f>
        <v>0.1</v>
      </c>
      <c r="N126" s="655">
        <f t="shared" si="20"/>
        <v>2159</v>
      </c>
      <c r="O126" s="655">
        <f t="shared" si="21"/>
        <v>19432</v>
      </c>
      <c r="P126" s="564"/>
      <c r="Q126" s="672" t="str">
        <f>VLOOKUP(G:G,list!B:F,5,FALSE)</f>
        <v>웹소설본부</v>
      </c>
      <c r="R126" s="656" t="str">
        <f>VLOOKUP(G:G,list!B:D,3,FALSE)</f>
        <v>Y</v>
      </c>
    </row>
    <row r="127" spans="2:18" ht="18" customHeight="1">
      <c r="B127" s="650">
        <v>122</v>
      </c>
      <c r="C127" s="651" t="str">
        <f>VLOOKUP(G:G,list!B:D,2,FALSE)</f>
        <v>원작료</v>
      </c>
      <c r="D127" s="564" t="s">
        <v>182</v>
      </c>
      <c r="E127" s="564" t="s">
        <v>115</v>
      </c>
      <c r="F127" s="564" t="s">
        <v>283</v>
      </c>
      <c r="G127" s="564" t="s">
        <v>316</v>
      </c>
      <c r="H127" s="565">
        <v>44969</v>
      </c>
      <c r="I127" s="652">
        <v>45536</v>
      </c>
      <c r="J127" s="653">
        <v>29319</v>
      </c>
      <c r="K127" s="603">
        <v>0.5</v>
      </c>
      <c r="L127" s="568">
        <v>14660</v>
      </c>
      <c r="M127" s="654">
        <f>VLOOKUP(G:G,list!B:E,4,FALSE)</f>
        <v>0.1</v>
      </c>
      <c r="N127" s="655">
        <f t="shared" si="20"/>
        <v>1466</v>
      </c>
      <c r="O127" s="655">
        <f t="shared" si="21"/>
        <v>13194</v>
      </c>
      <c r="P127" s="564"/>
      <c r="Q127" s="672" t="str">
        <f>VLOOKUP(G:G,list!B:F,5,FALSE)</f>
        <v>웹소설본부</v>
      </c>
      <c r="R127" s="656" t="str">
        <f>VLOOKUP(G:G,list!B:D,3,FALSE)</f>
        <v>Y</v>
      </c>
    </row>
    <row r="128" spans="2:18" ht="18" customHeight="1">
      <c r="B128" s="563">
        <v>123</v>
      </c>
      <c r="C128" s="651" t="str">
        <f>VLOOKUP(G:G,list!B:D,2,FALSE)</f>
        <v>원작료</v>
      </c>
      <c r="D128" s="564" t="s">
        <v>182</v>
      </c>
      <c r="E128" s="564" t="s">
        <v>115</v>
      </c>
      <c r="F128" s="564" t="s">
        <v>230</v>
      </c>
      <c r="G128" s="564" t="s">
        <v>30</v>
      </c>
      <c r="H128" s="565">
        <v>45248</v>
      </c>
      <c r="I128" s="652">
        <v>45474</v>
      </c>
      <c r="J128" s="653">
        <v>183535</v>
      </c>
      <c r="K128" s="603">
        <v>0.5</v>
      </c>
      <c r="L128" s="568">
        <v>91768</v>
      </c>
      <c r="M128" s="654">
        <f>VLOOKUP(G:G,list!B:E,4,FALSE)</f>
        <v>0.1</v>
      </c>
      <c r="N128" s="655">
        <f t="shared" ref="N128:N133" si="22">ROUND(IF(M128="-",0,L128*M128),0)</f>
        <v>9177</v>
      </c>
      <c r="O128" s="655">
        <f t="shared" ref="O128:O133" si="23">L128-N128</f>
        <v>82591</v>
      </c>
      <c r="P128" s="564"/>
      <c r="Q128" s="672" t="str">
        <f>VLOOKUP(G:G,list!B:F,5,FALSE)</f>
        <v>웹소설본부</v>
      </c>
      <c r="R128" s="656" t="str">
        <f>VLOOKUP(G:G,list!B:D,3,FALSE)</f>
        <v>Y</v>
      </c>
    </row>
    <row r="129" spans="2:18" ht="18" customHeight="1">
      <c r="B129" s="650">
        <v>124</v>
      </c>
      <c r="C129" s="651" t="str">
        <f>VLOOKUP(G:G,list!B:D,2,FALSE)</f>
        <v>원작료</v>
      </c>
      <c r="D129" s="564" t="s">
        <v>182</v>
      </c>
      <c r="E129" s="564" t="s">
        <v>115</v>
      </c>
      <c r="F129" s="564" t="s">
        <v>230</v>
      </c>
      <c r="G129" s="564" t="s">
        <v>30</v>
      </c>
      <c r="H129" s="565">
        <v>45248</v>
      </c>
      <c r="I129" s="652">
        <v>45505</v>
      </c>
      <c r="J129" s="653">
        <v>112329</v>
      </c>
      <c r="K129" s="603">
        <v>0.5</v>
      </c>
      <c r="L129" s="568">
        <v>56165</v>
      </c>
      <c r="M129" s="654">
        <f>VLOOKUP(G:G,list!B:E,4,FALSE)</f>
        <v>0.1</v>
      </c>
      <c r="N129" s="655">
        <f t="shared" si="22"/>
        <v>5617</v>
      </c>
      <c r="O129" s="655">
        <f t="shared" si="23"/>
        <v>50548</v>
      </c>
      <c r="P129" s="564"/>
      <c r="Q129" s="672" t="str">
        <f>VLOOKUP(G:G,list!B:F,5,FALSE)</f>
        <v>웹소설본부</v>
      </c>
      <c r="R129" s="656" t="str">
        <f>VLOOKUP(G:G,list!B:D,3,FALSE)</f>
        <v>Y</v>
      </c>
    </row>
    <row r="130" spans="2:18" ht="18" customHeight="1">
      <c r="B130" s="563">
        <v>125</v>
      </c>
      <c r="C130" s="651" t="str">
        <f>VLOOKUP(G:G,list!B:D,2,FALSE)</f>
        <v>원작료</v>
      </c>
      <c r="D130" s="564" t="s">
        <v>182</v>
      </c>
      <c r="E130" s="564" t="s">
        <v>115</v>
      </c>
      <c r="F130" s="564" t="s">
        <v>230</v>
      </c>
      <c r="G130" s="564" t="s">
        <v>30</v>
      </c>
      <c r="H130" s="565">
        <v>45248</v>
      </c>
      <c r="I130" s="652">
        <v>45536</v>
      </c>
      <c r="J130" s="653">
        <v>59412</v>
      </c>
      <c r="K130" s="603">
        <v>0.5</v>
      </c>
      <c r="L130" s="568">
        <v>29706</v>
      </c>
      <c r="M130" s="654">
        <f>VLOOKUP(G:G,list!B:E,4,FALSE)</f>
        <v>0.1</v>
      </c>
      <c r="N130" s="655">
        <f t="shared" si="22"/>
        <v>2971</v>
      </c>
      <c r="O130" s="655">
        <f t="shared" si="23"/>
        <v>26735</v>
      </c>
      <c r="P130" s="564"/>
      <c r="Q130" s="672" t="str">
        <f>VLOOKUP(G:G,list!B:F,5,FALSE)</f>
        <v>웹소설본부</v>
      </c>
      <c r="R130" s="656" t="str">
        <f>VLOOKUP(G:G,list!B:D,3,FALSE)</f>
        <v>Y</v>
      </c>
    </row>
    <row r="131" spans="2:18" ht="18" customHeight="1">
      <c r="B131" s="650">
        <v>126</v>
      </c>
      <c r="C131" s="651" t="str">
        <f>VLOOKUP(G:G,list!B:D,2,FALSE)</f>
        <v>원작료</v>
      </c>
      <c r="D131" s="564" t="s">
        <v>182</v>
      </c>
      <c r="E131" s="564" t="s">
        <v>115</v>
      </c>
      <c r="F131" s="564" t="s">
        <v>230</v>
      </c>
      <c r="G131" s="564" t="s">
        <v>56</v>
      </c>
      <c r="H131" s="565">
        <v>45414</v>
      </c>
      <c r="I131" s="652">
        <v>45474</v>
      </c>
      <c r="J131" s="653">
        <v>3972378</v>
      </c>
      <c r="K131" s="603">
        <v>0.5</v>
      </c>
      <c r="L131" s="568">
        <v>1986189</v>
      </c>
      <c r="M131" s="654">
        <f>VLOOKUP(G:G,list!B:E,4,FALSE)</f>
        <v>0.1</v>
      </c>
      <c r="N131" s="655">
        <f t="shared" si="22"/>
        <v>198619</v>
      </c>
      <c r="O131" s="655">
        <f t="shared" si="23"/>
        <v>1787570</v>
      </c>
      <c r="P131" s="564"/>
      <c r="Q131" s="672" t="str">
        <f>VLOOKUP(G:G,list!B:F,5,FALSE)</f>
        <v>웹소설본부</v>
      </c>
      <c r="R131" s="656" t="str">
        <f>VLOOKUP(G:G,list!B:D,3,FALSE)</f>
        <v>Y</v>
      </c>
    </row>
    <row r="132" spans="2:18" ht="18" customHeight="1">
      <c r="B132" s="563">
        <v>127</v>
      </c>
      <c r="C132" s="651" t="str">
        <f>VLOOKUP(G:G,list!B:D,2,FALSE)</f>
        <v>원작료</v>
      </c>
      <c r="D132" s="564" t="s">
        <v>182</v>
      </c>
      <c r="E132" s="564" t="s">
        <v>115</v>
      </c>
      <c r="F132" s="564" t="s">
        <v>230</v>
      </c>
      <c r="G132" s="564" t="s">
        <v>56</v>
      </c>
      <c r="H132" s="565">
        <v>45414</v>
      </c>
      <c r="I132" s="652">
        <v>45505</v>
      </c>
      <c r="J132" s="653">
        <v>647253</v>
      </c>
      <c r="K132" s="603">
        <v>0.5</v>
      </c>
      <c r="L132" s="568">
        <v>323627</v>
      </c>
      <c r="M132" s="654">
        <f>VLOOKUP(G:G,list!B:E,4,FALSE)</f>
        <v>0.1</v>
      </c>
      <c r="N132" s="655">
        <f t="shared" si="22"/>
        <v>32363</v>
      </c>
      <c r="O132" s="655">
        <f t="shared" si="23"/>
        <v>291264</v>
      </c>
      <c r="P132" s="564"/>
      <c r="Q132" s="672" t="str">
        <f>VLOOKUP(G:G,list!B:F,5,FALSE)</f>
        <v>웹소설본부</v>
      </c>
      <c r="R132" s="656" t="str">
        <f>VLOOKUP(G:G,list!B:D,3,FALSE)</f>
        <v>Y</v>
      </c>
    </row>
    <row r="133" spans="2:18" ht="18" customHeight="1">
      <c r="B133" s="650">
        <v>128</v>
      </c>
      <c r="C133" s="651" t="str">
        <f>VLOOKUP(G:G,list!B:D,2,FALSE)</f>
        <v>원작료</v>
      </c>
      <c r="D133" s="564" t="s">
        <v>182</v>
      </c>
      <c r="E133" s="564" t="s">
        <v>115</v>
      </c>
      <c r="F133" s="564" t="s">
        <v>230</v>
      </c>
      <c r="G133" s="564" t="s">
        <v>56</v>
      </c>
      <c r="H133" s="565">
        <v>45414</v>
      </c>
      <c r="I133" s="652">
        <v>45536</v>
      </c>
      <c r="J133" s="653">
        <v>401854</v>
      </c>
      <c r="K133" s="603">
        <v>0.5</v>
      </c>
      <c r="L133" s="568">
        <v>200927</v>
      </c>
      <c r="M133" s="654">
        <f>VLOOKUP(G:G,list!B:E,4,FALSE)</f>
        <v>0.1</v>
      </c>
      <c r="N133" s="655">
        <f t="shared" si="22"/>
        <v>20093</v>
      </c>
      <c r="O133" s="655">
        <f t="shared" si="23"/>
        <v>180834</v>
      </c>
      <c r="P133" s="564"/>
      <c r="Q133" s="672" t="str">
        <f>VLOOKUP(G:G,list!B:F,5,FALSE)</f>
        <v>웹소설본부</v>
      </c>
      <c r="R133" s="656" t="str">
        <f>VLOOKUP(G:G,list!B:D,3,FALSE)</f>
        <v>Y</v>
      </c>
    </row>
    <row r="134" spans="2:18" ht="11.25" customHeight="1">
      <c r="B134" s="52"/>
      <c r="C134" s="551"/>
      <c r="D134" s="551"/>
      <c r="E134" s="551"/>
      <c r="F134" s="551"/>
      <c r="G134" s="551"/>
      <c r="H134" s="622"/>
      <c r="I134" s="551"/>
      <c r="J134" s="435"/>
      <c r="K134" s="623"/>
      <c r="L134"/>
      <c r="M134" s="438"/>
      <c r="N134" s="439"/>
      <c r="O134" s="440"/>
      <c r="P134" s="633"/>
      <c r="Q134" s="438"/>
      <c r="R134" s="486"/>
    </row>
    <row r="135" spans="2:18" s="7" customFormat="1" ht="16.5" customHeight="1">
      <c r="B135" s="624" t="s">
        <v>387</v>
      </c>
      <c r="C135" s="625"/>
      <c r="D135" s="625"/>
      <c r="E135" s="626"/>
      <c r="F135" s="625"/>
      <c r="G135" s="625"/>
      <c r="H135" s="625"/>
      <c r="I135" s="311"/>
      <c r="J135" s="311"/>
      <c r="K135" s="311"/>
      <c r="M135" s="424"/>
      <c r="N135"/>
      <c r="O135" s="333"/>
      <c r="P135" s="631"/>
      <c r="Q135" s="424"/>
      <c r="R135" s="484"/>
    </row>
    <row r="136" spans="2:18" s="7" customFormat="1" ht="16.5" customHeight="1">
      <c r="B136" s="629" t="s">
        <v>299</v>
      </c>
      <c r="C136" s="625"/>
      <c r="D136" s="625"/>
      <c r="E136" s="626"/>
      <c r="F136" s="625"/>
      <c r="G136" s="625"/>
      <c r="H136" s="625"/>
      <c r="I136" s="311"/>
      <c r="K136" s="311"/>
      <c r="L136" s="311"/>
      <c r="M136" s="424"/>
      <c r="N136"/>
      <c r="O136" s="333"/>
      <c r="P136" s="631"/>
      <c r="Q136" s="424"/>
      <c r="R136" s="484"/>
    </row>
    <row r="137" spans="2:18" s="7" customFormat="1" ht="16.5" customHeight="1">
      <c r="B137" s="628" t="s">
        <v>302</v>
      </c>
      <c r="C137" s="627"/>
      <c r="D137" s="625"/>
      <c r="E137" s="626"/>
      <c r="F137" s="625"/>
      <c r="G137" s="625"/>
      <c r="H137" s="625"/>
      <c r="I137" s="311"/>
      <c r="J137" s="311"/>
      <c r="L137" s="311"/>
      <c r="M137" s="424"/>
      <c r="N137"/>
      <c r="O137" s="333"/>
      <c r="P137" s="631"/>
      <c r="Q137" s="424"/>
      <c r="R137" s="484"/>
    </row>
    <row r="138" spans="2:18" s="7" customFormat="1" ht="16.5" customHeight="1">
      <c r="B138" s="630" t="s">
        <v>303</v>
      </c>
      <c r="C138" s="627"/>
      <c r="D138" s="625"/>
      <c r="E138" s="626"/>
      <c r="F138" s="625"/>
      <c r="G138" s="625"/>
      <c r="H138" s="625"/>
      <c r="I138" s="311"/>
      <c r="J138" s="311"/>
      <c r="K138" s="311"/>
      <c r="L138" s="311"/>
      <c r="M138" s="424"/>
      <c r="N138"/>
      <c r="O138" s="333"/>
      <c r="P138" s="631"/>
      <c r="Q138" s="424"/>
      <c r="R138" s="484"/>
    </row>
    <row r="139" spans="2:18" ht="16.5" customHeight="1">
      <c r="B139" s="629" t="s">
        <v>340</v>
      </c>
      <c r="C139" s="625"/>
      <c r="D139" s="625"/>
      <c r="E139" s="626"/>
      <c r="F139" s="625"/>
      <c r="G139" s="625"/>
      <c r="H139" s="625"/>
      <c r="I139" s="311"/>
      <c r="J139" s="311"/>
      <c r="K139" s="311"/>
    </row>
    <row r="140" spans="2:18" ht="16.5" customHeight="1">
      <c r="B140" s="629" t="s">
        <v>512</v>
      </c>
      <c r="C140" s="625"/>
      <c r="D140" s="625"/>
      <c r="E140" s="626"/>
      <c r="F140" s="625"/>
      <c r="G140" s="625"/>
      <c r="H140" s="625"/>
      <c r="I140" s="311"/>
      <c r="J140" s="311"/>
      <c r="K140" s="311"/>
    </row>
    <row r="141" spans="2:18" ht="16.5" customHeight="1">
      <c r="B141" s="629" t="s">
        <v>522</v>
      </c>
      <c r="C141" s="625"/>
      <c r="D141" s="625"/>
      <c r="E141" s="626"/>
      <c r="F141" s="625"/>
      <c r="G141" s="625"/>
      <c r="H141" s="625"/>
      <c r="I141" s="311"/>
      <c r="J141" s="311"/>
      <c r="K141" s="311"/>
    </row>
    <row r="142" spans="2:18" ht="16.5" customHeight="1">
      <c r="B142" s="629" t="s">
        <v>520</v>
      </c>
      <c r="C142" s="625"/>
      <c r="D142" s="625"/>
      <c r="E142" s="626"/>
      <c r="F142" s="625"/>
      <c r="G142" s="625"/>
      <c r="H142" s="625"/>
      <c r="I142" s="311"/>
      <c r="J142" s="311"/>
      <c r="K142" s="311"/>
    </row>
    <row r="143" spans="2:18" ht="16.5" customHeight="1">
      <c r="B143" s="629" t="s">
        <v>521</v>
      </c>
      <c r="C143" s="625"/>
      <c r="D143" s="625"/>
      <c r="E143" s="626"/>
      <c r="F143" s="625"/>
      <c r="G143" s="625"/>
      <c r="H143" s="625"/>
      <c r="I143" s="311"/>
      <c r="J143" s="311"/>
      <c r="K143" s="311"/>
    </row>
    <row r="144" spans="2:18" ht="16.5" customHeight="1">
      <c r="B144" s="629" t="s">
        <v>529</v>
      </c>
      <c r="C144" s="625"/>
      <c r="D144" s="625"/>
      <c r="E144" s="626"/>
      <c r="F144" s="625"/>
      <c r="G144" s="625"/>
      <c r="H144" s="625"/>
      <c r="I144" s="311"/>
      <c r="J144" s="311"/>
      <c r="K144" s="3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58E4-9D35-464E-9FA5-FD311EDE067C}">
  <dimension ref="B1:R105"/>
  <sheetViews>
    <sheetView showGridLines="0" zoomScaleNormal="100" workbookViewId="0">
      <pane xSplit="1" ySplit="5" topLeftCell="B80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547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548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47762514.799999997</v>
      </c>
      <c r="K4" s="52"/>
      <c r="L4" s="648">
        <f>SUBTOTAL(109,L6:L1048576)</f>
        <v>15910725.5</v>
      </c>
      <c r="M4" s="543"/>
      <c r="N4" s="649">
        <f>SUBTOTAL(109,N6:N1048576)</f>
        <v>1293972</v>
      </c>
      <c r="O4" s="649">
        <f>SUBTOTAL(109,O6:O1048576)</f>
        <v>14616753.5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45536</v>
      </c>
      <c r="J6" s="653">
        <v>697427.2</v>
      </c>
      <c r="K6" s="567">
        <v>0.6</v>
      </c>
      <c r="L6" s="646">
        <v>418457</v>
      </c>
      <c r="M6" s="654" t="str">
        <f>VLOOKUP(G:G,list!B:E,4,FALSE)</f>
        <v>-</v>
      </c>
      <c r="N6" s="655">
        <f t="shared" ref="N6:N92" si="0">ROUND(IF(M6="-",0,L6*M6),0)</f>
        <v>0</v>
      </c>
      <c r="O6" s="655">
        <f t="shared" ref="O6:O92" si="1">L6-N6</f>
        <v>418457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45536</v>
      </c>
      <c r="J7" s="653">
        <v>179353.4</v>
      </c>
      <c r="K7" s="600">
        <v>0.6</v>
      </c>
      <c r="L7" s="646">
        <v>107612</v>
      </c>
      <c r="M7" s="654" t="str">
        <f>VLOOKUP(G:G,list!B:E,4,FALSE)</f>
        <v>-</v>
      </c>
      <c r="N7" s="655">
        <f t="shared" si="0"/>
        <v>0</v>
      </c>
      <c r="O7" s="655">
        <f t="shared" si="1"/>
        <v>107612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45536</v>
      </c>
      <c r="J8" s="653">
        <v>366845.8</v>
      </c>
      <c r="K8" s="567">
        <v>0.6</v>
      </c>
      <c r="L8" s="646">
        <v>220108</v>
      </c>
      <c r="M8" s="654" t="str">
        <f>VLOOKUP(G:G,list!B:E,4,FALSE)</f>
        <v>-</v>
      </c>
      <c r="N8" s="655">
        <f t="shared" si="0"/>
        <v>0</v>
      </c>
      <c r="O8" s="655">
        <f t="shared" si="1"/>
        <v>220108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45536</v>
      </c>
      <c r="J9" s="653">
        <v>191188.1</v>
      </c>
      <c r="K9" s="606">
        <v>0.6</v>
      </c>
      <c r="L9" s="646">
        <v>114712</v>
      </c>
      <c r="M9" s="654">
        <f>VLOOKUP(G:G,list!B:E,4,FALSE)</f>
        <v>0.1</v>
      </c>
      <c r="N9" s="655">
        <f t="shared" si="0"/>
        <v>11471</v>
      </c>
      <c r="O9" s="655">
        <f t="shared" si="1"/>
        <v>103241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45536</v>
      </c>
      <c r="J10" s="653">
        <v>468646.40000000002</v>
      </c>
      <c r="K10" s="600">
        <v>0.6</v>
      </c>
      <c r="L10" s="646">
        <v>281189</v>
      </c>
      <c r="M10" s="654">
        <f>VLOOKUP(G:G,list!B:E,4,FALSE)</f>
        <v>0.1</v>
      </c>
      <c r="N10" s="655">
        <f t="shared" si="0"/>
        <v>28119</v>
      </c>
      <c r="O10" s="655">
        <f t="shared" si="1"/>
        <v>253070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45536</v>
      </c>
      <c r="J11" s="653">
        <v>7181</v>
      </c>
      <c r="K11" s="603">
        <v>0.6</v>
      </c>
      <c r="L11" s="646">
        <v>4309</v>
      </c>
      <c r="M11" s="654" t="str">
        <f>VLOOKUP(G:G,list!B:E,4,FALSE)</f>
        <v>-</v>
      </c>
      <c r="N11" s="655">
        <f t="shared" si="0"/>
        <v>0</v>
      </c>
      <c r="O11" s="655">
        <f t="shared" si="1"/>
        <v>4309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45536</v>
      </c>
      <c r="J12" s="653">
        <v>760684.2</v>
      </c>
      <c r="K12" s="603">
        <v>0.6</v>
      </c>
      <c r="L12" s="646">
        <v>456410</v>
      </c>
      <c r="M12" s="654">
        <f>VLOOKUP(G:G,list!B:E,4,FALSE)</f>
        <v>0.1</v>
      </c>
      <c r="N12" s="655">
        <f t="shared" si="0"/>
        <v>45641</v>
      </c>
      <c r="O12" s="655">
        <f t="shared" si="1"/>
        <v>410769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45536</v>
      </c>
      <c r="J13" s="653">
        <v>121529.8</v>
      </c>
      <c r="K13" s="600">
        <v>0.6</v>
      </c>
      <c r="L13" s="646">
        <v>72918</v>
      </c>
      <c r="M13" s="654">
        <f>VLOOKUP(G:G,list!B:E,4,FALSE)</f>
        <v>0.1</v>
      </c>
      <c r="N13" s="655">
        <f t="shared" si="0"/>
        <v>7292</v>
      </c>
      <c r="O13" s="655">
        <f t="shared" si="1"/>
        <v>65626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45536</v>
      </c>
      <c r="J14" s="653">
        <v>411693.5</v>
      </c>
      <c r="K14" s="606">
        <v>0.6</v>
      </c>
      <c r="L14" s="646">
        <v>247017</v>
      </c>
      <c r="M14" s="654">
        <f>VLOOKUP(G:G,list!B:E,4,FALSE)</f>
        <v>0.11</v>
      </c>
      <c r="N14" s="655">
        <f t="shared" si="0"/>
        <v>27172</v>
      </c>
      <c r="O14" s="655">
        <f t="shared" si="1"/>
        <v>219845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45536</v>
      </c>
      <c r="J15" s="653">
        <v>1491060.9</v>
      </c>
      <c r="K15" s="567">
        <v>0.6</v>
      </c>
      <c r="L15" s="646">
        <v>894635</v>
      </c>
      <c r="M15" s="654">
        <f>VLOOKUP(G:G,list!B:E,4,FALSE)</f>
        <v>0.1</v>
      </c>
      <c r="N15" s="655">
        <f t="shared" si="0"/>
        <v>89464</v>
      </c>
      <c r="O15" s="655">
        <f t="shared" si="1"/>
        <v>805171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45536</v>
      </c>
      <c r="J16" s="653">
        <v>338515.9</v>
      </c>
      <c r="K16" s="567">
        <v>0.6</v>
      </c>
      <c r="L16" s="646">
        <v>203110</v>
      </c>
      <c r="M16" s="654">
        <f>VLOOKUP(G:G,list!B:E,4,FALSE)</f>
        <v>0.1</v>
      </c>
      <c r="N16" s="655">
        <f t="shared" si="0"/>
        <v>20311</v>
      </c>
      <c r="O16" s="655">
        <f t="shared" si="1"/>
        <v>182799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45536</v>
      </c>
      <c r="J17" s="653">
        <v>35035</v>
      </c>
      <c r="K17" s="600">
        <v>0.7</v>
      </c>
      <c r="L17" s="646">
        <v>24525</v>
      </c>
      <c r="M17" s="654" t="str">
        <f>VLOOKUP(G:G,list!B:E,4,FALSE)</f>
        <v>-</v>
      </c>
      <c r="N17" s="655">
        <f t="shared" si="0"/>
        <v>0</v>
      </c>
      <c r="O17" s="655">
        <f t="shared" si="1"/>
        <v>24525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45536</v>
      </c>
      <c r="J18" s="653">
        <v>2743188.8</v>
      </c>
      <c r="K18" s="603">
        <v>0.6</v>
      </c>
      <c r="L18" s="646">
        <v>1645912</v>
      </c>
      <c r="M18" s="654">
        <f>VLOOKUP(G:G,list!B:E,4,FALSE)</f>
        <v>0.1</v>
      </c>
      <c r="N18" s="655">
        <f t="shared" si="0"/>
        <v>164591</v>
      </c>
      <c r="O18" s="655">
        <f t="shared" si="1"/>
        <v>1481321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45536</v>
      </c>
      <c r="J19" s="653">
        <v>607515.80000000005</v>
      </c>
      <c r="K19" s="603">
        <v>0.7</v>
      </c>
      <c r="L19" s="646">
        <v>425259</v>
      </c>
      <c r="M19" s="654">
        <f>VLOOKUP(G:G,list!B:E,4,FALSE)</f>
        <v>0.1</v>
      </c>
      <c r="N19" s="655">
        <f t="shared" si="0"/>
        <v>42526</v>
      </c>
      <c r="O19" s="655">
        <f t="shared" si="1"/>
        <v>382733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45536</v>
      </c>
      <c r="J20" s="653">
        <v>28851</v>
      </c>
      <c r="K20" s="603">
        <v>0.6</v>
      </c>
      <c r="L20" s="646">
        <v>17310</v>
      </c>
      <c r="M20" s="654">
        <f>VLOOKUP(G:G,list!B:E,4,FALSE)</f>
        <v>0.1</v>
      </c>
      <c r="N20" s="655">
        <f t="shared" si="0"/>
        <v>1731</v>
      </c>
      <c r="O20" s="655">
        <f t="shared" si="1"/>
        <v>15579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45536</v>
      </c>
      <c r="J21" s="653">
        <v>362</v>
      </c>
      <c r="K21" s="567">
        <v>0.6</v>
      </c>
      <c r="L21" s="646">
        <v>254</v>
      </c>
      <c r="M21" s="654" t="str">
        <f>VLOOKUP(G:G,list!B:E,4,FALSE)</f>
        <v>-</v>
      </c>
      <c r="N21" s="655">
        <f t="shared" si="0"/>
        <v>0</v>
      </c>
      <c r="O21" s="655">
        <f t="shared" si="1"/>
        <v>254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45536</v>
      </c>
      <c r="J22" s="653">
        <v>152674</v>
      </c>
      <c r="K22" s="567">
        <v>0.6</v>
      </c>
      <c r="L22" s="646">
        <v>91605</v>
      </c>
      <c r="M22" s="654">
        <f>VLOOKUP(G:G,list!B:E,4,FALSE)</f>
        <v>0.1</v>
      </c>
      <c r="N22" s="655">
        <f t="shared" si="0"/>
        <v>9161</v>
      </c>
      <c r="O22" s="655">
        <f t="shared" si="1"/>
        <v>82444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45536</v>
      </c>
      <c r="J23" s="653">
        <v>1968</v>
      </c>
      <c r="K23" s="567">
        <v>0.6</v>
      </c>
      <c r="L23" s="646">
        <v>1181</v>
      </c>
      <c r="M23" s="654" t="str">
        <f>VLOOKUP(G:G,list!B:E,4,FALSE)</f>
        <v>-</v>
      </c>
      <c r="N23" s="655">
        <f t="shared" si="0"/>
        <v>0</v>
      </c>
      <c r="O23" s="655">
        <f t="shared" si="1"/>
        <v>1181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45536</v>
      </c>
      <c r="J24" s="653">
        <v>230974</v>
      </c>
      <c r="K24" s="603">
        <v>0.6</v>
      </c>
      <c r="L24" s="646">
        <v>138584</v>
      </c>
      <c r="M24" s="654">
        <f>VLOOKUP(G:G,list!B:E,4,FALSE)</f>
        <v>0.1</v>
      </c>
      <c r="N24" s="655">
        <f t="shared" si="0"/>
        <v>13858</v>
      </c>
      <c r="O24" s="655">
        <f t="shared" si="1"/>
        <v>124726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45536</v>
      </c>
      <c r="J25" s="653">
        <v>18371</v>
      </c>
      <c r="K25" s="603">
        <v>0.6</v>
      </c>
      <c r="L25" s="646">
        <v>11022</v>
      </c>
      <c r="M25" s="654">
        <f>VLOOKUP(G:G,list!B:E,4,FALSE)</f>
        <v>0.1</v>
      </c>
      <c r="N25" s="655">
        <f t="shared" si="0"/>
        <v>1102</v>
      </c>
      <c r="O25" s="655">
        <f t="shared" si="1"/>
        <v>9920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45536</v>
      </c>
      <c r="J26" s="653">
        <v>153622</v>
      </c>
      <c r="K26" s="567">
        <v>0.6</v>
      </c>
      <c r="L26" s="646">
        <v>92174</v>
      </c>
      <c r="M26" s="654">
        <f>VLOOKUP(G:G,list!B:E,4,FALSE)</f>
        <v>0.1</v>
      </c>
      <c r="N26" s="655">
        <f t="shared" si="0"/>
        <v>9217</v>
      </c>
      <c r="O26" s="655">
        <f t="shared" si="1"/>
        <v>82957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45536</v>
      </c>
      <c r="J27" s="653">
        <v>41323</v>
      </c>
      <c r="K27" s="567">
        <v>0.6</v>
      </c>
      <c r="L27" s="646">
        <v>24794</v>
      </c>
      <c r="M27" s="654">
        <f>VLOOKUP(G:G,list!B:E,4,FALSE)</f>
        <v>0.1</v>
      </c>
      <c r="N27" s="655">
        <f t="shared" si="0"/>
        <v>2479</v>
      </c>
      <c r="O27" s="655">
        <f t="shared" si="1"/>
        <v>22315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45536</v>
      </c>
      <c r="J28" s="653">
        <v>105423</v>
      </c>
      <c r="K28" s="567">
        <v>0.6</v>
      </c>
      <c r="L28" s="646">
        <v>63254</v>
      </c>
      <c r="M28" s="654" t="str">
        <f>VLOOKUP(G:G,list!B:E,4,FALSE)</f>
        <v>-</v>
      </c>
      <c r="N28" s="655">
        <f t="shared" si="0"/>
        <v>0</v>
      </c>
      <c r="O28" s="655">
        <f t="shared" si="1"/>
        <v>63254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45536</v>
      </c>
      <c r="J29" s="653">
        <v>112716</v>
      </c>
      <c r="K29" s="567">
        <v>0.6</v>
      </c>
      <c r="L29" s="646">
        <v>67630</v>
      </c>
      <c r="M29" s="654">
        <f>VLOOKUP(G:G,list!B:E,4,FALSE)</f>
        <v>0.11</v>
      </c>
      <c r="N29" s="655">
        <f t="shared" si="0"/>
        <v>7439</v>
      </c>
      <c r="O29" s="655">
        <f t="shared" si="1"/>
        <v>60191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45536</v>
      </c>
      <c r="J30" s="653">
        <v>447439</v>
      </c>
      <c r="K30" s="567">
        <v>0.6</v>
      </c>
      <c r="L30" s="646">
        <v>268464</v>
      </c>
      <c r="M30" s="654" t="str">
        <f>VLOOKUP(G:G,list!B:E,4,FALSE)</f>
        <v>-</v>
      </c>
      <c r="N30" s="655">
        <f t="shared" si="0"/>
        <v>0</v>
      </c>
      <c r="O30" s="655">
        <f t="shared" si="1"/>
        <v>268464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45536</v>
      </c>
      <c r="J31" s="653">
        <v>179450</v>
      </c>
      <c r="K31" s="567">
        <v>0.6</v>
      </c>
      <c r="L31" s="646">
        <v>107670</v>
      </c>
      <c r="M31" s="654" t="str">
        <f>VLOOKUP(G:G,list!B:E,4,FALSE)</f>
        <v>-</v>
      </c>
      <c r="N31" s="655">
        <f t="shared" si="0"/>
        <v>0</v>
      </c>
      <c r="O31" s="655">
        <f t="shared" si="1"/>
        <v>107670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45536</v>
      </c>
      <c r="J32" s="653">
        <v>311170</v>
      </c>
      <c r="K32" s="567">
        <v>0.6</v>
      </c>
      <c r="L32" s="646">
        <v>186702</v>
      </c>
      <c r="M32" s="654">
        <f>VLOOKUP(G:G,list!B:E,4,FALSE)</f>
        <v>0.1</v>
      </c>
      <c r="N32" s="655">
        <f t="shared" si="0"/>
        <v>18670</v>
      </c>
      <c r="O32" s="655">
        <f t="shared" si="1"/>
        <v>168032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45505</v>
      </c>
      <c r="J33" s="653">
        <v>198828</v>
      </c>
      <c r="K33" s="674">
        <v>0.224</v>
      </c>
      <c r="L33" s="646">
        <v>40092</v>
      </c>
      <c r="M33" s="654">
        <f>VLOOKUP(G:G,list!B:E,4,FALSE)</f>
        <v>0.1</v>
      </c>
      <c r="N33" s="655">
        <f t="shared" si="0"/>
        <v>4009</v>
      </c>
      <c r="O33" s="655">
        <f t="shared" si="1"/>
        <v>36083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45505</v>
      </c>
      <c r="J34" s="653">
        <v>3661382</v>
      </c>
      <c r="K34" s="674">
        <v>0.224</v>
      </c>
      <c r="L34" s="646">
        <v>738134</v>
      </c>
      <c r="M34" s="654">
        <f>VLOOKUP(G:G,list!B:E,4,FALSE)</f>
        <v>0.1</v>
      </c>
      <c r="N34" s="655">
        <f t="shared" si="0"/>
        <v>73813</v>
      </c>
      <c r="O34" s="655">
        <f t="shared" si="1"/>
        <v>664321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45505</v>
      </c>
      <c r="J35" s="653">
        <v>5083</v>
      </c>
      <c r="K35" s="674">
        <v>0.224</v>
      </c>
      <c r="L35" s="646">
        <v>1062</v>
      </c>
      <c r="M35" s="654" t="str">
        <f>VLOOKUP(G:G,list!B:E,4,FALSE)</f>
        <v>-</v>
      </c>
      <c r="N35" s="655">
        <f t="shared" si="0"/>
        <v>0</v>
      </c>
      <c r="O35" s="655">
        <f t="shared" si="1"/>
        <v>1062</v>
      </c>
      <c r="P35" s="645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45505</v>
      </c>
      <c r="J36" s="653">
        <v>339477</v>
      </c>
      <c r="K36" s="674">
        <v>0.224</v>
      </c>
      <c r="L36" s="646">
        <v>68440</v>
      </c>
      <c r="M36" s="654">
        <f>VLOOKUP(G:G,list!B:E,4,FALSE)</f>
        <v>0.1</v>
      </c>
      <c r="N36" s="655">
        <f t="shared" si="0"/>
        <v>6844</v>
      </c>
      <c r="O36" s="655">
        <f t="shared" si="1"/>
        <v>61596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45505</v>
      </c>
      <c r="J37" s="653">
        <v>101108</v>
      </c>
      <c r="K37" s="674">
        <v>0.224</v>
      </c>
      <c r="L37" s="646">
        <v>20388</v>
      </c>
      <c r="M37" s="654">
        <f>VLOOKUP(G:G,list!B:E,4,FALSE)</f>
        <v>0.11</v>
      </c>
      <c r="N37" s="655">
        <f t="shared" si="0"/>
        <v>2243</v>
      </c>
      <c r="O37" s="655">
        <f t="shared" si="1"/>
        <v>18145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45505</v>
      </c>
      <c r="J38" s="653">
        <v>456401</v>
      </c>
      <c r="K38" s="674">
        <v>0.224</v>
      </c>
      <c r="L38" s="646">
        <v>92011</v>
      </c>
      <c r="M38" s="654">
        <f>VLOOKUP(G:G,list!B:E,4,FALSE)</f>
        <v>0.1</v>
      </c>
      <c r="N38" s="655">
        <f t="shared" si="0"/>
        <v>9201</v>
      </c>
      <c r="O38" s="655">
        <f t="shared" si="1"/>
        <v>82810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45505</v>
      </c>
      <c r="J39" s="653">
        <v>702113</v>
      </c>
      <c r="K39" s="674">
        <v>0.224</v>
      </c>
      <c r="L39" s="646">
        <v>141550</v>
      </c>
      <c r="M39" s="654" t="str">
        <f>VLOOKUP(G:G,list!B:E,4,FALSE)</f>
        <v>-</v>
      </c>
      <c r="N39" s="655">
        <f t="shared" si="0"/>
        <v>0</v>
      </c>
      <c r="O39" s="655">
        <f t="shared" si="1"/>
        <v>141550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45505</v>
      </c>
      <c r="J40" s="653">
        <v>4648682</v>
      </c>
      <c r="K40" s="674">
        <v>0.224</v>
      </c>
      <c r="L40" s="646">
        <v>937177</v>
      </c>
      <c r="M40" s="654">
        <f>VLOOKUP(G:G,list!B:E,4,FALSE)</f>
        <v>0.1</v>
      </c>
      <c r="N40" s="655">
        <f t="shared" si="0"/>
        <v>93718</v>
      </c>
      <c r="O40" s="655">
        <f t="shared" si="1"/>
        <v>843459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45505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0"/>
        <v>0</v>
      </c>
      <c r="O41" s="655">
        <f t="shared" si="1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45505</v>
      </c>
      <c r="J42" s="653">
        <v>163807</v>
      </c>
      <c r="K42" s="674">
        <v>0.224</v>
      </c>
      <c r="L42" s="646">
        <v>33025</v>
      </c>
      <c r="M42" s="654">
        <f>VLOOKUP(G:G,list!B:E,4,FALSE)</f>
        <v>0.1</v>
      </c>
      <c r="N42" s="655">
        <f t="shared" si="0"/>
        <v>3303</v>
      </c>
      <c r="O42" s="655">
        <f t="shared" si="1"/>
        <v>29722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45505</v>
      </c>
      <c r="J43" s="653">
        <v>11242287</v>
      </c>
      <c r="K43" s="674">
        <v>0.224</v>
      </c>
      <c r="L43" s="646">
        <v>2266449</v>
      </c>
      <c r="M43" s="654">
        <f>VLOOKUP(G:G,list!B:E,4,FALSE)</f>
        <v>0.1</v>
      </c>
      <c r="N43" s="655">
        <f t="shared" si="0"/>
        <v>226645</v>
      </c>
      <c r="O43" s="655">
        <f t="shared" si="1"/>
        <v>2039804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45505</v>
      </c>
      <c r="J44" s="653">
        <v>2324938</v>
      </c>
      <c r="K44" s="674">
        <v>0.224</v>
      </c>
      <c r="L44" s="646">
        <v>468708</v>
      </c>
      <c r="M44" s="654" t="str">
        <f>VLOOKUP(G:G,list!B:E,4,FALSE)</f>
        <v>-</v>
      </c>
      <c r="N44" s="655">
        <f t="shared" si="0"/>
        <v>0</v>
      </c>
      <c r="O44" s="655">
        <f t="shared" si="1"/>
        <v>468708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23</v>
      </c>
      <c r="E45" s="564" t="s">
        <v>62</v>
      </c>
      <c r="F45" s="564" t="s">
        <v>257</v>
      </c>
      <c r="G45" s="564" t="s">
        <v>30</v>
      </c>
      <c r="H45" s="565">
        <v>45394</v>
      </c>
      <c r="I45" s="652">
        <v>45536</v>
      </c>
      <c r="J45" s="653">
        <v>16490</v>
      </c>
      <c r="K45" s="567">
        <v>0.28000000000000003</v>
      </c>
      <c r="L45" s="646">
        <v>4618</v>
      </c>
      <c r="M45" s="654">
        <f>VLOOKUP(G:G,list!B:E,4,FALSE)</f>
        <v>0.1</v>
      </c>
      <c r="N45" s="655">
        <f t="shared" si="0"/>
        <v>462</v>
      </c>
      <c r="O45" s="655">
        <f t="shared" si="1"/>
        <v>4156</v>
      </c>
      <c r="P45" s="645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24</v>
      </c>
      <c r="E46" s="564" t="s">
        <v>62</v>
      </c>
      <c r="F46" s="564" t="s">
        <v>257</v>
      </c>
      <c r="G46" s="564" t="s">
        <v>30</v>
      </c>
      <c r="H46" s="565">
        <v>44743</v>
      </c>
      <c r="I46" s="652">
        <v>45536</v>
      </c>
      <c r="J46" s="653">
        <v>1866</v>
      </c>
      <c r="K46" s="567">
        <v>0.35</v>
      </c>
      <c r="L46" s="646">
        <v>654</v>
      </c>
      <c r="M46" s="654">
        <f>VLOOKUP(G:G,list!B:E,4,FALSE)</f>
        <v>0.1</v>
      </c>
      <c r="N46" s="655">
        <f t="shared" si="0"/>
        <v>65</v>
      </c>
      <c r="O46" s="655">
        <f t="shared" si="1"/>
        <v>589</v>
      </c>
      <c r="P46" s="564"/>
      <c r="Q46" s="672" t="str">
        <f>VLOOKUP(G:G,list!B:F,5,FALSE)</f>
        <v>웹소설본부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24</v>
      </c>
      <c r="E47" s="564" t="s">
        <v>62</v>
      </c>
      <c r="F47" s="564" t="s">
        <v>257</v>
      </c>
      <c r="G47" s="564" t="s">
        <v>316</v>
      </c>
      <c r="H47" s="565">
        <v>44782</v>
      </c>
      <c r="I47" s="652">
        <v>45536</v>
      </c>
      <c r="J47" s="653">
        <v>34043</v>
      </c>
      <c r="K47" s="567">
        <v>0.35</v>
      </c>
      <c r="L47" s="646">
        <v>11916</v>
      </c>
      <c r="M47" s="654">
        <f>VLOOKUP(G:G,list!B:E,4,FALSE)</f>
        <v>0.1</v>
      </c>
      <c r="N47" s="655">
        <f t="shared" si="0"/>
        <v>1192</v>
      </c>
      <c r="O47" s="655">
        <f t="shared" si="1"/>
        <v>10724</v>
      </c>
      <c r="P47" s="564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원작료</v>
      </c>
      <c r="D48" s="564" t="s">
        <v>23</v>
      </c>
      <c r="E48" s="564" t="s">
        <v>62</v>
      </c>
      <c r="F48" s="564" t="s">
        <v>257</v>
      </c>
      <c r="G48" s="564" t="s">
        <v>353</v>
      </c>
      <c r="H48" s="565">
        <v>44916</v>
      </c>
      <c r="I48" s="652">
        <v>45536</v>
      </c>
      <c r="J48" s="653">
        <v>31557</v>
      </c>
      <c r="K48" s="567">
        <v>0.35</v>
      </c>
      <c r="L48" s="646">
        <v>11045</v>
      </c>
      <c r="M48" s="654">
        <f>VLOOKUP(G:G,list!B:E,4,FALSE)</f>
        <v>0.11</v>
      </c>
      <c r="N48" s="655">
        <f t="shared" si="0"/>
        <v>1215</v>
      </c>
      <c r="O48" s="655">
        <f t="shared" si="1"/>
        <v>9830</v>
      </c>
      <c r="P48" s="564"/>
      <c r="Q48" s="672" t="str">
        <f>VLOOKUP(G:G,list!B:F,5,FALSE)</f>
        <v>-</v>
      </c>
      <c r="R48" s="656" t="str">
        <f>VLOOKUP(G:G,list!B:D,3,FALSE)</f>
        <v>N</v>
      </c>
    </row>
    <row r="49" spans="2:18" ht="18" customHeight="1">
      <c r="B49" s="650">
        <v>44</v>
      </c>
      <c r="C49" s="651" t="str">
        <f>VLOOKUP(G:G,list!B:D,2,FALSE)</f>
        <v>원작료</v>
      </c>
      <c r="D49" s="564" t="s">
        <v>25</v>
      </c>
      <c r="E49" s="564" t="s">
        <v>62</v>
      </c>
      <c r="F49" s="564" t="s">
        <v>257</v>
      </c>
      <c r="G49" s="564" t="s">
        <v>353</v>
      </c>
      <c r="H49" s="565">
        <v>44916</v>
      </c>
      <c r="I49" s="652">
        <v>45536</v>
      </c>
      <c r="J49" s="653">
        <v>21922</v>
      </c>
      <c r="K49" s="567">
        <v>0.35</v>
      </c>
      <c r="L49" s="646">
        <v>7673</v>
      </c>
      <c r="M49" s="654">
        <f>VLOOKUP(G:G,list!B:E,4,FALSE)</f>
        <v>0.11</v>
      </c>
      <c r="N49" s="655">
        <f t="shared" si="0"/>
        <v>844</v>
      </c>
      <c r="O49" s="655">
        <f t="shared" si="1"/>
        <v>6829</v>
      </c>
      <c r="P49" s="564"/>
      <c r="Q49" s="672" t="str">
        <f>VLOOKUP(G:G,list!B:F,5,FALSE)</f>
        <v>-</v>
      </c>
      <c r="R49" s="656" t="str">
        <f>VLOOKUP(G:G,list!B:D,3,FALSE)</f>
        <v>N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24</v>
      </c>
      <c r="E50" s="564" t="s">
        <v>62</v>
      </c>
      <c r="F50" s="564" t="s">
        <v>257</v>
      </c>
      <c r="G50" s="564" t="s">
        <v>353</v>
      </c>
      <c r="H50" s="565">
        <v>44914</v>
      </c>
      <c r="I50" s="652">
        <v>45536</v>
      </c>
      <c r="J50" s="653">
        <v>620</v>
      </c>
      <c r="K50" s="567">
        <v>0.35</v>
      </c>
      <c r="L50" s="646">
        <v>217</v>
      </c>
      <c r="M50" s="654">
        <f>VLOOKUP(G:G,list!B:E,4,FALSE)</f>
        <v>0.11</v>
      </c>
      <c r="N50" s="655">
        <f t="shared" si="0"/>
        <v>24</v>
      </c>
      <c r="O50" s="655">
        <f t="shared" si="1"/>
        <v>193</v>
      </c>
      <c r="P50" s="564"/>
      <c r="Q50" s="672" t="str">
        <f>VLOOKUP(G:G,list!B:F,5,FALSE)</f>
        <v>-</v>
      </c>
      <c r="R50" s="656" t="str">
        <f>VLOOKUP(G:G,list!B:D,3,FALSE)</f>
        <v>N</v>
      </c>
    </row>
    <row r="51" spans="2:18" ht="18" customHeight="1">
      <c r="B51" s="650">
        <v>46</v>
      </c>
      <c r="C51" s="651" t="str">
        <f>VLOOKUP(G:G,list!B:D,2,FALSE)</f>
        <v>원작료</v>
      </c>
      <c r="D51" s="564" t="s">
        <v>25</v>
      </c>
      <c r="E51" s="564" t="s">
        <v>62</v>
      </c>
      <c r="F51" s="564" t="s">
        <v>257</v>
      </c>
      <c r="G51" s="564" t="s">
        <v>352</v>
      </c>
      <c r="H51" s="565">
        <v>45098</v>
      </c>
      <c r="I51" s="652">
        <v>45536</v>
      </c>
      <c r="J51" s="653">
        <v>21564</v>
      </c>
      <c r="K51" s="600">
        <v>0.35</v>
      </c>
      <c r="L51" s="646">
        <v>7548</v>
      </c>
      <c r="M51" s="654">
        <f>VLOOKUP(G:G,list!B:E,4,FALSE)</f>
        <v>0.1</v>
      </c>
      <c r="N51" s="655">
        <f t="shared" si="0"/>
        <v>755</v>
      </c>
      <c r="O51" s="655">
        <f t="shared" si="1"/>
        <v>6793</v>
      </c>
      <c r="P51" s="564"/>
      <c r="Q51" s="672" t="str">
        <f>VLOOKUP(G:G,list!B:F,5,FALSE)</f>
        <v>웹소설본부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24</v>
      </c>
      <c r="E52" s="564" t="s">
        <v>62</v>
      </c>
      <c r="F52" s="564" t="s">
        <v>257</v>
      </c>
      <c r="G52" s="564" t="s">
        <v>352</v>
      </c>
      <c r="H52" s="565">
        <v>45020</v>
      </c>
      <c r="I52" s="652">
        <v>45536</v>
      </c>
      <c r="J52" s="653">
        <v>3726</v>
      </c>
      <c r="K52" s="600">
        <v>0.35</v>
      </c>
      <c r="L52" s="646">
        <v>1304</v>
      </c>
      <c r="M52" s="654">
        <f>VLOOKUP(G:G,list!B:E,4,FALSE)</f>
        <v>0.1</v>
      </c>
      <c r="N52" s="655">
        <f t="shared" si="0"/>
        <v>130</v>
      </c>
      <c r="O52" s="655">
        <f t="shared" si="1"/>
        <v>1174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78</v>
      </c>
      <c r="E53" s="564" t="s">
        <v>9</v>
      </c>
      <c r="F53" s="564" t="s">
        <v>246</v>
      </c>
      <c r="G53" s="564" t="s">
        <v>36</v>
      </c>
      <c r="H53" s="565">
        <v>43810</v>
      </c>
      <c r="I53" s="652">
        <v>45536</v>
      </c>
      <c r="J53" s="653">
        <v>80820</v>
      </c>
      <c r="K53" s="600" t="s">
        <v>532</v>
      </c>
      <c r="L53" s="646">
        <v>30159</v>
      </c>
      <c r="M53" s="654" t="str">
        <f>VLOOKUP(G:G,list!B:E,4,FALSE)</f>
        <v>-</v>
      </c>
      <c r="N53" s="655">
        <f t="shared" si="0"/>
        <v>0</v>
      </c>
      <c r="O53" s="655">
        <f t="shared" si="1"/>
        <v>30159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78</v>
      </c>
      <c r="E54" s="564" t="s">
        <v>9</v>
      </c>
      <c r="F54" s="564" t="s">
        <v>246</v>
      </c>
      <c r="G54" s="564" t="s">
        <v>139</v>
      </c>
      <c r="H54" s="565">
        <v>43852</v>
      </c>
      <c r="I54" s="652">
        <v>45536</v>
      </c>
      <c r="J54" s="653">
        <v>24300</v>
      </c>
      <c r="K54" s="600" t="s">
        <v>532</v>
      </c>
      <c r="L54" s="646">
        <v>10935</v>
      </c>
      <c r="M54" s="654" t="str">
        <f>VLOOKUP(G:G,list!B:E,4,FALSE)</f>
        <v>-</v>
      </c>
      <c r="N54" s="655">
        <f t="shared" si="0"/>
        <v>0</v>
      </c>
      <c r="O54" s="655">
        <f t="shared" si="1"/>
        <v>10935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78</v>
      </c>
      <c r="E55" s="564" t="s">
        <v>9</v>
      </c>
      <c r="F55" s="564" t="s">
        <v>544</v>
      </c>
      <c r="G55" s="564" t="s">
        <v>36</v>
      </c>
      <c r="H55" s="565">
        <v>45124</v>
      </c>
      <c r="I55" s="652">
        <v>45505</v>
      </c>
      <c r="J55" s="653">
        <v>205408</v>
      </c>
      <c r="K55" s="600">
        <v>0.5</v>
      </c>
      <c r="L55" s="646">
        <v>102704</v>
      </c>
      <c r="M55" s="654" t="str">
        <f>VLOOKUP(G:G,list!B:E,4,FALSE)</f>
        <v>-</v>
      </c>
      <c r="N55" s="655">
        <f t="shared" si="0"/>
        <v>0</v>
      </c>
      <c r="O55" s="655">
        <f t="shared" si="1"/>
        <v>102704</v>
      </c>
      <c r="P55" s="564"/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544</v>
      </c>
      <c r="G56" s="564" t="s">
        <v>139</v>
      </c>
      <c r="H56" s="565">
        <v>44513</v>
      </c>
      <c r="I56" s="652">
        <v>45505</v>
      </c>
      <c r="J56" s="653">
        <v>28158</v>
      </c>
      <c r="K56" s="600">
        <v>0.5</v>
      </c>
      <c r="L56" s="646">
        <v>14079</v>
      </c>
      <c r="M56" s="654" t="str">
        <f>VLOOKUP(G:G,list!B:E,4,FALSE)</f>
        <v>-</v>
      </c>
      <c r="N56" s="655">
        <f t="shared" si="0"/>
        <v>0</v>
      </c>
      <c r="O56" s="655">
        <f t="shared" si="1"/>
        <v>14079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66</v>
      </c>
      <c r="E57" s="564" t="s">
        <v>64</v>
      </c>
      <c r="F57" s="564" t="s">
        <v>65</v>
      </c>
      <c r="G57" s="564" t="s">
        <v>30</v>
      </c>
      <c r="H57" s="565">
        <v>44586</v>
      </c>
      <c r="I57" s="652">
        <v>45536</v>
      </c>
      <c r="J57" s="653">
        <v>60635</v>
      </c>
      <c r="K57" s="567">
        <v>0.4</v>
      </c>
      <c r="L57" s="646">
        <v>24254</v>
      </c>
      <c r="M57" s="654">
        <f>VLOOKUP(G:G,list!B:E,4,FALSE)</f>
        <v>0.1</v>
      </c>
      <c r="N57" s="655">
        <f t="shared" si="0"/>
        <v>2425</v>
      </c>
      <c r="O57" s="655">
        <f t="shared" si="1"/>
        <v>21829</v>
      </c>
      <c r="P57" s="564"/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66</v>
      </c>
      <c r="E58" s="564" t="s">
        <v>9</v>
      </c>
      <c r="F58" s="564" t="s">
        <v>65</v>
      </c>
      <c r="G58" s="564" t="s">
        <v>36</v>
      </c>
      <c r="H58" s="565">
        <v>44992</v>
      </c>
      <c r="I58" s="652">
        <v>45536</v>
      </c>
      <c r="J58" s="653">
        <v>95220</v>
      </c>
      <c r="K58" s="600">
        <v>0.4</v>
      </c>
      <c r="L58" s="646">
        <v>38088</v>
      </c>
      <c r="M58" s="654" t="str">
        <f>VLOOKUP(G:G,list!B:E,4,FALSE)</f>
        <v>-</v>
      </c>
      <c r="N58" s="655">
        <f t="shared" si="0"/>
        <v>0</v>
      </c>
      <c r="O58" s="655">
        <f t="shared" si="1"/>
        <v>38088</v>
      </c>
      <c r="P58" s="564"/>
      <c r="Q58" s="672" t="str">
        <f>VLOOKUP(G:G,list!B:F,5,FALSE)</f>
        <v>-</v>
      </c>
      <c r="R58" s="656" t="str">
        <f>VLOOKUP(G:G,list!B:D,3,FALSE)</f>
        <v>Y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66</v>
      </c>
      <c r="E59" s="564" t="s">
        <v>9</v>
      </c>
      <c r="F59" s="564" t="s">
        <v>65</v>
      </c>
      <c r="G59" s="564" t="s">
        <v>37</v>
      </c>
      <c r="H59" s="565">
        <v>45169</v>
      </c>
      <c r="I59" s="652">
        <v>45536</v>
      </c>
      <c r="J59" s="653">
        <v>30150</v>
      </c>
      <c r="K59" s="600">
        <v>0.4</v>
      </c>
      <c r="L59" s="646">
        <v>12060</v>
      </c>
      <c r="M59" s="654" t="str">
        <f>VLOOKUP(G:G,list!B:E,4,FALSE)</f>
        <v>-</v>
      </c>
      <c r="N59" s="655">
        <f t="shared" si="0"/>
        <v>0</v>
      </c>
      <c r="O59" s="655">
        <f t="shared" si="1"/>
        <v>12060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67</v>
      </c>
      <c r="E60" s="564" t="s">
        <v>9</v>
      </c>
      <c r="F60" s="564" t="s">
        <v>65</v>
      </c>
      <c r="G60" s="564" t="s">
        <v>37</v>
      </c>
      <c r="H60" s="565">
        <v>43921</v>
      </c>
      <c r="I60" s="652">
        <v>45536</v>
      </c>
      <c r="J60" s="653">
        <v>9793</v>
      </c>
      <c r="K60" s="600">
        <v>0.4</v>
      </c>
      <c r="L60" s="646">
        <v>3917</v>
      </c>
      <c r="M60" s="654" t="str">
        <f>VLOOKUP(G:G,list!B:E,4,FALSE)</f>
        <v>-</v>
      </c>
      <c r="N60" s="655">
        <f t="shared" si="0"/>
        <v>0</v>
      </c>
      <c r="O60" s="655">
        <f t="shared" si="1"/>
        <v>3917</v>
      </c>
      <c r="P60" s="564"/>
      <c r="Q60" s="672" t="str">
        <f>VLOOKUP(G:G,list!B:F,5,FALSE)</f>
        <v>-</v>
      </c>
      <c r="R60" s="656" t="str">
        <f>VLOOKUP(G:G,list!B:D,3,FALSE)</f>
        <v>Y</v>
      </c>
    </row>
    <row r="61" spans="2:18" ht="18" customHeight="1">
      <c r="B61" s="650">
        <v>56</v>
      </c>
      <c r="C61" s="651" t="str">
        <f>VLOOKUP(G:G,list!B:D,2,FALSE)</f>
        <v>작가기획</v>
      </c>
      <c r="D61" s="564" t="s">
        <v>67</v>
      </c>
      <c r="E61" s="564" t="s">
        <v>9</v>
      </c>
      <c r="F61" s="564" t="s">
        <v>65</v>
      </c>
      <c r="G61" s="564" t="s">
        <v>36</v>
      </c>
      <c r="H61" s="565">
        <v>43941</v>
      </c>
      <c r="I61" s="652">
        <v>45536</v>
      </c>
      <c r="J61" s="653">
        <v>920160</v>
      </c>
      <c r="K61" s="600">
        <v>0.4</v>
      </c>
      <c r="L61" s="646">
        <v>368064</v>
      </c>
      <c r="M61" s="654" t="str">
        <f>VLOOKUP(G:G,list!B:E,4,FALSE)</f>
        <v>-</v>
      </c>
      <c r="N61" s="655">
        <f t="shared" si="0"/>
        <v>0</v>
      </c>
      <c r="O61" s="655">
        <f t="shared" si="1"/>
        <v>368064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67</v>
      </c>
      <c r="E62" s="564" t="s">
        <v>64</v>
      </c>
      <c r="F62" s="564" t="s">
        <v>65</v>
      </c>
      <c r="G62" s="564" t="s">
        <v>30</v>
      </c>
      <c r="H62" s="565">
        <v>44258</v>
      </c>
      <c r="I62" s="652">
        <v>45536</v>
      </c>
      <c r="J62" s="653">
        <v>35843</v>
      </c>
      <c r="K62" s="600">
        <v>0.4</v>
      </c>
      <c r="L62" s="646">
        <v>14337</v>
      </c>
      <c r="M62" s="654">
        <f>VLOOKUP(G:G,list!B:E,4,FALSE)</f>
        <v>0.1</v>
      </c>
      <c r="N62" s="655">
        <f t="shared" si="0"/>
        <v>1434</v>
      </c>
      <c r="O62" s="655">
        <f t="shared" si="1"/>
        <v>12903</v>
      </c>
      <c r="P62" s="564" t="s">
        <v>366</v>
      </c>
      <c r="Q62" s="672" t="str">
        <f>VLOOKUP(G:G,list!B:F,5,FALSE)</f>
        <v>웹소설본부</v>
      </c>
      <c r="R62" s="656" t="str">
        <f>VLOOKUP(G:G,list!B:D,3,FALSE)</f>
        <v>Y</v>
      </c>
    </row>
    <row r="63" spans="2:18" ht="18" customHeight="1">
      <c r="B63" s="650">
        <v>58</v>
      </c>
      <c r="C63" s="651" t="str">
        <f>VLOOKUP(G:G,list!B:D,2,FALSE)</f>
        <v>작가기획</v>
      </c>
      <c r="D63" s="564" t="s">
        <v>78</v>
      </c>
      <c r="E63" s="564" t="s">
        <v>9</v>
      </c>
      <c r="F63" s="564" t="s">
        <v>131</v>
      </c>
      <c r="G63" s="564" t="s">
        <v>60</v>
      </c>
      <c r="H63" s="565">
        <v>44333</v>
      </c>
      <c r="I63" s="652">
        <v>45536</v>
      </c>
      <c r="J63" s="653">
        <v>16800</v>
      </c>
      <c r="K63" s="603">
        <v>0.5</v>
      </c>
      <c r="L63" s="646">
        <v>8400</v>
      </c>
      <c r="M63" s="654" t="str">
        <f>VLOOKUP(G:G,list!B:E,4,FALSE)</f>
        <v>-</v>
      </c>
      <c r="N63" s="655">
        <f t="shared" si="0"/>
        <v>0</v>
      </c>
      <c r="O63" s="655">
        <f t="shared" si="1"/>
        <v>8400</v>
      </c>
      <c r="P63" s="564"/>
      <c r="Q63" s="672" t="str">
        <f>VLOOKUP(G:G,list!B:F,5,FALSE)</f>
        <v>-</v>
      </c>
      <c r="R63" s="656" t="str">
        <f>VLOOKUP(G:G,list!B:D,3,FALSE)</f>
        <v>N</v>
      </c>
    </row>
    <row r="64" spans="2:18" ht="18" customHeight="1">
      <c r="B64" s="563">
        <v>59</v>
      </c>
      <c r="C64" s="651" t="str">
        <f>VLOOKUP(G:G,list!B:D,2,FALSE)</f>
        <v>작가기획</v>
      </c>
      <c r="D64" s="564" t="s">
        <v>78</v>
      </c>
      <c r="E64" s="564" t="s">
        <v>115</v>
      </c>
      <c r="F64" s="564" t="s">
        <v>131</v>
      </c>
      <c r="G64" s="564" t="s">
        <v>518</v>
      </c>
      <c r="H64" s="565">
        <v>44897</v>
      </c>
      <c r="I64" s="652">
        <v>45536</v>
      </c>
      <c r="J64" s="653">
        <v>19656</v>
      </c>
      <c r="K64" s="603">
        <v>0.5</v>
      </c>
      <c r="L64" s="646">
        <v>9828</v>
      </c>
      <c r="M64" s="654" t="str">
        <f>VLOOKUP(G:G,list!B:E,4,FALSE)</f>
        <v>-</v>
      </c>
      <c r="N64" s="655">
        <f t="shared" si="0"/>
        <v>0</v>
      </c>
      <c r="O64" s="655">
        <f t="shared" si="1"/>
        <v>9828</v>
      </c>
      <c r="P64" s="564"/>
      <c r="Q64" s="672" t="str">
        <f>VLOOKUP(G:G,list!B:F,5,FALSE)</f>
        <v>-</v>
      </c>
      <c r="R64" s="656" t="str">
        <f>VLOOKUP(G:G,list!B:D,3,FALSE)</f>
        <v>N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78</v>
      </c>
      <c r="E65" s="564" t="s">
        <v>115</v>
      </c>
      <c r="F65" s="564" t="s">
        <v>131</v>
      </c>
      <c r="G65" s="564" t="s">
        <v>518</v>
      </c>
      <c r="H65" s="565">
        <v>45049</v>
      </c>
      <c r="I65" s="652">
        <v>45505</v>
      </c>
      <c r="J65" s="653">
        <v>259677</v>
      </c>
      <c r="K65" s="603">
        <v>0.3</v>
      </c>
      <c r="L65" s="646">
        <v>77903</v>
      </c>
      <c r="M65" s="654" t="str">
        <f>VLOOKUP(G:G,list!B:E,4,FALSE)</f>
        <v>-</v>
      </c>
      <c r="N65" s="655">
        <f t="shared" si="0"/>
        <v>0</v>
      </c>
      <c r="O65" s="655">
        <f t="shared" si="1"/>
        <v>77903</v>
      </c>
      <c r="P65" s="564"/>
      <c r="Q65" s="672" t="str">
        <f>VLOOKUP(G:G,list!B:F,5,FALSE)</f>
        <v>-</v>
      </c>
      <c r="R65" s="656" t="str">
        <f>VLOOKUP(G:G,list!B:D,3,FALSE)</f>
        <v>N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78</v>
      </c>
      <c r="E66" s="564" t="s">
        <v>9</v>
      </c>
      <c r="F66" s="564" t="s">
        <v>545</v>
      </c>
      <c r="G66" s="564" t="s">
        <v>454</v>
      </c>
      <c r="H66" s="565">
        <v>44750</v>
      </c>
      <c r="I66" s="652">
        <v>45505</v>
      </c>
      <c r="J66" s="653">
        <v>832596</v>
      </c>
      <c r="K66" s="603">
        <v>0.7</v>
      </c>
      <c r="L66" s="646">
        <v>584689</v>
      </c>
      <c r="M66" s="654">
        <f>VLOOKUP(G:G,list!B:E,4,FALSE)</f>
        <v>0.1</v>
      </c>
      <c r="N66" s="655">
        <f t="shared" si="0"/>
        <v>58469</v>
      </c>
      <c r="O66" s="655">
        <f t="shared" si="1"/>
        <v>526220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작가기획</v>
      </c>
      <c r="D67" s="564" t="s">
        <v>32</v>
      </c>
      <c r="E67" s="564" t="s">
        <v>9</v>
      </c>
      <c r="F67" s="564" t="s">
        <v>154</v>
      </c>
      <c r="G67" s="564" t="s">
        <v>36</v>
      </c>
      <c r="H67" s="565">
        <v>44106</v>
      </c>
      <c r="I67" s="652">
        <v>45505</v>
      </c>
      <c r="J67" s="653">
        <v>58069</v>
      </c>
      <c r="K67" s="603">
        <v>0.4</v>
      </c>
      <c r="L67" s="646">
        <v>22066</v>
      </c>
      <c r="M67" s="654" t="str">
        <f>VLOOKUP(G:G,list!B:E,4,FALSE)</f>
        <v>-</v>
      </c>
      <c r="N67" s="655">
        <f t="shared" si="0"/>
        <v>0</v>
      </c>
      <c r="O67" s="655">
        <f t="shared" si="1"/>
        <v>22066</v>
      </c>
      <c r="P67" s="564"/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작가기획</v>
      </c>
      <c r="D68" s="564" t="s">
        <v>32</v>
      </c>
      <c r="E68" s="564" t="s">
        <v>9</v>
      </c>
      <c r="F68" s="564" t="s">
        <v>154</v>
      </c>
      <c r="G68" s="564" t="s">
        <v>37</v>
      </c>
      <c r="H68" s="565">
        <v>44113</v>
      </c>
      <c r="I68" s="652">
        <v>45505</v>
      </c>
      <c r="J68" s="653">
        <v>34</v>
      </c>
      <c r="K68" s="603">
        <v>0.4</v>
      </c>
      <c r="L68" s="646">
        <v>13</v>
      </c>
      <c r="M68" s="654" t="str">
        <f>VLOOKUP(G:G,list!B:E,4,FALSE)</f>
        <v>-</v>
      </c>
      <c r="N68" s="655">
        <f t="shared" si="0"/>
        <v>0</v>
      </c>
      <c r="O68" s="655">
        <f t="shared" si="1"/>
        <v>13</v>
      </c>
      <c r="P68" s="564"/>
      <c r="Q68" s="672" t="str">
        <f>VLOOKUP(G:G,list!B:F,5,FALSE)</f>
        <v>-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32</v>
      </c>
      <c r="E69" s="564" t="s">
        <v>9</v>
      </c>
      <c r="F69" s="564" t="s">
        <v>154</v>
      </c>
      <c r="G69" s="564" t="s">
        <v>454</v>
      </c>
      <c r="H69" s="565">
        <v>44869</v>
      </c>
      <c r="I69" s="652">
        <v>45505</v>
      </c>
      <c r="J69" s="653">
        <v>317736</v>
      </c>
      <c r="K69" s="603">
        <v>0.4</v>
      </c>
      <c r="L69" s="646">
        <v>120740</v>
      </c>
      <c r="M69" s="654">
        <f>VLOOKUP(G:G,list!B:E,4,FALSE)</f>
        <v>0.1</v>
      </c>
      <c r="N69" s="655">
        <f t="shared" si="0"/>
        <v>12074</v>
      </c>
      <c r="O69" s="655">
        <f t="shared" si="1"/>
        <v>108666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182</v>
      </c>
      <c r="E70" s="564" t="s">
        <v>115</v>
      </c>
      <c r="F70" s="564" t="s">
        <v>386</v>
      </c>
      <c r="G70" s="564" t="s">
        <v>30</v>
      </c>
      <c r="H70" s="565">
        <v>44591</v>
      </c>
      <c r="I70" s="652">
        <v>45474</v>
      </c>
      <c r="J70" s="653">
        <v>20555</v>
      </c>
      <c r="K70" s="603">
        <v>0.5</v>
      </c>
      <c r="L70" s="646">
        <v>10278</v>
      </c>
      <c r="M70" s="654">
        <f>VLOOKUP(G:G,list!B:E,4,FALSE)</f>
        <v>0.1</v>
      </c>
      <c r="N70" s="655">
        <f t="shared" ref="N70:N73" si="2">ROUND(IF(M70="-",0,L70*M70),0)</f>
        <v>1028</v>
      </c>
      <c r="O70" s="655">
        <f t="shared" ref="O70:O73" si="3">L70-N70</f>
        <v>9250</v>
      </c>
      <c r="P70" s="564"/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작가기획</v>
      </c>
      <c r="D71" s="564" t="s">
        <v>182</v>
      </c>
      <c r="E71" s="564" t="s">
        <v>115</v>
      </c>
      <c r="F71" s="564" t="s">
        <v>386</v>
      </c>
      <c r="G71" s="564" t="s">
        <v>36</v>
      </c>
      <c r="H71" s="565">
        <v>44643</v>
      </c>
      <c r="I71" s="652">
        <v>45474</v>
      </c>
      <c r="J71" s="653">
        <v>99945</v>
      </c>
      <c r="K71" s="603">
        <v>0.5</v>
      </c>
      <c r="L71" s="646">
        <v>49973</v>
      </c>
      <c r="M71" s="654" t="str">
        <f>VLOOKUP(G:G,list!B:E,4,FALSE)</f>
        <v>-</v>
      </c>
      <c r="N71" s="655">
        <f t="shared" si="2"/>
        <v>0</v>
      </c>
      <c r="O71" s="655">
        <f t="shared" si="3"/>
        <v>49973</v>
      </c>
      <c r="P71" s="564"/>
      <c r="Q71" s="672" t="str">
        <f>VLOOKUP(G:G,list!B:F,5,FALSE)</f>
        <v>-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작가기획</v>
      </c>
      <c r="D72" s="564" t="s">
        <v>182</v>
      </c>
      <c r="E72" s="564" t="s">
        <v>115</v>
      </c>
      <c r="F72" s="564" t="s">
        <v>386</v>
      </c>
      <c r="G72" s="564" t="s">
        <v>37</v>
      </c>
      <c r="H72" s="565">
        <v>44643</v>
      </c>
      <c r="I72" s="652">
        <v>45474</v>
      </c>
      <c r="J72" s="653">
        <v>681</v>
      </c>
      <c r="K72" s="603">
        <v>0.5</v>
      </c>
      <c r="L72" s="646">
        <v>341</v>
      </c>
      <c r="M72" s="654" t="str">
        <f>VLOOKUP(G:G,list!B:E,4,FALSE)</f>
        <v>-</v>
      </c>
      <c r="N72" s="655">
        <f t="shared" si="2"/>
        <v>0</v>
      </c>
      <c r="O72" s="655">
        <f t="shared" si="3"/>
        <v>341</v>
      </c>
      <c r="P72" s="564"/>
      <c r="Q72" s="672" t="str">
        <f>VLOOKUP(G:G,list!B:F,5,FALSE)</f>
        <v>-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원작료</v>
      </c>
      <c r="D73" s="564" t="s">
        <v>182</v>
      </c>
      <c r="E73" s="564" t="s">
        <v>115</v>
      </c>
      <c r="F73" s="564" t="s">
        <v>386</v>
      </c>
      <c r="G73" s="564" t="s">
        <v>56</v>
      </c>
      <c r="H73" s="565">
        <v>44599</v>
      </c>
      <c r="I73" s="652">
        <v>45474</v>
      </c>
      <c r="J73" s="653">
        <v>228304</v>
      </c>
      <c r="K73" s="603">
        <v>0.5</v>
      </c>
      <c r="L73" s="646">
        <v>114152</v>
      </c>
      <c r="M73" s="654">
        <f>VLOOKUP(G:G,list!B:E,4,FALSE)</f>
        <v>0.1</v>
      </c>
      <c r="N73" s="655">
        <f t="shared" si="2"/>
        <v>11415</v>
      </c>
      <c r="O73" s="655">
        <f t="shared" si="3"/>
        <v>102737</v>
      </c>
      <c r="P73" s="564"/>
      <c r="Q73" s="672" t="str">
        <f>VLOOKUP(G:G,list!B:F,5,FALSE)</f>
        <v>웹소설본부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원작료</v>
      </c>
      <c r="D74" s="564" t="s">
        <v>538</v>
      </c>
      <c r="E74" s="564" t="s">
        <v>9</v>
      </c>
      <c r="F74" s="564" t="s">
        <v>519</v>
      </c>
      <c r="G74" s="564" t="s">
        <v>316</v>
      </c>
      <c r="H74" s="565">
        <v>45446</v>
      </c>
      <c r="I74" s="652">
        <v>45536</v>
      </c>
      <c r="J74" s="653">
        <v>10906</v>
      </c>
      <c r="K74" s="603">
        <v>0.7</v>
      </c>
      <c r="L74" s="646">
        <v>7634.2</v>
      </c>
      <c r="M74" s="654">
        <f>VLOOKUP(G:G,list!B:E,4,FALSE)</f>
        <v>0.1</v>
      </c>
      <c r="N74" s="655">
        <f t="shared" si="0"/>
        <v>763</v>
      </c>
      <c r="O74" s="655">
        <f t="shared" si="1"/>
        <v>6871.2</v>
      </c>
      <c r="P74" s="564"/>
      <c r="Q74" s="672" t="str">
        <f>VLOOKUP(G:G,list!B:F,5,FALSE)</f>
        <v>웹소설본부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549</v>
      </c>
      <c r="E75" s="564" t="s">
        <v>9</v>
      </c>
      <c r="F75" s="564" t="s">
        <v>519</v>
      </c>
      <c r="G75" s="564" t="s">
        <v>316</v>
      </c>
      <c r="H75" s="565">
        <v>45524</v>
      </c>
      <c r="I75" s="652">
        <v>45536</v>
      </c>
      <c r="J75" s="653">
        <v>399.00000000000006</v>
      </c>
      <c r="K75" s="603">
        <v>0.7</v>
      </c>
      <c r="L75" s="646">
        <v>279.3</v>
      </c>
      <c r="M75" s="654">
        <f>VLOOKUP(G:G,list!B:E,4,FALSE)</f>
        <v>0.1</v>
      </c>
      <c r="N75" s="655">
        <f t="shared" ref="N75:N84" si="4">ROUND(IF(M75="-",0,L75*M75),0)</f>
        <v>28</v>
      </c>
      <c r="O75" s="655">
        <f t="shared" ref="O75:O84" si="5">L75-N75</f>
        <v>251.3</v>
      </c>
      <c r="P75" s="564"/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132</v>
      </c>
      <c r="E76" s="564" t="s">
        <v>9</v>
      </c>
      <c r="F76" s="564" t="s">
        <v>519</v>
      </c>
      <c r="G76" s="564" t="s">
        <v>56</v>
      </c>
      <c r="H76" s="565">
        <v>44952</v>
      </c>
      <c r="I76" s="652">
        <v>45536</v>
      </c>
      <c r="J76" s="653">
        <v>4788</v>
      </c>
      <c r="K76" s="567">
        <v>0.5</v>
      </c>
      <c r="L76" s="646">
        <v>2394</v>
      </c>
      <c r="M76" s="654">
        <f>VLOOKUP(G:G,list!B:E,4,FALSE)</f>
        <v>0.1</v>
      </c>
      <c r="N76" s="655">
        <f t="shared" si="4"/>
        <v>239</v>
      </c>
      <c r="O76" s="655">
        <f t="shared" si="5"/>
        <v>2155</v>
      </c>
      <c r="P76" s="564"/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538</v>
      </c>
      <c r="E77" s="564" t="s">
        <v>9</v>
      </c>
      <c r="F77" s="564" t="s">
        <v>519</v>
      </c>
      <c r="G77" s="564" t="s">
        <v>56</v>
      </c>
      <c r="H77" s="565">
        <v>45503</v>
      </c>
      <c r="I77" s="652">
        <v>45536</v>
      </c>
      <c r="J77" s="653">
        <v>13832</v>
      </c>
      <c r="K77" s="567">
        <v>0.5</v>
      </c>
      <c r="L77" s="646">
        <v>6916</v>
      </c>
      <c r="M77" s="654">
        <f>VLOOKUP(G:G,list!B:E,4,FALSE)</f>
        <v>0.1</v>
      </c>
      <c r="N77" s="655">
        <f t="shared" si="4"/>
        <v>692</v>
      </c>
      <c r="O77" s="655">
        <f t="shared" si="5"/>
        <v>6224</v>
      </c>
      <c r="P77" s="564"/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549</v>
      </c>
      <c r="E78" s="564" t="s">
        <v>9</v>
      </c>
      <c r="F78" s="564" t="s">
        <v>519</v>
      </c>
      <c r="G78" s="564" t="s">
        <v>56</v>
      </c>
      <c r="H78" s="565">
        <v>45547</v>
      </c>
      <c r="I78" s="652">
        <v>45536</v>
      </c>
      <c r="J78" s="653">
        <v>1596</v>
      </c>
      <c r="K78" s="567">
        <v>0.5</v>
      </c>
      <c r="L78" s="646">
        <v>798</v>
      </c>
      <c r="M78" s="654">
        <f>VLOOKUP(G:G,list!B:E,4,FALSE)</f>
        <v>0.1</v>
      </c>
      <c r="N78" s="655">
        <f t="shared" si="4"/>
        <v>80</v>
      </c>
      <c r="O78" s="655">
        <f t="shared" si="5"/>
        <v>718</v>
      </c>
      <c r="P78" s="564"/>
      <c r="Q78" s="672" t="str">
        <f>VLOOKUP(G:G,list!B:F,5,FALSE)</f>
        <v>웹소설본부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132</v>
      </c>
      <c r="E79" s="564" t="s">
        <v>9</v>
      </c>
      <c r="F79" s="564" t="s">
        <v>519</v>
      </c>
      <c r="G79" s="564" t="s">
        <v>30</v>
      </c>
      <c r="H79" s="565">
        <v>44953</v>
      </c>
      <c r="I79" s="652">
        <v>45536</v>
      </c>
      <c r="J79" s="653">
        <v>0</v>
      </c>
      <c r="K79" s="567">
        <v>0.5</v>
      </c>
      <c r="L79" s="646">
        <v>0</v>
      </c>
      <c r="M79" s="654">
        <f>VLOOKUP(G:G,list!B:E,4,FALSE)</f>
        <v>0.1</v>
      </c>
      <c r="N79" s="655">
        <f t="shared" si="4"/>
        <v>0</v>
      </c>
      <c r="O79" s="655">
        <f t="shared" si="5"/>
        <v>0</v>
      </c>
      <c r="P79" s="564" t="s">
        <v>366</v>
      </c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작가기획</v>
      </c>
      <c r="D80" s="564" t="s">
        <v>132</v>
      </c>
      <c r="E80" s="564" t="s">
        <v>9</v>
      </c>
      <c r="F80" s="564" t="s">
        <v>519</v>
      </c>
      <c r="G80" s="564" t="s">
        <v>308</v>
      </c>
      <c r="H80" s="565">
        <v>44992</v>
      </c>
      <c r="I80" s="652">
        <v>45536</v>
      </c>
      <c r="J80" s="653">
        <v>0</v>
      </c>
      <c r="K80" s="603">
        <v>0.5</v>
      </c>
      <c r="L80" s="646">
        <v>0</v>
      </c>
      <c r="M80" s="654" t="str">
        <f>VLOOKUP(G:G,list!B:E,4,FALSE)</f>
        <v>-</v>
      </c>
      <c r="N80" s="655">
        <f t="shared" si="4"/>
        <v>0</v>
      </c>
      <c r="O80" s="655">
        <f t="shared" si="5"/>
        <v>0</v>
      </c>
      <c r="P80" s="564" t="s">
        <v>366</v>
      </c>
      <c r="Q80" s="672" t="str">
        <f>VLOOKUP(G:G,list!B:F,5,FALSE)</f>
        <v>-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작가기획</v>
      </c>
      <c r="D81" s="564" t="s">
        <v>132</v>
      </c>
      <c r="E81" s="564" t="s">
        <v>9</v>
      </c>
      <c r="F81" s="564" t="s">
        <v>519</v>
      </c>
      <c r="G81" s="564" t="s">
        <v>36</v>
      </c>
      <c r="H81" s="565">
        <v>45198</v>
      </c>
      <c r="I81" s="652">
        <v>45536</v>
      </c>
      <c r="J81" s="653">
        <v>834974</v>
      </c>
      <c r="K81" s="603">
        <v>0.5</v>
      </c>
      <c r="L81" s="646">
        <v>417487</v>
      </c>
      <c r="M81" s="654" t="str">
        <f>VLOOKUP(G:G,list!B:E,4,FALSE)</f>
        <v>-</v>
      </c>
      <c r="N81" s="655">
        <f t="shared" si="4"/>
        <v>0</v>
      </c>
      <c r="O81" s="655">
        <f t="shared" si="5"/>
        <v>417487</v>
      </c>
      <c r="P81" s="564"/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작가기획</v>
      </c>
      <c r="D82" s="564" t="s">
        <v>538</v>
      </c>
      <c r="E82" s="564" t="s">
        <v>9</v>
      </c>
      <c r="F82" s="564" t="s">
        <v>519</v>
      </c>
      <c r="G82" s="564" t="s">
        <v>36</v>
      </c>
      <c r="H82" s="565">
        <v>45479</v>
      </c>
      <c r="I82" s="652">
        <v>45536</v>
      </c>
      <c r="J82" s="653">
        <v>10241</v>
      </c>
      <c r="K82" s="603">
        <v>0.5</v>
      </c>
      <c r="L82" s="646">
        <v>5120.5</v>
      </c>
      <c r="M82" s="654" t="str">
        <f>VLOOKUP(G:G,list!B:E,4,FALSE)</f>
        <v>-</v>
      </c>
      <c r="N82" s="655">
        <f t="shared" si="4"/>
        <v>0</v>
      </c>
      <c r="O82" s="655">
        <f t="shared" si="5"/>
        <v>5120.5</v>
      </c>
      <c r="P82" s="564"/>
      <c r="Q82" s="672" t="str">
        <f>VLOOKUP(G:G,list!B:F,5,FALSE)</f>
        <v>-</v>
      </c>
      <c r="R82" s="656" t="str">
        <f>VLOOKUP(G:G,list!B:D,3,FALSE)</f>
        <v>Y</v>
      </c>
    </row>
    <row r="83" spans="2:18" ht="18" customHeight="1">
      <c r="B83" s="650">
        <v>78</v>
      </c>
      <c r="C83" s="651" t="str">
        <f>VLOOKUP(G:G,list!B:D,2,FALSE)</f>
        <v>작가기획</v>
      </c>
      <c r="D83" s="564" t="s">
        <v>132</v>
      </c>
      <c r="E83" s="564" t="s">
        <v>9</v>
      </c>
      <c r="F83" s="564" t="s">
        <v>519</v>
      </c>
      <c r="G83" s="564" t="s">
        <v>37</v>
      </c>
      <c r="H83" s="565">
        <v>45276</v>
      </c>
      <c r="I83" s="652">
        <v>45536</v>
      </c>
      <c r="J83" s="653">
        <v>399</v>
      </c>
      <c r="K83" s="603">
        <v>0.5</v>
      </c>
      <c r="L83" s="646">
        <v>199.5</v>
      </c>
      <c r="M83" s="654" t="str">
        <f>VLOOKUP(G:G,list!B:E,4,FALSE)</f>
        <v>-</v>
      </c>
      <c r="N83" s="655">
        <f t="shared" si="4"/>
        <v>0</v>
      </c>
      <c r="O83" s="655">
        <f t="shared" si="5"/>
        <v>199.5</v>
      </c>
      <c r="P83" s="564"/>
      <c r="Q83" s="672" t="str">
        <f>VLOOKUP(G:G,list!B:F,5,FALSE)</f>
        <v>-</v>
      </c>
      <c r="R83" s="656" t="str">
        <f>VLOOKUP(G:G,list!B:D,3,FALSE)</f>
        <v>Y</v>
      </c>
    </row>
    <row r="84" spans="2:18" ht="18" customHeight="1">
      <c r="B84" s="563">
        <v>79</v>
      </c>
      <c r="C84" s="651" t="str">
        <f>VLOOKUP(G:G,list!B:D,2,FALSE)</f>
        <v>작가기획</v>
      </c>
      <c r="D84" s="564" t="s">
        <v>538</v>
      </c>
      <c r="E84" s="564" t="s">
        <v>9</v>
      </c>
      <c r="F84" s="564" t="s">
        <v>519</v>
      </c>
      <c r="G84" s="564" t="s">
        <v>37</v>
      </c>
      <c r="H84" s="565">
        <v>45534</v>
      </c>
      <c r="I84" s="652">
        <v>45536</v>
      </c>
      <c r="J84" s="653">
        <v>1596</v>
      </c>
      <c r="K84" s="603">
        <v>0.5</v>
      </c>
      <c r="L84" s="646">
        <v>798</v>
      </c>
      <c r="M84" s="654" t="str">
        <f>VLOOKUP(G:G,list!B:E,4,FALSE)</f>
        <v>-</v>
      </c>
      <c r="N84" s="655">
        <f t="shared" si="4"/>
        <v>0</v>
      </c>
      <c r="O84" s="655">
        <f t="shared" si="5"/>
        <v>798</v>
      </c>
      <c r="P84" s="564"/>
      <c r="Q84" s="672" t="str">
        <f>VLOOKUP(G:G,list!B:F,5,FALSE)</f>
        <v>-</v>
      </c>
      <c r="R84" s="656" t="str">
        <f>VLOOKUP(G:G,list!B:D,3,FALSE)</f>
        <v>Y</v>
      </c>
    </row>
    <row r="85" spans="2:18" ht="18" customHeight="1">
      <c r="B85" s="650">
        <v>80</v>
      </c>
      <c r="C85" s="651" t="str">
        <f>VLOOKUP(G:G,list!B:D,2,FALSE)</f>
        <v>작가기획</v>
      </c>
      <c r="D85" s="564" t="s">
        <v>182</v>
      </c>
      <c r="E85" s="564" t="s">
        <v>115</v>
      </c>
      <c r="F85" s="564" t="s">
        <v>550</v>
      </c>
      <c r="G85" s="564" t="s">
        <v>308</v>
      </c>
      <c r="H85" s="565">
        <v>45347</v>
      </c>
      <c r="I85" s="652">
        <v>45474</v>
      </c>
      <c r="J85" s="653">
        <v>14217</v>
      </c>
      <c r="K85" s="603">
        <v>0.5</v>
      </c>
      <c r="L85" s="646">
        <v>7109</v>
      </c>
      <c r="M85" s="654" t="str">
        <f>VLOOKUP(G:G,list!B:E,4,FALSE)</f>
        <v>-</v>
      </c>
      <c r="N85" s="655">
        <f t="shared" ref="N85:N86" si="6">ROUND(IF(M85="-",0,L85*M85),0)</f>
        <v>0</v>
      </c>
      <c r="O85" s="655">
        <f t="shared" ref="O85:O86" si="7">L85-N85</f>
        <v>7109</v>
      </c>
      <c r="P85" s="564"/>
      <c r="Q85" s="672" t="str">
        <f>VLOOKUP(G:G,list!B:F,5,FALSE)</f>
        <v>-</v>
      </c>
      <c r="R85" s="656" t="str">
        <f>VLOOKUP(G:G,list!B:D,3,FALSE)</f>
        <v>Y</v>
      </c>
    </row>
    <row r="86" spans="2:18" ht="18" customHeight="1">
      <c r="B86" s="563">
        <v>81</v>
      </c>
      <c r="C86" s="651" t="str">
        <f>VLOOKUP(G:G,list!B:D,2,FALSE)</f>
        <v>원작료</v>
      </c>
      <c r="D86" s="564" t="s">
        <v>182</v>
      </c>
      <c r="E86" s="564" t="s">
        <v>115</v>
      </c>
      <c r="F86" s="564" t="s">
        <v>550</v>
      </c>
      <c r="G86" s="564" t="s">
        <v>316</v>
      </c>
      <c r="H86" s="565">
        <v>45359</v>
      </c>
      <c r="I86" s="652">
        <v>45474</v>
      </c>
      <c r="J86" s="653">
        <v>2398</v>
      </c>
      <c r="K86" s="603">
        <v>0.5</v>
      </c>
      <c r="L86" s="646">
        <v>1199</v>
      </c>
      <c r="M86" s="654">
        <f>VLOOKUP(G:G,list!B:E,4,FALSE)</f>
        <v>0.1</v>
      </c>
      <c r="N86" s="655">
        <f t="shared" si="6"/>
        <v>120</v>
      </c>
      <c r="O86" s="655">
        <f t="shared" si="7"/>
        <v>1079</v>
      </c>
      <c r="P86" s="564"/>
      <c r="Q86" s="672" t="str">
        <f>VLOOKUP(G:G,list!B:F,5,FALSE)</f>
        <v>웹소설본부</v>
      </c>
      <c r="R86" s="656" t="str">
        <f>VLOOKUP(G:G,list!B:D,3,FALSE)</f>
        <v>Y</v>
      </c>
    </row>
    <row r="87" spans="2:18" ht="18" customHeight="1">
      <c r="B87" s="650">
        <v>82</v>
      </c>
      <c r="C87" s="651" t="str">
        <f>VLOOKUP(G:G,list!B:D,2,FALSE)</f>
        <v>원작료</v>
      </c>
      <c r="D87" s="564" t="s">
        <v>32</v>
      </c>
      <c r="E87" s="564" t="s">
        <v>9</v>
      </c>
      <c r="F87" s="564" t="s">
        <v>31</v>
      </c>
      <c r="G87" s="564" t="s">
        <v>30</v>
      </c>
      <c r="H87" s="565">
        <v>44239</v>
      </c>
      <c r="I87" s="652">
        <v>45505</v>
      </c>
      <c r="J87" s="653">
        <v>27747</v>
      </c>
      <c r="K87" s="603">
        <v>0.4</v>
      </c>
      <c r="L87" s="646">
        <v>10549</v>
      </c>
      <c r="M87" s="654">
        <f>VLOOKUP(G:G,list!B:E,4,FALSE)</f>
        <v>0.1</v>
      </c>
      <c r="N87" s="655">
        <f t="shared" si="0"/>
        <v>1055</v>
      </c>
      <c r="O87" s="655">
        <f t="shared" si="1"/>
        <v>9494</v>
      </c>
      <c r="P87" s="564"/>
      <c r="Q87" s="672" t="str">
        <f>VLOOKUP(G:G,list!B:F,5,FALSE)</f>
        <v>웹소설본부</v>
      </c>
      <c r="R87" s="656" t="str">
        <f>VLOOKUP(G:G,list!B:D,3,FALSE)</f>
        <v>Y</v>
      </c>
    </row>
    <row r="88" spans="2:18" ht="18" customHeight="1">
      <c r="B88" s="563">
        <v>83</v>
      </c>
      <c r="C88" s="651" t="str">
        <f>VLOOKUP(G:G,list!B:D,2,FALSE)</f>
        <v>원작료</v>
      </c>
      <c r="D88" s="564" t="s">
        <v>123</v>
      </c>
      <c r="E88" s="564" t="s">
        <v>9</v>
      </c>
      <c r="F88" s="564" t="s">
        <v>213</v>
      </c>
      <c r="G88" s="564" t="s">
        <v>56</v>
      </c>
      <c r="H88" s="565">
        <v>44581</v>
      </c>
      <c r="I88" s="652">
        <v>45536</v>
      </c>
      <c r="J88" s="653">
        <v>1012410</v>
      </c>
      <c r="K88" s="603">
        <v>0.3</v>
      </c>
      <c r="L88" s="568">
        <v>303723</v>
      </c>
      <c r="M88" s="654">
        <f>VLOOKUP(G:G,list!B:E,4,FALSE)</f>
        <v>0.1</v>
      </c>
      <c r="N88" s="655">
        <f t="shared" si="0"/>
        <v>30372</v>
      </c>
      <c r="O88" s="655">
        <f t="shared" si="1"/>
        <v>273351</v>
      </c>
      <c r="P88" s="564" t="s">
        <v>186</v>
      </c>
      <c r="Q88" s="672" t="str">
        <f>VLOOKUP(G:G,list!B:F,5,FALSE)</f>
        <v>웹소설본부</v>
      </c>
      <c r="R88" s="656" t="str">
        <f>VLOOKUP(G:G,list!B:D,3,FALSE)</f>
        <v>Y</v>
      </c>
    </row>
    <row r="89" spans="2:18" ht="18" customHeight="1">
      <c r="B89" s="650">
        <v>84</v>
      </c>
      <c r="C89" s="651" t="str">
        <f>VLOOKUP(G:G,list!B:D,2,FALSE)</f>
        <v>원작료</v>
      </c>
      <c r="D89" s="564" t="s">
        <v>183</v>
      </c>
      <c r="E89" s="564" t="s">
        <v>9</v>
      </c>
      <c r="F89" s="564" t="s">
        <v>213</v>
      </c>
      <c r="G89" s="564" t="s">
        <v>56</v>
      </c>
      <c r="H89" s="565">
        <v>44829</v>
      </c>
      <c r="I89" s="652">
        <v>45536</v>
      </c>
      <c r="J89" s="653">
        <v>465970</v>
      </c>
      <c r="K89" s="603">
        <v>0.3</v>
      </c>
      <c r="L89" s="568">
        <v>139791</v>
      </c>
      <c r="M89" s="654">
        <f>VLOOKUP(G:G,list!B:E,4,FALSE)</f>
        <v>0.1</v>
      </c>
      <c r="N89" s="655">
        <f t="shared" si="0"/>
        <v>13979</v>
      </c>
      <c r="O89" s="655">
        <f t="shared" si="1"/>
        <v>125812</v>
      </c>
      <c r="P89" s="564" t="s">
        <v>186</v>
      </c>
      <c r="Q89" s="672" t="str">
        <f>VLOOKUP(G:G,list!B:F,5,FALSE)</f>
        <v>웹소설본부</v>
      </c>
      <c r="R89" s="656" t="str">
        <f>VLOOKUP(G:G,list!B:D,3,FALSE)</f>
        <v>Y</v>
      </c>
    </row>
    <row r="90" spans="2:18" ht="18" customHeight="1">
      <c r="B90" s="563">
        <v>85</v>
      </c>
      <c r="C90" s="651" t="str">
        <f>VLOOKUP(G:G,list!B:D,2,FALSE)</f>
        <v>원작료</v>
      </c>
      <c r="D90" s="564" t="s">
        <v>123</v>
      </c>
      <c r="E90" s="564" t="s">
        <v>9</v>
      </c>
      <c r="F90" s="564" t="s">
        <v>213</v>
      </c>
      <c r="G90" s="564" t="s">
        <v>454</v>
      </c>
      <c r="H90" s="565">
        <v>44854</v>
      </c>
      <c r="I90" s="652">
        <v>45536</v>
      </c>
      <c r="J90" s="653">
        <v>827430</v>
      </c>
      <c r="K90" s="603">
        <v>0.3</v>
      </c>
      <c r="L90" s="568">
        <v>248229</v>
      </c>
      <c r="M90" s="654">
        <f>VLOOKUP(G:G,list!B:E,4,FALSE)</f>
        <v>0.1</v>
      </c>
      <c r="N90" s="655">
        <f t="shared" si="0"/>
        <v>24823</v>
      </c>
      <c r="O90" s="655">
        <f t="shared" si="1"/>
        <v>223406</v>
      </c>
      <c r="P90" s="564" t="s">
        <v>186</v>
      </c>
      <c r="Q90" s="672" t="str">
        <f>VLOOKUP(G:G,list!B:F,5,FALSE)</f>
        <v>-</v>
      </c>
      <c r="R90" s="656" t="str">
        <f>VLOOKUP(G:G,list!B:D,3,FALSE)</f>
        <v>Y</v>
      </c>
    </row>
    <row r="91" spans="2:18" ht="18" customHeight="1">
      <c r="B91" s="650">
        <v>86</v>
      </c>
      <c r="C91" s="651" t="str">
        <f>VLOOKUP(G:G,list!B:D,2,FALSE)</f>
        <v>원작료</v>
      </c>
      <c r="D91" s="564" t="s">
        <v>123</v>
      </c>
      <c r="E91" s="564" t="s">
        <v>9</v>
      </c>
      <c r="F91" s="564" t="s">
        <v>213</v>
      </c>
      <c r="G91" s="564" t="s">
        <v>481</v>
      </c>
      <c r="H91" s="565">
        <v>44981</v>
      </c>
      <c r="I91" s="652">
        <v>45536</v>
      </c>
      <c r="J91" s="653">
        <v>334640</v>
      </c>
      <c r="K91" s="603">
        <v>0.3</v>
      </c>
      <c r="L91" s="568">
        <v>100392</v>
      </c>
      <c r="M91" s="654">
        <f>VLOOKUP(G:G,list!B:E,4,FALSE)</f>
        <v>0.1</v>
      </c>
      <c r="N91" s="655">
        <f t="shared" si="0"/>
        <v>10039</v>
      </c>
      <c r="O91" s="655">
        <f t="shared" si="1"/>
        <v>90353</v>
      </c>
      <c r="P91" s="564" t="s">
        <v>186</v>
      </c>
      <c r="Q91" s="672" t="str">
        <f>VLOOKUP(G:G,list!B:F,5,FALSE)</f>
        <v>웹소설본부</v>
      </c>
      <c r="R91" s="656" t="str">
        <f>VLOOKUP(G:G,list!B:D,3,FALSE)</f>
        <v>Y</v>
      </c>
    </row>
    <row r="92" spans="2:18" ht="18" customHeight="1">
      <c r="B92" s="563">
        <v>87</v>
      </c>
      <c r="C92" s="651" t="str">
        <f>VLOOKUP(G:G,list!B:D,2,FALSE)</f>
        <v>원작료</v>
      </c>
      <c r="D92" s="564" t="s">
        <v>123</v>
      </c>
      <c r="E92" s="564" t="s">
        <v>9</v>
      </c>
      <c r="F92" s="564" t="s">
        <v>213</v>
      </c>
      <c r="G92" s="564" t="s">
        <v>352</v>
      </c>
      <c r="H92" s="565">
        <v>44984</v>
      </c>
      <c r="I92" s="652">
        <v>45536</v>
      </c>
      <c r="J92" s="653">
        <v>370283</v>
      </c>
      <c r="K92" s="603">
        <v>0.3</v>
      </c>
      <c r="L92" s="568">
        <v>111085</v>
      </c>
      <c r="M92" s="654">
        <f>VLOOKUP(G:G,list!B:E,4,FALSE)</f>
        <v>0.1</v>
      </c>
      <c r="N92" s="655">
        <f t="shared" si="0"/>
        <v>11109</v>
      </c>
      <c r="O92" s="655">
        <f t="shared" si="1"/>
        <v>99976</v>
      </c>
      <c r="P92" s="564" t="s">
        <v>186</v>
      </c>
      <c r="Q92" s="672" t="str">
        <f>VLOOKUP(G:G,list!B:F,5,FALSE)</f>
        <v>웹소설본부</v>
      </c>
      <c r="R92" s="656" t="str">
        <f>VLOOKUP(G:G,list!B:D,3,FALSE)</f>
        <v>Y</v>
      </c>
    </row>
    <row r="93" spans="2:18" ht="18" customHeight="1">
      <c r="B93" s="650">
        <v>88</v>
      </c>
      <c r="C93" s="651" t="str">
        <f>VLOOKUP(G:G,list!B:D,2,FALSE)</f>
        <v>원작료</v>
      </c>
      <c r="D93" s="564" t="s">
        <v>72</v>
      </c>
      <c r="E93" s="564" t="s">
        <v>9</v>
      </c>
      <c r="F93" s="564" t="s">
        <v>213</v>
      </c>
      <c r="G93" s="564" t="s">
        <v>454</v>
      </c>
      <c r="H93" s="565">
        <v>44902</v>
      </c>
      <c r="I93" s="652">
        <v>45505</v>
      </c>
      <c r="J93" s="653">
        <v>6145313</v>
      </c>
      <c r="K93" s="603">
        <v>0.3</v>
      </c>
      <c r="L93" s="568">
        <v>1843594</v>
      </c>
      <c r="M93" s="654">
        <f>VLOOKUP(G:G,list!B:E,4,FALSE)</f>
        <v>0.1</v>
      </c>
      <c r="N93" s="655">
        <f t="shared" ref="N93:N94" si="8">ROUND(IF(M93="-",0,L93*M93),0)</f>
        <v>184359</v>
      </c>
      <c r="O93" s="655">
        <f t="shared" ref="O93:O94" si="9">L93-N93</f>
        <v>1659235</v>
      </c>
      <c r="P93" s="564" t="s">
        <v>282</v>
      </c>
      <c r="Q93" s="672" t="str">
        <f>VLOOKUP(G:G,list!B:F,5,FALSE)</f>
        <v>-</v>
      </c>
      <c r="R93" s="656" t="str">
        <f>VLOOKUP(G:G,list!B:D,3,FALSE)</f>
        <v>Y</v>
      </c>
    </row>
    <row r="94" spans="2:18" ht="18" customHeight="1">
      <c r="B94" s="563">
        <v>89</v>
      </c>
      <c r="C94" s="651" t="str">
        <f>VLOOKUP(G:G,list!B:D,2,FALSE)</f>
        <v>원작료</v>
      </c>
      <c r="D94" s="564" t="s">
        <v>72</v>
      </c>
      <c r="E94" s="564" t="s">
        <v>9</v>
      </c>
      <c r="F94" s="564" t="s">
        <v>213</v>
      </c>
      <c r="G94" s="564" t="s">
        <v>454</v>
      </c>
      <c r="H94" s="565">
        <v>45257</v>
      </c>
      <c r="I94" s="652">
        <v>45505</v>
      </c>
      <c r="J94" s="653">
        <v>158733</v>
      </c>
      <c r="K94" s="603">
        <v>0.3</v>
      </c>
      <c r="L94" s="568">
        <v>47620</v>
      </c>
      <c r="M94" s="654">
        <f>VLOOKUP(G:G,list!B:E,4,FALSE)</f>
        <v>0.1</v>
      </c>
      <c r="N94" s="655">
        <f t="shared" si="8"/>
        <v>4762</v>
      </c>
      <c r="O94" s="655">
        <f t="shared" si="9"/>
        <v>42858</v>
      </c>
      <c r="P94" s="564" t="s">
        <v>546</v>
      </c>
      <c r="Q94" s="672" t="str">
        <f>VLOOKUP(G:G,list!B:F,5,FALSE)</f>
        <v>-</v>
      </c>
      <c r="R94" s="656" t="str">
        <f>VLOOKUP(G:G,list!B:D,3,FALSE)</f>
        <v>Y</v>
      </c>
    </row>
    <row r="95" spans="2:18" ht="11.25" customHeight="1">
      <c r="B95" s="52"/>
      <c r="C95" s="551"/>
      <c r="D95" s="551"/>
      <c r="E95" s="551"/>
      <c r="F95" s="551"/>
      <c r="G95" s="551"/>
      <c r="H95" s="622"/>
      <c r="I95" s="551"/>
      <c r="J95" s="435"/>
      <c r="K95" s="623"/>
      <c r="L95"/>
      <c r="M95" s="438"/>
      <c r="N95" s="439"/>
      <c r="O95" s="440"/>
      <c r="P95" s="633"/>
      <c r="Q95" s="438"/>
      <c r="R95" s="486"/>
    </row>
    <row r="96" spans="2:18" s="7" customFormat="1" ht="16.5" customHeight="1">
      <c r="B96" s="624" t="s">
        <v>387</v>
      </c>
      <c r="C96" s="625"/>
      <c r="D96" s="625"/>
      <c r="E96" s="626"/>
      <c r="F96" s="625"/>
      <c r="G96" s="625"/>
      <c r="H96" s="625"/>
      <c r="I96" s="311"/>
      <c r="J96" s="311"/>
      <c r="K96" s="311"/>
      <c r="M96" s="424"/>
      <c r="N96"/>
      <c r="O96" s="333"/>
      <c r="P96" s="631"/>
      <c r="Q96" s="424"/>
      <c r="R96" s="484"/>
    </row>
    <row r="97" spans="2:18" s="7" customFormat="1" ht="16.5" customHeight="1">
      <c r="B97" s="629" t="s">
        <v>299</v>
      </c>
      <c r="C97" s="625"/>
      <c r="D97" s="625"/>
      <c r="E97" s="626"/>
      <c r="F97" s="625"/>
      <c r="G97" s="625"/>
      <c r="H97" s="625"/>
      <c r="I97" s="311"/>
      <c r="K97" s="311"/>
      <c r="L97" s="311"/>
      <c r="M97" s="424"/>
      <c r="N97"/>
      <c r="O97" s="333"/>
      <c r="P97" s="631"/>
      <c r="Q97" s="424"/>
      <c r="R97" s="484"/>
    </row>
    <row r="98" spans="2:18" s="7" customFormat="1" ht="16.5" customHeight="1">
      <c r="B98" s="628" t="s">
        <v>302</v>
      </c>
      <c r="C98" s="627"/>
      <c r="D98" s="625"/>
      <c r="E98" s="626"/>
      <c r="F98" s="625"/>
      <c r="G98" s="625"/>
      <c r="H98" s="625"/>
      <c r="I98" s="311"/>
      <c r="J98" s="311"/>
      <c r="L98" s="311"/>
      <c r="M98" s="424"/>
      <c r="N98"/>
      <c r="O98" s="333"/>
      <c r="P98" s="631"/>
      <c r="Q98" s="424"/>
      <c r="R98" s="484"/>
    </row>
    <row r="99" spans="2:18" s="7" customFormat="1" ht="16.5" customHeight="1">
      <c r="B99" s="630" t="s">
        <v>303</v>
      </c>
      <c r="C99" s="627"/>
      <c r="D99" s="625"/>
      <c r="E99" s="626"/>
      <c r="F99" s="625"/>
      <c r="G99" s="625"/>
      <c r="H99" s="625"/>
      <c r="I99" s="311"/>
      <c r="J99" s="311"/>
      <c r="K99" s="311"/>
      <c r="L99" s="311"/>
      <c r="M99" s="424"/>
      <c r="N99"/>
      <c r="O99" s="333"/>
      <c r="P99" s="631"/>
      <c r="Q99" s="424"/>
      <c r="R99" s="484"/>
    </row>
    <row r="100" spans="2:18" ht="16.5" customHeight="1">
      <c r="B100" s="629" t="s">
        <v>340</v>
      </c>
      <c r="C100" s="625"/>
      <c r="D100" s="625"/>
      <c r="E100" s="626"/>
      <c r="F100" s="625"/>
      <c r="G100" s="625"/>
      <c r="H100" s="625"/>
      <c r="I100" s="311"/>
      <c r="J100" s="311"/>
      <c r="K100" s="311"/>
    </row>
    <row r="101" spans="2:18" ht="16.5" customHeight="1">
      <c r="B101" s="629" t="s">
        <v>512</v>
      </c>
      <c r="C101" s="625"/>
      <c r="D101" s="625"/>
      <c r="E101" s="626"/>
      <c r="F101" s="625"/>
      <c r="G101" s="625"/>
      <c r="H101" s="625"/>
      <c r="I101" s="311"/>
      <c r="J101" s="311"/>
      <c r="K101" s="311"/>
    </row>
    <row r="102" spans="2:18" ht="16.5" customHeight="1">
      <c r="B102" s="629" t="s">
        <v>522</v>
      </c>
      <c r="C102" s="625"/>
      <c r="D102" s="625"/>
      <c r="E102" s="626"/>
      <c r="F102" s="625"/>
      <c r="G102" s="625"/>
      <c r="H102" s="625"/>
      <c r="I102" s="311"/>
      <c r="J102" s="311"/>
      <c r="K102" s="311"/>
    </row>
    <row r="103" spans="2:18" ht="16.5" customHeight="1">
      <c r="B103" s="629" t="s">
        <v>520</v>
      </c>
      <c r="C103" s="625"/>
      <c r="D103" s="625"/>
      <c r="E103" s="626"/>
      <c r="F103" s="625"/>
      <c r="G103" s="625"/>
      <c r="H103" s="625"/>
      <c r="I103" s="311"/>
      <c r="J103" s="311"/>
      <c r="K103" s="311"/>
    </row>
    <row r="104" spans="2:18" ht="16.5" customHeight="1">
      <c r="B104" s="629" t="s">
        <v>521</v>
      </c>
      <c r="C104" s="625"/>
      <c r="D104" s="625"/>
      <c r="E104" s="626"/>
      <c r="F104" s="625"/>
      <c r="G104" s="625"/>
      <c r="H104" s="625"/>
      <c r="I104" s="311"/>
      <c r="J104" s="311"/>
      <c r="K104" s="311"/>
    </row>
    <row r="105" spans="2:18" ht="16.5" customHeight="1">
      <c r="B105" s="629" t="s">
        <v>529</v>
      </c>
      <c r="C105" s="625"/>
      <c r="D105" s="625"/>
      <c r="E105" s="626"/>
      <c r="F105" s="625"/>
      <c r="G105" s="625"/>
      <c r="H105" s="625"/>
      <c r="I105" s="311"/>
      <c r="J105" s="311"/>
      <c r="K105" s="311"/>
    </row>
  </sheetData>
  <autoFilter ref="B5:R92" xr:uid="{2A1C84CC-9B24-4E30-978A-67247E3AFA07}"/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FC18-6A42-4512-B1C4-6662E0AD56E4}">
  <dimension ref="B1:R93"/>
  <sheetViews>
    <sheetView showGridLines="0" zoomScaleNormal="100" workbookViewId="0">
      <pane xSplit="1" ySplit="5" topLeftCell="B61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542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543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54469401.899999999</v>
      </c>
      <c r="K4" s="52"/>
      <c r="L4" s="648">
        <f>SUBTOTAL(109,L6:L1048576)</f>
        <v>18986340.800000001</v>
      </c>
      <c r="M4" s="543"/>
      <c r="N4" s="649">
        <f>SUBTOTAL(109,N6:N1048576)</f>
        <v>1582595</v>
      </c>
      <c r="O4" s="649">
        <f>SUBTOTAL(109,O6:O1048576)</f>
        <v>17403745.800000001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45505</v>
      </c>
      <c r="J6" s="653">
        <v>771163.9</v>
      </c>
      <c r="K6" s="567">
        <v>0.6</v>
      </c>
      <c r="L6" s="646">
        <v>462698</v>
      </c>
      <c r="M6" s="654" t="str">
        <f>VLOOKUP(G:G,list!B:E,4,FALSE)</f>
        <v>-</v>
      </c>
      <c r="N6" s="655">
        <f t="shared" ref="N6:N80" si="0">ROUND(IF(M6="-",0,L6*M6),0)</f>
        <v>0</v>
      </c>
      <c r="O6" s="655">
        <f t="shared" ref="O6:O80" si="1">L6-N6</f>
        <v>462698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45505</v>
      </c>
      <c r="J7" s="653">
        <v>288101</v>
      </c>
      <c r="K7" s="600">
        <v>0.6</v>
      </c>
      <c r="L7" s="646">
        <v>172861</v>
      </c>
      <c r="M7" s="654" t="str">
        <f>VLOOKUP(G:G,list!B:E,4,FALSE)</f>
        <v>-</v>
      </c>
      <c r="N7" s="655">
        <f t="shared" si="0"/>
        <v>0</v>
      </c>
      <c r="O7" s="655">
        <f t="shared" si="1"/>
        <v>172861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563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45505</v>
      </c>
      <c r="J8" s="653">
        <v>556205.1</v>
      </c>
      <c r="K8" s="567">
        <v>0.6</v>
      </c>
      <c r="L8" s="646">
        <v>333723</v>
      </c>
      <c r="M8" s="654" t="str">
        <f>VLOOKUP(G:G,list!B:E,4,FALSE)</f>
        <v>-</v>
      </c>
      <c r="N8" s="655">
        <f t="shared" si="0"/>
        <v>0</v>
      </c>
      <c r="O8" s="655">
        <f t="shared" si="1"/>
        <v>333723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45505</v>
      </c>
      <c r="J9" s="653">
        <v>266902</v>
      </c>
      <c r="K9" s="606">
        <v>0.6</v>
      </c>
      <c r="L9" s="646">
        <v>160142</v>
      </c>
      <c r="M9" s="654">
        <f>VLOOKUP(G:G,list!B:E,4,FALSE)</f>
        <v>0.1</v>
      </c>
      <c r="N9" s="655">
        <f t="shared" si="0"/>
        <v>16014</v>
      </c>
      <c r="O9" s="655">
        <f t="shared" si="1"/>
        <v>144128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563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45505</v>
      </c>
      <c r="J10" s="653">
        <v>614397.69999999995</v>
      </c>
      <c r="K10" s="600">
        <v>0.6</v>
      </c>
      <c r="L10" s="646">
        <v>368638</v>
      </c>
      <c r="M10" s="654">
        <f>VLOOKUP(G:G,list!B:E,4,FALSE)</f>
        <v>0.1</v>
      </c>
      <c r="N10" s="655">
        <f t="shared" si="0"/>
        <v>36864</v>
      </c>
      <c r="O10" s="655">
        <f t="shared" si="1"/>
        <v>331774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45505</v>
      </c>
      <c r="J11" s="653">
        <v>29065</v>
      </c>
      <c r="K11" s="603">
        <v>0.6</v>
      </c>
      <c r="L11" s="646">
        <v>17440</v>
      </c>
      <c r="M11" s="654" t="str">
        <f>VLOOKUP(G:G,list!B:E,4,FALSE)</f>
        <v>-</v>
      </c>
      <c r="N11" s="655">
        <f t="shared" si="0"/>
        <v>0</v>
      </c>
      <c r="O11" s="655">
        <f t="shared" si="1"/>
        <v>17440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563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45505</v>
      </c>
      <c r="J12" s="653">
        <v>1146078.8</v>
      </c>
      <c r="K12" s="603">
        <v>0.6</v>
      </c>
      <c r="L12" s="646">
        <v>687648</v>
      </c>
      <c r="M12" s="654">
        <f>VLOOKUP(G:G,list!B:E,4,FALSE)</f>
        <v>0.1</v>
      </c>
      <c r="N12" s="655">
        <f t="shared" si="0"/>
        <v>68765</v>
      </c>
      <c r="O12" s="655">
        <f t="shared" si="1"/>
        <v>618883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650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45505</v>
      </c>
      <c r="J13" s="653">
        <v>135851.6</v>
      </c>
      <c r="K13" s="600">
        <v>0.6</v>
      </c>
      <c r="L13" s="646">
        <v>81512</v>
      </c>
      <c r="M13" s="654">
        <f>VLOOKUP(G:G,list!B:E,4,FALSE)</f>
        <v>0.1</v>
      </c>
      <c r="N13" s="655">
        <f t="shared" si="0"/>
        <v>8151</v>
      </c>
      <c r="O13" s="655">
        <f t="shared" si="1"/>
        <v>73361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563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45505</v>
      </c>
      <c r="J14" s="653">
        <v>684132</v>
      </c>
      <c r="K14" s="606">
        <v>0.6</v>
      </c>
      <c r="L14" s="646">
        <v>410480</v>
      </c>
      <c r="M14" s="654">
        <f>VLOOKUP(G:G,list!B:E,4,FALSE)</f>
        <v>0.11</v>
      </c>
      <c r="N14" s="655">
        <f t="shared" si="0"/>
        <v>45153</v>
      </c>
      <c r="O14" s="655">
        <f t="shared" si="1"/>
        <v>365327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45505</v>
      </c>
      <c r="J15" s="653">
        <v>1704223.3</v>
      </c>
      <c r="K15" s="567">
        <v>0.6</v>
      </c>
      <c r="L15" s="646">
        <v>1022536</v>
      </c>
      <c r="M15" s="654">
        <f>VLOOKUP(G:G,list!B:E,4,FALSE)</f>
        <v>0.1</v>
      </c>
      <c r="N15" s="655">
        <f t="shared" si="0"/>
        <v>102254</v>
      </c>
      <c r="O15" s="655">
        <f t="shared" si="1"/>
        <v>920282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563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45505</v>
      </c>
      <c r="J16" s="653">
        <v>341779.9</v>
      </c>
      <c r="K16" s="567">
        <v>0.6</v>
      </c>
      <c r="L16" s="646">
        <v>205068</v>
      </c>
      <c r="M16" s="654">
        <f>VLOOKUP(G:G,list!B:E,4,FALSE)</f>
        <v>0.1</v>
      </c>
      <c r="N16" s="655">
        <f t="shared" si="0"/>
        <v>20507</v>
      </c>
      <c r="O16" s="655">
        <f t="shared" si="1"/>
        <v>184561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45505</v>
      </c>
      <c r="J17" s="653">
        <v>19312</v>
      </c>
      <c r="K17" s="600">
        <v>0.7</v>
      </c>
      <c r="L17" s="646">
        <v>13518</v>
      </c>
      <c r="M17" s="654" t="str">
        <f>VLOOKUP(G:G,list!B:E,4,FALSE)</f>
        <v>-</v>
      </c>
      <c r="N17" s="655">
        <f t="shared" si="0"/>
        <v>0</v>
      </c>
      <c r="O17" s="655">
        <f t="shared" si="1"/>
        <v>13518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563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45505</v>
      </c>
      <c r="J18" s="653">
        <v>4364000.8</v>
      </c>
      <c r="K18" s="603">
        <v>0.6</v>
      </c>
      <c r="L18" s="646">
        <v>2618401</v>
      </c>
      <c r="M18" s="654">
        <f>VLOOKUP(G:G,list!B:E,4,FALSE)</f>
        <v>0.1</v>
      </c>
      <c r="N18" s="655">
        <f t="shared" si="0"/>
        <v>261840</v>
      </c>
      <c r="O18" s="655">
        <f t="shared" si="1"/>
        <v>2356561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45505</v>
      </c>
      <c r="J19" s="653">
        <v>685146.8</v>
      </c>
      <c r="K19" s="603">
        <v>0.7</v>
      </c>
      <c r="L19" s="646">
        <v>479603</v>
      </c>
      <c r="M19" s="654">
        <f>VLOOKUP(G:G,list!B:E,4,FALSE)</f>
        <v>0.1</v>
      </c>
      <c r="N19" s="655">
        <f t="shared" si="0"/>
        <v>47960</v>
      </c>
      <c r="O19" s="655">
        <f t="shared" si="1"/>
        <v>431643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45505</v>
      </c>
      <c r="J20" s="653">
        <v>20826</v>
      </c>
      <c r="K20" s="603">
        <v>0.6</v>
      </c>
      <c r="L20" s="646">
        <v>12497</v>
      </c>
      <c r="M20" s="654">
        <f>VLOOKUP(G:G,list!B:E,4,FALSE)</f>
        <v>0.1</v>
      </c>
      <c r="N20" s="655">
        <f t="shared" si="0"/>
        <v>1250</v>
      </c>
      <c r="O20" s="655">
        <f t="shared" si="1"/>
        <v>11247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45505</v>
      </c>
      <c r="J21" s="653">
        <v>432</v>
      </c>
      <c r="K21" s="567">
        <v>0.6</v>
      </c>
      <c r="L21" s="646">
        <v>302</v>
      </c>
      <c r="M21" s="654" t="str">
        <f>VLOOKUP(G:G,list!B:E,4,FALSE)</f>
        <v>-</v>
      </c>
      <c r="N21" s="655">
        <f t="shared" si="0"/>
        <v>0</v>
      </c>
      <c r="O21" s="655">
        <f t="shared" si="1"/>
        <v>302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563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45505</v>
      </c>
      <c r="J22" s="653">
        <v>183628</v>
      </c>
      <c r="K22" s="567">
        <v>0.6</v>
      </c>
      <c r="L22" s="646">
        <v>110177</v>
      </c>
      <c r="M22" s="654">
        <f>VLOOKUP(G:G,list!B:E,4,FALSE)</f>
        <v>0.1</v>
      </c>
      <c r="N22" s="655">
        <f t="shared" si="0"/>
        <v>11018</v>
      </c>
      <c r="O22" s="655">
        <f t="shared" si="1"/>
        <v>99159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45505</v>
      </c>
      <c r="J23" s="653">
        <v>5310</v>
      </c>
      <c r="K23" s="567">
        <v>0.6</v>
      </c>
      <c r="L23" s="646">
        <v>3186</v>
      </c>
      <c r="M23" s="654" t="str">
        <f>VLOOKUP(G:G,list!B:E,4,FALSE)</f>
        <v>-</v>
      </c>
      <c r="N23" s="655">
        <f t="shared" si="0"/>
        <v>0</v>
      </c>
      <c r="O23" s="655">
        <f t="shared" si="1"/>
        <v>3186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563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45505</v>
      </c>
      <c r="J24" s="653">
        <v>206922</v>
      </c>
      <c r="K24" s="603">
        <v>0.6</v>
      </c>
      <c r="L24" s="646">
        <v>124154</v>
      </c>
      <c r="M24" s="654">
        <f>VLOOKUP(G:G,list!B:E,4,FALSE)</f>
        <v>0.1</v>
      </c>
      <c r="N24" s="655">
        <f t="shared" si="0"/>
        <v>12415</v>
      </c>
      <c r="O24" s="655">
        <f t="shared" si="1"/>
        <v>111739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45505</v>
      </c>
      <c r="J25" s="653">
        <v>20451</v>
      </c>
      <c r="K25" s="603">
        <v>0.6</v>
      </c>
      <c r="L25" s="646">
        <v>12271</v>
      </c>
      <c r="M25" s="654">
        <f>VLOOKUP(G:G,list!B:E,4,FALSE)</f>
        <v>0.1</v>
      </c>
      <c r="N25" s="655">
        <f t="shared" si="0"/>
        <v>1227</v>
      </c>
      <c r="O25" s="655">
        <f t="shared" si="1"/>
        <v>11044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563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45505</v>
      </c>
      <c r="J26" s="653">
        <v>33359</v>
      </c>
      <c r="K26" s="567">
        <v>0.6</v>
      </c>
      <c r="L26" s="646">
        <v>20016</v>
      </c>
      <c r="M26" s="654">
        <f>VLOOKUP(G:G,list!B:E,4,FALSE)</f>
        <v>0.1</v>
      </c>
      <c r="N26" s="655">
        <f t="shared" si="0"/>
        <v>2002</v>
      </c>
      <c r="O26" s="655">
        <f t="shared" si="1"/>
        <v>18014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650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45505</v>
      </c>
      <c r="J27" s="653">
        <v>47879</v>
      </c>
      <c r="K27" s="567">
        <v>0.6</v>
      </c>
      <c r="L27" s="646">
        <v>28728</v>
      </c>
      <c r="M27" s="654">
        <f>VLOOKUP(G:G,list!B:E,4,FALSE)</f>
        <v>0.1</v>
      </c>
      <c r="N27" s="655">
        <f t="shared" si="0"/>
        <v>2873</v>
      </c>
      <c r="O27" s="655">
        <f t="shared" si="1"/>
        <v>25855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563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45505</v>
      </c>
      <c r="J28" s="653">
        <v>61087</v>
      </c>
      <c r="K28" s="567">
        <v>0.6</v>
      </c>
      <c r="L28" s="646">
        <v>36652</v>
      </c>
      <c r="M28" s="654" t="str">
        <f>VLOOKUP(G:G,list!B:E,4,FALSE)</f>
        <v>-</v>
      </c>
      <c r="N28" s="655">
        <f t="shared" si="0"/>
        <v>0</v>
      </c>
      <c r="O28" s="655">
        <f t="shared" si="1"/>
        <v>36652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45505</v>
      </c>
      <c r="J29" s="653">
        <v>89962</v>
      </c>
      <c r="K29" s="567">
        <v>0.6</v>
      </c>
      <c r="L29" s="646">
        <v>53977</v>
      </c>
      <c r="M29" s="654">
        <f>VLOOKUP(G:G,list!B:E,4,FALSE)</f>
        <v>0.11</v>
      </c>
      <c r="N29" s="655">
        <f t="shared" si="0"/>
        <v>5937</v>
      </c>
      <c r="O29" s="655">
        <f t="shared" si="1"/>
        <v>48040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563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45505</v>
      </c>
      <c r="J30" s="653">
        <v>720863</v>
      </c>
      <c r="K30" s="567">
        <v>0.6</v>
      </c>
      <c r="L30" s="646">
        <v>432518</v>
      </c>
      <c r="M30" s="654" t="str">
        <f>VLOOKUP(G:G,list!B:E,4,FALSE)</f>
        <v>-</v>
      </c>
      <c r="N30" s="655">
        <f t="shared" si="0"/>
        <v>0</v>
      </c>
      <c r="O30" s="655">
        <f t="shared" si="1"/>
        <v>432518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45505</v>
      </c>
      <c r="J31" s="653">
        <v>299805</v>
      </c>
      <c r="K31" s="567">
        <v>0.6</v>
      </c>
      <c r="L31" s="646">
        <v>179883</v>
      </c>
      <c r="M31" s="654" t="str">
        <f>VLOOKUP(G:G,list!B:E,4,FALSE)</f>
        <v>-</v>
      </c>
      <c r="N31" s="655">
        <f t="shared" si="0"/>
        <v>0</v>
      </c>
      <c r="O31" s="655">
        <f t="shared" si="1"/>
        <v>179883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563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45505</v>
      </c>
      <c r="J32" s="653">
        <v>604803</v>
      </c>
      <c r="K32" s="567">
        <v>0.6</v>
      </c>
      <c r="L32" s="646">
        <v>362881</v>
      </c>
      <c r="M32" s="654">
        <f>VLOOKUP(G:G,list!B:E,4,FALSE)</f>
        <v>0.1</v>
      </c>
      <c r="N32" s="655">
        <f t="shared" si="0"/>
        <v>36288</v>
      </c>
      <c r="O32" s="655">
        <f t="shared" si="1"/>
        <v>326593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72</v>
      </c>
      <c r="E33" s="564" t="s">
        <v>62</v>
      </c>
      <c r="F33" s="564" t="s">
        <v>73</v>
      </c>
      <c r="G33" s="564" t="s">
        <v>30</v>
      </c>
      <c r="H33" s="565">
        <v>44359</v>
      </c>
      <c r="I33" s="652">
        <v>45474</v>
      </c>
      <c r="J33" s="653">
        <v>543543</v>
      </c>
      <c r="K33" s="674">
        <v>0.224</v>
      </c>
      <c r="L33" s="646">
        <v>109587</v>
      </c>
      <c r="M33" s="654">
        <f>VLOOKUP(G:G,list!B:E,4,FALSE)</f>
        <v>0.1</v>
      </c>
      <c r="N33" s="655">
        <f t="shared" ref="N33:N44" si="2">ROUND(IF(M33="-",0,L33*M33),0)</f>
        <v>10959</v>
      </c>
      <c r="O33" s="655">
        <f t="shared" ref="O33:O44" si="3">L33-N33</f>
        <v>98628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72</v>
      </c>
      <c r="E34" s="564" t="s">
        <v>62</v>
      </c>
      <c r="F34" s="564" t="s">
        <v>73</v>
      </c>
      <c r="G34" s="564" t="s">
        <v>56</v>
      </c>
      <c r="H34" s="565">
        <v>44629</v>
      </c>
      <c r="I34" s="652">
        <v>45474</v>
      </c>
      <c r="J34" s="653">
        <v>3638219</v>
      </c>
      <c r="K34" s="674">
        <v>0.224</v>
      </c>
      <c r="L34" s="646">
        <v>733470</v>
      </c>
      <c r="M34" s="654">
        <f>VLOOKUP(G:G,list!B:E,4,FALSE)</f>
        <v>0.1</v>
      </c>
      <c r="N34" s="655">
        <f t="shared" si="2"/>
        <v>73347</v>
      </c>
      <c r="O34" s="655">
        <f t="shared" si="3"/>
        <v>660123</v>
      </c>
      <c r="P34" s="645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작가기획</v>
      </c>
      <c r="D35" s="564" t="s">
        <v>72</v>
      </c>
      <c r="E35" s="564" t="s">
        <v>62</v>
      </c>
      <c r="F35" s="564" t="s">
        <v>73</v>
      </c>
      <c r="G35" s="564" t="s">
        <v>308</v>
      </c>
      <c r="H35" s="565">
        <v>44773</v>
      </c>
      <c r="I35" s="652">
        <v>45474</v>
      </c>
      <c r="J35" s="653">
        <v>533</v>
      </c>
      <c r="K35" s="674">
        <v>0.224</v>
      </c>
      <c r="L35" s="646">
        <v>121</v>
      </c>
      <c r="M35" s="654" t="str">
        <f>VLOOKUP(G:G,list!B:E,4,FALSE)</f>
        <v>-</v>
      </c>
      <c r="N35" s="655">
        <f t="shared" si="2"/>
        <v>0</v>
      </c>
      <c r="O35" s="655">
        <f t="shared" si="3"/>
        <v>121</v>
      </c>
      <c r="P35" s="645"/>
      <c r="Q35" s="672" t="str">
        <f>VLOOKUP(G:G,list!B:F,5,FALSE)</f>
        <v>-</v>
      </c>
      <c r="R35" s="656" t="str">
        <f>VLOOKUP(G:G,list!B:D,3,FALSE)</f>
        <v>Y</v>
      </c>
    </row>
    <row r="36" spans="2:18" ht="18" customHeight="1">
      <c r="B36" s="563">
        <v>31</v>
      </c>
      <c r="C36" s="651" t="str">
        <f>VLOOKUP(G:G,list!B:D,2,FALSE)</f>
        <v>원작료</v>
      </c>
      <c r="D36" s="564" t="s">
        <v>72</v>
      </c>
      <c r="E36" s="564" t="s">
        <v>62</v>
      </c>
      <c r="F36" s="564" t="s">
        <v>73</v>
      </c>
      <c r="G36" s="564" t="s">
        <v>316</v>
      </c>
      <c r="H36" s="565">
        <v>44784</v>
      </c>
      <c r="I36" s="652">
        <v>45474</v>
      </c>
      <c r="J36" s="653">
        <v>392974</v>
      </c>
      <c r="K36" s="674">
        <v>0.224</v>
      </c>
      <c r="L36" s="646">
        <v>79229</v>
      </c>
      <c r="M36" s="654">
        <f>VLOOKUP(G:G,list!B:E,4,FALSE)</f>
        <v>0.1</v>
      </c>
      <c r="N36" s="655">
        <f t="shared" si="2"/>
        <v>7923</v>
      </c>
      <c r="O36" s="655">
        <f t="shared" si="3"/>
        <v>71306</v>
      </c>
      <c r="P36" s="645"/>
      <c r="Q36" s="672" t="str">
        <f>VLOOKUP(G:G,list!B:F,5,FALSE)</f>
        <v>웹소설본부</v>
      </c>
      <c r="R36" s="656" t="str">
        <f>VLOOKUP(G:G,list!B:D,3,FALSE)</f>
        <v>Y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72</v>
      </c>
      <c r="E37" s="564" t="s">
        <v>62</v>
      </c>
      <c r="F37" s="564" t="s">
        <v>73</v>
      </c>
      <c r="G37" s="564" t="s">
        <v>353</v>
      </c>
      <c r="H37" s="565">
        <v>44808</v>
      </c>
      <c r="I37" s="652">
        <v>45474</v>
      </c>
      <c r="J37" s="653">
        <v>71547</v>
      </c>
      <c r="K37" s="674">
        <v>0.224</v>
      </c>
      <c r="L37" s="646">
        <v>14424</v>
      </c>
      <c r="M37" s="654">
        <f>VLOOKUP(G:G,list!B:E,4,FALSE)</f>
        <v>0.11</v>
      </c>
      <c r="N37" s="655">
        <f t="shared" si="2"/>
        <v>1587</v>
      </c>
      <c r="O37" s="655">
        <f t="shared" si="3"/>
        <v>12837</v>
      </c>
      <c r="P37" s="645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563">
        <v>33</v>
      </c>
      <c r="C38" s="651" t="str">
        <f>VLOOKUP(G:G,list!B:D,2,FALSE)</f>
        <v>원작료</v>
      </c>
      <c r="D38" s="564" t="s">
        <v>72</v>
      </c>
      <c r="E38" s="564" t="s">
        <v>62</v>
      </c>
      <c r="F38" s="564" t="s">
        <v>73</v>
      </c>
      <c r="G38" s="564" t="s">
        <v>352</v>
      </c>
      <c r="H38" s="565">
        <v>44813</v>
      </c>
      <c r="I38" s="652">
        <v>45474</v>
      </c>
      <c r="J38" s="653">
        <v>498159</v>
      </c>
      <c r="K38" s="674">
        <v>0.224</v>
      </c>
      <c r="L38" s="646">
        <v>100436</v>
      </c>
      <c r="M38" s="654">
        <f>VLOOKUP(G:G,list!B:E,4,FALSE)</f>
        <v>0.1</v>
      </c>
      <c r="N38" s="655">
        <f t="shared" si="2"/>
        <v>10044</v>
      </c>
      <c r="O38" s="655">
        <f t="shared" si="3"/>
        <v>90392</v>
      </c>
      <c r="P38" s="645"/>
      <c r="Q38" s="672" t="str">
        <f>VLOOKUP(G:G,list!B:F,5,FALSE)</f>
        <v>웹소설본부</v>
      </c>
      <c r="R38" s="656" t="str">
        <f>VLOOKUP(G:G,list!B:D,3,FALSE)</f>
        <v>Y</v>
      </c>
    </row>
    <row r="39" spans="2:18" ht="18" customHeight="1">
      <c r="B39" s="650">
        <v>34</v>
      </c>
      <c r="C39" s="651" t="str">
        <f>VLOOKUP(G:G,list!B:D,2,FALSE)</f>
        <v>외부제작</v>
      </c>
      <c r="D39" s="564" t="s">
        <v>72</v>
      </c>
      <c r="E39" s="564" t="s">
        <v>62</v>
      </c>
      <c r="F39" s="564" t="s">
        <v>73</v>
      </c>
      <c r="G39" s="564" t="s">
        <v>315</v>
      </c>
      <c r="H39" s="565">
        <v>44825</v>
      </c>
      <c r="I39" s="652">
        <v>45474</v>
      </c>
      <c r="J39" s="653">
        <v>965884</v>
      </c>
      <c r="K39" s="674">
        <v>0.224</v>
      </c>
      <c r="L39" s="646">
        <v>194729</v>
      </c>
      <c r="M39" s="654" t="str">
        <f>VLOOKUP(G:G,list!B:E,4,FALSE)</f>
        <v>-</v>
      </c>
      <c r="N39" s="655">
        <f t="shared" si="2"/>
        <v>0</v>
      </c>
      <c r="O39" s="655">
        <f t="shared" si="3"/>
        <v>194729</v>
      </c>
      <c r="P39" s="645"/>
      <c r="Q39" s="672" t="str">
        <f>VLOOKUP(G:G,list!B:F,5,FALSE)</f>
        <v>-</v>
      </c>
      <c r="R39" s="656" t="str">
        <f>VLOOKUP(G:G,list!B:D,3,FALSE)</f>
        <v>N</v>
      </c>
    </row>
    <row r="40" spans="2:18" ht="18" customHeight="1">
      <c r="B40" s="563">
        <v>35</v>
      </c>
      <c r="C40" s="651" t="str">
        <f>VLOOKUP(G:G,list!B:D,2,FALSE)</f>
        <v>원작료</v>
      </c>
      <c r="D40" s="564" t="s">
        <v>72</v>
      </c>
      <c r="E40" s="564" t="s">
        <v>62</v>
      </c>
      <c r="F40" s="564" t="s">
        <v>73</v>
      </c>
      <c r="G40" s="564" t="s">
        <v>447</v>
      </c>
      <c r="H40" s="565">
        <v>45035</v>
      </c>
      <c r="I40" s="652">
        <v>45474</v>
      </c>
      <c r="J40" s="653">
        <v>4602502</v>
      </c>
      <c r="K40" s="674">
        <v>0.224</v>
      </c>
      <c r="L40" s="646">
        <v>927867</v>
      </c>
      <c r="M40" s="654">
        <f>VLOOKUP(G:G,list!B:E,4,FALSE)</f>
        <v>0.1</v>
      </c>
      <c r="N40" s="655">
        <f t="shared" si="2"/>
        <v>92787</v>
      </c>
      <c r="O40" s="655">
        <f t="shared" si="3"/>
        <v>835080</v>
      </c>
      <c r="P40" s="645"/>
      <c r="Q40" s="672" t="str">
        <f>VLOOKUP(G:G,list!B:F,5,FALSE)</f>
        <v>-</v>
      </c>
      <c r="R40" s="656" t="str">
        <f>VLOOKUP(G:G,list!B:D,3,FALSE)</f>
        <v>Y</v>
      </c>
    </row>
    <row r="41" spans="2:18" ht="18" customHeight="1">
      <c r="B41" s="650">
        <v>36</v>
      </c>
      <c r="C41" s="651" t="str">
        <f>VLOOKUP(G:G,list!B:D,2,FALSE)</f>
        <v>작가기획</v>
      </c>
      <c r="D41" s="564" t="s">
        <v>72</v>
      </c>
      <c r="E41" s="564" t="s">
        <v>62</v>
      </c>
      <c r="F41" s="564" t="s">
        <v>73</v>
      </c>
      <c r="G41" s="564" t="s">
        <v>501</v>
      </c>
      <c r="H41" s="565">
        <v>45116</v>
      </c>
      <c r="I41" s="652">
        <v>45474</v>
      </c>
      <c r="J41" s="653">
        <v>0</v>
      </c>
      <c r="K41" s="674">
        <v>0.224</v>
      </c>
      <c r="L41" s="646">
        <v>0</v>
      </c>
      <c r="M41" s="654" t="str">
        <f>VLOOKUP(G:G,list!B:E,4,FALSE)</f>
        <v>-</v>
      </c>
      <c r="N41" s="655">
        <f t="shared" si="2"/>
        <v>0</v>
      </c>
      <c r="O41" s="655">
        <f t="shared" si="3"/>
        <v>0</v>
      </c>
      <c r="P41" s="564" t="s">
        <v>366</v>
      </c>
      <c r="Q41" s="672" t="str">
        <f>VLOOKUP(G:G,list!B:F,5,FALSE)</f>
        <v>-</v>
      </c>
      <c r="R41" s="656" t="str">
        <f>VLOOKUP(G:G,list!B:D,3,FALSE)</f>
        <v>N</v>
      </c>
    </row>
    <row r="42" spans="2:18" ht="18" customHeight="1">
      <c r="B42" s="563">
        <v>37</v>
      </c>
      <c r="C42" s="651" t="str">
        <f>VLOOKUP(G:G,list!B:D,2,FALSE)</f>
        <v>원작료</v>
      </c>
      <c r="D42" s="564" t="s">
        <v>72</v>
      </c>
      <c r="E42" s="564" t="s">
        <v>62</v>
      </c>
      <c r="F42" s="564" t="s">
        <v>73</v>
      </c>
      <c r="G42" s="564" t="s">
        <v>481</v>
      </c>
      <c r="H42" s="565">
        <v>45237</v>
      </c>
      <c r="I42" s="652">
        <v>45474</v>
      </c>
      <c r="J42" s="653">
        <v>292595</v>
      </c>
      <c r="K42" s="674">
        <v>0.224</v>
      </c>
      <c r="L42" s="646">
        <v>58994</v>
      </c>
      <c r="M42" s="654">
        <f>VLOOKUP(G:G,list!B:E,4,FALSE)</f>
        <v>0.1</v>
      </c>
      <c r="N42" s="655">
        <f t="shared" si="2"/>
        <v>5899</v>
      </c>
      <c r="O42" s="655">
        <f t="shared" si="3"/>
        <v>53095</v>
      </c>
      <c r="P42" s="645"/>
      <c r="Q42" s="672" t="str">
        <f>VLOOKUP(G:G,list!B:F,5,FALSE)</f>
        <v>웹소설본부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72</v>
      </c>
      <c r="E43" s="564" t="s">
        <v>62</v>
      </c>
      <c r="F43" s="564" t="s">
        <v>73</v>
      </c>
      <c r="G43" s="564" t="s">
        <v>534</v>
      </c>
      <c r="H43" s="565">
        <v>45364</v>
      </c>
      <c r="I43" s="652">
        <v>45474</v>
      </c>
      <c r="J43" s="653">
        <v>14354254</v>
      </c>
      <c r="K43" s="674">
        <v>0.224</v>
      </c>
      <c r="L43" s="646">
        <v>2893820</v>
      </c>
      <c r="M43" s="654">
        <f>VLOOKUP(G:G,list!B:E,4,FALSE)</f>
        <v>0.1</v>
      </c>
      <c r="N43" s="655">
        <f t="shared" si="2"/>
        <v>289382</v>
      </c>
      <c r="O43" s="655">
        <f t="shared" si="3"/>
        <v>2604438</v>
      </c>
      <c r="P43" s="645"/>
      <c r="Q43" s="672" t="str">
        <f>VLOOKUP(G:G,list!B:F,5,FALSE)</f>
        <v>-</v>
      </c>
      <c r="R43" s="656" t="str">
        <f>VLOOKUP(G:G,list!B:D,3,FALSE)</f>
        <v>N</v>
      </c>
    </row>
    <row r="44" spans="2:18" ht="18" customHeight="1">
      <c r="B44" s="563">
        <v>39</v>
      </c>
      <c r="C44" s="651" t="str">
        <f>VLOOKUP(G:G,list!B:D,2,FALSE)</f>
        <v>외부제작</v>
      </c>
      <c r="D44" s="564" t="s">
        <v>72</v>
      </c>
      <c r="E44" s="564" t="s">
        <v>62</v>
      </c>
      <c r="F44" s="564" t="s">
        <v>73</v>
      </c>
      <c r="G44" s="564" t="s">
        <v>533</v>
      </c>
      <c r="H44" s="565">
        <v>45412</v>
      </c>
      <c r="I44" s="652">
        <v>45474</v>
      </c>
      <c r="J44" s="653">
        <v>2481186</v>
      </c>
      <c r="K44" s="674">
        <v>0.224</v>
      </c>
      <c r="L44" s="646">
        <v>500213</v>
      </c>
      <c r="M44" s="654" t="str">
        <f>VLOOKUP(G:G,list!B:E,4,FALSE)</f>
        <v>-</v>
      </c>
      <c r="N44" s="655">
        <f t="shared" si="2"/>
        <v>0</v>
      </c>
      <c r="O44" s="655">
        <f t="shared" si="3"/>
        <v>500213</v>
      </c>
      <c r="P44" s="645"/>
      <c r="Q44" s="672" t="str">
        <f>VLOOKUP(G:G,list!B:F,5,FALSE)</f>
        <v>-</v>
      </c>
      <c r="R44" s="656" t="str">
        <f>VLOOKUP(G:G,list!B:D,3,FALSE)</f>
        <v>N</v>
      </c>
    </row>
    <row r="45" spans="2:18" ht="18" customHeight="1">
      <c r="B45" s="650">
        <v>40</v>
      </c>
      <c r="C45" s="651" t="str">
        <f>VLOOKUP(G:G,list!B:D,2,FALSE)</f>
        <v>원작료</v>
      </c>
      <c r="D45" s="564" t="s">
        <v>23</v>
      </c>
      <c r="E45" s="564" t="s">
        <v>62</v>
      </c>
      <c r="F45" s="564" t="s">
        <v>257</v>
      </c>
      <c r="G45" s="564" t="s">
        <v>30</v>
      </c>
      <c r="H45" s="565">
        <v>45394</v>
      </c>
      <c r="I45" s="652">
        <v>45505</v>
      </c>
      <c r="J45" s="653">
        <v>70655</v>
      </c>
      <c r="K45" s="567">
        <v>0.35</v>
      </c>
      <c r="L45" s="646">
        <v>19785</v>
      </c>
      <c r="M45" s="654">
        <f>VLOOKUP(G:G,list!B:E,4,FALSE)</f>
        <v>0.1</v>
      </c>
      <c r="N45" s="655">
        <f t="shared" si="0"/>
        <v>1979</v>
      </c>
      <c r="O45" s="655">
        <f t="shared" si="1"/>
        <v>17806</v>
      </c>
      <c r="P45" s="645"/>
      <c r="Q45" s="672" t="str">
        <f>VLOOKUP(G:G,list!B:F,5,FALSE)</f>
        <v>웹소설본부</v>
      </c>
      <c r="R45" s="656" t="str">
        <f>VLOOKUP(G:G,list!B:D,3,FALSE)</f>
        <v>Y</v>
      </c>
    </row>
    <row r="46" spans="2:18" ht="18" customHeight="1">
      <c r="B46" s="563">
        <v>41</v>
      </c>
      <c r="C46" s="651" t="str">
        <f>VLOOKUP(G:G,list!B:D,2,FALSE)</f>
        <v>원작료</v>
      </c>
      <c r="D46" s="564" t="s">
        <v>24</v>
      </c>
      <c r="E46" s="564" t="s">
        <v>62</v>
      </c>
      <c r="F46" s="564" t="s">
        <v>257</v>
      </c>
      <c r="G46" s="564" t="s">
        <v>30</v>
      </c>
      <c r="H46" s="565">
        <v>44743</v>
      </c>
      <c r="I46" s="652">
        <v>45505</v>
      </c>
      <c r="J46" s="653">
        <v>1830</v>
      </c>
      <c r="K46" s="567">
        <v>0.35</v>
      </c>
      <c r="L46" s="646">
        <v>641</v>
      </c>
      <c r="M46" s="654">
        <f>VLOOKUP(G:G,list!B:E,4,FALSE)</f>
        <v>0.1</v>
      </c>
      <c r="N46" s="655">
        <f t="shared" si="0"/>
        <v>64</v>
      </c>
      <c r="O46" s="655">
        <f t="shared" si="1"/>
        <v>577</v>
      </c>
      <c r="P46" s="564"/>
      <c r="Q46" s="672" t="str">
        <f>VLOOKUP(G:G,list!B:F,5,FALSE)</f>
        <v>웹소설본부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원작료</v>
      </c>
      <c r="D47" s="564" t="s">
        <v>24</v>
      </c>
      <c r="E47" s="564" t="s">
        <v>62</v>
      </c>
      <c r="F47" s="564" t="s">
        <v>257</v>
      </c>
      <c r="G47" s="564" t="s">
        <v>316</v>
      </c>
      <c r="H47" s="565">
        <v>44782</v>
      </c>
      <c r="I47" s="652">
        <v>45505</v>
      </c>
      <c r="J47" s="653">
        <v>12076</v>
      </c>
      <c r="K47" s="567">
        <v>0.35</v>
      </c>
      <c r="L47" s="646">
        <v>4227</v>
      </c>
      <c r="M47" s="654">
        <f>VLOOKUP(G:G,list!B:E,4,FALSE)</f>
        <v>0.1</v>
      </c>
      <c r="N47" s="655">
        <f t="shared" si="0"/>
        <v>423</v>
      </c>
      <c r="O47" s="655">
        <f t="shared" si="1"/>
        <v>3804</v>
      </c>
      <c r="P47" s="564"/>
      <c r="Q47" s="672" t="str">
        <f>VLOOKUP(G:G,list!B:F,5,FALSE)</f>
        <v>웹소설본부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원작료</v>
      </c>
      <c r="D48" s="564" t="s">
        <v>23</v>
      </c>
      <c r="E48" s="564" t="s">
        <v>62</v>
      </c>
      <c r="F48" s="564" t="s">
        <v>257</v>
      </c>
      <c r="G48" s="564" t="s">
        <v>353</v>
      </c>
      <c r="H48" s="565">
        <v>44916</v>
      </c>
      <c r="I48" s="652">
        <v>45505</v>
      </c>
      <c r="J48" s="653">
        <v>17013</v>
      </c>
      <c r="K48" s="567">
        <v>0.35</v>
      </c>
      <c r="L48" s="646">
        <v>5954</v>
      </c>
      <c r="M48" s="654">
        <f>VLOOKUP(G:G,list!B:E,4,FALSE)</f>
        <v>0.11</v>
      </c>
      <c r="N48" s="655">
        <f t="shared" si="0"/>
        <v>655</v>
      </c>
      <c r="O48" s="655">
        <f t="shared" si="1"/>
        <v>5299</v>
      </c>
      <c r="P48" s="564"/>
      <c r="Q48" s="672" t="str">
        <f>VLOOKUP(G:G,list!B:F,5,FALSE)</f>
        <v>-</v>
      </c>
      <c r="R48" s="656" t="str">
        <f>VLOOKUP(G:G,list!B:D,3,FALSE)</f>
        <v>N</v>
      </c>
    </row>
    <row r="49" spans="2:18" ht="18" customHeight="1">
      <c r="B49" s="650">
        <v>44</v>
      </c>
      <c r="C49" s="651" t="str">
        <f>VLOOKUP(G:G,list!B:D,2,FALSE)</f>
        <v>원작료</v>
      </c>
      <c r="D49" s="564" t="s">
        <v>25</v>
      </c>
      <c r="E49" s="564" t="s">
        <v>62</v>
      </c>
      <c r="F49" s="564" t="s">
        <v>257</v>
      </c>
      <c r="G49" s="564" t="s">
        <v>353</v>
      </c>
      <c r="H49" s="565">
        <v>44916</v>
      </c>
      <c r="I49" s="652">
        <v>45505</v>
      </c>
      <c r="J49" s="653">
        <v>41125</v>
      </c>
      <c r="K49" s="567">
        <v>0.35</v>
      </c>
      <c r="L49" s="646">
        <v>14393</v>
      </c>
      <c r="M49" s="654">
        <f>VLOOKUP(G:G,list!B:E,4,FALSE)</f>
        <v>0.11</v>
      </c>
      <c r="N49" s="655">
        <f t="shared" si="0"/>
        <v>1583</v>
      </c>
      <c r="O49" s="655">
        <f t="shared" si="1"/>
        <v>12810</v>
      </c>
      <c r="P49" s="564"/>
      <c r="Q49" s="672" t="str">
        <f>VLOOKUP(G:G,list!B:F,5,FALSE)</f>
        <v>-</v>
      </c>
      <c r="R49" s="656" t="str">
        <f>VLOOKUP(G:G,list!B:D,3,FALSE)</f>
        <v>N</v>
      </c>
    </row>
    <row r="50" spans="2:18" ht="18" customHeight="1">
      <c r="B50" s="563">
        <v>45</v>
      </c>
      <c r="C50" s="651" t="str">
        <f>VLOOKUP(G:G,list!B:D,2,FALSE)</f>
        <v>원작료</v>
      </c>
      <c r="D50" s="564" t="s">
        <v>24</v>
      </c>
      <c r="E50" s="564" t="s">
        <v>62</v>
      </c>
      <c r="F50" s="564" t="s">
        <v>257</v>
      </c>
      <c r="G50" s="564" t="s">
        <v>353</v>
      </c>
      <c r="H50" s="565">
        <v>44914</v>
      </c>
      <c r="I50" s="652">
        <v>45505</v>
      </c>
      <c r="J50" s="653">
        <v>1363</v>
      </c>
      <c r="K50" s="567">
        <v>0.35</v>
      </c>
      <c r="L50" s="646">
        <v>477</v>
      </c>
      <c r="M50" s="654">
        <f>VLOOKUP(G:G,list!B:E,4,FALSE)</f>
        <v>0.11</v>
      </c>
      <c r="N50" s="655">
        <f t="shared" si="0"/>
        <v>52</v>
      </c>
      <c r="O50" s="655">
        <f t="shared" si="1"/>
        <v>425</v>
      </c>
      <c r="P50" s="564"/>
      <c r="Q50" s="672" t="str">
        <f>VLOOKUP(G:G,list!B:F,5,FALSE)</f>
        <v>-</v>
      </c>
      <c r="R50" s="656" t="str">
        <f>VLOOKUP(G:G,list!B:D,3,FALSE)</f>
        <v>N</v>
      </c>
    </row>
    <row r="51" spans="2:18" ht="18" customHeight="1">
      <c r="B51" s="650">
        <v>46</v>
      </c>
      <c r="C51" s="651" t="str">
        <f>VLOOKUP(G:G,list!B:D,2,FALSE)</f>
        <v>원작료</v>
      </c>
      <c r="D51" s="564" t="s">
        <v>25</v>
      </c>
      <c r="E51" s="564" t="s">
        <v>62</v>
      </c>
      <c r="F51" s="564" t="s">
        <v>257</v>
      </c>
      <c r="G51" s="564" t="s">
        <v>352</v>
      </c>
      <c r="H51" s="565">
        <v>45098</v>
      </c>
      <c r="I51" s="652">
        <v>45505</v>
      </c>
      <c r="J51" s="653">
        <v>65160</v>
      </c>
      <c r="K51" s="600">
        <v>0.35</v>
      </c>
      <c r="L51" s="646">
        <v>22806</v>
      </c>
      <c r="M51" s="654">
        <f>VLOOKUP(G:G,list!B:E,4,FALSE)</f>
        <v>0.1</v>
      </c>
      <c r="N51" s="655">
        <f t="shared" si="0"/>
        <v>2281</v>
      </c>
      <c r="O51" s="655">
        <f t="shared" si="1"/>
        <v>20525</v>
      </c>
      <c r="P51" s="564"/>
      <c r="Q51" s="672" t="str">
        <f>VLOOKUP(G:G,list!B:F,5,FALSE)</f>
        <v>웹소설본부</v>
      </c>
      <c r="R51" s="656" t="str">
        <f>VLOOKUP(G:G,list!B:D,3,FALSE)</f>
        <v>Y</v>
      </c>
    </row>
    <row r="52" spans="2:18" ht="18" customHeight="1">
      <c r="B52" s="563">
        <v>47</v>
      </c>
      <c r="C52" s="651" t="str">
        <f>VLOOKUP(G:G,list!B:D,2,FALSE)</f>
        <v>원작료</v>
      </c>
      <c r="D52" s="564" t="s">
        <v>24</v>
      </c>
      <c r="E52" s="564" t="s">
        <v>62</v>
      </c>
      <c r="F52" s="564" t="s">
        <v>257</v>
      </c>
      <c r="G52" s="564" t="s">
        <v>352</v>
      </c>
      <c r="H52" s="565">
        <v>45020</v>
      </c>
      <c r="I52" s="652">
        <v>45505</v>
      </c>
      <c r="J52" s="653">
        <v>16478</v>
      </c>
      <c r="K52" s="600">
        <v>0.35</v>
      </c>
      <c r="L52" s="646">
        <v>5768</v>
      </c>
      <c r="M52" s="654">
        <f>VLOOKUP(G:G,list!B:E,4,FALSE)</f>
        <v>0.1</v>
      </c>
      <c r="N52" s="655">
        <f t="shared" si="0"/>
        <v>577</v>
      </c>
      <c r="O52" s="655">
        <f t="shared" si="1"/>
        <v>5191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작가기획</v>
      </c>
      <c r="D53" s="564" t="s">
        <v>78</v>
      </c>
      <c r="E53" s="564" t="s">
        <v>9</v>
      </c>
      <c r="F53" s="564" t="s">
        <v>246</v>
      </c>
      <c r="G53" s="564" t="s">
        <v>36</v>
      </c>
      <c r="H53" s="565">
        <v>43810</v>
      </c>
      <c r="I53" s="652">
        <v>45505</v>
      </c>
      <c r="J53" s="653">
        <v>15480</v>
      </c>
      <c r="K53" s="600" t="s">
        <v>532</v>
      </c>
      <c r="L53" s="646">
        <v>6174</v>
      </c>
      <c r="M53" s="654" t="str">
        <f>VLOOKUP(G:G,list!B:E,4,FALSE)</f>
        <v>-</v>
      </c>
      <c r="N53" s="655">
        <f t="shared" si="0"/>
        <v>0</v>
      </c>
      <c r="O53" s="655">
        <f t="shared" si="1"/>
        <v>6174</v>
      </c>
      <c r="P53" s="564"/>
      <c r="Q53" s="672" t="str">
        <f>VLOOKUP(G:G,list!B:F,5,FALSE)</f>
        <v>-</v>
      </c>
      <c r="R53" s="656" t="str">
        <f>VLOOKUP(G:G,list!B:D,3,FALSE)</f>
        <v>Y</v>
      </c>
    </row>
    <row r="54" spans="2:18" ht="18" customHeight="1">
      <c r="B54" s="563">
        <v>49</v>
      </c>
      <c r="C54" s="651" t="str">
        <f>VLOOKUP(G:G,list!B:D,2,FALSE)</f>
        <v>작가기획</v>
      </c>
      <c r="D54" s="564" t="s">
        <v>78</v>
      </c>
      <c r="E54" s="564" t="s">
        <v>9</v>
      </c>
      <c r="F54" s="564" t="s">
        <v>246</v>
      </c>
      <c r="G54" s="564" t="s">
        <v>139</v>
      </c>
      <c r="H54" s="565">
        <v>43852</v>
      </c>
      <c r="I54" s="652">
        <v>45505</v>
      </c>
      <c r="J54" s="653">
        <v>19980</v>
      </c>
      <c r="K54" s="600" t="s">
        <v>532</v>
      </c>
      <c r="L54" s="646">
        <v>6993</v>
      </c>
      <c r="M54" s="654" t="str">
        <f>VLOOKUP(G:G,list!B:E,4,FALSE)</f>
        <v>-</v>
      </c>
      <c r="N54" s="655">
        <f t="shared" si="0"/>
        <v>0</v>
      </c>
      <c r="O54" s="655">
        <f t="shared" si="1"/>
        <v>6993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650">
        <v>50</v>
      </c>
      <c r="C55" s="651" t="str">
        <f>VLOOKUP(G:G,list!B:D,2,FALSE)</f>
        <v>작가기획</v>
      </c>
      <c r="D55" s="564" t="s">
        <v>78</v>
      </c>
      <c r="E55" s="564" t="s">
        <v>9</v>
      </c>
      <c r="F55" s="564" t="s">
        <v>544</v>
      </c>
      <c r="G55" s="564" t="s">
        <v>36</v>
      </c>
      <c r="H55" s="565">
        <v>45124</v>
      </c>
      <c r="I55" s="652">
        <v>45474</v>
      </c>
      <c r="J55" s="653">
        <v>338779</v>
      </c>
      <c r="K55" s="600">
        <v>0.5</v>
      </c>
      <c r="L55" s="646">
        <v>169390</v>
      </c>
      <c r="M55" s="654" t="str">
        <f>VLOOKUP(G:G,list!B:E,4,FALSE)</f>
        <v>-</v>
      </c>
      <c r="N55" s="655">
        <f t="shared" ref="N55:N56" si="4">ROUND(IF(M55="-",0,L55*M55),0)</f>
        <v>0</v>
      </c>
      <c r="O55" s="655">
        <f t="shared" ref="O55:O56" si="5">L55-N55</f>
        <v>169390</v>
      </c>
      <c r="P55" s="564"/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563">
        <v>51</v>
      </c>
      <c r="C56" s="651" t="str">
        <f>VLOOKUP(G:G,list!B:D,2,FALSE)</f>
        <v>작가기획</v>
      </c>
      <c r="D56" s="564" t="s">
        <v>78</v>
      </c>
      <c r="E56" s="564" t="s">
        <v>9</v>
      </c>
      <c r="F56" s="564" t="s">
        <v>544</v>
      </c>
      <c r="G56" s="564" t="s">
        <v>139</v>
      </c>
      <c r="H56" s="565">
        <v>44513</v>
      </c>
      <c r="I56" s="652">
        <v>45474</v>
      </c>
      <c r="J56" s="653">
        <v>79788</v>
      </c>
      <c r="K56" s="600">
        <v>0.5</v>
      </c>
      <c r="L56" s="646">
        <v>39894</v>
      </c>
      <c r="M56" s="654" t="str">
        <f>VLOOKUP(G:G,list!B:E,4,FALSE)</f>
        <v>-</v>
      </c>
      <c r="N56" s="655">
        <f t="shared" si="4"/>
        <v>0</v>
      </c>
      <c r="O56" s="655">
        <f t="shared" si="5"/>
        <v>39894</v>
      </c>
      <c r="P56" s="564"/>
      <c r="Q56" s="672" t="str">
        <f>VLOOKUP(G:G,list!B:F,5,FALSE)</f>
        <v>-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66</v>
      </c>
      <c r="E57" s="564" t="s">
        <v>64</v>
      </c>
      <c r="F57" s="564" t="s">
        <v>65</v>
      </c>
      <c r="G57" s="564" t="s">
        <v>30</v>
      </c>
      <c r="H57" s="565">
        <v>44586</v>
      </c>
      <c r="I57" s="652">
        <v>45505</v>
      </c>
      <c r="J57" s="653">
        <v>30115</v>
      </c>
      <c r="K57" s="567">
        <v>0.4</v>
      </c>
      <c r="L57" s="646">
        <v>12046</v>
      </c>
      <c r="M57" s="654">
        <f>VLOOKUP(G:G,list!B:E,4,FALSE)</f>
        <v>0.1</v>
      </c>
      <c r="N57" s="655">
        <f t="shared" si="0"/>
        <v>1205</v>
      </c>
      <c r="O57" s="655">
        <f t="shared" si="1"/>
        <v>10841</v>
      </c>
      <c r="P57" s="564"/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563">
        <v>53</v>
      </c>
      <c r="C58" s="651" t="str">
        <f>VLOOKUP(G:G,list!B:D,2,FALSE)</f>
        <v>작가기획</v>
      </c>
      <c r="D58" s="564" t="s">
        <v>66</v>
      </c>
      <c r="E58" s="564" t="s">
        <v>9</v>
      </c>
      <c r="F58" s="564" t="s">
        <v>65</v>
      </c>
      <c r="G58" s="564" t="s">
        <v>36</v>
      </c>
      <c r="H58" s="565">
        <v>44992</v>
      </c>
      <c r="I58" s="652">
        <v>45505</v>
      </c>
      <c r="J58" s="653">
        <v>827223</v>
      </c>
      <c r="K58" s="600">
        <v>0.4</v>
      </c>
      <c r="L58" s="646">
        <v>330889</v>
      </c>
      <c r="M58" s="654" t="str">
        <f>VLOOKUP(G:G,list!B:E,4,FALSE)</f>
        <v>-</v>
      </c>
      <c r="N58" s="655">
        <f t="shared" si="0"/>
        <v>0</v>
      </c>
      <c r="O58" s="655">
        <f t="shared" si="1"/>
        <v>330889</v>
      </c>
      <c r="P58" s="564"/>
      <c r="Q58" s="672" t="str">
        <f>VLOOKUP(G:G,list!B:F,5,FALSE)</f>
        <v>-</v>
      </c>
      <c r="R58" s="656" t="str">
        <f>VLOOKUP(G:G,list!B:D,3,FALSE)</f>
        <v>Y</v>
      </c>
    </row>
    <row r="59" spans="2:18" ht="18" customHeight="1">
      <c r="B59" s="650">
        <v>54</v>
      </c>
      <c r="C59" s="651" t="str">
        <f>VLOOKUP(G:G,list!B:D,2,FALSE)</f>
        <v>작가기획</v>
      </c>
      <c r="D59" s="564" t="s">
        <v>66</v>
      </c>
      <c r="E59" s="564" t="s">
        <v>9</v>
      </c>
      <c r="F59" s="564" t="s">
        <v>65</v>
      </c>
      <c r="G59" s="564" t="s">
        <v>37</v>
      </c>
      <c r="H59" s="565">
        <v>45169</v>
      </c>
      <c r="I59" s="652">
        <v>45505</v>
      </c>
      <c r="J59" s="653">
        <v>3043</v>
      </c>
      <c r="K59" s="600">
        <v>0.4</v>
      </c>
      <c r="L59" s="646">
        <v>1217</v>
      </c>
      <c r="M59" s="654" t="str">
        <f>VLOOKUP(G:G,list!B:E,4,FALSE)</f>
        <v>-</v>
      </c>
      <c r="N59" s="655">
        <f t="shared" si="0"/>
        <v>0</v>
      </c>
      <c r="O59" s="655">
        <f t="shared" si="1"/>
        <v>1217</v>
      </c>
      <c r="P59" s="564"/>
      <c r="Q59" s="672" t="str">
        <f>VLOOKUP(G:G,list!B:F,5,FALSE)</f>
        <v>-</v>
      </c>
      <c r="R59" s="656" t="str">
        <f>VLOOKUP(G:G,list!B:D,3,FALSE)</f>
        <v>Y</v>
      </c>
    </row>
    <row r="60" spans="2:18" ht="18" customHeight="1">
      <c r="B60" s="563">
        <v>55</v>
      </c>
      <c r="C60" s="651" t="str">
        <f>VLOOKUP(G:G,list!B:D,2,FALSE)</f>
        <v>작가기획</v>
      </c>
      <c r="D60" s="564" t="s">
        <v>67</v>
      </c>
      <c r="E60" s="564" t="s">
        <v>9</v>
      </c>
      <c r="F60" s="564" t="s">
        <v>65</v>
      </c>
      <c r="G60" s="564" t="s">
        <v>37</v>
      </c>
      <c r="H60" s="565">
        <v>43921</v>
      </c>
      <c r="I60" s="652">
        <v>45505</v>
      </c>
      <c r="J60" s="653">
        <v>70358</v>
      </c>
      <c r="K60" s="600">
        <v>0.4</v>
      </c>
      <c r="L60" s="646">
        <v>28143</v>
      </c>
      <c r="M60" s="654" t="str">
        <f>VLOOKUP(G:G,list!B:E,4,FALSE)</f>
        <v>-</v>
      </c>
      <c r="N60" s="655">
        <f t="shared" si="0"/>
        <v>0</v>
      </c>
      <c r="O60" s="655">
        <f t="shared" si="1"/>
        <v>28143</v>
      </c>
      <c r="P60" s="564"/>
      <c r="Q60" s="672" t="str">
        <f>VLOOKUP(G:G,list!B:F,5,FALSE)</f>
        <v>-</v>
      </c>
      <c r="R60" s="656" t="str">
        <f>VLOOKUP(G:G,list!B:D,3,FALSE)</f>
        <v>Y</v>
      </c>
    </row>
    <row r="61" spans="2:18" ht="18" customHeight="1">
      <c r="B61" s="650">
        <v>56</v>
      </c>
      <c r="C61" s="651" t="str">
        <f>VLOOKUP(G:G,list!B:D,2,FALSE)</f>
        <v>작가기획</v>
      </c>
      <c r="D61" s="564" t="s">
        <v>67</v>
      </c>
      <c r="E61" s="564" t="s">
        <v>9</v>
      </c>
      <c r="F61" s="564" t="s">
        <v>65</v>
      </c>
      <c r="G61" s="564" t="s">
        <v>36</v>
      </c>
      <c r="H61" s="565">
        <v>43941</v>
      </c>
      <c r="I61" s="652">
        <v>45505</v>
      </c>
      <c r="J61" s="653">
        <v>159148</v>
      </c>
      <c r="K61" s="600">
        <v>0.4</v>
      </c>
      <c r="L61" s="646">
        <v>63659</v>
      </c>
      <c r="M61" s="654" t="str">
        <f>VLOOKUP(G:G,list!B:E,4,FALSE)</f>
        <v>-</v>
      </c>
      <c r="N61" s="655">
        <f t="shared" si="0"/>
        <v>0</v>
      </c>
      <c r="O61" s="655">
        <f t="shared" si="1"/>
        <v>63659</v>
      </c>
      <c r="P61" s="564"/>
      <c r="Q61" s="672" t="str">
        <f>VLOOKUP(G:G,list!B:F,5,FALSE)</f>
        <v>-</v>
      </c>
      <c r="R61" s="656" t="str">
        <f>VLOOKUP(G:G,list!B:D,3,FALSE)</f>
        <v>Y</v>
      </c>
    </row>
    <row r="62" spans="2:18" ht="18" customHeight="1">
      <c r="B62" s="563">
        <v>57</v>
      </c>
      <c r="C62" s="651" t="str">
        <f>VLOOKUP(G:G,list!B:D,2,FALSE)</f>
        <v>원작료</v>
      </c>
      <c r="D62" s="564" t="s">
        <v>67</v>
      </c>
      <c r="E62" s="564" t="s">
        <v>64</v>
      </c>
      <c r="F62" s="564" t="s">
        <v>65</v>
      </c>
      <c r="G62" s="564" t="s">
        <v>30</v>
      </c>
      <c r="H62" s="565">
        <v>44258</v>
      </c>
      <c r="I62" s="652">
        <v>45505</v>
      </c>
      <c r="J62" s="653">
        <v>0</v>
      </c>
      <c r="K62" s="600">
        <v>0.4</v>
      </c>
      <c r="L62" s="646">
        <v>0</v>
      </c>
      <c r="M62" s="654">
        <f>VLOOKUP(G:G,list!B:E,4,FALSE)</f>
        <v>0.1</v>
      </c>
      <c r="N62" s="655">
        <f t="shared" si="0"/>
        <v>0</v>
      </c>
      <c r="O62" s="655">
        <f t="shared" si="1"/>
        <v>0</v>
      </c>
      <c r="P62" s="564" t="s">
        <v>366</v>
      </c>
      <c r="Q62" s="672" t="str">
        <f>VLOOKUP(G:G,list!B:F,5,FALSE)</f>
        <v>웹소설본부</v>
      </c>
      <c r="R62" s="656" t="str">
        <f>VLOOKUP(G:G,list!B:D,3,FALSE)</f>
        <v>Y</v>
      </c>
    </row>
    <row r="63" spans="2:18" ht="18" customHeight="1">
      <c r="B63" s="650">
        <v>58</v>
      </c>
      <c r="C63" s="651" t="str">
        <f>VLOOKUP(G:G,list!B:D,2,FALSE)</f>
        <v>작가기획</v>
      </c>
      <c r="D63" s="564" t="s">
        <v>78</v>
      </c>
      <c r="E63" s="564" t="s">
        <v>9</v>
      </c>
      <c r="F63" s="564" t="s">
        <v>131</v>
      </c>
      <c r="G63" s="564" t="s">
        <v>60</v>
      </c>
      <c r="H63" s="565">
        <v>44333</v>
      </c>
      <c r="I63" s="652">
        <v>45505</v>
      </c>
      <c r="J63" s="653">
        <v>9600</v>
      </c>
      <c r="K63" s="603">
        <v>0.5</v>
      </c>
      <c r="L63" s="646">
        <v>4800</v>
      </c>
      <c r="M63" s="654" t="str">
        <f>VLOOKUP(G:G,list!B:E,4,FALSE)</f>
        <v>-</v>
      </c>
      <c r="N63" s="655">
        <f t="shared" si="0"/>
        <v>0</v>
      </c>
      <c r="O63" s="655">
        <f t="shared" si="1"/>
        <v>4800</v>
      </c>
      <c r="P63" s="564"/>
      <c r="Q63" s="672" t="str">
        <f>VLOOKUP(G:G,list!B:F,5,FALSE)</f>
        <v>-</v>
      </c>
      <c r="R63" s="656" t="str">
        <f>VLOOKUP(G:G,list!B:D,3,FALSE)</f>
        <v>N</v>
      </c>
    </row>
    <row r="64" spans="2:18" ht="18" customHeight="1">
      <c r="B64" s="563">
        <v>59</v>
      </c>
      <c r="C64" s="651" t="str">
        <f>VLOOKUP(G:G,list!B:D,2,FALSE)</f>
        <v>작가기획</v>
      </c>
      <c r="D64" s="564" t="s">
        <v>78</v>
      </c>
      <c r="E64" s="564" t="s">
        <v>115</v>
      </c>
      <c r="F64" s="564" t="s">
        <v>131</v>
      </c>
      <c r="G64" s="564" t="s">
        <v>518</v>
      </c>
      <c r="H64" s="565">
        <v>44897</v>
      </c>
      <c r="I64" s="652">
        <v>45505</v>
      </c>
      <c r="J64" s="653">
        <v>8820</v>
      </c>
      <c r="K64" s="603">
        <v>0.5</v>
      </c>
      <c r="L64" s="646">
        <v>4410</v>
      </c>
      <c r="M64" s="654" t="str">
        <f>VLOOKUP(G:G,list!B:E,4,FALSE)</f>
        <v>-</v>
      </c>
      <c r="N64" s="655">
        <f t="shared" si="0"/>
        <v>0</v>
      </c>
      <c r="O64" s="655">
        <f t="shared" si="1"/>
        <v>4410</v>
      </c>
      <c r="P64" s="564"/>
      <c r="Q64" s="672" t="str">
        <f>VLOOKUP(G:G,list!B:F,5,FALSE)</f>
        <v>-</v>
      </c>
      <c r="R64" s="656" t="str">
        <f>VLOOKUP(G:G,list!B:D,3,FALSE)</f>
        <v>N</v>
      </c>
    </row>
    <row r="65" spans="2:18" ht="18" customHeight="1">
      <c r="B65" s="650">
        <v>60</v>
      </c>
      <c r="C65" s="651" t="str">
        <f>VLOOKUP(G:G,list!B:D,2,FALSE)</f>
        <v>작가기획</v>
      </c>
      <c r="D65" s="564" t="s">
        <v>78</v>
      </c>
      <c r="E65" s="564" t="s">
        <v>115</v>
      </c>
      <c r="F65" s="564" t="s">
        <v>131</v>
      </c>
      <c r="G65" s="564" t="s">
        <v>518</v>
      </c>
      <c r="H65" s="565">
        <v>45049</v>
      </c>
      <c r="I65" s="652">
        <v>45474</v>
      </c>
      <c r="J65" s="653">
        <v>332967</v>
      </c>
      <c r="K65" s="603">
        <v>0.3</v>
      </c>
      <c r="L65" s="646">
        <v>99890</v>
      </c>
      <c r="M65" s="654" t="str">
        <f>VLOOKUP(G:G,list!B:E,4,FALSE)</f>
        <v>-</v>
      </c>
      <c r="N65" s="655">
        <f t="shared" ref="N65" si="6">ROUND(IF(M65="-",0,L65*M65),0)</f>
        <v>0</v>
      </c>
      <c r="O65" s="655">
        <f t="shared" ref="O65" si="7">L65-N65</f>
        <v>99890</v>
      </c>
      <c r="P65" s="564"/>
      <c r="Q65" s="672" t="str">
        <f>VLOOKUP(G:G,list!B:F,5,FALSE)</f>
        <v>-</v>
      </c>
      <c r="R65" s="656" t="str">
        <f>VLOOKUP(G:G,list!B:D,3,FALSE)</f>
        <v>N</v>
      </c>
    </row>
    <row r="66" spans="2:18" ht="18" customHeight="1">
      <c r="B66" s="563">
        <v>61</v>
      </c>
      <c r="C66" s="651" t="str">
        <f>VLOOKUP(G:G,list!B:D,2,FALSE)</f>
        <v>원작료</v>
      </c>
      <c r="D66" s="564" t="s">
        <v>78</v>
      </c>
      <c r="E66" s="564" t="s">
        <v>9</v>
      </c>
      <c r="F66" s="564" t="s">
        <v>545</v>
      </c>
      <c r="G66" s="564" t="s">
        <v>454</v>
      </c>
      <c r="H66" s="565">
        <v>44750</v>
      </c>
      <c r="I66" s="652">
        <v>45474</v>
      </c>
      <c r="J66" s="653">
        <v>2079973</v>
      </c>
      <c r="K66" s="603">
        <v>0.7</v>
      </c>
      <c r="L66" s="646">
        <v>1455981</v>
      </c>
      <c r="M66" s="654">
        <f>VLOOKUP(G:G,list!B:E,4,FALSE)</f>
        <v>0.1</v>
      </c>
      <c r="N66" s="655">
        <f t="shared" ref="N66" si="8">ROUND(IF(M66="-",0,L66*M66),0)</f>
        <v>145598</v>
      </c>
      <c r="O66" s="655">
        <f t="shared" ref="O66" si="9">L66-N66</f>
        <v>1310383</v>
      </c>
      <c r="P66" s="564"/>
      <c r="Q66" s="672" t="str">
        <f>VLOOKUP(G:G,list!B:F,5,FALSE)</f>
        <v>-</v>
      </c>
      <c r="R66" s="656" t="str">
        <f>VLOOKUP(G:G,list!B:D,3,FALSE)</f>
        <v>Y</v>
      </c>
    </row>
    <row r="67" spans="2:18" ht="18" customHeight="1">
      <c r="B67" s="650">
        <v>62</v>
      </c>
      <c r="C67" s="651" t="str">
        <f>VLOOKUP(G:G,list!B:D,2,FALSE)</f>
        <v>작가기획</v>
      </c>
      <c r="D67" s="564" t="s">
        <v>32</v>
      </c>
      <c r="E67" s="564" t="s">
        <v>9</v>
      </c>
      <c r="F67" s="564" t="s">
        <v>154</v>
      </c>
      <c r="G67" s="564" t="s">
        <v>36</v>
      </c>
      <c r="H67" s="565">
        <v>44106</v>
      </c>
      <c r="I67" s="652">
        <v>45474</v>
      </c>
      <c r="J67" s="653">
        <v>52248</v>
      </c>
      <c r="K67" s="603">
        <v>0.4</v>
      </c>
      <c r="L67" s="646">
        <v>19854</v>
      </c>
      <c r="M67" s="654" t="str">
        <f>VLOOKUP(G:G,list!B:E,4,FALSE)</f>
        <v>-</v>
      </c>
      <c r="N67" s="655">
        <f t="shared" ref="N67:N69" si="10">ROUND(IF(M67="-",0,L67*M67),0)</f>
        <v>0</v>
      </c>
      <c r="O67" s="655">
        <f t="shared" ref="O67:O69" si="11">L67-N67</f>
        <v>19854</v>
      </c>
      <c r="P67" s="564"/>
      <c r="Q67" s="672" t="str">
        <f>VLOOKUP(G:G,list!B:F,5,FALSE)</f>
        <v>-</v>
      </c>
      <c r="R67" s="656" t="str">
        <f>VLOOKUP(G:G,list!B:D,3,FALSE)</f>
        <v>Y</v>
      </c>
    </row>
    <row r="68" spans="2:18" ht="18" customHeight="1">
      <c r="B68" s="563">
        <v>63</v>
      </c>
      <c r="C68" s="651" t="str">
        <f>VLOOKUP(G:G,list!B:D,2,FALSE)</f>
        <v>작가기획</v>
      </c>
      <c r="D68" s="564" t="s">
        <v>32</v>
      </c>
      <c r="E68" s="564" t="s">
        <v>9</v>
      </c>
      <c r="F68" s="564" t="s">
        <v>154</v>
      </c>
      <c r="G68" s="564" t="s">
        <v>37</v>
      </c>
      <c r="H68" s="565">
        <v>44113</v>
      </c>
      <c r="I68" s="652">
        <v>45474</v>
      </c>
      <c r="J68" s="653">
        <v>7828</v>
      </c>
      <c r="K68" s="603">
        <v>0.4</v>
      </c>
      <c r="L68" s="646">
        <v>2975</v>
      </c>
      <c r="M68" s="654" t="str">
        <f>VLOOKUP(G:G,list!B:E,4,FALSE)</f>
        <v>-</v>
      </c>
      <c r="N68" s="655">
        <f t="shared" si="10"/>
        <v>0</v>
      </c>
      <c r="O68" s="655">
        <f t="shared" si="11"/>
        <v>2975</v>
      </c>
      <c r="P68" s="564"/>
      <c r="Q68" s="672" t="str">
        <f>VLOOKUP(G:G,list!B:F,5,FALSE)</f>
        <v>-</v>
      </c>
      <c r="R68" s="656" t="str">
        <f>VLOOKUP(G:G,list!B:D,3,FALSE)</f>
        <v>Y</v>
      </c>
    </row>
    <row r="69" spans="2:18" ht="18" customHeight="1">
      <c r="B69" s="650">
        <v>64</v>
      </c>
      <c r="C69" s="651" t="str">
        <f>VLOOKUP(G:G,list!B:D,2,FALSE)</f>
        <v>원작료</v>
      </c>
      <c r="D69" s="564" t="s">
        <v>32</v>
      </c>
      <c r="E69" s="564" t="s">
        <v>9</v>
      </c>
      <c r="F69" s="564" t="s">
        <v>154</v>
      </c>
      <c r="G69" s="564" t="s">
        <v>454</v>
      </c>
      <c r="H69" s="565">
        <v>44869</v>
      </c>
      <c r="I69" s="652">
        <v>45474</v>
      </c>
      <c r="J69" s="653">
        <v>689851</v>
      </c>
      <c r="K69" s="603">
        <v>0.4</v>
      </c>
      <c r="L69" s="646">
        <v>262144</v>
      </c>
      <c r="M69" s="654">
        <f>VLOOKUP(G:G,list!B:E,4,FALSE)</f>
        <v>0.1</v>
      </c>
      <c r="N69" s="655">
        <f t="shared" si="10"/>
        <v>26214</v>
      </c>
      <c r="O69" s="655">
        <f t="shared" si="11"/>
        <v>235930</v>
      </c>
      <c r="P69" s="564"/>
      <c r="Q69" s="672" t="str">
        <f>VLOOKUP(G:G,list!B:F,5,FALSE)</f>
        <v>-</v>
      </c>
      <c r="R69" s="656" t="str">
        <f>VLOOKUP(G:G,list!B:D,3,FALSE)</f>
        <v>Y</v>
      </c>
    </row>
    <row r="70" spans="2:18" ht="18" customHeight="1">
      <c r="B70" s="563">
        <v>65</v>
      </c>
      <c r="C70" s="651" t="str">
        <f>VLOOKUP(G:G,list!B:D,2,FALSE)</f>
        <v>원작료</v>
      </c>
      <c r="D70" s="564" t="s">
        <v>538</v>
      </c>
      <c r="E70" s="564" t="s">
        <v>9</v>
      </c>
      <c r="F70" s="564" t="s">
        <v>519</v>
      </c>
      <c r="G70" s="564" t="s">
        <v>316</v>
      </c>
      <c r="H70" s="565">
        <v>44945</v>
      </c>
      <c r="I70" s="652">
        <v>45505</v>
      </c>
      <c r="J70" s="653">
        <v>20349</v>
      </c>
      <c r="K70" s="603">
        <v>0.7</v>
      </c>
      <c r="L70" s="646">
        <v>14244.3</v>
      </c>
      <c r="M70" s="654">
        <f>VLOOKUP(G:G,list!B:E,4,FALSE)</f>
        <v>0.1</v>
      </c>
      <c r="N70" s="655">
        <f t="shared" si="0"/>
        <v>1424</v>
      </c>
      <c r="O70" s="655">
        <f t="shared" si="1"/>
        <v>12820.3</v>
      </c>
      <c r="P70" s="564"/>
      <c r="Q70" s="672" t="str">
        <f>VLOOKUP(G:G,list!B:F,5,FALSE)</f>
        <v>웹소설본부</v>
      </c>
      <c r="R70" s="656" t="str">
        <f>VLOOKUP(G:G,list!B:D,3,FALSE)</f>
        <v>Y</v>
      </c>
    </row>
    <row r="71" spans="2:18" ht="18" customHeight="1">
      <c r="B71" s="650">
        <v>66</v>
      </c>
      <c r="C71" s="651" t="str">
        <f>VLOOKUP(G:G,list!B:D,2,FALSE)</f>
        <v>원작료</v>
      </c>
      <c r="D71" s="564" t="s">
        <v>132</v>
      </c>
      <c r="E71" s="564" t="s">
        <v>9</v>
      </c>
      <c r="F71" s="564" t="s">
        <v>519</v>
      </c>
      <c r="G71" s="564" t="s">
        <v>56</v>
      </c>
      <c r="H71" s="565">
        <v>44952</v>
      </c>
      <c r="I71" s="652">
        <v>45505</v>
      </c>
      <c r="J71" s="653">
        <v>11438</v>
      </c>
      <c r="K71" s="567">
        <v>0.5</v>
      </c>
      <c r="L71" s="646">
        <v>5719</v>
      </c>
      <c r="M71" s="654">
        <f>VLOOKUP(G:G,list!B:E,4,FALSE)</f>
        <v>0.1</v>
      </c>
      <c r="N71" s="655">
        <f t="shared" si="0"/>
        <v>572</v>
      </c>
      <c r="O71" s="655">
        <f t="shared" si="1"/>
        <v>5147</v>
      </c>
      <c r="P71" s="564"/>
      <c r="Q71" s="672" t="str">
        <f>VLOOKUP(G:G,list!B:F,5,FALSE)</f>
        <v>웹소설본부</v>
      </c>
      <c r="R71" s="656" t="str">
        <f>VLOOKUP(G:G,list!B:D,3,FALSE)</f>
        <v>Y</v>
      </c>
    </row>
    <row r="72" spans="2:18" ht="18" customHeight="1">
      <c r="B72" s="563">
        <v>67</v>
      </c>
      <c r="C72" s="651" t="str">
        <f>VLOOKUP(G:G,list!B:D,2,FALSE)</f>
        <v>원작료</v>
      </c>
      <c r="D72" s="564" t="s">
        <v>132</v>
      </c>
      <c r="E72" s="564" t="s">
        <v>9</v>
      </c>
      <c r="F72" s="564" t="s">
        <v>519</v>
      </c>
      <c r="G72" s="564" t="s">
        <v>30</v>
      </c>
      <c r="H72" s="565">
        <v>44953</v>
      </c>
      <c r="I72" s="652">
        <v>45505</v>
      </c>
      <c r="J72" s="653">
        <v>0</v>
      </c>
      <c r="K72" s="567">
        <v>0.5</v>
      </c>
      <c r="L72" s="646">
        <v>0</v>
      </c>
      <c r="M72" s="654">
        <f>VLOOKUP(G:G,list!B:E,4,FALSE)</f>
        <v>0.1</v>
      </c>
      <c r="N72" s="655">
        <f t="shared" si="0"/>
        <v>0</v>
      </c>
      <c r="O72" s="655">
        <f t="shared" si="1"/>
        <v>0</v>
      </c>
      <c r="P72" s="564" t="s">
        <v>366</v>
      </c>
      <c r="Q72" s="672" t="str">
        <f>VLOOKUP(G:G,list!B:F,5,FALSE)</f>
        <v>웹소설본부</v>
      </c>
      <c r="R72" s="656" t="str">
        <f>VLOOKUP(G:G,list!B:D,3,FALSE)</f>
        <v>Y</v>
      </c>
    </row>
    <row r="73" spans="2:18" ht="18" customHeight="1">
      <c r="B73" s="650">
        <v>68</v>
      </c>
      <c r="C73" s="651" t="str">
        <f>VLOOKUP(G:G,list!B:D,2,FALSE)</f>
        <v>작가기획</v>
      </c>
      <c r="D73" s="564" t="s">
        <v>132</v>
      </c>
      <c r="E73" s="564" t="s">
        <v>9</v>
      </c>
      <c r="F73" s="564" t="s">
        <v>519</v>
      </c>
      <c r="G73" s="564" t="s">
        <v>308</v>
      </c>
      <c r="H73" s="565">
        <v>44992</v>
      </c>
      <c r="I73" s="652">
        <v>45505</v>
      </c>
      <c r="J73" s="653">
        <v>7714</v>
      </c>
      <c r="K73" s="603">
        <v>0.5</v>
      </c>
      <c r="L73" s="646">
        <v>3857</v>
      </c>
      <c r="M73" s="654" t="str">
        <f>VLOOKUP(G:G,list!B:E,4,FALSE)</f>
        <v>-</v>
      </c>
      <c r="N73" s="655">
        <f t="shared" si="0"/>
        <v>0</v>
      </c>
      <c r="O73" s="655">
        <f t="shared" si="1"/>
        <v>3857</v>
      </c>
      <c r="P73" s="564"/>
      <c r="Q73" s="672" t="str">
        <f>VLOOKUP(G:G,list!B:F,5,FALSE)</f>
        <v>-</v>
      </c>
      <c r="R73" s="656" t="str">
        <f>VLOOKUP(G:G,list!B:D,3,FALSE)</f>
        <v>Y</v>
      </c>
    </row>
    <row r="74" spans="2:18" ht="18" customHeight="1">
      <c r="B74" s="563">
        <v>69</v>
      </c>
      <c r="C74" s="651" t="str">
        <f>VLOOKUP(G:G,list!B:D,2,FALSE)</f>
        <v>작가기획</v>
      </c>
      <c r="D74" s="564" t="s">
        <v>132</v>
      </c>
      <c r="E74" s="564" t="s">
        <v>9</v>
      </c>
      <c r="F74" s="564" t="s">
        <v>519</v>
      </c>
      <c r="G74" s="564" t="s">
        <v>36</v>
      </c>
      <c r="H74" s="565">
        <v>45198</v>
      </c>
      <c r="I74" s="652">
        <v>45505</v>
      </c>
      <c r="J74" s="653">
        <v>160797</v>
      </c>
      <c r="K74" s="603">
        <v>0.5</v>
      </c>
      <c r="L74" s="646">
        <v>80398.5</v>
      </c>
      <c r="M74" s="654" t="str">
        <f>VLOOKUP(G:G,list!B:E,4,FALSE)</f>
        <v>-</v>
      </c>
      <c r="N74" s="655">
        <f t="shared" si="0"/>
        <v>0</v>
      </c>
      <c r="O74" s="655">
        <f t="shared" si="1"/>
        <v>80398.5</v>
      </c>
      <c r="P74" s="564"/>
      <c r="Q74" s="672" t="str">
        <f>VLOOKUP(G:G,list!B:F,5,FALSE)</f>
        <v>-</v>
      </c>
      <c r="R74" s="656" t="str">
        <f>VLOOKUP(G:G,list!B:D,3,FALSE)</f>
        <v>Y</v>
      </c>
    </row>
    <row r="75" spans="2:18" ht="18" customHeight="1">
      <c r="B75" s="650">
        <v>70</v>
      </c>
      <c r="C75" s="651" t="str">
        <f>VLOOKUP(G:G,list!B:D,2,FALSE)</f>
        <v>원작료</v>
      </c>
      <c r="D75" s="564" t="s">
        <v>32</v>
      </c>
      <c r="E75" s="564" t="s">
        <v>9</v>
      </c>
      <c r="F75" s="564" t="s">
        <v>31</v>
      </c>
      <c r="G75" s="564" t="s">
        <v>30</v>
      </c>
      <c r="H75" s="565">
        <v>44239</v>
      </c>
      <c r="I75" s="652">
        <v>45474</v>
      </c>
      <c r="J75" s="653">
        <v>33367</v>
      </c>
      <c r="K75" s="603">
        <v>0.4</v>
      </c>
      <c r="L75" s="646">
        <v>12686</v>
      </c>
      <c r="M75" s="654">
        <f>VLOOKUP(G:G,list!B:E,4,FALSE)</f>
        <v>0.1</v>
      </c>
      <c r="N75" s="655">
        <f t="shared" ref="N75" si="12">ROUND(IF(M75="-",0,L75*M75),0)</f>
        <v>1269</v>
      </c>
      <c r="O75" s="655">
        <f t="shared" ref="O75" si="13">L75-N75</f>
        <v>11417</v>
      </c>
      <c r="P75" s="564"/>
      <c r="Q75" s="672" t="str">
        <f>VLOOKUP(G:G,list!B:F,5,FALSE)</f>
        <v>웹소설본부</v>
      </c>
      <c r="R75" s="656" t="str">
        <f>VLOOKUP(G:G,list!B:D,3,FALSE)</f>
        <v>Y</v>
      </c>
    </row>
    <row r="76" spans="2:18" ht="18" customHeight="1">
      <c r="B76" s="563">
        <v>71</v>
      </c>
      <c r="C76" s="651" t="str">
        <f>VLOOKUP(G:G,list!B:D,2,FALSE)</f>
        <v>원작료</v>
      </c>
      <c r="D76" s="564" t="s">
        <v>123</v>
      </c>
      <c r="E76" s="564" t="s">
        <v>9</v>
      </c>
      <c r="F76" s="564" t="s">
        <v>213</v>
      </c>
      <c r="G76" s="564" t="s">
        <v>56</v>
      </c>
      <c r="H76" s="565">
        <v>44581</v>
      </c>
      <c r="I76" s="652">
        <v>45505</v>
      </c>
      <c r="J76" s="653">
        <v>1338293</v>
      </c>
      <c r="K76" s="603">
        <v>0.3</v>
      </c>
      <c r="L76" s="568">
        <v>401488</v>
      </c>
      <c r="M76" s="654">
        <f>VLOOKUP(G:G,list!B:E,4,FALSE)</f>
        <v>0.1</v>
      </c>
      <c r="N76" s="655">
        <f t="shared" si="0"/>
        <v>40149</v>
      </c>
      <c r="O76" s="655">
        <f t="shared" si="1"/>
        <v>361339</v>
      </c>
      <c r="P76" s="564" t="s">
        <v>186</v>
      </c>
      <c r="Q76" s="672" t="str">
        <f>VLOOKUP(G:G,list!B:F,5,FALSE)</f>
        <v>웹소설본부</v>
      </c>
      <c r="R76" s="656" t="str">
        <f>VLOOKUP(G:G,list!B:D,3,FALSE)</f>
        <v>Y</v>
      </c>
    </row>
    <row r="77" spans="2:18" ht="18" customHeight="1">
      <c r="B77" s="650">
        <v>72</v>
      </c>
      <c r="C77" s="651" t="str">
        <f>VLOOKUP(G:G,list!B:D,2,FALSE)</f>
        <v>원작료</v>
      </c>
      <c r="D77" s="564" t="s">
        <v>183</v>
      </c>
      <c r="E77" s="564" t="s">
        <v>9</v>
      </c>
      <c r="F77" s="564" t="s">
        <v>213</v>
      </c>
      <c r="G77" s="564" t="s">
        <v>56</v>
      </c>
      <c r="H77" s="565">
        <v>44829</v>
      </c>
      <c r="I77" s="652">
        <v>45505</v>
      </c>
      <c r="J77" s="653">
        <v>641173</v>
      </c>
      <c r="K77" s="603">
        <v>0.3</v>
      </c>
      <c r="L77" s="568">
        <v>192352</v>
      </c>
      <c r="M77" s="654">
        <f>VLOOKUP(G:G,list!B:E,4,FALSE)</f>
        <v>0.1</v>
      </c>
      <c r="N77" s="655">
        <f t="shared" si="0"/>
        <v>19235</v>
      </c>
      <c r="O77" s="655">
        <f t="shared" si="1"/>
        <v>173117</v>
      </c>
      <c r="P77" s="564" t="s">
        <v>186</v>
      </c>
      <c r="Q77" s="672" t="str">
        <f>VLOOKUP(G:G,list!B:F,5,FALSE)</f>
        <v>웹소설본부</v>
      </c>
      <c r="R77" s="656" t="str">
        <f>VLOOKUP(G:G,list!B:D,3,FALSE)</f>
        <v>Y</v>
      </c>
    </row>
    <row r="78" spans="2:18" ht="18" customHeight="1">
      <c r="B78" s="563">
        <v>73</v>
      </c>
      <c r="C78" s="651" t="str">
        <f>VLOOKUP(G:G,list!B:D,2,FALSE)</f>
        <v>원작료</v>
      </c>
      <c r="D78" s="564" t="s">
        <v>123</v>
      </c>
      <c r="E78" s="564" t="s">
        <v>9</v>
      </c>
      <c r="F78" s="564" t="s">
        <v>213</v>
      </c>
      <c r="G78" s="564" t="s">
        <v>454</v>
      </c>
      <c r="H78" s="565">
        <v>44854</v>
      </c>
      <c r="I78" s="652">
        <v>45505</v>
      </c>
      <c r="J78" s="653">
        <v>1424027</v>
      </c>
      <c r="K78" s="603">
        <v>0.3</v>
      </c>
      <c r="L78" s="568">
        <v>427208</v>
      </c>
      <c r="M78" s="654">
        <f>VLOOKUP(G:G,list!B:E,4,FALSE)</f>
        <v>0.1</v>
      </c>
      <c r="N78" s="655">
        <f t="shared" si="0"/>
        <v>42721</v>
      </c>
      <c r="O78" s="655">
        <f t="shared" si="1"/>
        <v>384487</v>
      </c>
      <c r="P78" s="564" t="s">
        <v>186</v>
      </c>
      <c r="Q78" s="672" t="str">
        <f>VLOOKUP(G:G,list!B:F,5,FALSE)</f>
        <v>-</v>
      </c>
      <c r="R78" s="656" t="str">
        <f>VLOOKUP(G:G,list!B:D,3,FALSE)</f>
        <v>Y</v>
      </c>
    </row>
    <row r="79" spans="2:18" ht="18" customHeight="1">
      <c r="B79" s="650">
        <v>74</v>
      </c>
      <c r="C79" s="651" t="str">
        <f>VLOOKUP(G:G,list!B:D,2,FALSE)</f>
        <v>원작료</v>
      </c>
      <c r="D79" s="564" t="s">
        <v>123</v>
      </c>
      <c r="E79" s="564" t="s">
        <v>9</v>
      </c>
      <c r="F79" s="564" t="s">
        <v>213</v>
      </c>
      <c r="G79" s="564" t="s">
        <v>481</v>
      </c>
      <c r="H79" s="565">
        <v>44981</v>
      </c>
      <c r="I79" s="652">
        <v>45505</v>
      </c>
      <c r="J79" s="653">
        <v>379043</v>
      </c>
      <c r="K79" s="603">
        <v>0.3</v>
      </c>
      <c r="L79" s="568">
        <v>113713</v>
      </c>
      <c r="M79" s="654">
        <f>VLOOKUP(G:G,list!B:E,4,FALSE)</f>
        <v>0.1</v>
      </c>
      <c r="N79" s="655">
        <f t="shared" si="0"/>
        <v>11371</v>
      </c>
      <c r="O79" s="655">
        <f t="shared" si="1"/>
        <v>102342</v>
      </c>
      <c r="P79" s="564" t="s">
        <v>186</v>
      </c>
      <c r="Q79" s="672" t="str">
        <f>VLOOKUP(G:G,list!B:F,5,FALSE)</f>
        <v>웹소설본부</v>
      </c>
      <c r="R79" s="656" t="str">
        <f>VLOOKUP(G:G,list!B:D,3,FALSE)</f>
        <v>Y</v>
      </c>
    </row>
    <row r="80" spans="2:18" ht="18" customHeight="1">
      <c r="B80" s="563">
        <v>75</v>
      </c>
      <c r="C80" s="651" t="str">
        <f>VLOOKUP(G:G,list!B:D,2,FALSE)</f>
        <v>원작료</v>
      </c>
      <c r="D80" s="564" t="s">
        <v>123</v>
      </c>
      <c r="E80" s="564" t="s">
        <v>9</v>
      </c>
      <c r="F80" s="564" t="s">
        <v>213</v>
      </c>
      <c r="G80" s="564" t="s">
        <v>352</v>
      </c>
      <c r="H80" s="565">
        <v>44984</v>
      </c>
      <c r="I80" s="652">
        <v>45505</v>
      </c>
      <c r="J80" s="653">
        <v>335333</v>
      </c>
      <c r="K80" s="603">
        <v>0.3</v>
      </c>
      <c r="L80" s="568">
        <v>100600</v>
      </c>
      <c r="M80" s="654">
        <f>VLOOKUP(G:G,list!B:E,4,FALSE)</f>
        <v>0.1</v>
      </c>
      <c r="N80" s="655">
        <f t="shared" si="0"/>
        <v>10060</v>
      </c>
      <c r="O80" s="655">
        <f t="shared" si="1"/>
        <v>90540</v>
      </c>
      <c r="P80" s="564" t="s">
        <v>186</v>
      </c>
      <c r="Q80" s="672" t="str">
        <f>VLOOKUP(G:G,list!B:F,5,FALSE)</f>
        <v>웹소설본부</v>
      </c>
      <c r="R80" s="656" t="str">
        <f>VLOOKUP(G:G,list!B:D,3,FALSE)</f>
        <v>Y</v>
      </c>
    </row>
    <row r="81" spans="2:18" ht="18" customHeight="1">
      <c r="B81" s="650">
        <v>76</v>
      </c>
      <c r="C81" s="651" t="str">
        <f>VLOOKUP(G:G,list!B:D,2,FALSE)</f>
        <v>원작료</v>
      </c>
      <c r="D81" s="564" t="s">
        <v>72</v>
      </c>
      <c r="E81" s="564" t="s">
        <v>9</v>
      </c>
      <c r="F81" s="564" t="s">
        <v>213</v>
      </c>
      <c r="G81" s="564" t="s">
        <v>454</v>
      </c>
      <c r="H81" s="565">
        <v>44902</v>
      </c>
      <c r="I81" s="652">
        <v>45474</v>
      </c>
      <c r="J81" s="653">
        <v>3128217</v>
      </c>
      <c r="K81" s="603">
        <v>0.3</v>
      </c>
      <c r="L81" s="568">
        <v>938465</v>
      </c>
      <c r="M81" s="654">
        <f>VLOOKUP(G:G,list!B:E,4,FALSE)</f>
        <v>0.1</v>
      </c>
      <c r="N81" s="655">
        <f t="shared" ref="N81:N82" si="14">ROUND(IF(M81="-",0,L81*M81),0)</f>
        <v>93847</v>
      </c>
      <c r="O81" s="655">
        <f t="shared" ref="O81:O82" si="15">L81-N81</f>
        <v>844618</v>
      </c>
      <c r="P81" s="564" t="s">
        <v>282</v>
      </c>
      <c r="Q81" s="672" t="str">
        <f>VLOOKUP(G:G,list!B:F,5,FALSE)</f>
        <v>-</v>
      </c>
      <c r="R81" s="656" t="str">
        <f>VLOOKUP(G:G,list!B:D,3,FALSE)</f>
        <v>Y</v>
      </c>
    </row>
    <row r="82" spans="2:18" ht="18" customHeight="1">
      <c r="B82" s="563">
        <v>77</v>
      </c>
      <c r="C82" s="651" t="str">
        <f>VLOOKUP(G:G,list!B:D,2,FALSE)</f>
        <v>원작료</v>
      </c>
      <c r="D82" s="564" t="s">
        <v>72</v>
      </c>
      <c r="E82" s="564" t="s">
        <v>9</v>
      </c>
      <c r="F82" s="564" t="s">
        <v>213</v>
      </c>
      <c r="G82" s="564" t="s">
        <v>454</v>
      </c>
      <c r="H82" s="565">
        <v>45257</v>
      </c>
      <c r="I82" s="652">
        <v>45474</v>
      </c>
      <c r="J82" s="653">
        <v>295667</v>
      </c>
      <c r="K82" s="603">
        <v>0.3</v>
      </c>
      <c r="L82" s="568">
        <v>88700</v>
      </c>
      <c r="M82" s="654">
        <f>VLOOKUP(G:G,list!B:E,4,FALSE)</f>
        <v>0.1</v>
      </c>
      <c r="N82" s="655">
        <f t="shared" si="14"/>
        <v>8870</v>
      </c>
      <c r="O82" s="655">
        <f t="shared" si="15"/>
        <v>79830</v>
      </c>
      <c r="P82" s="564" t="s">
        <v>546</v>
      </c>
      <c r="Q82" s="672" t="str">
        <f>VLOOKUP(G:G,list!B:F,5,FALSE)</f>
        <v>-</v>
      </c>
      <c r="R82" s="656" t="str">
        <f>VLOOKUP(G:G,list!B:D,3,FALSE)</f>
        <v>Y</v>
      </c>
    </row>
    <row r="83" spans="2:18" ht="11.25" customHeight="1">
      <c r="B83" s="52"/>
      <c r="C83" s="551"/>
      <c r="D83" s="551"/>
      <c r="E83" s="551"/>
      <c r="F83" s="551"/>
      <c r="G83" s="551"/>
      <c r="H83" s="622"/>
      <c r="I83" s="551"/>
      <c r="J83" s="435"/>
      <c r="K83" s="623"/>
      <c r="L83"/>
      <c r="M83" s="438"/>
      <c r="N83" s="439"/>
      <c r="O83" s="440"/>
      <c r="P83" s="633"/>
      <c r="Q83" s="438"/>
      <c r="R83" s="486"/>
    </row>
    <row r="84" spans="2:18" s="7" customFormat="1" ht="16.5" customHeight="1">
      <c r="B84" s="624" t="s">
        <v>387</v>
      </c>
      <c r="C84" s="625"/>
      <c r="D84" s="625"/>
      <c r="E84" s="626"/>
      <c r="F84" s="625"/>
      <c r="G84" s="625"/>
      <c r="H84" s="625"/>
      <c r="I84" s="311"/>
      <c r="J84" s="311"/>
      <c r="K84" s="311"/>
      <c r="M84" s="424"/>
      <c r="N84"/>
      <c r="O84" s="333"/>
      <c r="P84" s="631"/>
      <c r="Q84" s="424"/>
      <c r="R84" s="484"/>
    </row>
    <row r="85" spans="2:18" s="7" customFormat="1" ht="16.5" customHeight="1">
      <c r="B85" s="629" t="s">
        <v>299</v>
      </c>
      <c r="C85" s="625"/>
      <c r="D85" s="625"/>
      <c r="E85" s="626"/>
      <c r="F85" s="625"/>
      <c r="G85" s="625"/>
      <c r="H85" s="625"/>
      <c r="I85" s="311"/>
      <c r="K85" s="311"/>
      <c r="L85" s="311"/>
      <c r="M85" s="424"/>
      <c r="N85"/>
      <c r="O85" s="333"/>
      <c r="P85" s="631"/>
      <c r="Q85" s="424"/>
      <c r="R85" s="484"/>
    </row>
    <row r="86" spans="2:18" s="7" customFormat="1" ht="16.5" customHeight="1">
      <c r="B86" s="628" t="s">
        <v>302</v>
      </c>
      <c r="C86" s="627"/>
      <c r="D86" s="625"/>
      <c r="E86" s="626"/>
      <c r="F86" s="625"/>
      <c r="G86" s="625"/>
      <c r="H86" s="625"/>
      <c r="I86" s="311"/>
      <c r="J86" s="311"/>
      <c r="L86" s="311"/>
      <c r="M86" s="424"/>
      <c r="N86"/>
      <c r="O86" s="333"/>
      <c r="P86" s="631"/>
      <c r="Q86" s="424"/>
      <c r="R86" s="484"/>
    </row>
    <row r="87" spans="2:18" s="7" customFormat="1" ht="16.5" customHeight="1">
      <c r="B87" s="630" t="s">
        <v>303</v>
      </c>
      <c r="C87" s="627"/>
      <c r="D87" s="625"/>
      <c r="E87" s="626"/>
      <c r="F87" s="625"/>
      <c r="G87" s="625"/>
      <c r="H87" s="625"/>
      <c r="I87" s="311"/>
      <c r="J87" s="311"/>
      <c r="K87" s="311"/>
      <c r="L87" s="311"/>
      <c r="M87" s="424"/>
      <c r="N87"/>
      <c r="O87" s="333"/>
      <c r="P87" s="631"/>
      <c r="Q87" s="424"/>
      <c r="R87" s="484"/>
    </row>
    <row r="88" spans="2:18" ht="16.5" customHeight="1">
      <c r="B88" s="629" t="s">
        <v>340</v>
      </c>
      <c r="C88" s="625"/>
      <c r="D88" s="625"/>
      <c r="E88" s="626"/>
      <c r="F88" s="625"/>
      <c r="G88" s="625"/>
      <c r="H88" s="625"/>
      <c r="I88" s="311"/>
      <c r="J88" s="311"/>
      <c r="K88" s="311"/>
    </row>
    <row r="89" spans="2:18" ht="16.5" customHeight="1">
      <c r="B89" s="629" t="s">
        <v>512</v>
      </c>
      <c r="C89" s="625"/>
      <c r="D89" s="625"/>
      <c r="E89" s="626"/>
      <c r="F89" s="625"/>
      <c r="G89" s="625"/>
      <c r="H89" s="625"/>
      <c r="I89" s="311"/>
      <c r="J89" s="311"/>
      <c r="K89" s="311"/>
    </row>
    <row r="90" spans="2:18" ht="16.5" customHeight="1">
      <c r="B90" s="629" t="s">
        <v>522</v>
      </c>
      <c r="C90" s="625"/>
      <c r="D90" s="625"/>
      <c r="E90" s="626"/>
      <c r="F90" s="625"/>
      <c r="G90" s="625"/>
      <c r="H90" s="625"/>
      <c r="I90" s="311"/>
      <c r="J90" s="311"/>
      <c r="K90" s="311"/>
    </row>
    <row r="91" spans="2:18" ht="16.5" customHeight="1">
      <c r="B91" s="629" t="s">
        <v>520</v>
      </c>
      <c r="C91" s="625"/>
      <c r="D91" s="625"/>
      <c r="E91" s="626"/>
      <c r="F91" s="625"/>
      <c r="G91" s="625"/>
      <c r="H91" s="625"/>
      <c r="I91" s="311"/>
      <c r="J91" s="311"/>
      <c r="K91" s="311"/>
    </row>
    <row r="92" spans="2:18" ht="16.5" customHeight="1">
      <c r="B92" s="629" t="s">
        <v>521</v>
      </c>
      <c r="C92" s="625"/>
      <c r="D92" s="625"/>
      <c r="E92" s="626"/>
      <c r="F92" s="625"/>
      <c r="G92" s="625"/>
      <c r="H92" s="625"/>
      <c r="I92" s="311"/>
      <c r="J92" s="311"/>
      <c r="K92" s="311"/>
    </row>
    <row r="93" spans="2:18" ht="16.5" customHeight="1">
      <c r="B93" s="629" t="s">
        <v>529</v>
      </c>
      <c r="C93" s="625"/>
      <c r="D93" s="625"/>
      <c r="E93" s="626"/>
      <c r="F93" s="625"/>
      <c r="G93" s="625"/>
      <c r="H93" s="625"/>
      <c r="I93" s="311"/>
      <c r="J93" s="311"/>
      <c r="K93" s="311"/>
    </row>
  </sheetData>
  <autoFilter ref="B5:R80" xr:uid="{2A1C84CC-9B24-4E30-978A-67247E3AFA07}"/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84CC-9B24-4E30-978A-67247E3AFA07}">
  <dimension ref="B1:R71"/>
  <sheetViews>
    <sheetView showGridLines="0" zoomScaleNormal="100" workbookViewId="0">
      <pane xSplit="1" ySplit="5" topLeftCell="B43" activePane="bottomRight" state="frozen"/>
      <selection activeCell="C116" sqref="C116:F116"/>
      <selection pane="topRight" activeCell="C116" sqref="C116:F116"/>
      <selection pane="bottomLeft" activeCell="C116" sqref="C116:F116"/>
      <selection pane="bottomRight" activeCell="C116" sqref="C116:F116"/>
    </sheetView>
  </sheetViews>
  <sheetFormatPr defaultRowHeight="17.399999999999999"/>
  <cols>
    <col min="1" max="1" width="1.59765625" customWidth="1"/>
    <col min="2" max="2" width="4.3984375" style="7" customWidth="1"/>
    <col min="3" max="4" width="8.69921875" style="7" customWidth="1"/>
    <col min="5" max="5" width="8.69921875" style="186" customWidth="1"/>
    <col min="6" max="6" width="20" style="7" customWidth="1"/>
    <col min="7" max="7" width="30" style="7" customWidth="1"/>
    <col min="8" max="8" width="10" bestFit="1" customWidth="1"/>
    <col min="9" max="9" width="12" bestFit="1" customWidth="1"/>
    <col min="10" max="10" width="18.69921875" customWidth="1"/>
    <col min="11" max="11" width="8.59765625" style="7" customWidth="1"/>
    <col min="12" max="12" width="18.69921875" style="311" customWidth="1"/>
    <col min="13" max="13" width="8.69921875" style="424" customWidth="1"/>
    <col min="14" max="14" width="17.5" customWidth="1"/>
    <col min="15" max="15" width="17.5" style="333" customWidth="1"/>
    <col min="16" max="16" width="18.69921875" style="631" customWidth="1"/>
    <col min="17" max="17" width="14.8984375" style="424" customWidth="1"/>
    <col min="18" max="18" width="18.69921875" style="484" customWidth="1"/>
  </cols>
  <sheetData>
    <row r="1" spans="2:18" ht="7.5" customHeight="1"/>
    <row r="2" spans="2:18" ht="30" customHeight="1">
      <c r="B2" s="461" t="s">
        <v>539</v>
      </c>
      <c r="C2" s="539"/>
      <c r="D2" s="539"/>
      <c r="E2" s="539"/>
      <c r="F2" s="539"/>
      <c r="G2" s="540"/>
      <c r="H2" s="643"/>
      <c r="I2" s="643"/>
      <c r="J2" s="643"/>
      <c r="K2" s="643"/>
      <c r="L2" s="643"/>
      <c r="M2" s="643"/>
      <c r="N2" s="643"/>
      <c r="O2" s="644"/>
      <c r="P2" s="643"/>
      <c r="Q2" s="643"/>
      <c r="R2" s="614"/>
    </row>
    <row r="3" spans="2:18" ht="16.5" customHeight="1">
      <c r="B3" s="545" t="s">
        <v>540</v>
      </c>
      <c r="C3" s="52"/>
      <c r="D3" s="52"/>
      <c r="E3" s="52"/>
      <c r="F3" s="52"/>
      <c r="G3" s="541"/>
      <c r="H3" s="541"/>
      <c r="I3" s="541"/>
      <c r="J3" s="52"/>
      <c r="K3" s="52"/>
      <c r="L3" s="52"/>
      <c r="M3" s="547"/>
      <c r="N3" s="547"/>
      <c r="O3" s="548"/>
      <c r="P3" s="632"/>
      <c r="Q3" s="547"/>
      <c r="R3" s="614"/>
    </row>
    <row r="4" spans="2:18" ht="18" customHeight="1">
      <c r="B4" s="52"/>
      <c r="C4" s="52"/>
      <c r="D4" s="52"/>
      <c r="E4" s="52"/>
      <c r="F4" s="52"/>
      <c r="G4" s="52"/>
      <c r="H4" s="52"/>
      <c r="I4" s="647" t="s">
        <v>391</v>
      </c>
      <c r="J4" s="648">
        <f>SUBTOTAL(109,J6:J1048576)</f>
        <v>20142506.100000001</v>
      </c>
      <c r="K4" s="52"/>
      <c r="L4" s="648">
        <f>SUBTOTAL(109,L6:L1048576)</f>
        <v>10506732.699999999</v>
      </c>
      <c r="M4" s="543"/>
      <c r="N4" s="649">
        <f>SUBTOTAL(109,N6:N1048576)</f>
        <v>757641</v>
      </c>
      <c r="O4" s="649">
        <f>SUBTOTAL(109,O6:O1048576)</f>
        <v>9749091.6999999993</v>
      </c>
      <c r="P4" s="632"/>
      <c r="Q4" s="543"/>
      <c r="R4" s="551"/>
    </row>
    <row r="5" spans="2:18" s="657" customFormat="1" ht="32.25" customHeight="1">
      <c r="B5" s="658" t="s">
        <v>7</v>
      </c>
      <c r="C5" s="658" t="s">
        <v>345</v>
      </c>
      <c r="D5" s="659" t="s">
        <v>388</v>
      </c>
      <c r="E5" s="660" t="s">
        <v>389</v>
      </c>
      <c r="F5" s="658" t="s">
        <v>0</v>
      </c>
      <c r="G5" s="658" t="s">
        <v>4</v>
      </c>
      <c r="H5" s="661" t="s">
        <v>5</v>
      </c>
      <c r="I5" s="660" t="s">
        <v>390</v>
      </c>
      <c r="J5" s="660" t="s">
        <v>434</v>
      </c>
      <c r="K5" s="660" t="s">
        <v>530</v>
      </c>
      <c r="L5" s="662" t="s">
        <v>531</v>
      </c>
      <c r="M5" s="663" t="s">
        <v>437</v>
      </c>
      <c r="N5" s="664" t="s">
        <v>438</v>
      </c>
      <c r="O5" s="665" t="s">
        <v>439</v>
      </c>
      <c r="P5" s="664" t="s">
        <v>82</v>
      </c>
      <c r="Q5" s="663" t="s">
        <v>537</v>
      </c>
      <c r="R5" s="664" t="s">
        <v>474</v>
      </c>
    </row>
    <row r="6" spans="2:18" ht="18" customHeight="1">
      <c r="B6" s="563">
        <v>1</v>
      </c>
      <c r="C6" s="651" t="str">
        <f>VLOOKUP(G:G,list!B:D,2,FALSE)</f>
        <v>외부제작</v>
      </c>
      <c r="D6" s="564" t="s">
        <v>448</v>
      </c>
      <c r="E6" s="564" t="s">
        <v>62</v>
      </c>
      <c r="F6" s="564" t="s">
        <v>248</v>
      </c>
      <c r="G6" s="564" t="s">
        <v>315</v>
      </c>
      <c r="H6" s="565">
        <v>44629</v>
      </c>
      <c r="I6" s="652">
        <v>45474</v>
      </c>
      <c r="J6" s="653">
        <v>1081113.8999999999</v>
      </c>
      <c r="K6" s="567">
        <v>0.6</v>
      </c>
      <c r="L6" s="646">
        <v>648668</v>
      </c>
      <c r="M6" s="654" t="str">
        <f>VLOOKUP(G:G,list!B:E,4,FALSE)</f>
        <v>-</v>
      </c>
      <c r="N6" s="655">
        <f t="shared" ref="N6:N18" si="0">ROUND(IF(M6="-",0,L6*M6),0)</f>
        <v>0</v>
      </c>
      <c r="O6" s="655">
        <f t="shared" ref="O6:O18" si="1">L6-N6</f>
        <v>648668</v>
      </c>
      <c r="P6" s="645"/>
      <c r="Q6" s="672" t="str">
        <f>VLOOKUP(G:G,list!B:F,5,FALSE)</f>
        <v>-</v>
      </c>
      <c r="R6" s="656" t="str">
        <f>VLOOKUP(G:G,list!B:D,3,FALSE)</f>
        <v>N</v>
      </c>
    </row>
    <row r="7" spans="2:18" ht="18" customHeight="1">
      <c r="B7" s="650">
        <v>2</v>
      </c>
      <c r="C7" s="651" t="str">
        <f>VLOOKUP(G:G,list!B:D,2,FALSE)</f>
        <v>외부제작</v>
      </c>
      <c r="D7" s="564" t="s">
        <v>448</v>
      </c>
      <c r="E7" s="564" t="s">
        <v>62</v>
      </c>
      <c r="F7" s="564" t="s">
        <v>248</v>
      </c>
      <c r="G7" s="564" t="s">
        <v>523</v>
      </c>
      <c r="H7" s="565">
        <v>45057</v>
      </c>
      <c r="I7" s="652">
        <v>45474</v>
      </c>
      <c r="J7" s="653">
        <v>360218.1</v>
      </c>
      <c r="K7" s="600">
        <v>0.6</v>
      </c>
      <c r="L7" s="646">
        <v>216131</v>
      </c>
      <c r="M7" s="654" t="str">
        <f>VLOOKUP(G:G,list!B:E,4,FALSE)</f>
        <v>-</v>
      </c>
      <c r="N7" s="655">
        <f t="shared" si="0"/>
        <v>0</v>
      </c>
      <c r="O7" s="655">
        <f t="shared" si="1"/>
        <v>216131</v>
      </c>
      <c r="P7" s="645"/>
      <c r="Q7" s="672" t="str">
        <f>VLOOKUP(G:G,list!B:F,5,FALSE)</f>
        <v>-</v>
      </c>
      <c r="R7" s="656" t="str">
        <f>VLOOKUP(G:G,list!B:D,3,FALSE)</f>
        <v>N</v>
      </c>
    </row>
    <row r="8" spans="2:18" ht="18" customHeight="1">
      <c r="B8" s="650">
        <v>3</v>
      </c>
      <c r="C8" s="651" t="str">
        <f>VLOOKUP(G:G,list!B:D,2,FALSE)</f>
        <v>외부제작</v>
      </c>
      <c r="D8" s="564" t="s">
        <v>448</v>
      </c>
      <c r="E8" s="564" t="s">
        <v>9</v>
      </c>
      <c r="F8" s="564" t="s">
        <v>248</v>
      </c>
      <c r="G8" s="564" t="s">
        <v>533</v>
      </c>
      <c r="H8" s="565">
        <v>45204</v>
      </c>
      <c r="I8" s="652">
        <v>45474</v>
      </c>
      <c r="J8" s="653">
        <v>773447.1</v>
      </c>
      <c r="K8" s="567">
        <v>0.6</v>
      </c>
      <c r="L8" s="646">
        <v>464070</v>
      </c>
      <c r="M8" s="654" t="str">
        <f>VLOOKUP(G:G,list!B:E,4,FALSE)</f>
        <v>-</v>
      </c>
      <c r="N8" s="655">
        <f t="shared" si="0"/>
        <v>0</v>
      </c>
      <c r="O8" s="655">
        <f t="shared" si="1"/>
        <v>464070</v>
      </c>
      <c r="P8" s="645"/>
      <c r="Q8" s="672" t="str">
        <f>VLOOKUP(G:G,list!B:F,5,FALSE)</f>
        <v>-</v>
      </c>
      <c r="R8" s="656" t="str">
        <f>VLOOKUP(G:G,list!B:D,3,FALSE)</f>
        <v>N</v>
      </c>
    </row>
    <row r="9" spans="2:18" ht="18" customHeight="1">
      <c r="B9" s="650">
        <v>4</v>
      </c>
      <c r="C9" s="651" t="str">
        <f>VLOOKUP(G:G,list!B:D,2,FALSE)</f>
        <v>원작료</v>
      </c>
      <c r="D9" s="564" t="s">
        <v>448</v>
      </c>
      <c r="E9" s="564" t="s">
        <v>62</v>
      </c>
      <c r="F9" s="564" t="s">
        <v>126</v>
      </c>
      <c r="G9" s="564" t="s">
        <v>30</v>
      </c>
      <c r="H9" s="565">
        <v>44199</v>
      </c>
      <c r="I9" s="652">
        <v>45474</v>
      </c>
      <c r="J9" s="653">
        <v>219302.8</v>
      </c>
      <c r="K9" s="606">
        <v>0.6</v>
      </c>
      <c r="L9" s="646">
        <v>131582</v>
      </c>
      <c r="M9" s="654">
        <f>VLOOKUP(G:G,list!B:E,4,FALSE)</f>
        <v>0.1</v>
      </c>
      <c r="N9" s="655">
        <f t="shared" si="0"/>
        <v>13158</v>
      </c>
      <c r="O9" s="655">
        <f t="shared" si="1"/>
        <v>118424</v>
      </c>
      <c r="P9" s="564"/>
      <c r="Q9" s="672" t="str">
        <f>VLOOKUP(G:G,list!B:F,5,FALSE)</f>
        <v>웹소설본부</v>
      </c>
      <c r="R9" s="656" t="str">
        <f>VLOOKUP(G:G,list!B:D,3,FALSE)</f>
        <v>Y</v>
      </c>
    </row>
    <row r="10" spans="2:18" ht="18" customHeight="1">
      <c r="B10" s="650">
        <v>5</v>
      </c>
      <c r="C10" s="651" t="str">
        <f>VLOOKUP(G:G,list!B:D,2,FALSE)</f>
        <v>원작료</v>
      </c>
      <c r="D10" s="564" t="s">
        <v>448</v>
      </c>
      <c r="E10" s="564" t="s">
        <v>62</v>
      </c>
      <c r="F10" s="564" t="s">
        <v>126</v>
      </c>
      <c r="G10" s="564" t="s">
        <v>56</v>
      </c>
      <c r="H10" s="565">
        <v>44372</v>
      </c>
      <c r="I10" s="652">
        <v>45474</v>
      </c>
      <c r="J10" s="653">
        <v>754173.9</v>
      </c>
      <c r="K10" s="600">
        <v>0.6</v>
      </c>
      <c r="L10" s="646">
        <v>452505</v>
      </c>
      <c r="M10" s="654">
        <f>VLOOKUP(G:G,list!B:E,4,FALSE)</f>
        <v>0.1</v>
      </c>
      <c r="N10" s="655">
        <f t="shared" si="0"/>
        <v>45251</v>
      </c>
      <c r="O10" s="655">
        <f t="shared" si="1"/>
        <v>407254</v>
      </c>
      <c r="P10" s="564"/>
      <c r="Q10" s="672" t="str">
        <f>VLOOKUP(G:G,list!B:F,5,FALSE)</f>
        <v>웹소설본부</v>
      </c>
      <c r="R10" s="656" t="str">
        <f>VLOOKUP(G:G,list!B:D,3,FALSE)</f>
        <v>Y</v>
      </c>
    </row>
    <row r="11" spans="2:18" ht="18" customHeight="1">
      <c r="B11" s="650">
        <v>6</v>
      </c>
      <c r="C11" s="651" t="str">
        <f>VLOOKUP(G:G,list!B:D,2,FALSE)</f>
        <v>작가기획</v>
      </c>
      <c r="D11" s="564" t="s">
        <v>448</v>
      </c>
      <c r="E11" s="564" t="s">
        <v>62</v>
      </c>
      <c r="F11" s="564" t="s">
        <v>126</v>
      </c>
      <c r="G11" s="564" t="s">
        <v>308</v>
      </c>
      <c r="H11" s="565">
        <v>44608</v>
      </c>
      <c r="I11" s="652">
        <v>45474</v>
      </c>
      <c r="J11" s="653">
        <v>34121</v>
      </c>
      <c r="K11" s="603">
        <v>0.6</v>
      </c>
      <c r="L11" s="646">
        <v>20473</v>
      </c>
      <c r="M11" s="654" t="str">
        <f>VLOOKUP(G:G,list!B:E,4,FALSE)</f>
        <v>-</v>
      </c>
      <c r="N11" s="655">
        <f t="shared" si="0"/>
        <v>0</v>
      </c>
      <c r="O11" s="655">
        <f t="shared" si="1"/>
        <v>20473</v>
      </c>
      <c r="P11" s="564"/>
      <c r="Q11" s="672" t="str">
        <f>VLOOKUP(G:G,list!B:F,5,FALSE)</f>
        <v>-</v>
      </c>
      <c r="R11" s="656" t="str">
        <f>VLOOKUP(G:G,list!B:D,3,FALSE)</f>
        <v>Y</v>
      </c>
    </row>
    <row r="12" spans="2:18" ht="18" customHeight="1">
      <c r="B12" s="650">
        <v>7</v>
      </c>
      <c r="C12" s="651" t="str">
        <f>VLOOKUP(G:G,list!B:D,2,FALSE)</f>
        <v>원작료</v>
      </c>
      <c r="D12" s="564" t="s">
        <v>448</v>
      </c>
      <c r="E12" s="564" t="s">
        <v>62</v>
      </c>
      <c r="F12" s="564" t="s">
        <v>126</v>
      </c>
      <c r="G12" s="564" t="s">
        <v>316</v>
      </c>
      <c r="H12" s="565">
        <v>44639</v>
      </c>
      <c r="I12" s="652">
        <v>45474</v>
      </c>
      <c r="J12" s="653">
        <v>1491880.1</v>
      </c>
      <c r="K12" s="603">
        <v>0.6</v>
      </c>
      <c r="L12" s="646">
        <v>895130</v>
      </c>
      <c r="M12" s="654">
        <f>VLOOKUP(G:G,list!B:E,4,FALSE)</f>
        <v>0.1</v>
      </c>
      <c r="N12" s="655">
        <f t="shared" si="0"/>
        <v>89513</v>
      </c>
      <c r="O12" s="655">
        <f t="shared" si="1"/>
        <v>805617</v>
      </c>
      <c r="P12" s="564"/>
      <c r="Q12" s="672" t="str">
        <f>VLOOKUP(G:G,list!B:F,5,FALSE)</f>
        <v>웹소설본부</v>
      </c>
      <c r="R12" s="656" t="str">
        <f>VLOOKUP(G:G,list!B:D,3,FALSE)</f>
        <v>Y</v>
      </c>
    </row>
    <row r="13" spans="2:18" ht="18" customHeight="1">
      <c r="B13" s="563">
        <v>8</v>
      </c>
      <c r="C13" s="651" t="str">
        <f>VLOOKUP(G:G,list!B:D,2,FALSE)</f>
        <v>원작료</v>
      </c>
      <c r="D13" s="564" t="s">
        <v>448</v>
      </c>
      <c r="E13" s="564" t="s">
        <v>62</v>
      </c>
      <c r="F13" s="564" t="s">
        <v>126</v>
      </c>
      <c r="G13" s="564" t="s">
        <v>352</v>
      </c>
      <c r="H13" s="565">
        <v>44691</v>
      </c>
      <c r="I13" s="652">
        <v>45474</v>
      </c>
      <c r="J13" s="653">
        <v>192088.9</v>
      </c>
      <c r="K13" s="600">
        <v>0.6</v>
      </c>
      <c r="L13" s="646">
        <v>115255</v>
      </c>
      <c r="M13" s="654">
        <f>VLOOKUP(G:G,list!B:E,4,FALSE)</f>
        <v>0.1</v>
      </c>
      <c r="N13" s="655">
        <f t="shared" si="0"/>
        <v>11526</v>
      </c>
      <c r="O13" s="655">
        <f t="shared" si="1"/>
        <v>103729</v>
      </c>
      <c r="P13" s="564"/>
      <c r="Q13" s="672" t="str">
        <f>VLOOKUP(G:G,list!B:F,5,FALSE)</f>
        <v>웹소설본부</v>
      </c>
      <c r="R13" s="656" t="str">
        <f>VLOOKUP(G:G,list!B:D,3,FALSE)</f>
        <v>Y</v>
      </c>
    </row>
    <row r="14" spans="2:18" ht="18" customHeight="1">
      <c r="B14" s="650">
        <v>9</v>
      </c>
      <c r="C14" s="651" t="str">
        <f>VLOOKUP(G:G,list!B:D,2,FALSE)</f>
        <v>원작료</v>
      </c>
      <c r="D14" s="564" t="s">
        <v>448</v>
      </c>
      <c r="E14" s="564" t="s">
        <v>62</v>
      </c>
      <c r="F14" s="564" t="s">
        <v>126</v>
      </c>
      <c r="G14" s="564" t="s">
        <v>353</v>
      </c>
      <c r="H14" s="565">
        <v>44709</v>
      </c>
      <c r="I14" s="652">
        <v>45474</v>
      </c>
      <c r="J14" s="653">
        <v>743588.3</v>
      </c>
      <c r="K14" s="606">
        <v>0.6</v>
      </c>
      <c r="L14" s="646">
        <v>446151</v>
      </c>
      <c r="M14" s="654">
        <f>VLOOKUP(G:G,list!B:E,4,FALSE)</f>
        <v>0.11</v>
      </c>
      <c r="N14" s="655">
        <f t="shared" si="0"/>
        <v>49077</v>
      </c>
      <c r="O14" s="655">
        <f t="shared" si="1"/>
        <v>397074</v>
      </c>
      <c r="P14" s="564"/>
      <c r="Q14" s="672" t="str">
        <f>VLOOKUP(G:G,list!B:F,5,FALSE)</f>
        <v>-</v>
      </c>
      <c r="R14" s="656" t="str">
        <f>VLOOKUP(G:G,list!B:D,3,FALSE)</f>
        <v>N</v>
      </c>
    </row>
    <row r="15" spans="2:18" ht="18" customHeight="1">
      <c r="B15" s="650">
        <v>10</v>
      </c>
      <c r="C15" s="651" t="str">
        <f>VLOOKUP(G:G,list!B:D,2,FALSE)</f>
        <v>원작료</v>
      </c>
      <c r="D15" s="564" t="s">
        <v>448</v>
      </c>
      <c r="E15" s="564" t="s">
        <v>62</v>
      </c>
      <c r="F15" s="564" t="s">
        <v>126</v>
      </c>
      <c r="G15" s="564" t="s">
        <v>447</v>
      </c>
      <c r="H15" s="565">
        <v>44801</v>
      </c>
      <c r="I15" s="652">
        <v>45474</v>
      </c>
      <c r="J15" s="653">
        <v>1793046.2</v>
      </c>
      <c r="K15" s="567">
        <v>0.6</v>
      </c>
      <c r="L15" s="646">
        <v>1075827</v>
      </c>
      <c r="M15" s="654">
        <f>VLOOKUP(G:G,list!B:E,4,FALSE)</f>
        <v>0.1</v>
      </c>
      <c r="N15" s="655">
        <f t="shared" si="0"/>
        <v>107583</v>
      </c>
      <c r="O15" s="655">
        <f t="shared" si="1"/>
        <v>968244</v>
      </c>
      <c r="P15" s="564"/>
      <c r="Q15" s="672" t="str">
        <f>VLOOKUP(G:G,list!B:F,5,FALSE)</f>
        <v>-</v>
      </c>
      <c r="R15" s="656" t="str">
        <f>VLOOKUP(G:G,list!B:D,3,FALSE)</f>
        <v>Y</v>
      </c>
    </row>
    <row r="16" spans="2:18" ht="18" customHeight="1">
      <c r="B16" s="650">
        <v>11</v>
      </c>
      <c r="C16" s="651" t="str">
        <f>VLOOKUP(G:G,list!B:D,2,FALSE)</f>
        <v>원작료</v>
      </c>
      <c r="D16" s="564" t="s">
        <v>448</v>
      </c>
      <c r="E16" s="564" t="s">
        <v>62</v>
      </c>
      <c r="F16" s="564" t="s">
        <v>126</v>
      </c>
      <c r="G16" s="564" t="s">
        <v>481</v>
      </c>
      <c r="H16" s="565">
        <v>44831</v>
      </c>
      <c r="I16" s="652">
        <v>45474</v>
      </c>
      <c r="J16" s="653">
        <v>392196</v>
      </c>
      <c r="K16" s="567">
        <v>0.6</v>
      </c>
      <c r="L16" s="646">
        <v>235317</v>
      </c>
      <c r="M16" s="654">
        <f>VLOOKUP(G:G,list!B:E,4,FALSE)</f>
        <v>0.1</v>
      </c>
      <c r="N16" s="655">
        <f t="shared" si="0"/>
        <v>23532</v>
      </c>
      <c r="O16" s="655">
        <f t="shared" si="1"/>
        <v>211785</v>
      </c>
      <c r="P16" s="564"/>
      <c r="Q16" s="672" t="str">
        <f>VLOOKUP(G:G,list!B:F,5,FALSE)</f>
        <v>웹소설본부</v>
      </c>
      <c r="R16" s="656" t="str">
        <f>VLOOKUP(G:G,list!B:D,3,FALSE)</f>
        <v>Y</v>
      </c>
    </row>
    <row r="17" spans="2:18" ht="18" customHeight="1">
      <c r="B17" s="650">
        <v>12</v>
      </c>
      <c r="C17" s="651" t="str">
        <f>VLOOKUP(G:G,list!B:D,2,FALSE)</f>
        <v>작가기획</v>
      </c>
      <c r="D17" s="564" t="s">
        <v>448</v>
      </c>
      <c r="E17" s="564" t="s">
        <v>62</v>
      </c>
      <c r="F17" s="564" t="s">
        <v>126</v>
      </c>
      <c r="G17" s="564" t="s">
        <v>501</v>
      </c>
      <c r="H17" s="565">
        <v>44851</v>
      </c>
      <c r="I17" s="652">
        <v>45474</v>
      </c>
      <c r="J17" s="653">
        <v>13511</v>
      </c>
      <c r="K17" s="600">
        <v>0.7</v>
      </c>
      <c r="L17" s="646">
        <v>9457</v>
      </c>
      <c r="M17" s="654" t="str">
        <f>VLOOKUP(G:G,list!B:E,4,FALSE)</f>
        <v>-</v>
      </c>
      <c r="N17" s="655">
        <f t="shared" si="0"/>
        <v>0</v>
      </c>
      <c r="O17" s="655">
        <f t="shared" si="1"/>
        <v>9457</v>
      </c>
      <c r="P17" s="564"/>
      <c r="Q17" s="672" t="str">
        <f>VLOOKUP(G:G,list!B:F,5,FALSE)</f>
        <v>-</v>
      </c>
      <c r="R17" s="656" t="str">
        <f>VLOOKUP(G:G,list!B:D,3,FALSE)</f>
        <v>N</v>
      </c>
    </row>
    <row r="18" spans="2:18" ht="18" customHeight="1">
      <c r="B18" s="650">
        <v>13</v>
      </c>
      <c r="C18" s="651" t="str">
        <f>VLOOKUP(G:G,list!B:D,2,FALSE)</f>
        <v>원작료</v>
      </c>
      <c r="D18" s="564" t="s">
        <v>448</v>
      </c>
      <c r="E18" s="564" t="s">
        <v>62</v>
      </c>
      <c r="F18" s="564" t="s">
        <v>126</v>
      </c>
      <c r="G18" s="564" t="s">
        <v>534</v>
      </c>
      <c r="H18" s="565">
        <v>45235</v>
      </c>
      <c r="I18" s="652">
        <v>45474</v>
      </c>
      <c r="J18" s="653">
        <v>1968172.9</v>
      </c>
      <c r="K18" s="603">
        <v>0.6</v>
      </c>
      <c r="L18" s="646">
        <v>1180904</v>
      </c>
      <c r="M18" s="654">
        <f>VLOOKUP(G:G,list!B:E,4,FALSE)</f>
        <v>0.1</v>
      </c>
      <c r="N18" s="655">
        <f t="shared" si="0"/>
        <v>118090</v>
      </c>
      <c r="O18" s="655">
        <f t="shared" si="1"/>
        <v>1062814</v>
      </c>
      <c r="P18" s="645"/>
      <c r="Q18" s="672" t="str">
        <f>VLOOKUP(G:G,list!B:F,5,FALSE)</f>
        <v>-</v>
      </c>
      <c r="R18" s="656" t="str">
        <f>VLOOKUP(G:G,list!B:D,3,FALSE)</f>
        <v>N</v>
      </c>
    </row>
    <row r="19" spans="2:18" ht="18" customHeight="1">
      <c r="B19" s="650">
        <v>14</v>
      </c>
      <c r="C19" s="651" t="str">
        <f>VLOOKUP(G:G,list!B:D,2,FALSE)</f>
        <v>원작료</v>
      </c>
      <c r="D19" s="564" t="s">
        <v>448</v>
      </c>
      <c r="E19" s="564" t="s">
        <v>62</v>
      </c>
      <c r="F19" s="564" t="s">
        <v>126</v>
      </c>
      <c r="G19" s="564" t="s">
        <v>541</v>
      </c>
      <c r="H19" s="565">
        <v>45066</v>
      </c>
      <c r="I19" s="652">
        <v>45474</v>
      </c>
      <c r="J19" s="653">
        <v>1103883.8999999999</v>
      </c>
      <c r="K19" s="603">
        <v>0.7</v>
      </c>
      <c r="L19" s="646">
        <v>772719</v>
      </c>
      <c r="M19" s="654">
        <f>VLOOKUP(G:G,list!B:E,4,FALSE)</f>
        <v>0.1</v>
      </c>
      <c r="N19" s="655">
        <f t="shared" ref="N19" si="2">ROUND(IF(M19="-",0,L19*M19),0)</f>
        <v>77272</v>
      </c>
      <c r="O19" s="655">
        <f t="shared" ref="O19" si="3">L19-N19</f>
        <v>695447</v>
      </c>
      <c r="P19" s="645"/>
      <c r="Q19" s="672" t="str">
        <f>VLOOKUP(G:G,list!B:F,5,FALSE)</f>
        <v>-</v>
      </c>
      <c r="R19" s="656" t="str">
        <f>VLOOKUP(G:G,list!B:D,3,FALSE)</f>
        <v>Y</v>
      </c>
    </row>
    <row r="20" spans="2:18" ht="18" customHeight="1">
      <c r="B20" s="563">
        <v>15</v>
      </c>
      <c r="C20" s="651" t="str">
        <f>VLOOKUP(G:G,list!B:D,2,FALSE)</f>
        <v>원작료</v>
      </c>
      <c r="D20" s="564" t="s">
        <v>78</v>
      </c>
      <c r="E20" s="564" t="s">
        <v>62</v>
      </c>
      <c r="F20" s="564" t="s">
        <v>209</v>
      </c>
      <c r="G20" s="564" t="s">
        <v>30</v>
      </c>
      <c r="H20" s="565">
        <v>44409</v>
      </c>
      <c r="I20" s="652">
        <v>45474</v>
      </c>
      <c r="J20" s="653">
        <v>74149</v>
      </c>
      <c r="K20" s="603">
        <v>0.6</v>
      </c>
      <c r="L20" s="646">
        <v>44489</v>
      </c>
      <c r="M20" s="654">
        <f>VLOOKUP(G:G,list!B:E,4,FALSE)</f>
        <v>0.1</v>
      </c>
      <c r="N20" s="655">
        <f t="shared" ref="N20:N30" si="4">ROUND(IF(M20="-",0,L20*M20),0)</f>
        <v>4449</v>
      </c>
      <c r="O20" s="655">
        <f t="shared" ref="O20:O30" si="5">L20-N20</f>
        <v>40040</v>
      </c>
      <c r="P20" s="642"/>
      <c r="Q20" s="672" t="str">
        <f>VLOOKUP(G:G,list!B:F,5,FALSE)</f>
        <v>웹소설본부</v>
      </c>
      <c r="R20" s="656" t="str">
        <f>VLOOKUP(G:G,list!B:D,3,FALSE)</f>
        <v>Y</v>
      </c>
    </row>
    <row r="21" spans="2:18" ht="18" customHeight="1">
      <c r="B21" s="650">
        <v>16</v>
      </c>
      <c r="C21" s="651" t="str">
        <f>VLOOKUP(G:G,list!B:D,2,FALSE)</f>
        <v>작가기획</v>
      </c>
      <c r="D21" s="564" t="s">
        <v>78</v>
      </c>
      <c r="E21" s="564" t="s">
        <v>62</v>
      </c>
      <c r="F21" s="564" t="s">
        <v>209</v>
      </c>
      <c r="G21" s="564" t="s">
        <v>501</v>
      </c>
      <c r="H21" s="565">
        <v>44851</v>
      </c>
      <c r="I21" s="652">
        <v>45474</v>
      </c>
      <c r="J21" s="653">
        <v>1608</v>
      </c>
      <c r="K21" s="567">
        <v>0.6</v>
      </c>
      <c r="L21" s="646">
        <v>1126</v>
      </c>
      <c r="M21" s="654" t="str">
        <f>VLOOKUP(G:G,list!B:E,4,FALSE)</f>
        <v>-</v>
      </c>
      <c r="N21" s="655">
        <f t="shared" si="4"/>
        <v>0</v>
      </c>
      <c r="O21" s="655">
        <f t="shared" si="5"/>
        <v>1126</v>
      </c>
      <c r="P21" s="642"/>
      <c r="Q21" s="672" t="str">
        <f>VLOOKUP(G:G,list!B:F,5,FALSE)</f>
        <v>-</v>
      </c>
      <c r="R21" s="656" t="str">
        <f>VLOOKUP(G:G,list!B:D,3,FALSE)</f>
        <v>N</v>
      </c>
    </row>
    <row r="22" spans="2:18" ht="18" customHeight="1">
      <c r="B22" s="650">
        <v>17</v>
      </c>
      <c r="C22" s="651" t="str">
        <f>VLOOKUP(G:G,list!B:D,2,FALSE)</f>
        <v>원작료</v>
      </c>
      <c r="D22" s="564" t="s">
        <v>78</v>
      </c>
      <c r="E22" s="564" t="s">
        <v>62</v>
      </c>
      <c r="F22" s="564" t="s">
        <v>209</v>
      </c>
      <c r="G22" s="564" t="s">
        <v>316</v>
      </c>
      <c r="H22" s="565">
        <v>44926</v>
      </c>
      <c r="I22" s="652">
        <v>45474</v>
      </c>
      <c r="J22" s="653">
        <v>224837</v>
      </c>
      <c r="K22" s="567">
        <v>0.6</v>
      </c>
      <c r="L22" s="646">
        <v>134902</v>
      </c>
      <c r="M22" s="654">
        <f>VLOOKUP(G:G,list!B:E,4,FALSE)</f>
        <v>0.1</v>
      </c>
      <c r="N22" s="655">
        <f t="shared" si="4"/>
        <v>13490</v>
      </c>
      <c r="O22" s="655">
        <f t="shared" si="5"/>
        <v>121412</v>
      </c>
      <c r="P22" s="645"/>
      <c r="Q22" s="672" t="str">
        <f>VLOOKUP(G:G,list!B:F,5,FALSE)</f>
        <v>웹소설본부</v>
      </c>
      <c r="R22" s="656" t="str">
        <f>VLOOKUP(G:G,list!B:D,3,FALSE)</f>
        <v>Y</v>
      </c>
    </row>
    <row r="23" spans="2:18" ht="18" customHeight="1">
      <c r="B23" s="650">
        <v>18</v>
      </c>
      <c r="C23" s="651" t="str">
        <f>VLOOKUP(G:G,list!B:D,2,FALSE)</f>
        <v>작가기획</v>
      </c>
      <c r="D23" s="564" t="s">
        <v>78</v>
      </c>
      <c r="E23" s="564" t="s">
        <v>62</v>
      </c>
      <c r="F23" s="564" t="s">
        <v>209</v>
      </c>
      <c r="G23" s="564" t="s">
        <v>308</v>
      </c>
      <c r="H23" s="565">
        <v>44944</v>
      </c>
      <c r="I23" s="652">
        <v>45474</v>
      </c>
      <c r="J23" s="653">
        <v>14187</v>
      </c>
      <c r="K23" s="567">
        <v>0.6</v>
      </c>
      <c r="L23" s="646">
        <v>8513</v>
      </c>
      <c r="M23" s="654" t="str">
        <f>VLOOKUP(G:G,list!B:E,4,FALSE)</f>
        <v>-</v>
      </c>
      <c r="N23" s="655">
        <f t="shared" si="4"/>
        <v>0</v>
      </c>
      <c r="O23" s="655">
        <f t="shared" si="5"/>
        <v>8513</v>
      </c>
      <c r="P23" s="645"/>
      <c r="Q23" s="672" t="str">
        <f>VLOOKUP(G:G,list!B:F,5,FALSE)</f>
        <v>-</v>
      </c>
      <c r="R23" s="656" t="str">
        <f>VLOOKUP(G:G,list!B:D,3,FALSE)</f>
        <v>Y</v>
      </c>
    </row>
    <row r="24" spans="2:18" ht="18" customHeight="1">
      <c r="B24" s="650">
        <v>19</v>
      </c>
      <c r="C24" s="651" t="str">
        <f>VLOOKUP(G:G,list!B:D,2,FALSE)</f>
        <v>원작료</v>
      </c>
      <c r="D24" s="564" t="s">
        <v>78</v>
      </c>
      <c r="E24" s="564" t="s">
        <v>62</v>
      </c>
      <c r="F24" s="564" t="s">
        <v>209</v>
      </c>
      <c r="G24" s="564" t="s">
        <v>447</v>
      </c>
      <c r="H24" s="565">
        <v>44969</v>
      </c>
      <c r="I24" s="652">
        <v>45474</v>
      </c>
      <c r="J24" s="653">
        <v>178508</v>
      </c>
      <c r="K24" s="603">
        <v>0.6</v>
      </c>
      <c r="L24" s="646">
        <v>107106</v>
      </c>
      <c r="M24" s="654">
        <f>VLOOKUP(G:G,list!B:E,4,FALSE)</f>
        <v>0.1</v>
      </c>
      <c r="N24" s="655">
        <f t="shared" si="4"/>
        <v>10711</v>
      </c>
      <c r="O24" s="655">
        <f t="shared" si="5"/>
        <v>96395</v>
      </c>
      <c r="P24" s="564"/>
      <c r="Q24" s="672" t="str">
        <f>VLOOKUP(G:G,list!B:F,5,FALSE)</f>
        <v>-</v>
      </c>
      <c r="R24" s="656" t="str">
        <f>VLOOKUP(G:G,list!B:D,3,FALSE)</f>
        <v>Y</v>
      </c>
    </row>
    <row r="25" spans="2:18" ht="18" customHeight="1">
      <c r="B25" s="650">
        <v>20</v>
      </c>
      <c r="C25" s="651" t="str">
        <f>VLOOKUP(G:G,list!B:D,2,FALSE)</f>
        <v>원작료</v>
      </c>
      <c r="D25" s="564" t="s">
        <v>78</v>
      </c>
      <c r="E25" s="564" t="s">
        <v>62</v>
      </c>
      <c r="F25" s="564" t="s">
        <v>209</v>
      </c>
      <c r="G25" s="564" t="s">
        <v>481</v>
      </c>
      <c r="H25" s="565">
        <v>44981</v>
      </c>
      <c r="I25" s="652">
        <v>45474</v>
      </c>
      <c r="J25" s="653">
        <v>41019</v>
      </c>
      <c r="K25" s="603">
        <v>0.6</v>
      </c>
      <c r="L25" s="646">
        <v>24612</v>
      </c>
      <c r="M25" s="654">
        <f>VLOOKUP(G:G,list!B:E,4,FALSE)</f>
        <v>0.1</v>
      </c>
      <c r="N25" s="655">
        <f t="shared" si="4"/>
        <v>2461</v>
      </c>
      <c r="O25" s="655">
        <f t="shared" si="5"/>
        <v>22151</v>
      </c>
      <c r="P25" s="645"/>
      <c r="Q25" s="672" t="str">
        <f>VLOOKUP(G:G,list!B:F,5,FALSE)</f>
        <v>웹소설본부</v>
      </c>
      <c r="R25" s="656" t="str">
        <f>VLOOKUP(G:G,list!B:D,3,FALSE)</f>
        <v>Y</v>
      </c>
    </row>
    <row r="26" spans="2:18" ht="18" customHeight="1">
      <c r="B26" s="650">
        <v>21</v>
      </c>
      <c r="C26" s="651" t="str">
        <f>VLOOKUP(G:G,list!B:D,2,FALSE)</f>
        <v>원작료</v>
      </c>
      <c r="D26" s="564" t="s">
        <v>78</v>
      </c>
      <c r="E26" s="564" t="s">
        <v>62</v>
      </c>
      <c r="F26" s="564" t="s">
        <v>209</v>
      </c>
      <c r="G26" s="564" t="s">
        <v>56</v>
      </c>
      <c r="H26" s="565">
        <v>44988</v>
      </c>
      <c r="I26" s="652">
        <v>45474</v>
      </c>
      <c r="J26" s="653">
        <v>92997</v>
      </c>
      <c r="K26" s="567">
        <v>0.6</v>
      </c>
      <c r="L26" s="646">
        <v>55798</v>
      </c>
      <c r="M26" s="654">
        <f>VLOOKUP(G:G,list!B:E,4,FALSE)</f>
        <v>0.1</v>
      </c>
      <c r="N26" s="655">
        <f t="shared" si="4"/>
        <v>5580</v>
      </c>
      <c r="O26" s="655">
        <f t="shared" si="5"/>
        <v>50218</v>
      </c>
      <c r="P26" s="645"/>
      <c r="Q26" s="672" t="str">
        <f>VLOOKUP(G:G,list!B:F,5,FALSE)</f>
        <v>웹소설본부</v>
      </c>
      <c r="R26" s="656" t="str">
        <f>VLOOKUP(G:G,list!B:D,3,FALSE)</f>
        <v>Y</v>
      </c>
    </row>
    <row r="27" spans="2:18" ht="18" customHeight="1">
      <c r="B27" s="563">
        <v>22</v>
      </c>
      <c r="C27" s="651" t="str">
        <f>VLOOKUP(G:G,list!B:D,2,FALSE)</f>
        <v>원작료</v>
      </c>
      <c r="D27" s="564" t="s">
        <v>78</v>
      </c>
      <c r="E27" s="564" t="s">
        <v>62</v>
      </c>
      <c r="F27" s="564" t="s">
        <v>209</v>
      </c>
      <c r="G27" s="564" t="s">
        <v>352</v>
      </c>
      <c r="H27" s="565">
        <v>45033</v>
      </c>
      <c r="I27" s="652">
        <v>45474</v>
      </c>
      <c r="J27" s="653">
        <v>63768</v>
      </c>
      <c r="K27" s="567">
        <v>0.6</v>
      </c>
      <c r="L27" s="646">
        <v>38260</v>
      </c>
      <c r="M27" s="654">
        <f>VLOOKUP(G:G,list!B:E,4,FALSE)</f>
        <v>0.1</v>
      </c>
      <c r="N27" s="655">
        <f t="shared" si="4"/>
        <v>3826</v>
      </c>
      <c r="O27" s="655">
        <f t="shared" si="5"/>
        <v>34434</v>
      </c>
      <c r="P27" s="645"/>
      <c r="Q27" s="672" t="str">
        <f>VLOOKUP(G:G,list!B:F,5,FALSE)</f>
        <v>웹소설본부</v>
      </c>
      <c r="R27" s="656" t="str">
        <f>VLOOKUP(G:G,list!B:D,3,FALSE)</f>
        <v>Y</v>
      </c>
    </row>
    <row r="28" spans="2:18" ht="18" customHeight="1">
      <c r="B28" s="650">
        <v>23</v>
      </c>
      <c r="C28" s="651" t="str">
        <f>VLOOKUP(G:G,list!B:D,2,FALSE)</f>
        <v>외부제작</v>
      </c>
      <c r="D28" s="564" t="s">
        <v>78</v>
      </c>
      <c r="E28" s="564" t="s">
        <v>62</v>
      </c>
      <c r="F28" s="564" t="s">
        <v>209</v>
      </c>
      <c r="G28" s="564" t="s">
        <v>523</v>
      </c>
      <c r="H28" s="565">
        <v>45057</v>
      </c>
      <c r="I28" s="652">
        <v>45474</v>
      </c>
      <c r="J28" s="653">
        <v>71349</v>
      </c>
      <c r="K28" s="567">
        <v>0.6</v>
      </c>
      <c r="L28" s="646">
        <v>42809</v>
      </c>
      <c r="M28" s="654" t="str">
        <f>VLOOKUP(G:G,list!B:E,4,FALSE)</f>
        <v>-</v>
      </c>
      <c r="N28" s="655">
        <f t="shared" si="4"/>
        <v>0</v>
      </c>
      <c r="O28" s="655">
        <f t="shared" si="5"/>
        <v>42809</v>
      </c>
      <c r="P28" s="645"/>
      <c r="Q28" s="672" t="str">
        <f>VLOOKUP(G:G,list!B:F,5,FALSE)</f>
        <v>-</v>
      </c>
      <c r="R28" s="656" t="str">
        <f>VLOOKUP(G:G,list!B:D,3,FALSE)</f>
        <v>N</v>
      </c>
    </row>
    <row r="29" spans="2:18" ht="18" customHeight="1">
      <c r="B29" s="650">
        <v>24</v>
      </c>
      <c r="C29" s="651" t="str">
        <f>VLOOKUP(G:G,list!B:D,2,FALSE)</f>
        <v>원작료</v>
      </c>
      <c r="D29" s="564" t="s">
        <v>78</v>
      </c>
      <c r="E29" s="564" t="s">
        <v>62</v>
      </c>
      <c r="F29" s="564" t="s">
        <v>209</v>
      </c>
      <c r="G29" s="564" t="s">
        <v>353</v>
      </c>
      <c r="H29" s="565">
        <v>45057</v>
      </c>
      <c r="I29" s="652">
        <v>45474</v>
      </c>
      <c r="J29" s="653">
        <v>123042</v>
      </c>
      <c r="K29" s="567">
        <v>0.6</v>
      </c>
      <c r="L29" s="646">
        <v>73825</v>
      </c>
      <c r="M29" s="654">
        <f>VLOOKUP(G:G,list!B:E,4,FALSE)</f>
        <v>0.11</v>
      </c>
      <c r="N29" s="655">
        <f t="shared" si="4"/>
        <v>8121</v>
      </c>
      <c r="O29" s="655">
        <f t="shared" si="5"/>
        <v>65704</v>
      </c>
      <c r="P29" s="645"/>
      <c r="Q29" s="672" t="str">
        <f>VLOOKUP(G:G,list!B:F,5,FALSE)</f>
        <v>-</v>
      </c>
      <c r="R29" s="656" t="str">
        <f>VLOOKUP(G:G,list!B:D,3,FALSE)</f>
        <v>N</v>
      </c>
    </row>
    <row r="30" spans="2:18" ht="18" customHeight="1">
      <c r="B30" s="650">
        <v>25</v>
      </c>
      <c r="C30" s="651" t="str">
        <f>VLOOKUP(G:G,list!B:D,2,FALSE)</f>
        <v>외부제작</v>
      </c>
      <c r="D30" s="564" t="s">
        <v>78</v>
      </c>
      <c r="E30" s="564" t="s">
        <v>62</v>
      </c>
      <c r="F30" s="564" t="s">
        <v>209</v>
      </c>
      <c r="G30" s="564" t="s">
        <v>315</v>
      </c>
      <c r="H30" s="565">
        <v>45083</v>
      </c>
      <c r="I30" s="652">
        <v>45474</v>
      </c>
      <c r="J30" s="653">
        <v>1120655</v>
      </c>
      <c r="K30" s="567">
        <v>0.6</v>
      </c>
      <c r="L30" s="646">
        <v>672394</v>
      </c>
      <c r="M30" s="654" t="str">
        <f>VLOOKUP(G:G,list!B:E,4,FALSE)</f>
        <v>-</v>
      </c>
      <c r="N30" s="655">
        <f t="shared" si="4"/>
        <v>0</v>
      </c>
      <c r="O30" s="655">
        <f t="shared" si="5"/>
        <v>672394</v>
      </c>
      <c r="P30" s="645"/>
      <c r="Q30" s="672" t="str">
        <f>VLOOKUP(G:G,list!B:F,5,FALSE)</f>
        <v>-</v>
      </c>
      <c r="R30" s="656" t="str">
        <f>VLOOKUP(G:G,list!B:D,3,FALSE)</f>
        <v>N</v>
      </c>
    </row>
    <row r="31" spans="2:18" ht="18" customHeight="1">
      <c r="B31" s="650">
        <v>26</v>
      </c>
      <c r="C31" s="651" t="str">
        <f>VLOOKUP(G:G,list!B:D,2,FALSE)</f>
        <v>외부제작</v>
      </c>
      <c r="D31" s="564" t="s">
        <v>78</v>
      </c>
      <c r="E31" s="564" t="s">
        <v>62</v>
      </c>
      <c r="F31" s="564" t="s">
        <v>209</v>
      </c>
      <c r="G31" s="564" t="s">
        <v>533</v>
      </c>
      <c r="H31" s="565">
        <v>45204</v>
      </c>
      <c r="I31" s="652">
        <v>45474</v>
      </c>
      <c r="J31" s="653">
        <v>732732</v>
      </c>
      <c r="K31" s="567">
        <v>0.6</v>
      </c>
      <c r="L31" s="646">
        <v>439638</v>
      </c>
      <c r="M31" s="654" t="str">
        <f>VLOOKUP(G:G,list!B:E,4,FALSE)</f>
        <v>-</v>
      </c>
      <c r="N31" s="655">
        <f t="shared" ref="N31:N32" si="6">ROUND(IF(M31="-",0,L31*M31),0)</f>
        <v>0</v>
      </c>
      <c r="O31" s="655">
        <f t="shared" ref="O31:O32" si="7">L31-N31</f>
        <v>439638</v>
      </c>
      <c r="P31" s="645"/>
      <c r="Q31" s="672" t="str">
        <f>VLOOKUP(G:G,list!B:F,5,FALSE)</f>
        <v>-</v>
      </c>
      <c r="R31" s="656" t="str">
        <f>VLOOKUP(G:G,list!B:D,3,FALSE)</f>
        <v>N</v>
      </c>
    </row>
    <row r="32" spans="2:18" ht="18" customHeight="1">
      <c r="B32" s="650">
        <v>27</v>
      </c>
      <c r="C32" s="651" t="str">
        <f>VLOOKUP(G:G,list!B:D,2,FALSE)</f>
        <v>원작료</v>
      </c>
      <c r="D32" s="564" t="s">
        <v>78</v>
      </c>
      <c r="E32" s="564" t="s">
        <v>62</v>
      </c>
      <c r="F32" s="564" t="s">
        <v>209</v>
      </c>
      <c r="G32" s="564" t="s">
        <v>534</v>
      </c>
      <c r="H32" s="565">
        <v>45236</v>
      </c>
      <c r="I32" s="652">
        <v>45474</v>
      </c>
      <c r="J32" s="653">
        <v>314099</v>
      </c>
      <c r="K32" s="567">
        <v>0.6</v>
      </c>
      <c r="L32" s="646">
        <v>188460</v>
      </c>
      <c r="M32" s="654">
        <f>VLOOKUP(G:G,list!B:E,4,FALSE)</f>
        <v>0.1</v>
      </c>
      <c r="N32" s="655">
        <f t="shared" si="6"/>
        <v>18846</v>
      </c>
      <c r="O32" s="655">
        <f t="shared" si="7"/>
        <v>169614</v>
      </c>
      <c r="P32" s="645"/>
      <c r="Q32" s="672" t="str">
        <f>VLOOKUP(G:G,list!B:F,5,FALSE)</f>
        <v>-</v>
      </c>
      <c r="R32" s="656" t="str">
        <f>VLOOKUP(G:G,list!B:D,3,FALSE)</f>
        <v>N</v>
      </c>
    </row>
    <row r="33" spans="2:18" ht="18" customHeight="1">
      <c r="B33" s="650">
        <v>28</v>
      </c>
      <c r="C33" s="651" t="str">
        <f>VLOOKUP(G:G,list!B:D,2,FALSE)</f>
        <v>원작료</v>
      </c>
      <c r="D33" s="564" t="s">
        <v>23</v>
      </c>
      <c r="E33" s="564" t="s">
        <v>62</v>
      </c>
      <c r="F33" s="564" t="s">
        <v>257</v>
      </c>
      <c r="G33" s="564" t="s">
        <v>30</v>
      </c>
      <c r="H33" s="565">
        <v>45394</v>
      </c>
      <c r="I33" s="652">
        <v>45474</v>
      </c>
      <c r="J33" s="653">
        <v>57010</v>
      </c>
      <c r="K33" s="567">
        <v>0.35</v>
      </c>
      <c r="L33" s="646">
        <v>15963</v>
      </c>
      <c r="M33" s="654">
        <f>VLOOKUP(G:G,list!B:E,4,FALSE)</f>
        <v>0.1</v>
      </c>
      <c r="N33" s="655">
        <f t="shared" ref="N33:N40" si="8">ROUND(IF(M33="-",0,L33*M33),0)</f>
        <v>1596</v>
      </c>
      <c r="O33" s="655">
        <f t="shared" ref="O33:O40" si="9">L33-N33</f>
        <v>14367</v>
      </c>
      <c r="P33" s="645"/>
      <c r="Q33" s="672" t="str">
        <f>VLOOKUP(G:G,list!B:F,5,FALSE)</f>
        <v>웹소설본부</v>
      </c>
      <c r="R33" s="656" t="str">
        <f>VLOOKUP(G:G,list!B:D,3,FALSE)</f>
        <v>Y</v>
      </c>
    </row>
    <row r="34" spans="2:18" ht="18" customHeight="1">
      <c r="B34" s="563">
        <v>29</v>
      </c>
      <c r="C34" s="651" t="str">
        <f>VLOOKUP(G:G,list!B:D,2,FALSE)</f>
        <v>원작료</v>
      </c>
      <c r="D34" s="564" t="s">
        <v>24</v>
      </c>
      <c r="E34" s="564" t="s">
        <v>62</v>
      </c>
      <c r="F34" s="564" t="s">
        <v>257</v>
      </c>
      <c r="G34" s="564" t="s">
        <v>30</v>
      </c>
      <c r="H34" s="565">
        <v>44743</v>
      </c>
      <c r="I34" s="652">
        <v>45474</v>
      </c>
      <c r="J34" s="653">
        <v>13653</v>
      </c>
      <c r="K34" s="567">
        <v>0.35</v>
      </c>
      <c r="L34" s="646">
        <v>4779</v>
      </c>
      <c r="M34" s="654">
        <f>VLOOKUP(G:G,list!B:E,4,FALSE)</f>
        <v>0.1</v>
      </c>
      <c r="N34" s="655">
        <f t="shared" si="8"/>
        <v>478</v>
      </c>
      <c r="O34" s="655">
        <f t="shared" si="9"/>
        <v>4301</v>
      </c>
      <c r="P34" s="564"/>
      <c r="Q34" s="672" t="str">
        <f>VLOOKUP(G:G,list!B:F,5,FALSE)</f>
        <v>웹소설본부</v>
      </c>
      <c r="R34" s="656" t="str">
        <f>VLOOKUP(G:G,list!B:D,3,FALSE)</f>
        <v>Y</v>
      </c>
    </row>
    <row r="35" spans="2:18" ht="18" customHeight="1">
      <c r="B35" s="650">
        <v>30</v>
      </c>
      <c r="C35" s="651" t="str">
        <f>VLOOKUP(G:G,list!B:D,2,FALSE)</f>
        <v>원작료</v>
      </c>
      <c r="D35" s="564" t="s">
        <v>24</v>
      </c>
      <c r="E35" s="564" t="s">
        <v>62</v>
      </c>
      <c r="F35" s="564" t="s">
        <v>257</v>
      </c>
      <c r="G35" s="564" t="s">
        <v>316</v>
      </c>
      <c r="H35" s="565">
        <v>44782</v>
      </c>
      <c r="I35" s="652">
        <v>45474</v>
      </c>
      <c r="J35" s="653">
        <v>30492</v>
      </c>
      <c r="K35" s="567">
        <v>0.35</v>
      </c>
      <c r="L35" s="646">
        <v>10672</v>
      </c>
      <c r="M35" s="654">
        <f>VLOOKUP(G:G,list!B:E,4,FALSE)</f>
        <v>0.1</v>
      </c>
      <c r="N35" s="655">
        <f t="shared" si="8"/>
        <v>1067</v>
      </c>
      <c r="O35" s="655">
        <f t="shared" si="9"/>
        <v>9605</v>
      </c>
      <c r="P35" s="564"/>
      <c r="Q35" s="672" t="str">
        <f>VLOOKUP(G:G,list!B:F,5,FALSE)</f>
        <v>웹소설본부</v>
      </c>
      <c r="R35" s="656" t="str">
        <f>VLOOKUP(G:G,list!B:D,3,FALSE)</f>
        <v>Y</v>
      </c>
    </row>
    <row r="36" spans="2:18" ht="18" customHeight="1">
      <c r="B36" s="650">
        <v>31</v>
      </c>
      <c r="C36" s="651" t="str">
        <f>VLOOKUP(G:G,list!B:D,2,FALSE)</f>
        <v>원작료</v>
      </c>
      <c r="D36" s="564" t="s">
        <v>23</v>
      </c>
      <c r="E36" s="564" t="s">
        <v>62</v>
      </c>
      <c r="F36" s="564" t="s">
        <v>257</v>
      </c>
      <c r="G36" s="564" t="s">
        <v>353</v>
      </c>
      <c r="H36" s="565">
        <v>44916</v>
      </c>
      <c r="I36" s="652">
        <v>45474</v>
      </c>
      <c r="J36" s="653">
        <v>42144</v>
      </c>
      <c r="K36" s="567">
        <v>0.35</v>
      </c>
      <c r="L36" s="646">
        <v>14750</v>
      </c>
      <c r="M36" s="654">
        <f>VLOOKUP(G:G,list!B:E,4,FALSE)</f>
        <v>0.11</v>
      </c>
      <c r="N36" s="655">
        <f t="shared" si="8"/>
        <v>1623</v>
      </c>
      <c r="O36" s="655">
        <f t="shared" si="9"/>
        <v>13127</v>
      </c>
      <c r="P36" s="564"/>
      <c r="Q36" s="672" t="str">
        <f>VLOOKUP(G:G,list!B:F,5,FALSE)</f>
        <v>-</v>
      </c>
      <c r="R36" s="656" t="str">
        <f>VLOOKUP(G:G,list!B:D,3,FALSE)</f>
        <v>N</v>
      </c>
    </row>
    <row r="37" spans="2:18" ht="18" customHeight="1">
      <c r="B37" s="650">
        <v>32</v>
      </c>
      <c r="C37" s="651" t="str">
        <f>VLOOKUP(G:G,list!B:D,2,FALSE)</f>
        <v>원작료</v>
      </c>
      <c r="D37" s="564" t="s">
        <v>25</v>
      </c>
      <c r="E37" s="564" t="s">
        <v>62</v>
      </c>
      <c r="F37" s="564" t="s">
        <v>257</v>
      </c>
      <c r="G37" s="564" t="s">
        <v>353</v>
      </c>
      <c r="H37" s="565">
        <v>44916</v>
      </c>
      <c r="I37" s="652">
        <v>45474</v>
      </c>
      <c r="J37" s="653">
        <v>67254</v>
      </c>
      <c r="K37" s="567">
        <v>0.35</v>
      </c>
      <c r="L37" s="646">
        <v>23538</v>
      </c>
      <c r="M37" s="654">
        <f>VLOOKUP(G:G,list!B:E,4,FALSE)</f>
        <v>0.11</v>
      </c>
      <c r="N37" s="655">
        <f t="shared" si="8"/>
        <v>2589</v>
      </c>
      <c r="O37" s="655">
        <f t="shared" si="9"/>
        <v>20949</v>
      </c>
      <c r="P37" s="564"/>
      <c r="Q37" s="672" t="str">
        <f>VLOOKUP(G:G,list!B:F,5,FALSE)</f>
        <v>-</v>
      </c>
      <c r="R37" s="656" t="str">
        <f>VLOOKUP(G:G,list!B:D,3,FALSE)</f>
        <v>N</v>
      </c>
    </row>
    <row r="38" spans="2:18" ht="18" customHeight="1">
      <c r="B38" s="650">
        <v>33</v>
      </c>
      <c r="C38" s="651" t="str">
        <f>VLOOKUP(G:G,list!B:D,2,FALSE)</f>
        <v>원작료</v>
      </c>
      <c r="D38" s="564" t="s">
        <v>24</v>
      </c>
      <c r="E38" s="564" t="s">
        <v>62</v>
      </c>
      <c r="F38" s="564" t="s">
        <v>257</v>
      </c>
      <c r="G38" s="564" t="s">
        <v>353</v>
      </c>
      <c r="H38" s="565">
        <v>44914</v>
      </c>
      <c r="I38" s="652">
        <v>45474</v>
      </c>
      <c r="J38" s="653">
        <v>752</v>
      </c>
      <c r="K38" s="567">
        <v>0.35</v>
      </c>
      <c r="L38" s="646">
        <v>263</v>
      </c>
      <c r="M38" s="654">
        <f>VLOOKUP(G:G,list!B:E,4,FALSE)</f>
        <v>0.11</v>
      </c>
      <c r="N38" s="655">
        <f t="shared" si="8"/>
        <v>29</v>
      </c>
      <c r="O38" s="655">
        <f t="shared" si="9"/>
        <v>234</v>
      </c>
      <c r="P38" s="564"/>
      <c r="Q38" s="672" t="str">
        <f>VLOOKUP(G:G,list!B:F,5,FALSE)</f>
        <v>-</v>
      </c>
      <c r="R38" s="656" t="str">
        <f>VLOOKUP(G:G,list!B:D,3,FALSE)</f>
        <v>N</v>
      </c>
    </row>
    <row r="39" spans="2:18" ht="18" customHeight="1">
      <c r="B39" s="650">
        <v>34</v>
      </c>
      <c r="C39" s="651" t="str">
        <f>VLOOKUP(G:G,list!B:D,2,FALSE)</f>
        <v>원작료</v>
      </c>
      <c r="D39" s="564" t="s">
        <v>25</v>
      </c>
      <c r="E39" s="564" t="s">
        <v>62</v>
      </c>
      <c r="F39" s="564" t="s">
        <v>257</v>
      </c>
      <c r="G39" s="564" t="s">
        <v>352</v>
      </c>
      <c r="H39" s="565">
        <v>45098</v>
      </c>
      <c r="I39" s="652">
        <v>45474</v>
      </c>
      <c r="J39" s="653">
        <v>50576</v>
      </c>
      <c r="K39" s="600">
        <v>0.35</v>
      </c>
      <c r="L39" s="646">
        <v>17702</v>
      </c>
      <c r="M39" s="654">
        <f>VLOOKUP(G:G,list!B:E,4,FALSE)</f>
        <v>0.1</v>
      </c>
      <c r="N39" s="655">
        <f t="shared" si="8"/>
        <v>1770</v>
      </c>
      <c r="O39" s="655">
        <f t="shared" si="9"/>
        <v>15932</v>
      </c>
      <c r="P39" s="564"/>
      <c r="Q39" s="672" t="str">
        <f>VLOOKUP(G:G,list!B:F,5,FALSE)</f>
        <v>웹소설본부</v>
      </c>
      <c r="R39" s="656" t="str">
        <f>VLOOKUP(G:G,list!B:D,3,FALSE)</f>
        <v>Y</v>
      </c>
    </row>
    <row r="40" spans="2:18" ht="18" customHeight="1">
      <c r="B40" s="650">
        <v>35</v>
      </c>
      <c r="C40" s="651" t="str">
        <f>VLOOKUP(G:G,list!B:D,2,FALSE)</f>
        <v>원작료</v>
      </c>
      <c r="D40" s="564" t="s">
        <v>24</v>
      </c>
      <c r="E40" s="564" t="s">
        <v>62</v>
      </c>
      <c r="F40" s="564" t="s">
        <v>257</v>
      </c>
      <c r="G40" s="564" t="s">
        <v>352</v>
      </c>
      <c r="H40" s="565">
        <v>45020</v>
      </c>
      <c r="I40" s="652">
        <v>45474</v>
      </c>
      <c r="J40" s="653">
        <v>3445</v>
      </c>
      <c r="K40" s="600">
        <v>0.35</v>
      </c>
      <c r="L40" s="646">
        <v>1206</v>
      </c>
      <c r="M40" s="654">
        <f>VLOOKUP(G:G,list!B:E,4,FALSE)</f>
        <v>0.1</v>
      </c>
      <c r="N40" s="655">
        <f t="shared" si="8"/>
        <v>121</v>
      </c>
      <c r="O40" s="655">
        <f t="shared" si="9"/>
        <v>1085</v>
      </c>
      <c r="P40" s="564"/>
      <c r="Q40" s="672" t="str">
        <f>VLOOKUP(G:G,list!B:F,5,FALSE)</f>
        <v>웹소설본부</v>
      </c>
      <c r="R40" s="656" t="str">
        <f>VLOOKUP(G:G,list!B:D,3,FALSE)</f>
        <v>Y</v>
      </c>
    </row>
    <row r="41" spans="2:18" ht="18" customHeight="1">
      <c r="B41" s="563">
        <v>36</v>
      </c>
      <c r="C41" s="651" t="str">
        <f>VLOOKUP(G:G,list!B:D,2,FALSE)</f>
        <v>작가기획</v>
      </c>
      <c r="D41" s="564" t="s">
        <v>78</v>
      </c>
      <c r="E41" s="564" t="s">
        <v>9</v>
      </c>
      <c r="F41" s="564" t="s">
        <v>246</v>
      </c>
      <c r="G41" s="564" t="s">
        <v>36</v>
      </c>
      <c r="H41" s="565">
        <v>43810</v>
      </c>
      <c r="I41" s="652">
        <v>45474</v>
      </c>
      <c r="J41" s="653">
        <v>50040</v>
      </c>
      <c r="K41" s="600" t="s">
        <v>532</v>
      </c>
      <c r="L41" s="646">
        <v>18216</v>
      </c>
      <c r="M41" s="654" t="str">
        <f>VLOOKUP(G:G,list!B:E,4,FALSE)</f>
        <v>-</v>
      </c>
      <c r="N41" s="655">
        <f t="shared" ref="N41:N50" si="10">ROUND(IF(M41="-",0,L41*M41),0)</f>
        <v>0</v>
      </c>
      <c r="O41" s="655">
        <f t="shared" ref="O41:O50" si="11">L41-N41</f>
        <v>18216</v>
      </c>
      <c r="P41" s="564"/>
      <c r="Q41" s="672" t="str">
        <f>VLOOKUP(G:G,list!B:F,5,FALSE)</f>
        <v>-</v>
      </c>
      <c r="R41" s="656" t="str">
        <f>VLOOKUP(G:G,list!B:D,3,FALSE)</f>
        <v>Y</v>
      </c>
    </row>
    <row r="42" spans="2:18" ht="18" customHeight="1">
      <c r="B42" s="650">
        <v>37</v>
      </c>
      <c r="C42" s="651" t="str">
        <f>VLOOKUP(G:G,list!B:D,2,FALSE)</f>
        <v>작가기획</v>
      </c>
      <c r="D42" s="564" t="s">
        <v>78</v>
      </c>
      <c r="E42" s="564" t="s">
        <v>9</v>
      </c>
      <c r="F42" s="564" t="s">
        <v>246</v>
      </c>
      <c r="G42" s="564" t="s">
        <v>139</v>
      </c>
      <c r="H42" s="565">
        <v>43852</v>
      </c>
      <c r="I42" s="652">
        <v>45474</v>
      </c>
      <c r="J42" s="653">
        <v>2880</v>
      </c>
      <c r="K42" s="600" t="s">
        <v>532</v>
      </c>
      <c r="L42" s="646">
        <v>1044</v>
      </c>
      <c r="M42" s="654" t="str">
        <f>VLOOKUP(G:G,list!B:E,4,FALSE)</f>
        <v>-</v>
      </c>
      <c r="N42" s="655">
        <f t="shared" ref="N42" si="12">ROUND(IF(M42="-",0,L42*M42),0)</f>
        <v>0</v>
      </c>
      <c r="O42" s="655">
        <f t="shared" ref="O42" si="13">L42-N42</f>
        <v>1044</v>
      </c>
      <c r="P42" s="564"/>
      <c r="Q42" s="672" t="str">
        <f>VLOOKUP(G:G,list!B:F,5,FALSE)</f>
        <v>-</v>
      </c>
      <c r="R42" s="656" t="str">
        <f>VLOOKUP(G:G,list!B:D,3,FALSE)</f>
        <v>Y</v>
      </c>
    </row>
    <row r="43" spans="2:18" ht="18" customHeight="1">
      <c r="B43" s="650">
        <v>38</v>
      </c>
      <c r="C43" s="651" t="str">
        <f>VLOOKUP(G:G,list!B:D,2,FALSE)</f>
        <v>원작료</v>
      </c>
      <c r="D43" s="564" t="s">
        <v>66</v>
      </c>
      <c r="E43" s="564" t="s">
        <v>64</v>
      </c>
      <c r="F43" s="564" t="s">
        <v>65</v>
      </c>
      <c r="G43" s="564" t="s">
        <v>30</v>
      </c>
      <c r="H43" s="565">
        <v>44586</v>
      </c>
      <c r="I43" s="652">
        <v>45474</v>
      </c>
      <c r="J43" s="653">
        <v>105603</v>
      </c>
      <c r="K43" s="567">
        <v>0.4</v>
      </c>
      <c r="L43" s="646">
        <v>42241</v>
      </c>
      <c r="M43" s="654">
        <f>VLOOKUP(G:G,list!B:E,4,FALSE)</f>
        <v>0.1</v>
      </c>
      <c r="N43" s="655">
        <f t="shared" si="10"/>
        <v>4224</v>
      </c>
      <c r="O43" s="655">
        <f t="shared" si="11"/>
        <v>38017</v>
      </c>
      <c r="P43" s="564"/>
      <c r="Q43" s="672" t="str">
        <f>VLOOKUP(G:G,list!B:F,5,FALSE)</f>
        <v>웹소설본부</v>
      </c>
      <c r="R43" s="656" t="str">
        <f>VLOOKUP(G:G,list!B:D,3,FALSE)</f>
        <v>Y</v>
      </c>
    </row>
    <row r="44" spans="2:18" ht="18" customHeight="1">
      <c r="B44" s="650">
        <v>39</v>
      </c>
      <c r="C44" s="651" t="str">
        <f>VLOOKUP(G:G,list!B:D,2,FALSE)</f>
        <v>작가기획</v>
      </c>
      <c r="D44" s="564" t="s">
        <v>66</v>
      </c>
      <c r="E44" s="564" t="s">
        <v>9</v>
      </c>
      <c r="F44" s="564" t="s">
        <v>65</v>
      </c>
      <c r="G44" s="564" t="s">
        <v>36</v>
      </c>
      <c r="H44" s="565">
        <v>44992</v>
      </c>
      <c r="I44" s="652">
        <v>45474</v>
      </c>
      <c r="J44" s="653">
        <v>824813</v>
      </c>
      <c r="K44" s="600">
        <v>0.4</v>
      </c>
      <c r="L44" s="646">
        <v>329925</v>
      </c>
      <c r="M44" s="654" t="str">
        <f>VLOOKUP(G:G,list!B:E,4,FALSE)</f>
        <v>-</v>
      </c>
      <c r="N44" s="655">
        <f t="shared" si="10"/>
        <v>0</v>
      </c>
      <c r="O44" s="655">
        <f t="shared" si="11"/>
        <v>329925</v>
      </c>
      <c r="P44" s="564"/>
      <c r="Q44" s="672" t="str">
        <f>VLOOKUP(G:G,list!B:F,5,FALSE)</f>
        <v>-</v>
      </c>
      <c r="R44" s="656" t="str">
        <f>VLOOKUP(G:G,list!B:D,3,FALSE)</f>
        <v>Y</v>
      </c>
    </row>
    <row r="45" spans="2:18" ht="18" customHeight="1">
      <c r="B45" s="650">
        <v>40</v>
      </c>
      <c r="C45" s="651" t="str">
        <f>VLOOKUP(G:G,list!B:D,2,FALSE)</f>
        <v>작가기획</v>
      </c>
      <c r="D45" s="564" t="s">
        <v>66</v>
      </c>
      <c r="E45" s="564" t="s">
        <v>9</v>
      </c>
      <c r="F45" s="564" t="s">
        <v>65</v>
      </c>
      <c r="G45" s="564" t="s">
        <v>37</v>
      </c>
      <c r="H45" s="565">
        <v>45169</v>
      </c>
      <c r="I45" s="652">
        <v>45474</v>
      </c>
      <c r="J45" s="653">
        <v>4598</v>
      </c>
      <c r="K45" s="600">
        <v>0.4</v>
      </c>
      <c r="L45" s="646">
        <v>1839</v>
      </c>
      <c r="M45" s="654" t="str">
        <f>VLOOKUP(G:G,list!B:E,4,FALSE)</f>
        <v>-</v>
      </c>
      <c r="N45" s="655">
        <f t="shared" ref="N45:N46" si="14">ROUND(IF(M45="-",0,L45*M45),0)</f>
        <v>0</v>
      </c>
      <c r="O45" s="655">
        <f t="shared" ref="O45:O46" si="15">L45-N45</f>
        <v>1839</v>
      </c>
      <c r="P45" s="564"/>
      <c r="Q45" s="672" t="str">
        <f>VLOOKUP(G:G,list!B:F,5,FALSE)</f>
        <v>-</v>
      </c>
      <c r="R45" s="656" t="str">
        <f>VLOOKUP(G:G,list!B:D,3,FALSE)</f>
        <v>Y</v>
      </c>
    </row>
    <row r="46" spans="2:18" ht="18" customHeight="1">
      <c r="B46" s="650">
        <v>41</v>
      </c>
      <c r="C46" s="651" t="str">
        <f>VLOOKUP(G:G,list!B:D,2,FALSE)</f>
        <v>작가기획</v>
      </c>
      <c r="D46" s="564" t="s">
        <v>67</v>
      </c>
      <c r="E46" s="564" t="s">
        <v>9</v>
      </c>
      <c r="F46" s="564" t="s">
        <v>65</v>
      </c>
      <c r="G46" s="564" t="s">
        <v>37</v>
      </c>
      <c r="H46" s="565">
        <v>43921</v>
      </c>
      <c r="I46" s="652">
        <v>45474</v>
      </c>
      <c r="J46" s="653">
        <v>33945</v>
      </c>
      <c r="K46" s="600">
        <v>0.4</v>
      </c>
      <c r="L46" s="646">
        <v>13578</v>
      </c>
      <c r="M46" s="654" t="str">
        <f>VLOOKUP(G:G,list!B:E,4,FALSE)</f>
        <v>-</v>
      </c>
      <c r="N46" s="655">
        <f t="shared" si="14"/>
        <v>0</v>
      </c>
      <c r="O46" s="655">
        <f t="shared" si="15"/>
        <v>13578</v>
      </c>
      <c r="P46" s="564"/>
      <c r="Q46" s="672" t="str">
        <f>VLOOKUP(G:G,list!B:F,5,FALSE)</f>
        <v>-</v>
      </c>
      <c r="R46" s="656" t="str">
        <f>VLOOKUP(G:G,list!B:D,3,FALSE)</f>
        <v>Y</v>
      </c>
    </row>
    <row r="47" spans="2:18" ht="18" customHeight="1">
      <c r="B47" s="650">
        <v>42</v>
      </c>
      <c r="C47" s="651" t="str">
        <f>VLOOKUP(G:G,list!B:D,2,FALSE)</f>
        <v>작가기획</v>
      </c>
      <c r="D47" s="564" t="s">
        <v>67</v>
      </c>
      <c r="E47" s="564" t="s">
        <v>9</v>
      </c>
      <c r="F47" s="564" t="s">
        <v>65</v>
      </c>
      <c r="G47" s="564" t="s">
        <v>36</v>
      </c>
      <c r="H47" s="565">
        <v>43941</v>
      </c>
      <c r="I47" s="652">
        <v>45474</v>
      </c>
      <c r="J47" s="653">
        <v>181518</v>
      </c>
      <c r="K47" s="600">
        <v>0.4</v>
      </c>
      <c r="L47" s="646">
        <v>72607</v>
      </c>
      <c r="M47" s="654" t="str">
        <f>VLOOKUP(G:G,list!B:E,4,FALSE)</f>
        <v>-</v>
      </c>
      <c r="N47" s="655">
        <f t="shared" si="10"/>
        <v>0</v>
      </c>
      <c r="O47" s="655">
        <f t="shared" si="11"/>
        <v>72607</v>
      </c>
      <c r="P47" s="564"/>
      <c r="Q47" s="672" t="str">
        <f>VLOOKUP(G:G,list!B:F,5,FALSE)</f>
        <v>-</v>
      </c>
      <c r="R47" s="656" t="str">
        <f>VLOOKUP(G:G,list!B:D,3,FALSE)</f>
        <v>Y</v>
      </c>
    </row>
    <row r="48" spans="2:18" ht="18" customHeight="1">
      <c r="B48" s="563">
        <v>43</v>
      </c>
      <c r="C48" s="651" t="str">
        <f>VLOOKUP(G:G,list!B:D,2,FALSE)</f>
        <v>원작료</v>
      </c>
      <c r="D48" s="564" t="s">
        <v>67</v>
      </c>
      <c r="E48" s="564" t="s">
        <v>64</v>
      </c>
      <c r="F48" s="564" t="s">
        <v>65</v>
      </c>
      <c r="G48" s="564" t="s">
        <v>30</v>
      </c>
      <c r="H48" s="565">
        <v>44258</v>
      </c>
      <c r="I48" s="652">
        <v>45474</v>
      </c>
      <c r="J48" s="653">
        <v>107750</v>
      </c>
      <c r="K48" s="600">
        <v>0.4</v>
      </c>
      <c r="L48" s="646">
        <v>43100</v>
      </c>
      <c r="M48" s="654">
        <f>VLOOKUP(G:G,list!B:E,4,FALSE)</f>
        <v>0.1</v>
      </c>
      <c r="N48" s="655">
        <f t="shared" si="10"/>
        <v>4310</v>
      </c>
      <c r="O48" s="655">
        <f t="shared" si="11"/>
        <v>38790</v>
      </c>
      <c r="P48" s="564"/>
      <c r="Q48" s="672" t="str">
        <f>VLOOKUP(G:G,list!B:F,5,FALSE)</f>
        <v>웹소설본부</v>
      </c>
      <c r="R48" s="656" t="str">
        <f>VLOOKUP(G:G,list!B:D,3,FALSE)</f>
        <v>Y</v>
      </c>
    </row>
    <row r="49" spans="2:18" ht="18" customHeight="1">
      <c r="B49" s="650">
        <v>44</v>
      </c>
      <c r="C49" s="651" t="str">
        <f>VLOOKUP(G:G,list!B:D,2,FALSE)</f>
        <v>작가기획</v>
      </c>
      <c r="D49" s="564" t="s">
        <v>78</v>
      </c>
      <c r="E49" s="564" t="s">
        <v>9</v>
      </c>
      <c r="F49" s="564" t="s">
        <v>131</v>
      </c>
      <c r="G49" s="564" t="s">
        <v>60</v>
      </c>
      <c r="H49" s="565">
        <v>44333</v>
      </c>
      <c r="I49" s="652">
        <v>45474</v>
      </c>
      <c r="J49" s="653">
        <v>25200</v>
      </c>
      <c r="K49" s="603">
        <v>0.5</v>
      </c>
      <c r="L49" s="646">
        <v>12600</v>
      </c>
      <c r="M49" s="654" t="str">
        <f>VLOOKUP(G:G,list!B:E,4,FALSE)</f>
        <v>-</v>
      </c>
      <c r="N49" s="655">
        <f t="shared" si="10"/>
        <v>0</v>
      </c>
      <c r="O49" s="655">
        <f t="shared" si="11"/>
        <v>12600</v>
      </c>
      <c r="P49" s="564"/>
      <c r="Q49" s="672" t="str">
        <f>VLOOKUP(G:G,list!B:F,5,FALSE)</f>
        <v>-</v>
      </c>
      <c r="R49" s="656" t="str">
        <f>VLOOKUP(G:G,list!B:D,3,FALSE)</f>
        <v>N</v>
      </c>
    </row>
    <row r="50" spans="2:18" ht="18" customHeight="1">
      <c r="B50" s="650">
        <v>45</v>
      </c>
      <c r="C50" s="651" t="str">
        <f>VLOOKUP(G:G,list!B:D,2,FALSE)</f>
        <v>작가기획</v>
      </c>
      <c r="D50" s="564" t="s">
        <v>78</v>
      </c>
      <c r="E50" s="564" t="s">
        <v>115</v>
      </c>
      <c r="F50" s="564" t="s">
        <v>131</v>
      </c>
      <c r="G50" s="564" t="s">
        <v>518</v>
      </c>
      <c r="H50" s="565">
        <v>44897</v>
      </c>
      <c r="I50" s="652">
        <v>45474</v>
      </c>
      <c r="J50" s="653">
        <v>18396</v>
      </c>
      <c r="K50" s="603">
        <v>0.5</v>
      </c>
      <c r="L50" s="646">
        <v>9198</v>
      </c>
      <c r="M50" s="654" t="str">
        <f>VLOOKUP(G:G,list!B:E,4,FALSE)</f>
        <v>-</v>
      </c>
      <c r="N50" s="655">
        <f t="shared" si="10"/>
        <v>0</v>
      </c>
      <c r="O50" s="655">
        <f t="shared" si="11"/>
        <v>9198</v>
      </c>
      <c r="P50" s="564"/>
      <c r="Q50" s="672" t="str">
        <f>VLOOKUP(G:G,list!B:F,5,FALSE)</f>
        <v>-</v>
      </c>
      <c r="R50" s="656" t="str">
        <f>VLOOKUP(G:G,list!B:D,3,FALSE)</f>
        <v>N</v>
      </c>
    </row>
    <row r="51" spans="2:18" ht="18" customHeight="1">
      <c r="B51" s="650">
        <v>46</v>
      </c>
      <c r="C51" s="651" t="str">
        <f>VLOOKUP(G:G,list!B:D,2,FALSE)</f>
        <v>원작료</v>
      </c>
      <c r="D51" s="564" t="s">
        <v>538</v>
      </c>
      <c r="E51" s="564" t="s">
        <v>9</v>
      </c>
      <c r="F51" s="564" t="s">
        <v>519</v>
      </c>
      <c r="G51" s="564" t="s">
        <v>316</v>
      </c>
      <c r="H51" s="565">
        <v>44945</v>
      </c>
      <c r="I51" s="652">
        <v>45474</v>
      </c>
      <c r="J51" s="653">
        <v>19551.000000000004</v>
      </c>
      <c r="K51" s="603">
        <v>0.7</v>
      </c>
      <c r="L51" s="646">
        <v>13685.7</v>
      </c>
      <c r="M51" s="654">
        <f>VLOOKUP(G:G,list!B:E,4,FALSE)</f>
        <v>0.1</v>
      </c>
      <c r="N51" s="655">
        <f t="shared" ref="N51:N55" si="16">ROUND(IF(M51="-",0,L51*M51),0)</f>
        <v>1369</v>
      </c>
      <c r="O51" s="655">
        <f t="shared" ref="O51:O55" si="17">L51-N51</f>
        <v>12316.7</v>
      </c>
      <c r="P51" s="564"/>
      <c r="Q51" s="672" t="str">
        <f>VLOOKUP(G:G,list!B:F,5,FALSE)</f>
        <v>웹소설본부</v>
      </c>
      <c r="R51" s="656" t="str">
        <f>VLOOKUP(G:G,list!B:D,3,FALSE)</f>
        <v>Y</v>
      </c>
    </row>
    <row r="52" spans="2:18" ht="18" customHeight="1">
      <c r="B52" s="650">
        <v>47</v>
      </c>
      <c r="C52" s="651" t="str">
        <f>VLOOKUP(G:G,list!B:D,2,FALSE)</f>
        <v>원작료</v>
      </c>
      <c r="D52" s="564" t="s">
        <v>132</v>
      </c>
      <c r="E52" s="564" t="s">
        <v>9</v>
      </c>
      <c r="F52" s="564" t="s">
        <v>519</v>
      </c>
      <c r="G52" s="564" t="s">
        <v>56</v>
      </c>
      <c r="H52" s="565">
        <v>44952</v>
      </c>
      <c r="I52" s="652">
        <v>45474</v>
      </c>
      <c r="J52" s="653">
        <v>16891</v>
      </c>
      <c r="K52" s="567">
        <v>0.5</v>
      </c>
      <c r="L52" s="646">
        <v>8445.5</v>
      </c>
      <c r="M52" s="654">
        <f>VLOOKUP(G:G,list!B:E,4,FALSE)</f>
        <v>0.1</v>
      </c>
      <c r="N52" s="655">
        <f t="shared" si="16"/>
        <v>845</v>
      </c>
      <c r="O52" s="655">
        <f t="shared" si="17"/>
        <v>7600.5</v>
      </c>
      <c r="P52" s="564"/>
      <c r="Q52" s="672" t="str">
        <f>VLOOKUP(G:G,list!B:F,5,FALSE)</f>
        <v>웹소설본부</v>
      </c>
      <c r="R52" s="656" t="str">
        <f>VLOOKUP(G:G,list!B:D,3,FALSE)</f>
        <v>Y</v>
      </c>
    </row>
    <row r="53" spans="2:18" ht="18" customHeight="1">
      <c r="B53" s="650">
        <v>48</v>
      </c>
      <c r="C53" s="651" t="str">
        <f>VLOOKUP(G:G,list!B:D,2,FALSE)</f>
        <v>원작료</v>
      </c>
      <c r="D53" s="564" t="s">
        <v>132</v>
      </c>
      <c r="E53" s="564" t="s">
        <v>9</v>
      </c>
      <c r="F53" s="564" t="s">
        <v>519</v>
      </c>
      <c r="G53" s="564" t="s">
        <v>30</v>
      </c>
      <c r="H53" s="565">
        <v>44953</v>
      </c>
      <c r="I53" s="652">
        <v>45474</v>
      </c>
      <c r="J53" s="653">
        <v>0</v>
      </c>
      <c r="K53" s="567">
        <v>0.5</v>
      </c>
      <c r="L53" s="646">
        <v>0</v>
      </c>
      <c r="M53" s="654">
        <f>VLOOKUP(G:G,list!B:E,4,FALSE)</f>
        <v>0.1</v>
      </c>
      <c r="N53" s="655">
        <f t="shared" si="16"/>
        <v>0</v>
      </c>
      <c r="O53" s="655">
        <f t="shared" si="17"/>
        <v>0</v>
      </c>
      <c r="P53" s="564" t="s">
        <v>366</v>
      </c>
      <c r="Q53" s="672" t="str">
        <f>VLOOKUP(G:G,list!B:F,5,FALSE)</f>
        <v>웹소설본부</v>
      </c>
      <c r="R53" s="656" t="str">
        <f>VLOOKUP(G:G,list!B:D,3,FALSE)</f>
        <v>Y</v>
      </c>
    </row>
    <row r="54" spans="2:18" ht="18" customHeight="1">
      <c r="B54" s="650">
        <v>49</v>
      </c>
      <c r="C54" s="651" t="str">
        <f>VLOOKUP(G:G,list!B:D,2,FALSE)</f>
        <v>작가기획</v>
      </c>
      <c r="D54" s="564" t="s">
        <v>132</v>
      </c>
      <c r="E54" s="564" t="s">
        <v>9</v>
      </c>
      <c r="F54" s="564" t="s">
        <v>519</v>
      </c>
      <c r="G54" s="564" t="s">
        <v>308</v>
      </c>
      <c r="H54" s="565">
        <v>44992</v>
      </c>
      <c r="I54" s="652">
        <v>45474</v>
      </c>
      <c r="J54" s="653">
        <v>3458</v>
      </c>
      <c r="K54" s="603">
        <v>0.5</v>
      </c>
      <c r="L54" s="646">
        <v>1729</v>
      </c>
      <c r="M54" s="654" t="str">
        <f>VLOOKUP(G:G,list!B:E,4,FALSE)</f>
        <v>-</v>
      </c>
      <c r="N54" s="655">
        <f t="shared" si="16"/>
        <v>0</v>
      </c>
      <c r="O54" s="655">
        <f t="shared" si="17"/>
        <v>1729</v>
      </c>
      <c r="P54" s="564"/>
      <c r="Q54" s="672" t="str">
        <f>VLOOKUP(G:G,list!B:F,5,FALSE)</f>
        <v>-</v>
      </c>
      <c r="R54" s="656" t="str">
        <f>VLOOKUP(G:G,list!B:D,3,FALSE)</f>
        <v>Y</v>
      </c>
    </row>
    <row r="55" spans="2:18" ht="18" customHeight="1">
      <c r="B55" s="563">
        <v>50</v>
      </c>
      <c r="C55" s="651" t="str">
        <f>VLOOKUP(G:G,list!B:D,2,FALSE)</f>
        <v>작가기획</v>
      </c>
      <c r="D55" s="564" t="s">
        <v>132</v>
      </c>
      <c r="E55" s="564" t="s">
        <v>9</v>
      </c>
      <c r="F55" s="564" t="s">
        <v>519</v>
      </c>
      <c r="G55" s="564" t="s">
        <v>36</v>
      </c>
      <c r="H55" s="565">
        <v>45198</v>
      </c>
      <c r="I55" s="652">
        <v>45474</v>
      </c>
      <c r="J55" s="653">
        <v>4389</v>
      </c>
      <c r="K55" s="603">
        <v>0.5</v>
      </c>
      <c r="L55" s="646">
        <v>2194.5</v>
      </c>
      <c r="M55" s="654" t="str">
        <f>VLOOKUP(G:G,list!B:E,4,FALSE)</f>
        <v>-</v>
      </c>
      <c r="N55" s="655">
        <f t="shared" si="16"/>
        <v>0</v>
      </c>
      <c r="O55" s="655">
        <f t="shared" si="17"/>
        <v>2194.5</v>
      </c>
      <c r="P55" s="564"/>
      <c r="Q55" s="672" t="str">
        <f>VLOOKUP(G:G,list!B:F,5,FALSE)</f>
        <v>-</v>
      </c>
      <c r="R55" s="656" t="str">
        <f>VLOOKUP(G:G,list!B:D,3,FALSE)</f>
        <v>Y</v>
      </c>
    </row>
    <row r="56" spans="2:18" ht="18" customHeight="1">
      <c r="B56" s="650">
        <v>51</v>
      </c>
      <c r="C56" s="651" t="str">
        <f>VLOOKUP(G:G,list!B:D,2,FALSE)</f>
        <v>원작료</v>
      </c>
      <c r="D56" s="564" t="s">
        <v>123</v>
      </c>
      <c r="E56" s="564" t="s">
        <v>9</v>
      </c>
      <c r="F56" s="564" t="s">
        <v>213</v>
      </c>
      <c r="G56" s="564" t="s">
        <v>56</v>
      </c>
      <c r="H56" s="565">
        <v>44581</v>
      </c>
      <c r="I56" s="652">
        <v>45474</v>
      </c>
      <c r="J56" s="653">
        <v>1428997</v>
      </c>
      <c r="K56" s="603">
        <v>0.3</v>
      </c>
      <c r="L56" s="568">
        <v>428699</v>
      </c>
      <c r="M56" s="654">
        <f>VLOOKUP(G:G,list!B:E,4,FALSE)</f>
        <v>0.1</v>
      </c>
      <c r="N56" s="655">
        <f t="shared" ref="N56:N57" si="18">ROUND(IF(M56="-",0,L56*M56),0)</f>
        <v>42870</v>
      </c>
      <c r="O56" s="655">
        <f t="shared" ref="O56:O57" si="19">L56-N56</f>
        <v>385829</v>
      </c>
      <c r="P56" s="564" t="s">
        <v>186</v>
      </c>
      <c r="Q56" s="672" t="str">
        <f>VLOOKUP(G:G,list!B:F,5,FALSE)</f>
        <v>웹소설본부</v>
      </c>
      <c r="R56" s="656" t="str">
        <f>VLOOKUP(G:G,list!B:D,3,FALSE)</f>
        <v>Y</v>
      </c>
    </row>
    <row r="57" spans="2:18" ht="18" customHeight="1">
      <c r="B57" s="650">
        <v>52</v>
      </c>
      <c r="C57" s="651" t="str">
        <f>VLOOKUP(G:G,list!B:D,2,FALSE)</f>
        <v>원작료</v>
      </c>
      <c r="D57" s="564" t="s">
        <v>183</v>
      </c>
      <c r="E57" s="564" t="s">
        <v>9</v>
      </c>
      <c r="F57" s="564" t="s">
        <v>213</v>
      </c>
      <c r="G57" s="564" t="s">
        <v>56</v>
      </c>
      <c r="H57" s="565">
        <v>44829</v>
      </c>
      <c r="I57" s="652">
        <v>45474</v>
      </c>
      <c r="J57" s="653">
        <v>994740</v>
      </c>
      <c r="K57" s="603">
        <v>0.3</v>
      </c>
      <c r="L57" s="568">
        <v>298422</v>
      </c>
      <c r="M57" s="654">
        <f>VLOOKUP(G:G,list!B:E,4,FALSE)</f>
        <v>0.1</v>
      </c>
      <c r="N57" s="655">
        <f t="shared" si="18"/>
        <v>29842</v>
      </c>
      <c r="O57" s="655">
        <f t="shared" si="19"/>
        <v>268580</v>
      </c>
      <c r="P57" s="564" t="s">
        <v>186</v>
      </c>
      <c r="Q57" s="672" t="str">
        <f>VLOOKUP(G:G,list!B:F,5,FALSE)</f>
        <v>웹소설본부</v>
      </c>
      <c r="R57" s="656" t="str">
        <f>VLOOKUP(G:G,list!B:D,3,FALSE)</f>
        <v>Y</v>
      </c>
    </row>
    <row r="58" spans="2:18" ht="18" customHeight="1">
      <c r="B58" s="650">
        <v>53</v>
      </c>
      <c r="C58" s="651" t="str">
        <f>VLOOKUP(G:G,list!B:D,2,FALSE)</f>
        <v>원작료</v>
      </c>
      <c r="D58" s="564" t="s">
        <v>123</v>
      </c>
      <c r="E58" s="564" t="s">
        <v>9</v>
      </c>
      <c r="F58" s="564" t="s">
        <v>213</v>
      </c>
      <c r="G58" s="564" t="s">
        <v>454</v>
      </c>
      <c r="H58" s="565">
        <v>44854</v>
      </c>
      <c r="I58" s="652">
        <v>45474</v>
      </c>
      <c r="J58" s="653">
        <v>1270417</v>
      </c>
      <c r="K58" s="603">
        <v>0.3</v>
      </c>
      <c r="L58" s="568">
        <v>381125</v>
      </c>
      <c r="M58" s="654">
        <f>VLOOKUP(G:G,list!B:E,4,FALSE)</f>
        <v>0.1</v>
      </c>
      <c r="N58" s="655">
        <f t="shared" ref="N58:N60" si="20">ROUND(IF(M58="-",0,L58*M58),0)</f>
        <v>38113</v>
      </c>
      <c r="O58" s="655">
        <f t="shared" ref="O58:O60" si="21">L58-N58</f>
        <v>343012</v>
      </c>
      <c r="P58" s="564" t="s">
        <v>186</v>
      </c>
      <c r="Q58" s="672" t="str">
        <f>VLOOKUP(G:G,list!B:F,5,FALSE)</f>
        <v>-</v>
      </c>
      <c r="R58" s="656" t="str">
        <f>VLOOKUP(G:G,list!B:D,3,FALSE)</f>
        <v>Y</v>
      </c>
    </row>
    <row r="59" spans="2:18" ht="18" customHeight="1">
      <c r="B59" s="650">
        <v>54</v>
      </c>
      <c r="C59" s="651" t="str">
        <f>VLOOKUP(G:G,list!B:D,2,FALSE)</f>
        <v>원작료</v>
      </c>
      <c r="D59" s="564" t="s">
        <v>123</v>
      </c>
      <c r="E59" s="564" t="s">
        <v>9</v>
      </c>
      <c r="F59" s="564" t="s">
        <v>213</v>
      </c>
      <c r="G59" s="564" t="s">
        <v>481</v>
      </c>
      <c r="H59" s="565">
        <v>44981</v>
      </c>
      <c r="I59" s="652">
        <v>45474</v>
      </c>
      <c r="J59" s="653">
        <v>338953</v>
      </c>
      <c r="K59" s="603">
        <v>0.3</v>
      </c>
      <c r="L59" s="568">
        <v>101686</v>
      </c>
      <c r="M59" s="654">
        <f>VLOOKUP(G:G,list!B:E,4,FALSE)</f>
        <v>0.1</v>
      </c>
      <c r="N59" s="655">
        <f t="shared" si="20"/>
        <v>10169</v>
      </c>
      <c r="O59" s="655">
        <f t="shared" si="21"/>
        <v>91517</v>
      </c>
      <c r="P59" s="564" t="s">
        <v>186</v>
      </c>
      <c r="Q59" s="672" t="str">
        <f>VLOOKUP(G:G,list!B:F,5,FALSE)</f>
        <v>웹소설본부</v>
      </c>
      <c r="R59" s="656" t="str">
        <f>VLOOKUP(G:G,list!B:D,3,FALSE)</f>
        <v>Y</v>
      </c>
    </row>
    <row r="60" spans="2:18" ht="18" customHeight="1">
      <c r="B60" s="650">
        <v>55</v>
      </c>
      <c r="C60" s="651" t="str">
        <f>VLOOKUP(G:G,list!B:D,2,FALSE)</f>
        <v>원작료</v>
      </c>
      <c r="D60" s="564" t="s">
        <v>123</v>
      </c>
      <c r="E60" s="564" t="s">
        <v>9</v>
      </c>
      <c r="F60" s="564" t="s">
        <v>213</v>
      </c>
      <c r="G60" s="564" t="s">
        <v>352</v>
      </c>
      <c r="H60" s="565">
        <v>44984</v>
      </c>
      <c r="I60" s="652">
        <v>45474</v>
      </c>
      <c r="J60" s="653">
        <v>471347</v>
      </c>
      <c r="K60" s="603">
        <v>0.3</v>
      </c>
      <c r="L60" s="568">
        <v>141404</v>
      </c>
      <c r="M60" s="654">
        <f>VLOOKUP(G:G,list!B:E,4,FALSE)</f>
        <v>0.1</v>
      </c>
      <c r="N60" s="655">
        <f t="shared" si="20"/>
        <v>14140</v>
      </c>
      <c r="O60" s="655">
        <f t="shared" si="21"/>
        <v>127264</v>
      </c>
      <c r="P60" s="564" t="s">
        <v>186</v>
      </c>
      <c r="Q60" s="672" t="str">
        <f>VLOOKUP(G:G,list!B:F,5,FALSE)</f>
        <v>웹소설본부</v>
      </c>
      <c r="R60" s="656" t="str">
        <f>VLOOKUP(G:G,list!B:D,3,FALSE)</f>
        <v>Y</v>
      </c>
    </row>
    <row r="61" spans="2:18" ht="11.25" customHeight="1">
      <c r="B61" s="52"/>
      <c r="C61" s="551"/>
      <c r="D61" s="551"/>
      <c r="E61" s="551"/>
      <c r="F61" s="551"/>
      <c r="G61" s="551"/>
      <c r="H61" s="622"/>
      <c r="I61" s="551"/>
      <c r="J61" s="435"/>
      <c r="K61" s="623"/>
      <c r="L61"/>
      <c r="M61" s="438"/>
      <c r="N61" s="439"/>
      <c r="O61" s="440"/>
      <c r="P61" s="633"/>
      <c r="Q61" s="438"/>
      <c r="R61" s="486"/>
    </row>
    <row r="62" spans="2:18" s="7" customFormat="1" ht="16.5" customHeight="1">
      <c r="B62" s="624" t="s">
        <v>387</v>
      </c>
      <c r="C62" s="625"/>
      <c r="D62" s="625"/>
      <c r="E62" s="626"/>
      <c r="F62" s="625"/>
      <c r="G62" s="625"/>
      <c r="H62" s="625"/>
      <c r="I62" s="311"/>
      <c r="J62" s="311"/>
      <c r="K62" s="311"/>
      <c r="M62" s="424"/>
      <c r="N62"/>
      <c r="O62" s="333"/>
      <c r="P62" s="631"/>
      <c r="Q62" s="424"/>
      <c r="R62" s="484"/>
    </row>
    <row r="63" spans="2:18" s="7" customFormat="1" ht="16.5" customHeight="1">
      <c r="B63" s="629" t="s">
        <v>299</v>
      </c>
      <c r="C63" s="625"/>
      <c r="D63" s="625"/>
      <c r="E63" s="626"/>
      <c r="F63" s="625"/>
      <c r="G63" s="625"/>
      <c r="H63" s="625"/>
      <c r="I63" s="311"/>
      <c r="K63" s="311"/>
      <c r="L63" s="311"/>
      <c r="M63" s="424"/>
      <c r="N63"/>
      <c r="O63" s="333"/>
      <c r="P63" s="631"/>
      <c r="Q63" s="424"/>
      <c r="R63" s="484"/>
    </row>
    <row r="64" spans="2:18" s="7" customFormat="1" ht="16.5" customHeight="1">
      <c r="B64" s="628" t="s">
        <v>302</v>
      </c>
      <c r="C64" s="627"/>
      <c r="D64" s="625"/>
      <c r="E64" s="626"/>
      <c r="F64" s="625"/>
      <c r="G64" s="625"/>
      <c r="H64" s="625"/>
      <c r="I64" s="311"/>
      <c r="J64" s="311"/>
      <c r="L64" s="311"/>
      <c r="M64" s="424"/>
      <c r="N64"/>
      <c r="O64" s="333"/>
      <c r="P64" s="631"/>
      <c r="Q64" s="424"/>
      <c r="R64" s="484"/>
    </row>
    <row r="65" spans="2:18" s="7" customFormat="1" ht="16.5" customHeight="1">
      <c r="B65" s="630" t="s">
        <v>303</v>
      </c>
      <c r="C65" s="627"/>
      <c r="D65" s="625"/>
      <c r="E65" s="626"/>
      <c r="F65" s="625"/>
      <c r="G65" s="625"/>
      <c r="H65" s="625"/>
      <c r="I65" s="311"/>
      <c r="J65" s="311"/>
      <c r="K65" s="311"/>
      <c r="L65" s="311"/>
      <c r="M65" s="424"/>
      <c r="N65"/>
      <c r="O65" s="333"/>
      <c r="P65" s="631"/>
      <c r="Q65" s="424"/>
      <c r="R65" s="484"/>
    </row>
    <row r="66" spans="2:18" ht="16.5" customHeight="1">
      <c r="B66" s="629" t="s">
        <v>340</v>
      </c>
      <c r="C66" s="625"/>
      <c r="D66" s="625"/>
      <c r="E66" s="626"/>
      <c r="F66" s="625"/>
      <c r="G66" s="625"/>
      <c r="H66" s="625"/>
      <c r="I66" s="311"/>
      <c r="J66" s="311"/>
      <c r="K66" s="311"/>
    </row>
    <row r="67" spans="2:18" ht="16.5" customHeight="1">
      <c r="B67" s="629" t="s">
        <v>512</v>
      </c>
      <c r="C67" s="625"/>
      <c r="D67" s="625"/>
      <c r="E67" s="626"/>
      <c r="F67" s="625"/>
      <c r="G67" s="625"/>
      <c r="H67" s="625"/>
      <c r="I67" s="311"/>
      <c r="J67" s="311"/>
      <c r="K67" s="311"/>
    </row>
    <row r="68" spans="2:18" ht="16.5" customHeight="1">
      <c r="B68" s="629" t="s">
        <v>522</v>
      </c>
      <c r="C68" s="625"/>
      <c r="D68" s="625"/>
      <c r="E68" s="626"/>
      <c r="F68" s="625"/>
      <c r="G68" s="625"/>
      <c r="H68" s="625"/>
      <c r="I68" s="311"/>
      <c r="J68" s="311"/>
      <c r="K68" s="311"/>
    </row>
    <row r="69" spans="2:18" ht="16.5" customHeight="1">
      <c r="B69" s="629" t="s">
        <v>520</v>
      </c>
      <c r="C69" s="625"/>
      <c r="D69" s="625"/>
      <c r="E69" s="626"/>
      <c r="F69" s="625"/>
      <c r="G69" s="625"/>
      <c r="H69" s="625"/>
      <c r="I69" s="311"/>
      <c r="J69" s="311"/>
      <c r="K69" s="311"/>
    </row>
    <row r="70" spans="2:18" ht="16.5" customHeight="1">
      <c r="B70" s="629" t="s">
        <v>521</v>
      </c>
      <c r="C70" s="625"/>
      <c r="D70" s="625"/>
      <c r="E70" s="626"/>
      <c r="F70" s="625"/>
      <c r="G70" s="625"/>
      <c r="H70" s="625"/>
      <c r="I70" s="311"/>
      <c r="J70" s="311"/>
      <c r="K70" s="311"/>
    </row>
    <row r="71" spans="2:18" ht="16.5" customHeight="1">
      <c r="B71" s="629" t="s">
        <v>529</v>
      </c>
      <c r="C71" s="625"/>
      <c r="D71" s="625"/>
      <c r="E71" s="626"/>
      <c r="F71" s="625"/>
      <c r="G71" s="625"/>
      <c r="H71" s="625"/>
      <c r="I71" s="311"/>
      <c r="J71" s="311"/>
      <c r="K71" s="311"/>
    </row>
  </sheetData>
  <autoFilter ref="B5:R60" xr:uid="{2A1C84CC-9B24-4E30-978A-67247E3AFA07}"/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535B-A284-42F5-98BA-CBA5D3192932}">
  <sheetPr filterMode="1"/>
  <dimension ref="B1:Q314"/>
  <sheetViews>
    <sheetView showGridLines="0" zoomScaleNormal="100" workbookViewId="0">
      <pane xSplit="7" ySplit="5" topLeftCell="H127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4.3984375" style="7" customWidth="1"/>
    <col min="3" max="3" width="13" style="7" customWidth="1"/>
    <col min="4" max="4" width="7.59765625" style="7" customWidth="1"/>
    <col min="5" max="5" width="8.69921875" style="186" customWidth="1"/>
    <col min="6" max="6" width="20" style="7" customWidth="1"/>
    <col min="7" max="7" width="28" style="7" customWidth="1"/>
    <col min="8" max="8" width="10.59765625" customWidth="1"/>
    <col min="9" max="9" width="13" bestFit="1" customWidth="1"/>
    <col min="10" max="10" width="17.09765625" customWidth="1"/>
    <col min="11" max="11" width="14.59765625" style="7" customWidth="1"/>
    <col min="12" max="12" width="13.59765625" style="311" customWidth="1"/>
    <col min="13" max="13" width="8.5" style="424" customWidth="1"/>
    <col min="14" max="14" width="13.59765625" customWidth="1"/>
    <col min="15" max="15" width="13.59765625" style="333" customWidth="1"/>
    <col min="16" max="16" width="29.59765625" style="18" customWidth="1"/>
    <col min="17" max="17" width="30.59765625" style="484" bestFit="1" customWidth="1"/>
  </cols>
  <sheetData>
    <row r="1" spans="2:17" ht="7.5" customHeight="1"/>
    <row r="2" spans="2:17" ht="30" customHeight="1">
      <c r="B2" s="461" t="s">
        <v>496</v>
      </c>
      <c r="C2" s="539"/>
      <c r="D2" s="539"/>
      <c r="E2" s="539"/>
      <c r="F2" s="539"/>
      <c r="G2" s="540"/>
      <c r="H2" s="543"/>
      <c r="I2" s="543"/>
      <c r="J2" s="543"/>
      <c r="K2" s="543"/>
      <c r="L2" s="543"/>
      <c r="M2" s="543"/>
      <c r="N2" s="543"/>
      <c r="O2" s="544"/>
      <c r="P2" s="681"/>
      <c r="Q2" s="682"/>
    </row>
    <row r="3" spans="2:17" ht="16.5" customHeight="1">
      <c r="B3" s="545" t="s">
        <v>497</v>
      </c>
      <c r="C3" s="52"/>
      <c r="D3" s="52"/>
      <c r="E3" s="52"/>
      <c r="F3" s="52"/>
      <c r="G3" s="52"/>
      <c r="H3" s="541"/>
      <c r="I3" s="541"/>
      <c r="J3" s="541"/>
      <c r="K3" s="52"/>
      <c r="L3" s="546"/>
      <c r="M3" s="547"/>
      <c r="N3" s="547"/>
      <c r="O3" s="548"/>
      <c r="P3" s="549"/>
      <c r="Q3" s="550"/>
    </row>
    <row r="4" spans="2:17" ht="18" customHeight="1">
      <c r="B4" s="52"/>
      <c r="C4" s="52"/>
      <c r="D4" s="52"/>
      <c r="E4" s="52"/>
      <c r="F4" s="52"/>
      <c r="G4" s="52"/>
      <c r="H4" s="52"/>
      <c r="I4" s="616" t="s">
        <v>391</v>
      </c>
      <c r="J4" s="617">
        <f>SUBTOTAL(109,J6:J1048576)</f>
        <v>29584619</v>
      </c>
      <c r="K4" s="618"/>
      <c r="L4" s="617">
        <f>SUBTOTAL(109,L6:L1048576)</f>
        <v>6393819</v>
      </c>
      <c r="M4" s="618"/>
      <c r="N4" s="619">
        <f>SUBTOTAL(109,N6:N1048576)</f>
        <v>639381.9</v>
      </c>
      <c r="O4" s="616">
        <f>SUBTOTAL(109,O6:O1048576)</f>
        <v>5754437.0999999996</v>
      </c>
      <c r="P4" s="549"/>
      <c r="Q4" s="551"/>
    </row>
    <row r="5" spans="2:17" s="9" customFormat="1" ht="32.25" customHeight="1">
      <c r="B5" s="552" t="s">
        <v>7</v>
      </c>
      <c r="C5" s="552" t="s">
        <v>345</v>
      </c>
      <c r="D5" s="553" t="s">
        <v>388</v>
      </c>
      <c r="E5" s="554" t="s">
        <v>389</v>
      </c>
      <c r="F5" s="555" t="s">
        <v>0</v>
      </c>
      <c r="G5" s="555" t="s">
        <v>4</v>
      </c>
      <c r="H5" s="556" t="s">
        <v>5</v>
      </c>
      <c r="I5" s="557" t="s">
        <v>390</v>
      </c>
      <c r="J5" s="557" t="s">
        <v>434</v>
      </c>
      <c r="K5" s="557" t="s">
        <v>435</v>
      </c>
      <c r="L5" s="558" t="s">
        <v>436</v>
      </c>
      <c r="M5" s="559" t="s">
        <v>437</v>
      </c>
      <c r="N5" s="560" t="s">
        <v>438</v>
      </c>
      <c r="O5" s="561" t="s">
        <v>439</v>
      </c>
      <c r="P5" s="562" t="s">
        <v>82</v>
      </c>
      <c r="Q5" s="610" t="s">
        <v>474</v>
      </c>
    </row>
    <row r="6" spans="2:17" ht="18" hidden="1" customHeight="1">
      <c r="B6" s="563">
        <v>1</v>
      </c>
      <c r="C6" s="564" t="e">
        <f>VLOOKUP(G:G,list!B:D,2,FALSE)</f>
        <v>#N/A</v>
      </c>
      <c r="D6" s="564" t="s">
        <v>78</v>
      </c>
      <c r="E6" s="564" t="s">
        <v>9</v>
      </c>
      <c r="F6" s="564" t="s">
        <v>176</v>
      </c>
      <c r="G6" s="564" t="s">
        <v>502</v>
      </c>
      <c r="H6" s="565">
        <v>44854</v>
      </c>
      <c r="I6" s="564" t="s">
        <v>482</v>
      </c>
      <c r="J6" s="586">
        <v>15344909.4</v>
      </c>
      <c r="K6" s="567">
        <v>0.6</v>
      </c>
      <c r="L6" s="568">
        <v>9206945</v>
      </c>
      <c r="M6" s="569">
        <v>0.1</v>
      </c>
      <c r="N6" s="573">
        <f>L6*M6</f>
        <v>920694.5</v>
      </c>
      <c r="O6" s="570">
        <f t="shared" ref="O6:O69" si="0">L6-N6</f>
        <v>8286250.5</v>
      </c>
      <c r="P6" s="575" t="s">
        <v>287</v>
      </c>
      <c r="Q6" s="572" t="e">
        <f>VLOOKUP(G:G,list!B:D,3,FALSE)</f>
        <v>#N/A</v>
      </c>
    </row>
    <row r="7" spans="2:17" ht="18" hidden="1" customHeight="1">
      <c r="B7" s="563">
        <v>2</v>
      </c>
      <c r="C7" s="564" t="str">
        <f>VLOOKUP(G:G,list!B:D,2,FALSE)</f>
        <v>원작료</v>
      </c>
      <c r="D7" s="564" t="s">
        <v>448</v>
      </c>
      <c r="E7" s="564" t="s">
        <v>62</v>
      </c>
      <c r="F7" s="564" t="s">
        <v>176</v>
      </c>
      <c r="G7" s="564" t="s">
        <v>481</v>
      </c>
      <c r="H7" s="565">
        <v>44831</v>
      </c>
      <c r="I7" s="564" t="s">
        <v>482</v>
      </c>
      <c r="J7" s="586">
        <v>5519973.4000000004</v>
      </c>
      <c r="K7" s="567">
        <v>0.6</v>
      </c>
      <c r="L7" s="568">
        <v>3311985</v>
      </c>
      <c r="M7" s="569">
        <v>0.1</v>
      </c>
      <c r="N7" s="570">
        <f>L7*M7</f>
        <v>331198.5</v>
      </c>
      <c r="O7" s="570">
        <f t="shared" si="0"/>
        <v>2980786.5</v>
      </c>
      <c r="P7" s="575"/>
      <c r="Q7" s="572" t="str">
        <f>VLOOKUP(G:G,list!B:D,3,FALSE)</f>
        <v>Y</v>
      </c>
    </row>
    <row r="8" spans="2:17" ht="18" hidden="1" customHeight="1">
      <c r="B8" s="563">
        <v>3</v>
      </c>
      <c r="C8" s="564" t="str">
        <f>VLOOKUP(G:G,list!B:D,2,FALSE)</f>
        <v>작가기획</v>
      </c>
      <c r="D8" s="564" t="s">
        <v>78</v>
      </c>
      <c r="E8" s="564" t="s">
        <v>9</v>
      </c>
      <c r="F8" s="564" t="s">
        <v>131</v>
      </c>
      <c r="G8" s="564" t="s">
        <v>210</v>
      </c>
      <c r="H8" s="565">
        <v>44333</v>
      </c>
      <c r="I8" s="564" t="s">
        <v>482</v>
      </c>
      <c r="J8" s="586">
        <v>25500</v>
      </c>
      <c r="K8" s="567">
        <v>0.5</v>
      </c>
      <c r="L8" s="568">
        <v>12750</v>
      </c>
      <c r="M8" s="569" t="s">
        <v>203</v>
      </c>
      <c r="N8" s="570">
        <v>0</v>
      </c>
      <c r="O8" s="570">
        <f t="shared" si="0"/>
        <v>12750</v>
      </c>
      <c r="P8" s="576"/>
      <c r="Q8" s="572" t="str">
        <f>VLOOKUP(G:G,list!B:D,3,FALSE)</f>
        <v>N</v>
      </c>
    </row>
    <row r="9" spans="2:17" ht="18" hidden="1" customHeight="1">
      <c r="B9" s="563">
        <v>4</v>
      </c>
      <c r="C9" s="564" t="e">
        <f>VLOOKUP(G:G,list!B:D,2,FALSE)</f>
        <v>#N/A</v>
      </c>
      <c r="D9" s="564" t="s">
        <v>78</v>
      </c>
      <c r="E9" s="564" t="s">
        <v>9</v>
      </c>
      <c r="F9" s="564" t="s">
        <v>201</v>
      </c>
      <c r="G9" s="564" t="s">
        <v>485</v>
      </c>
      <c r="H9" s="565">
        <v>44792</v>
      </c>
      <c r="I9" s="564" t="s">
        <v>455</v>
      </c>
      <c r="J9" s="579">
        <v>6294765</v>
      </c>
      <c r="K9" s="567">
        <v>0.6</v>
      </c>
      <c r="L9" s="568">
        <v>3776860</v>
      </c>
      <c r="M9" s="569">
        <v>0.1</v>
      </c>
      <c r="N9" s="573">
        <f t="shared" ref="N9:N16" si="1">L9*M9</f>
        <v>377686</v>
      </c>
      <c r="O9" s="570">
        <f t="shared" si="0"/>
        <v>3399174</v>
      </c>
      <c r="P9" s="585"/>
      <c r="Q9" s="572" t="e">
        <f>VLOOKUP(G:G,list!B:D,3,FALSE)</f>
        <v>#N/A</v>
      </c>
    </row>
    <row r="10" spans="2:17" ht="18" hidden="1" customHeight="1">
      <c r="B10" s="563">
        <v>5</v>
      </c>
      <c r="C10" s="564" t="e">
        <f>VLOOKUP(G:G,list!B:D,2,FALSE)</f>
        <v>#N/A</v>
      </c>
      <c r="D10" s="564" t="s">
        <v>78</v>
      </c>
      <c r="E10" s="564" t="s">
        <v>115</v>
      </c>
      <c r="F10" s="564" t="s">
        <v>268</v>
      </c>
      <c r="G10" s="564" t="s">
        <v>256</v>
      </c>
      <c r="H10" s="565">
        <v>44553</v>
      </c>
      <c r="I10" s="564" t="s">
        <v>482</v>
      </c>
      <c r="J10" s="566">
        <v>0</v>
      </c>
      <c r="K10" s="567" t="s">
        <v>271</v>
      </c>
      <c r="L10" s="568">
        <v>0</v>
      </c>
      <c r="M10" s="569">
        <v>0.1</v>
      </c>
      <c r="N10" s="570">
        <f t="shared" si="1"/>
        <v>0</v>
      </c>
      <c r="O10" s="570">
        <f t="shared" si="0"/>
        <v>0</v>
      </c>
      <c r="P10" s="575" t="s">
        <v>508</v>
      </c>
      <c r="Q10" s="572" t="e">
        <f>VLOOKUP(G:G,list!B:D,3,FALSE)</f>
        <v>#N/A</v>
      </c>
    </row>
    <row r="11" spans="2:17" ht="18" hidden="1" customHeight="1">
      <c r="B11" s="563">
        <v>6</v>
      </c>
      <c r="C11" s="564" t="e">
        <f>VLOOKUP(G:G,list!B:D,2,FALSE)</f>
        <v>#N/A</v>
      </c>
      <c r="D11" s="564" t="s">
        <v>78</v>
      </c>
      <c r="E11" s="564" t="s">
        <v>115</v>
      </c>
      <c r="F11" s="564" t="s">
        <v>309</v>
      </c>
      <c r="G11" s="564" t="s">
        <v>256</v>
      </c>
      <c r="H11" s="565">
        <v>44602</v>
      </c>
      <c r="I11" s="564" t="s">
        <v>482</v>
      </c>
      <c r="J11" s="586">
        <v>0</v>
      </c>
      <c r="K11" s="567">
        <v>0.7</v>
      </c>
      <c r="L11" s="568">
        <v>0</v>
      </c>
      <c r="M11" s="569">
        <v>0.1</v>
      </c>
      <c r="N11" s="570">
        <f t="shared" si="1"/>
        <v>0</v>
      </c>
      <c r="O11" s="570">
        <f t="shared" si="0"/>
        <v>0</v>
      </c>
      <c r="P11" s="575" t="s">
        <v>508</v>
      </c>
      <c r="Q11" s="572" t="e">
        <f>VLOOKUP(G:G,list!B:D,3,FALSE)</f>
        <v>#N/A</v>
      </c>
    </row>
    <row r="12" spans="2:17" ht="18" hidden="1" customHeight="1">
      <c r="B12" s="563">
        <v>7</v>
      </c>
      <c r="C12" s="564" t="e">
        <f>VLOOKUP(G:G,list!B:D,2,FALSE)</f>
        <v>#N/A</v>
      </c>
      <c r="D12" s="564" t="s">
        <v>78</v>
      </c>
      <c r="E12" s="564" t="s">
        <v>115</v>
      </c>
      <c r="F12" s="564" t="s">
        <v>248</v>
      </c>
      <c r="G12" s="564" t="s">
        <v>256</v>
      </c>
      <c r="H12" s="565">
        <v>44327</v>
      </c>
      <c r="I12" s="564" t="s">
        <v>482</v>
      </c>
      <c r="J12" s="586">
        <v>52483</v>
      </c>
      <c r="K12" s="567">
        <v>0.7</v>
      </c>
      <c r="L12" s="568">
        <v>36738</v>
      </c>
      <c r="M12" s="569">
        <v>0.1</v>
      </c>
      <c r="N12" s="570">
        <f t="shared" si="1"/>
        <v>3673.8</v>
      </c>
      <c r="O12" s="570">
        <f t="shared" si="0"/>
        <v>33064.199999999997</v>
      </c>
      <c r="P12" s="576"/>
      <c r="Q12" s="572" t="e">
        <f>VLOOKUP(G:G,list!B:D,3,FALSE)</f>
        <v>#N/A</v>
      </c>
    </row>
    <row r="13" spans="2:17" ht="18" hidden="1" customHeight="1">
      <c r="B13" s="563">
        <v>8</v>
      </c>
      <c r="C13" s="564" t="e">
        <f>VLOOKUP(G:G,list!B:D,2,FALSE)</f>
        <v>#N/A</v>
      </c>
      <c r="D13" s="564" t="s">
        <v>78</v>
      </c>
      <c r="E13" s="564" t="s">
        <v>115</v>
      </c>
      <c r="F13" s="564" t="s">
        <v>172</v>
      </c>
      <c r="G13" s="564" t="s">
        <v>256</v>
      </c>
      <c r="H13" s="565">
        <v>44385</v>
      </c>
      <c r="I13" s="564" t="s">
        <v>482</v>
      </c>
      <c r="J13" s="586">
        <v>0</v>
      </c>
      <c r="K13" s="567">
        <v>0.6</v>
      </c>
      <c r="L13" s="568">
        <v>0</v>
      </c>
      <c r="M13" s="569">
        <v>0.1</v>
      </c>
      <c r="N13" s="570">
        <f t="shared" si="1"/>
        <v>0</v>
      </c>
      <c r="O13" s="570">
        <f t="shared" si="0"/>
        <v>0</v>
      </c>
      <c r="P13" s="575" t="s">
        <v>508</v>
      </c>
      <c r="Q13" s="572" t="e">
        <f>VLOOKUP(G:G,list!B:D,3,FALSE)</f>
        <v>#N/A</v>
      </c>
    </row>
    <row r="14" spans="2:17" ht="18" hidden="1" customHeight="1">
      <c r="B14" s="563">
        <v>9</v>
      </c>
      <c r="C14" s="564" t="e">
        <f>VLOOKUP(G:G,list!B:D,2,FALSE)</f>
        <v>#N/A</v>
      </c>
      <c r="D14" s="564" t="s">
        <v>78</v>
      </c>
      <c r="E14" s="564" t="s">
        <v>115</v>
      </c>
      <c r="F14" s="564" t="s">
        <v>269</v>
      </c>
      <c r="G14" s="564" t="s">
        <v>256</v>
      </c>
      <c r="H14" s="565">
        <v>44553</v>
      </c>
      <c r="I14" s="564" t="s">
        <v>482</v>
      </c>
      <c r="J14" s="586">
        <v>0</v>
      </c>
      <c r="K14" s="567">
        <v>0.7</v>
      </c>
      <c r="L14" s="568">
        <v>0</v>
      </c>
      <c r="M14" s="569">
        <v>0.1</v>
      </c>
      <c r="N14" s="570">
        <f t="shared" si="1"/>
        <v>0</v>
      </c>
      <c r="O14" s="570">
        <f t="shared" si="0"/>
        <v>0</v>
      </c>
      <c r="P14" s="574" t="s">
        <v>366</v>
      </c>
      <c r="Q14" s="572" t="e">
        <f>VLOOKUP(G:G,list!B:D,3,FALSE)</f>
        <v>#N/A</v>
      </c>
    </row>
    <row r="15" spans="2:17" ht="18" hidden="1" customHeight="1">
      <c r="B15" s="563">
        <v>10</v>
      </c>
      <c r="C15" s="564" t="e">
        <f>VLOOKUP(G:G,list!B:D,2,FALSE)</f>
        <v>#N/A</v>
      </c>
      <c r="D15" s="564" t="s">
        <v>182</v>
      </c>
      <c r="E15" s="564" t="s">
        <v>115</v>
      </c>
      <c r="F15" s="564" t="s">
        <v>384</v>
      </c>
      <c r="G15" s="564" t="s">
        <v>256</v>
      </c>
      <c r="H15" s="565">
        <v>44693</v>
      </c>
      <c r="I15" s="564" t="s">
        <v>455</v>
      </c>
      <c r="J15" s="599">
        <v>27456</v>
      </c>
      <c r="K15" s="600">
        <v>0.5</v>
      </c>
      <c r="L15" s="568">
        <v>13728</v>
      </c>
      <c r="M15" s="569">
        <v>0.1</v>
      </c>
      <c r="N15" s="573">
        <f t="shared" si="1"/>
        <v>1372.8000000000002</v>
      </c>
      <c r="O15" s="570">
        <f t="shared" si="0"/>
        <v>12355.2</v>
      </c>
      <c r="P15" s="575"/>
      <c r="Q15" s="572" t="e">
        <f>VLOOKUP(G:G,list!B:D,3,FALSE)</f>
        <v>#N/A</v>
      </c>
    </row>
    <row r="16" spans="2:17" ht="18" hidden="1" customHeight="1">
      <c r="B16" s="563">
        <v>11</v>
      </c>
      <c r="C16" s="564" t="e">
        <f>VLOOKUP(G:G,list!B:D,2,FALSE)</f>
        <v>#N/A</v>
      </c>
      <c r="D16" s="564" t="s">
        <v>32</v>
      </c>
      <c r="E16" s="564" t="s">
        <v>115</v>
      </c>
      <c r="F16" s="564" t="s">
        <v>31</v>
      </c>
      <c r="G16" s="564" t="s">
        <v>256</v>
      </c>
      <c r="H16" s="565">
        <v>44487</v>
      </c>
      <c r="I16" s="564" t="s">
        <v>455</v>
      </c>
      <c r="J16" s="599">
        <v>24951</v>
      </c>
      <c r="K16" s="603">
        <v>0.4</v>
      </c>
      <c r="L16" s="568">
        <v>9477</v>
      </c>
      <c r="M16" s="569">
        <v>0.1</v>
      </c>
      <c r="N16" s="570">
        <f t="shared" si="1"/>
        <v>947.7</v>
      </c>
      <c r="O16" s="570">
        <f t="shared" si="0"/>
        <v>8529.2999999999993</v>
      </c>
      <c r="P16" s="573"/>
      <c r="Q16" s="572" t="e">
        <f>VLOOKUP(G:G,list!B:D,3,FALSE)</f>
        <v>#N/A</v>
      </c>
    </row>
    <row r="17" spans="2:17" ht="18" hidden="1" customHeight="1">
      <c r="B17" s="563">
        <v>12</v>
      </c>
      <c r="C17" s="564" t="e">
        <f>VLOOKUP(G:G,list!B:D,2,FALSE)</f>
        <v>#N/A</v>
      </c>
      <c r="D17" s="564" t="s">
        <v>448</v>
      </c>
      <c r="E17" s="564" t="s">
        <v>62</v>
      </c>
      <c r="F17" s="564" t="s">
        <v>169</v>
      </c>
      <c r="G17" s="564" t="s">
        <v>484</v>
      </c>
      <c r="H17" s="565">
        <v>44821</v>
      </c>
      <c r="I17" s="564" t="s">
        <v>482</v>
      </c>
      <c r="J17" s="579">
        <v>4054882</v>
      </c>
      <c r="K17" s="580">
        <v>0.6</v>
      </c>
      <c r="L17" s="568">
        <v>2432929</v>
      </c>
      <c r="M17" s="569" t="s">
        <v>203</v>
      </c>
      <c r="N17" s="573">
        <v>0</v>
      </c>
      <c r="O17" s="570">
        <f t="shared" si="0"/>
        <v>2432929</v>
      </c>
      <c r="P17" s="578"/>
      <c r="Q17" s="572" t="e">
        <f>VLOOKUP(G:G,list!B:D,3,FALSE)</f>
        <v>#N/A</v>
      </c>
    </row>
    <row r="18" spans="2:17" ht="18" hidden="1" customHeight="1">
      <c r="B18" s="563">
        <v>13</v>
      </c>
      <c r="C18" s="564" t="str">
        <f>VLOOKUP(G:G,list!B:D,2,FALSE)</f>
        <v>작가기획</v>
      </c>
      <c r="D18" s="564" t="s">
        <v>78</v>
      </c>
      <c r="E18" s="564" t="s">
        <v>9</v>
      </c>
      <c r="F18" s="564" t="s">
        <v>209</v>
      </c>
      <c r="G18" s="564" t="s">
        <v>501</v>
      </c>
      <c r="H18" s="565">
        <v>44851</v>
      </c>
      <c r="I18" s="564" t="s">
        <v>482</v>
      </c>
      <c r="J18" s="586">
        <v>396442</v>
      </c>
      <c r="K18" s="567">
        <v>0.7</v>
      </c>
      <c r="L18" s="568">
        <v>277510</v>
      </c>
      <c r="M18" s="569" t="s">
        <v>203</v>
      </c>
      <c r="N18" s="570">
        <v>0</v>
      </c>
      <c r="O18" s="570">
        <f t="shared" si="0"/>
        <v>277510</v>
      </c>
      <c r="P18" s="578" t="s">
        <v>287</v>
      </c>
      <c r="Q18" s="572" t="str">
        <f>VLOOKUP(G:G,list!B:D,3,FALSE)</f>
        <v>N</v>
      </c>
    </row>
    <row r="19" spans="2:17" ht="18" hidden="1" customHeight="1">
      <c r="B19" s="563">
        <v>14</v>
      </c>
      <c r="C19" s="564" t="str">
        <f>VLOOKUP(G:G,list!B:D,2,FALSE)</f>
        <v>작가기획</v>
      </c>
      <c r="D19" s="564" t="s">
        <v>78</v>
      </c>
      <c r="E19" s="564" t="s">
        <v>115</v>
      </c>
      <c r="F19" s="564" t="s">
        <v>176</v>
      </c>
      <c r="G19" s="564" t="s">
        <v>501</v>
      </c>
      <c r="H19" s="565">
        <v>44851</v>
      </c>
      <c r="I19" s="564" t="s">
        <v>482</v>
      </c>
      <c r="J19" s="586">
        <v>756564.9</v>
      </c>
      <c r="K19" s="567">
        <v>0.7</v>
      </c>
      <c r="L19" s="568">
        <v>529594</v>
      </c>
      <c r="M19" s="569" t="s">
        <v>203</v>
      </c>
      <c r="N19" s="573">
        <v>0</v>
      </c>
      <c r="O19" s="570">
        <f t="shared" si="0"/>
        <v>529594</v>
      </c>
      <c r="P19" s="575" t="s">
        <v>287</v>
      </c>
      <c r="Q19" s="572" t="str">
        <f>VLOOKUP(G:G,list!B:D,3,FALSE)</f>
        <v>N</v>
      </c>
    </row>
    <row r="20" spans="2:17" ht="18" hidden="1" customHeight="1">
      <c r="B20" s="563">
        <v>15</v>
      </c>
      <c r="C20" s="564" t="e">
        <f>VLOOKUP(G:G,list!B:D,2,FALSE)</f>
        <v>#N/A</v>
      </c>
      <c r="D20" s="564" t="s">
        <v>78</v>
      </c>
      <c r="E20" s="564" t="s">
        <v>115</v>
      </c>
      <c r="F20" s="564" t="s">
        <v>268</v>
      </c>
      <c r="G20" s="564" t="s">
        <v>204</v>
      </c>
      <c r="H20" s="565">
        <v>44554</v>
      </c>
      <c r="I20" s="564" t="s">
        <v>482</v>
      </c>
      <c r="J20" s="566">
        <v>0</v>
      </c>
      <c r="K20" s="567" t="s">
        <v>271</v>
      </c>
      <c r="L20" s="568">
        <v>0</v>
      </c>
      <c r="M20" s="569">
        <v>0.1</v>
      </c>
      <c r="N20" s="573">
        <f t="shared" ref="N20:N28" si="2">L20*M20</f>
        <v>0</v>
      </c>
      <c r="O20" s="570">
        <f t="shared" si="0"/>
        <v>0</v>
      </c>
      <c r="P20" s="575" t="s">
        <v>508</v>
      </c>
      <c r="Q20" s="572" t="e">
        <f>VLOOKUP(G:G,list!B:D,3,FALSE)</f>
        <v>#N/A</v>
      </c>
    </row>
    <row r="21" spans="2:17" ht="18" hidden="1" customHeight="1">
      <c r="B21" s="563">
        <v>16</v>
      </c>
      <c r="C21" s="564" t="e">
        <f>VLOOKUP(G:G,list!B:D,2,FALSE)</f>
        <v>#N/A</v>
      </c>
      <c r="D21" s="564" t="s">
        <v>78</v>
      </c>
      <c r="E21" s="564" t="s">
        <v>115</v>
      </c>
      <c r="F21" s="564" t="s">
        <v>242</v>
      </c>
      <c r="G21" s="564" t="s">
        <v>204</v>
      </c>
      <c r="H21" s="565">
        <v>44428</v>
      </c>
      <c r="I21" s="564" t="s">
        <v>482</v>
      </c>
      <c r="J21" s="581">
        <v>232338</v>
      </c>
      <c r="K21" s="582">
        <v>0.7</v>
      </c>
      <c r="L21" s="568">
        <v>162637</v>
      </c>
      <c r="M21" s="569">
        <v>0.1</v>
      </c>
      <c r="N21" s="573">
        <f t="shared" si="2"/>
        <v>16263.7</v>
      </c>
      <c r="O21" s="570">
        <f t="shared" si="0"/>
        <v>146373.29999999999</v>
      </c>
      <c r="P21" s="583"/>
      <c r="Q21" s="572" t="e">
        <f>VLOOKUP(G:G,list!B:D,3,FALSE)</f>
        <v>#N/A</v>
      </c>
    </row>
    <row r="22" spans="2:17" ht="18" hidden="1" customHeight="1">
      <c r="B22" s="563">
        <v>17</v>
      </c>
      <c r="C22" s="564" t="e">
        <f>VLOOKUP(G:G,list!B:D,2,FALSE)</f>
        <v>#N/A</v>
      </c>
      <c r="D22" s="564" t="s">
        <v>78</v>
      </c>
      <c r="E22" s="564" t="s">
        <v>115</v>
      </c>
      <c r="F22" s="564" t="s">
        <v>309</v>
      </c>
      <c r="G22" s="564" t="s">
        <v>204</v>
      </c>
      <c r="H22" s="565">
        <v>44603</v>
      </c>
      <c r="I22" s="564" t="s">
        <v>482</v>
      </c>
      <c r="J22" s="586">
        <v>0</v>
      </c>
      <c r="K22" s="567">
        <v>0.7</v>
      </c>
      <c r="L22" s="568">
        <v>0</v>
      </c>
      <c r="M22" s="569">
        <v>0.1</v>
      </c>
      <c r="N22" s="573">
        <f t="shared" si="2"/>
        <v>0</v>
      </c>
      <c r="O22" s="570">
        <f t="shared" si="0"/>
        <v>0</v>
      </c>
      <c r="P22" s="575" t="s">
        <v>508</v>
      </c>
      <c r="Q22" s="572" t="e">
        <f>VLOOKUP(G:G,list!B:D,3,FALSE)</f>
        <v>#N/A</v>
      </c>
    </row>
    <row r="23" spans="2:17" ht="18" hidden="1" customHeight="1">
      <c r="B23" s="563">
        <v>18</v>
      </c>
      <c r="C23" s="564" t="e">
        <f>VLOOKUP(G:G,list!B:D,2,FALSE)</f>
        <v>#N/A</v>
      </c>
      <c r="D23" s="564" t="s">
        <v>78</v>
      </c>
      <c r="E23" s="564" t="s">
        <v>115</v>
      </c>
      <c r="F23" s="564" t="s">
        <v>248</v>
      </c>
      <c r="G23" s="564" t="s">
        <v>204</v>
      </c>
      <c r="H23" s="565">
        <v>44328</v>
      </c>
      <c r="I23" s="564" t="s">
        <v>482</v>
      </c>
      <c r="J23" s="586">
        <v>102164.9</v>
      </c>
      <c r="K23" s="567">
        <v>0.7</v>
      </c>
      <c r="L23" s="568">
        <v>71515</v>
      </c>
      <c r="M23" s="569">
        <v>0.1</v>
      </c>
      <c r="N23" s="573">
        <f t="shared" si="2"/>
        <v>7151.5</v>
      </c>
      <c r="O23" s="570">
        <f t="shared" si="0"/>
        <v>64363.5</v>
      </c>
      <c r="P23" s="576"/>
      <c r="Q23" s="572" t="e">
        <f>VLOOKUP(G:G,list!B:D,3,FALSE)</f>
        <v>#N/A</v>
      </c>
    </row>
    <row r="24" spans="2:17" ht="18" hidden="1" customHeight="1">
      <c r="B24" s="563">
        <v>19</v>
      </c>
      <c r="C24" s="564" t="e">
        <f>VLOOKUP(G:G,list!B:D,2,FALSE)</f>
        <v>#N/A</v>
      </c>
      <c r="D24" s="564" t="s">
        <v>78</v>
      </c>
      <c r="E24" s="564" t="s">
        <v>115</v>
      </c>
      <c r="F24" s="564" t="s">
        <v>172</v>
      </c>
      <c r="G24" s="564" t="s">
        <v>204</v>
      </c>
      <c r="H24" s="565">
        <v>44379</v>
      </c>
      <c r="I24" s="564" t="s">
        <v>482</v>
      </c>
      <c r="J24" s="586">
        <v>164650</v>
      </c>
      <c r="K24" s="567">
        <v>0.6</v>
      </c>
      <c r="L24" s="568">
        <v>98790</v>
      </c>
      <c r="M24" s="569">
        <v>0.1</v>
      </c>
      <c r="N24" s="573">
        <f t="shared" si="2"/>
        <v>9879</v>
      </c>
      <c r="O24" s="570">
        <f t="shared" si="0"/>
        <v>88911</v>
      </c>
      <c r="P24" s="576"/>
      <c r="Q24" s="572" t="e">
        <f>VLOOKUP(G:G,list!B:D,3,FALSE)</f>
        <v>#N/A</v>
      </c>
    </row>
    <row r="25" spans="2:17" ht="18" hidden="1" customHeight="1">
      <c r="B25" s="563">
        <v>20</v>
      </c>
      <c r="C25" s="564" t="e">
        <f>VLOOKUP(G:G,list!B:D,2,FALSE)</f>
        <v>#N/A</v>
      </c>
      <c r="D25" s="564" t="s">
        <v>78</v>
      </c>
      <c r="E25" s="564" t="s">
        <v>115</v>
      </c>
      <c r="F25" s="564" t="s">
        <v>269</v>
      </c>
      <c r="G25" s="564" t="s">
        <v>204</v>
      </c>
      <c r="H25" s="565">
        <v>44554</v>
      </c>
      <c r="I25" s="564" t="s">
        <v>482</v>
      </c>
      <c r="J25" s="586">
        <v>200</v>
      </c>
      <c r="K25" s="567">
        <v>0.7</v>
      </c>
      <c r="L25" s="568">
        <v>140</v>
      </c>
      <c r="M25" s="569">
        <v>0.1</v>
      </c>
      <c r="N25" s="573">
        <f t="shared" si="2"/>
        <v>14</v>
      </c>
      <c r="O25" s="570">
        <f t="shared" si="0"/>
        <v>126</v>
      </c>
      <c r="P25" s="575"/>
      <c r="Q25" s="572" t="e">
        <f>VLOOKUP(G:G,list!B:D,3,FALSE)</f>
        <v>#N/A</v>
      </c>
    </row>
    <row r="26" spans="2:17" ht="18" hidden="1" customHeight="1">
      <c r="B26" s="563">
        <v>21</v>
      </c>
      <c r="C26" s="564" t="e">
        <f>VLOOKUP(G:G,list!B:D,2,FALSE)</f>
        <v>#N/A</v>
      </c>
      <c r="D26" s="564" t="s">
        <v>182</v>
      </c>
      <c r="E26" s="564" t="s">
        <v>115</v>
      </c>
      <c r="F26" s="564" t="s">
        <v>384</v>
      </c>
      <c r="G26" s="564" t="s">
        <v>204</v>
      </c>
      <c r="H26" s="565">
        <v>44365</v>
      </c>
      <c r="I26" s="564" t="s">
        <v>455</v>
      </c>
      <c r="J26" s="599">
        <v>6707</v>
      </c>
      <c r="K26" s="600">
        <v>0.5</v>
      </c>
      <c r="L26" s="568">
        <v>3353.5</v>
      </c>
      <c r="M26" s="569">
        <v>0.1</v>
      </c>
      <c r="N26" s="573">
        <f t="shared" si="2"/>
        <v>335.35</v>
      </c>
      <c r="O26" s="570">
        <f t="shared" si="0"/>
        <v>3018.15</v>
      </c>
      <c r="P26" s="573"/>
      <c r="Q26" s="572" t="e">
        <f>VLOOKUP(G:G,list!B:D,3,FALSE)</f>
        <v>#N/A</v>
      </c>
    </row>
    <row r="27" spans="2:17" ht="18" hidden="1" customHeight="1">
      <c r="B27" s="563">
        <v>22</v>
      </c>
      <c r="C27" s="564" t="e">
        <f>VLOOKUP(G:G,list!B:D,2,FALSE)</f>
        <v>#N/A</v>
      </c>
      <c r="D27" s="564" t="s">
        <v>182</v>
      </c>
      <c r="E27" s="564" t="s">
        <v>115</v>
      </c>
      <c r="F27" s="564" t="s">
        <v>386</v>
      </c>
      <c r="G27" s="564" t="s">
        <v>204</v>
      </c>
      <c r="H27" s="565">
        <v>44615</v>
      </c>
      <c r="I27" s="564" t="s">
        <v>377</v>
      </c>
      <c r="J27" s="599">
        <v>2145081</v>
      </c>
      <c r="K27" s="600">
        <v>0.5</v>
      </c>
      <c r="L27" s="568">
        <v>1072540.5</v>
      </c>
      <c r="M27" s="569">
        <v>0.1</v>
      </c>
      <c r="N27" s="573">
        <f t="shared" si="2"/>
        <v>107254.05</v>
      </c>
      <c r="O27" s="570">
        <f t="shared" si="0"/>
        <v>965286.45</v>
      </c>
      <c r="P27" s="575"/>
      <c r="Q27" s="572" t="e">
        <f>VLOOKUP(G:G,list!B:D,3,FALSE)</f>
        <v>#N/A</v>
      </c>
    </row>
    <row r="28" spans="2:17" ht="18" hidden="1" customHeight="1">
      <c r="B28" s="563">
        <v>23</v>
      </c>
      <c r="C28" s="564" t="e">
        <f>VLOOKUP(G:G,list!B:D,2,FALSE)</f>
        <v>#N/A</v>
      </c>
      <c r="D28" s="564" t="s">
        <v>32</v>
      </c>
      <c r="E28" s="564" t="s">
        <v>115</v>
      </c>
      <c r="F28" s="564" t="s">
        <v>31</v>
      </c>
      <c r="G28" s="564" t="s">
        <v>204</v>
      </c>
      <c r="H28" s="565">
        <v>44453</v>
      </c>
      <c r="I28" s="564" t="s">
        <v>455</v>
      </c>
      <c r="J28" s="599">
        <v>47133</v>
      </c>
      <c r="K28" s="603">
        <v>0.4</v>
      </c>
      <c r="L28" s="568">
        <v>17910</v>
      </c>
      <c r="M28" s="569">
        <v>0.1</v>
      </c>
      <c r="N28" s="573">
        <f t="shared" si="2"/>
        <v>1791</v>
      </c>
      <c r="O28" s="570">
        <f t="shared" si="0"/>
        <v>16119</v>
      </c>
      <c r="P28" s="602"/>
      <c r="Q28" s="572" t="e">
        <f>VLOOKUP(G:G,list!B:D,3,FALSE)</f>
        <v>#N/A</v>
      </c>
    </row>
    <row r="29" spans="2:17" ht="18" hidden="1" customHeight="1">
      <c r="B29" s="563">
        <v>24</v>
      </c>
      <c r="C29" s="564" t="str">
        <f>VLOOKUP(G:G,list!B:D,2,FALSE)</f>
        <v>작가기획</v>
      </c>
      <c r="D29" s="564" t="s">
        <v>78</v>
      </c>
      <c r="E29" s="564" t="s">
        <v>9</v>
      </c>
      <c r="F29" s="564" t="s">
        <v>246</v>
      </c>
      <c r="G29" s="564" t="s">
        <v>180</v>
      </c>
      <c r="H29" s="565">
        <v>43810</v>
      </c>
      <c r="I29" s="564" t="s">
        <v>482</v>
      </c>
      <c r="J29" s="579">
        <v>2109780</v>
      </c>
      <c r="K29" s="567" t="s">
        <v>165</v>
      </c>
      <c r="L29" s="568">
        <v>834381</v>
      </c>
      <c r="M29" s="569" t="s">
        <v>203</v>
      </c>
      <c r="N29" s="570">
        <v>0</v>
      </c>
      <c r="O29" s="570">
        <f t="shared" si="0"/>
        <v>834381</v>
      </c>
      <c r="P29" s="583"/>
      <c r="Q29" s="572" t="str">
        <f>VLOOKUP(G:G,list!B:D,3,FALSE)</f>
        <v>Y</v>
      </c>
    </row>
    <row r="30" spans="2:17" ht="18" hidden="1" customHeight="1">
      <c r="B30" s="563">
        <v>25</v>
      </c>
      <c r="C30" s="564" t="str">
        <f>VLOOKUP(G:G,list!B:D,2,FALSE)</f>
        <v>작가기획</v>
      </c>
      <c r="D30" s="564" t="s">
        <v>177</v>
      </c>
      <c r="E30" s="564" t="s">
        <v>9</v>
      </c>
      <c r="F30" s="564" t="s">
        <v>246</v>
      </c>
      <c r="G30" s="564" t="s">
        <v>180</v>
      </c>
      <c r="H30" s="565">
        <v>44505</v>
      </c>
      <c r="I30" s="564" t="s">
        <v>507</v>
      </c>
      <c r="J30" s="586">
        <v>2576287</v>
      </c>
      <c r="K30" s="567">
        <v>0.4</v>
      </c>
      <c r="L30" s="568">
        <v>1030515</v>
      </c>
      <c r="M30" s="569" t="s">
        <v>203</v>
      </c>
      <c r="N30" s="570">
        <v>0</v>
      </c>
      <c r="O30" s="570">
        <f t="shared" si="0"/>
        <v>1030515</v>
      </c>
      <c r="P30" s="576"/>
      <c r="Q30" s="572" t="str">
        <f>VLOOKUP(G:G,list!B:D,3,FALSE)</f>
        <v>Y</v>
      </c>
    </row>
    <row r="31" spans="2:17" ht="18" hidden="1" customHeight="1">
      <c r="B31" s="563">
        <v>26</v>
      </c>
      <c r="C31" s="564" t="str">
        <f>VLOOKUP(G:G,list!B:D,2,FALSE)</f>
        <v>작가기획</v>
      </c>
      <c r="D31" s="564" t="s">
        <v>182</v>
      </c>
      <c r="E31" s="564" t="s">
        <v>9</v>
      </c>
      <c r="F31" s="564" t="s">
        <v>384</v>
      </c>
      <c r="G31" s="564" t="s">
        <v>180</v>
      </c>
      <c r="H31" s="565">
        <v>44180</v>
      </c>
      <c r="I31" s="564" t="s">
        <v>455</v>
      </c>
      <c r="J31" s="599">
        <v>190833</v>
      </c>
      <c r="K31" s="600">
        <v>0.5</v>
      </c>
      <c r="L31" s="568">
        <v>95416.5</v>
      </c>
      <c r="M31" s="569" t="s">
        <v>203</v>
      </c>
      <c r="N31" s="570">
        <v>0</v>
      </c>
      <c r="O31" s="570">
        <f t="shared" si="0"/>
        <v>95416.5</v>
      </c>
      <c r="P31" s="573"/>
      <c r="Q31" s="572" t="str">
        <f>VLOOKUP(G:G,list!B:D,3,FALSE)</f>
        <v>Y</v>
      </c>
    </row>
    <row r="32" spans="2:17" ht="18" hidden="1" customHeight="1">
      <c r="B32" s="563">
        <v>27</v>
      </c>
      <c r="C32" s="564" t="str">
        <f>VLOOKUP(G:G,list!B:D,2,FALSE)</f>
        <v>작가기획</v>
      </c>
      <c r="D32" s="564" t="s">
        <v>182</v>
      </c>
      <c r="E32" s="564" t="s">
        <v>115</v>
      </c>
      <c r="F32" s="564" t="s">
        <v>386</v>
      </c>
      <c r="G32" s="564" t="s">
        <v>180</v>
      </c>
      <c r="H32" s="565">
        <v>44643</v>
      </c>
      <c r="I32" s="564" t="s">
        <v>377</v>
      </c>
      <c r="J32" s="599">
        <v>1575624</v>
      </c>
      <c r="K32" s="600">
        <v>0.5</v>
      </c>
      <c r="L32" s="568">
        <v>787812</v>
      </c>
      <c r="M32" s="569" t="s">
        <v>203</v>
      </c>
      <c r="N32" s="570">
        <v>0</v>
      </c>
      <c r="O32" s="570">
        <f t="shared" si="0"/>
        <v>787812</v>
      </c>
      <c r="P32" s="575"/>
      <c r="Q32" s="572" t="str">
        <f>VLOOKUP(G:G,list!B:D,3,FALSE)</f>
        <v>Y</v>
      </c>
    </row>
    <row r="33" spans="2:17" ht="18" hidden="1" customHeight="1">
      <c r="B33" s="563">
        <v>28</v>
      </c>
      <c r="C33" s="564" t="str">
        <f>VLOOKUP(G:G,list!B:D,2,FALSE)</f>
        <v>작가기획</v>
      </c>
      <c r="D33" s="564" t="s">
        <v>32</v>
      </c>
      <c r="E33" s="564" t="s">
        <v>9</v>
      </c>
      <c r="F33" s="564" t="s">
        <v>154</v>
      </c>
      <c r="G33" s="564" t="s">
        <v>180</v>
      </c>
      <c r="H33" s="565">
        <v>44106</v>
      </c>
      <c r="I33" s="564" t="s">
        <v>455</v>
      </c>
      <c r="J33" s="599">
        <v>921997</v>
      </c>
      <c r="K33" s="606">
        <v>0.4</v>
      </c>
      <c r="L33" s="568">
        <v>350359</v>
      </c>
      <c r="M33" s="569" t="s">
        <v>203</v>
      </c>
      <c r="N33" s="570">
        <v>0</v>
      </c>
      <c r="O33" s="570">
        <f t="shared" si="0"/>
        <v>350359</v>
      </c>
      <c r="P33" s="602"/>
      <c r="Q33" s="572" t="str">
        <f>VLOOKUP(G:G,list!B:D,3,FALSE)</f>
        <v>Y</v>
      </c>
    </row>
    <row r="34" spans="2:17" ht="18" hidden="1" customHeight="1">
      <c r="B34" s="563">
        <v>29</v>
      </c>
      <c r="C34" s="564" t="str">
        <f>VLOOKUP(G:G,list!B:D,2,FALSE)</f>
        <v>작가기획</v>
      </c>
      <c r="D34" s="564" t="s">
        <v>67</v>
      </c>
      <c r="E34" s="564" t="s">
        <v>9</v>
      </c>
      <c r="F34" s="564" t="s">
        <v>65</v>
      </c>
      <c r="G34" s="564" t="s">
        <v>180</v>
      </c>
      <c r="H34" s="565">
        <v>43941</v>
      </c>
      <c r="I34" s="564" t="s">
        <v>482</v>
      </c>
      <c r="J34" s="599">
        <v>1091895</v>
      </c>
      <c r="K34" s="603">
        <v>0.4</v>
      </c>
      <c r="L34" s="568">
        <v>436758</v>
      </c>
      <c r="M34" s="569" t="s">
        <v>203</v>
      </c>
      <c r="N34" s="570">
        <v>0</v>
      </c>
      <c r="O34" s="570">
        <f t="shared" si="0"/>
        <v>436758</v>
      </c>
      <c r="P34" s="575"/>
      <c r="Q34" s="572" t="str">
        <f>VLOOKUP(G:G,list!B:D,3,FALSE)</f>
        <v>Y</v>
      </c>
    </row>
    <row r="35" spans="2:17" ht="18" hidden="1" customHeight="1">
      <c r="B35" s="563">
        <v>30</v>
      </c>
      <c r="C35" s="564" t="e">
        <f>VLOOKUP(G:G,list!B:D,2,FALSE)</f>
        <v>#N/A</v>
      </c>
      <c r="D35" s="564" t="s">
        <v>78</v>
      </c>
      <c r="E35" s="564" t="s">
        <v>9</v>
      </c>
      <c r="F35" s="564" t="s">
        <v>209</v>
      </c>
      <c r="G35" s="564" t="s">
        <v>147</v>
      </c>
      <c r="H35" s="565">
        <v>44409</v>
      </c>
      <c r="I35" s="564" t="s">
        <v>482</v>
      </c>
      <c r="J35" s="586">
        <v>3798956</v>
      </c>
      <c r="K35" s="567">
        <v>0.6</v>
      </c>
      <c r="L35" s="568">
        <v>2279373</v>
      </c>
      <c r="M35" s="569" t="s">
        <v>203</v>
      </c>
      <c r="N35" s="570">
        <v>0</v>
      </c>
      <c r="O35" s="570">
        <f t="shared" si="0"/>
        <v>2279373</v>
      </c>
      <c r="P35" s="575"/>
      <c r="Q35" s="572" t="e">
        <f>VLOOKUP(G:G,list!B:D,3,FALSE)</f>
        <v>#N/A</v>
      </c>
    </row>
    <row r="36" spans="2:17" ht="18" hidden="1" customHeight="1">
      <c r="B36" s="563">
        <v>31</v>
      </c>
      <c r="C36" s="564" t="e">
        <f>VLOOKUP(G:G,list!B:D,2,FALSE)</f>
        <v>#N/A</v>
      </c>
      <c r="D36" s="564" t="s">
        <v>78</v>
      </c>
      <c r="E36" s="564" t="s">
        <v>9</v>
      </c>
      <c r="F36" s="564" t="s">
        <v>126</v>
      </c>
      <c r="G36" s="564" t="s">
        <v>147</v>
      </c>
      <c r="H36" s="565">
        <v>44224</v>
      </c>
      <c r="I36" s="564" t="s">
        <v>482</v>
      </c>
      <c r="J36" s="586">
        <v>4704126.0999999996</v>
      </c>
      <c r="K36" s="567">
        <v>0.6</v>
      </c>
      <c r="L36" s="568">
        <v>2822477</v>
      </c>
      <c r="M36" s="569" t="s">
        <v>203</v>
      </c>
      <c r="N36" s="573">
        <v>0</v>
      </c>
      <c r="O36" s="570">
        <f t="shared" si="0"/>
        <v>2822477</v>
      </c>
      <c r="P36" s="576"/>
      <c r="Q36" s="572" t="e">
        <f>VLOOKUP(G:G,list!B:D,3,FALSE)</f>
        <v>#N/A</v>
      </c>
    </row>
    <row r="37" spans="2:17" ht="18" hidden="1" customHeight="1">
      <c r="B37" s="563">
        <v>32</v>
      </c>
      <c r="C37" s="564" t="e">
        <f>VLOOKUP(G:G,list!B:D,2,FALSE)</f>
        <v>#N/A</v>
      </c>
      <c r="D37" s="564" t="s">
        <v>66</v>
      </c>
      <c r="E37" s="564" t="s">
        <v>64</v>
      </c>
      <c r="F37" s="564" t="s">
        <v>65</v>
      </c>
      <c r="G37" s="564" t="s">
        <v>147</v>
      </c>
      <c r="H37" s="565">
        <v>44288</v>
      </c>
      <c r="I37" s="564" t="s">
        <v>482</v>
      </c>
      <c r="J37" s="599">
        <v>136750</v>
      </c>
      <c r="K37" s="603">
        <v>0.4</v>
      </c>
      <c r="L37" s="568">
        <v>54700</v>
      </c>
      <c r="M37" s="569" t="s">
        <v>203</v>
      </c>
      <c r="N37" s="573">
        <v>0</v>
      </c>
      <c r="O37" s="570">
        <f t="shared" si="0"/>
        <v>54700</v>
      </c>
      <c r="P37" s="576"/>
      <c r="Q37" s="572" t="e">
        <f>VLOOKUP(G:G,list!B:D,3,FALSE)</f>
        <v>#N/A</v>
      </c>
    </row>
    <row r="38" spans="2:17" ht="18" hidden="1" customHeight="1">
      <c r="B38" s="563">
        <v>33</v>
      </c>
      <c r="C38" s="564" t="e">
        <f>VLOOKUP(G:G,list!B:D,2,FALSE)</f>
        <v>#N/A</v>
      </c>
      <c r="D38" s="564" t="s">
        <v>182</v>
      </c>
      <c r="E38" s="564" t="s">
        <v>115</v>
      </c>
      <c r="F38" s="564" t="s">
        <v>384</v>
      </c>
      <c r="G38" s="564" t="s">
        <v>147</v>
      </c>
      <c r="H38" s="565">
        <v>44180</v>
      </c>
      <c r="I38" s="564" t="s">
        <v>455</v>
      </c>
      <c r="J38" s="599">
        <v>112319</v>
      </c>
      <c r="K38" s="600">
        <v>0.5</v>
      </c>
      <c r="L38" s="568">
        <v>56159.5</v>
      </c>
      <c r="M38" s="569" t="s">
        <v>203</v>
      </c>
      <c r="N38" s="573">
        <v>0</v>
      </c>
      <c r="O38" s="570">
        <f t="shared" si="0"/>
        <v>56159.5</v>
      </c>
      <c r="P38" s="573"/>
      <c r="Q38" s="572" t="e">
        <f>VLOOKUP(G:G,list!B:D,3,FALSE)</f>
        <v>#N/A</v>
      </c>
    </row>
    <row r="39" spans="2:17" ht="18" hidden="1" customHeight="1">
      <c r="B39" s="563">
        <v>34</v>
      </c>
      <c r="C39" s="564" t="e">
        <f>VLOOKUP(G:G,list!B:D,2,FALSE)</f>
        <v>#N/A</v>
      </c>
      <c r="D39" s="564" t="s">
        <v>182</v>
      </c>
      <c r="E39" s="564" t="s">
        <v>115</v>
      </c>
      <c r="F39" s="564" t="s">
        <v>283</v>
      </c>
      <c r="G39" s="564" t="s">
        <v>53</v>
      </c>
      <c r="H39" s="565">
        <v>44271</v>
      </c>
      <c r="I39" s="564" t="s">
        <v>377</v>
      </c>
      <c r="J39" s="599">
        <v>2021400</v>
      </c>
      <c r="K39" s="600">
        <v>0.5</v>
      </c>
      <c r="L39" s="568">
        <v>1010700</v>
      </c>
      <c r="M39" s="569" t="s">
        <v>203</v>
      </c>
      <c r="N39" s="573">
        <v>0</v>
      </c>
      <c r="O39" s="570">
        <f t="shared" si="0"/>
        <v>1010700</v>
      </c>
      <c r="P39" s="575"/>
      <c r="Q39" s="572" t="e">
        <f>VLOOKUP(G:G,list!B:D,3,FALSE)</f>
        <v>#N/A</v>
      </c>
    </row>
    <row r="40" spans="2:17" ht="18" hidden="1" customHeight="1">
      <c r="B40" s="563">
        <v>35</v>
      </c>
      <c r="C40" s="564" t="e">
        <f>VLOOKUP(G:G,list!B:D,2,FALSE)</f>
        <v>#N/A</v>
      </c>
      <c r="D40" s="564" t="s">
        <v>182</v>
      </c>
      <c r="E40" s="564" t="s">
        <v>115</v>
      </c>
      <c r="F40" s="564" t="s">
        <v>386</v>
      </c>
      <c r="G40" s="564" t="s">
        <v>147</v>
      </c>
      <c r="H40" s="565">
        <v>44593</v>
      </c>
      <c r="I40" s="564" t="s">
        <v>377</v>
      </c>
      <c r="J40" s="599">
        <v>346609</v>
      </c>
      <c r="K40" s="600">
        <v>0.5</v>
      </c>
      <c r="L40" s="568">
        <v>173304.5</v>
      </c>
      <c r="M40" s="569" t="s">
        <v>203</v>
      </c>
      <c r="N40" s="573">
        <v>0</v>
      </c>
      <c r="O40" s="570">
        <f t="shared" si="0"/>
        <v>173304.5</v>
      </c>
      <c r="P40" s="575"/>
      <c r="Q40" s="572" t="e">
        <f>VLOOKUP(G:G,list!B:D,3,FALSE)</f>
        <v>#N/A</v>
      </c>
    </row>
    <row r="41" spans="2:17" ht="18" hidden="1" customHeight="1">
      <c r="B41" s="563">
        <v>36</v>
      </c>
      <c r="C41" s="564" t="e">
        <f>VLOOKUP(G:G,list!B:D,2,FALSE)</f>
        <v>#N/A</v>
      </c>
      <c r="D41" s="564" t="s">
        <v>72</v>
      </c>
      <c r="E41" s="564" t="s">
        <v>9</v>
      </c>
      <c r="F41" s="564" t="s">
        <v>73</v>
      </c>
      <c r="G41" s="564" t="s">
        <v>147</v>
      </c>
      <c r="H41" s="565">
        <v>44435</v>
      </c>
      <c r="I41" s="564" t="s">
        <v>455</v>
      </c>
      <c r="J41" s="599">
        <v>2810309</v>
      </c>
      <c r="K41" s="605">
        <v>0.224</v>
      </c>
      <c r="L41" s="568">
        <v>566562</v>
      </c>
      <c r="M41" s="569" t="s">
        <v>203</v>
      </c>
      <c r="N41" s="573">
        <v>0</v>
      </c>
      <c r="O41" s="570">
        <f t="shared" si="0"/>
        <v>566562</v>
      </c>
      <c r="P41" s="573"/>
      <c r="Q41" s="572" t="e">
        <f>VLOOKUP(G:G,list!B:D,3,FALSE)</f>
        <v>#N/A</v>
      </c>
    </row>
    <row r="42" spans="2:17" ht="18" hidden="1" customHeight="1">
      <c r="B42" s="563">
        <v>37</v>
      </c>
      <c r="C42" s="564" t="e">
        <f>VLOOKUP(G:G,list!B:D,2,FALSE)</f>
        <v>#N/A</v>
      </c>
      <c r="D42" s="564" t="s">
        <v>67</v>
      </c>
      <c r="E42" s="564" t="s">
        <v>64</v>
      </c>
      <c r="F42" s="564" t="s">
        <v>65</v>
      </c>
      <c r="G42" s="564" t="s">
        <v>147</v>
      </c>
      <c r="H42" s="565">
        <v>44260</v>
      </c>
      <c r="I42" s="564" t="s">
        <v>482</v>
      </c>
      <c r="J42" s="599">
        <v>300423</v>
      </c>
      <c r="K42" s="603">
        <v>0.4</v>
      </c>
      <c r="L42" s="568">
        <v>120169</v>
      </c>
      <c r="M42" s="569" t="s">
        <v>203</v>
      </c>
      <c r="N42" s="573">
        <v>0</v>
      </c>
      <c r="O42" s="570">
        <f t="shared" si="0"/>
        <v>120169</v>
      </c>
      <c r="P42" s="576"/>
      <c r="Q42" s="572" t="e">
        <f>VLOOKUP(G:G,list!B:D,3,FALSE)</f>
        <v>#N/A</v>
      </c>
    </row>
    <row r="43" spans="2:17" ht="18" hidden="1" customHeight="1">
      <c r="B43" s="563">
        <v>38</v>
      </c>
      <c r="C43" s="564" t="str">
        <f>VLOOKUP(G:G,list!B:D,2,FALSE)</f>
        <v>작가기획</v>
      </c>
      <c r="D43" s="564" t="s">
        <v>78</v>
      </c>
      <c r="E43" s="564" t="s">
        <v>9</v>
      </c>
      <c r="F43" s="564" t="s">
        <v>272</v>
      </c>
      <c r="G43" s="564" t="s">
        <v>139</v>
      </c>
      <c r="H43" s="565">
        <v>44513</v>
      </c>
      <c r="I43" s="564" t="s">
        <v>455</v>
      </c>
      <c r="J43" s="577">
        <v>18760</v>
      </c>
      <c r="K43" s="567">
        <v>0.5</v>
      </c>
      <c r="L43" s="568">
        <v>9380</v>
      </c>
      <c r="M43" s="569" t="s">
        <v>203</v>
      </c>
      <c r="N43" s="570">
        <v>0</v>
      </c>
      <c r="O43" s="570">
        <f t="shared" si="0"/>
        <v>9380</v>
      </c>
      <c r="P43" s="584"/>
      <c r="Q43" s="572" t="str">
        <f>VLOOKUP(G:G,list!B:D,3,FALSE)</f>
        <v>Y</v>
      </c>
    </row>
    <row r="44" spans="2:17" ht="18" hidden="1" customHeight="1">
      <c r="B44" s="563">
        <v>39</v>
      </c>
      <c r="C44" s="564" t="str">
        <f>VLOOKUP(G:G,list!B:D,2,FALSE)</f>
        <v>작가기획</v>
      </c>
      <c r="D44" s="564" t="s">
        <v>78</v>
      </c>
      <c r="E44" s="564" t="s">
        <v>9</v>
      </c>
      <c r="F44" s="564" t="s">
        <v>246</v>
      </c>
      <c r="G44" s="564" t="s">
        <v>139</v>
      </c>
      <c r="H44" s="565">
        <v>43852</v>
      </c>
      <c r="I44" s="564" t="s">
        <v>482</v>
      </c>
      <c r="J44" s="579">
        <v>34560</v>
      </c>
      <c r="K44" s="567" t="s">
        <v>165</v>
      </c>
      <c r="L44" s="568">
        <v>13392</v>
      </c>
      <c r="M44" s="569" t="s">
        <v>203</v>
      </c>
      <c r="N44" s="570">
        <v>0</v>
      </c>
      <c r="O44" s="570">
        <f t="shared" si="0"/>
        <v>13392</v>
      </c>
      <c r="P44" s="584"/>
      <c r="Q44" s="572" t="str">
        <f>VLOOKUP(G:G,list!B:D,3,FALSE)</f>
        <v>Y</v>
      </c>
    </row>
    <row r="45" spans="2:17" ht="18" hidden="1" customHeight="1">
      <c r="B45" s="563">
        <v>40</v>
      </c>
      <c r="C45" s="564" t="str">
        <f>VLOOKUP(G:G,list!B:D,2,FALSE)</f>
        <v>작가기획</v>
      </c>
      <c r="D45" s="564" t="s">
        <v>182</v>
      </c>
      <c r="E45" s="564" t="s">
        <v>9</v>
      </c>
      <c r="F45" s="564" t="s">
        <v>384</v>
      </c>
      <c r="G45" s="564" t="s">
        <v>139</v>
      </c>
      <c r="H45" s="565">
        <v>44180</v>
      </c>
      <c r="I45" s="564" t="s">
        <v>455</v>
      </c>
      <c r="J45" s="599">
        <v>20863</v>
      </c>
      <c r="K45" s="600">
        <v>0.5</v>
      </c>
      <c r="L45" s="568">
        <v>10431.5</v>
      </c>
      <c r="M45" s="569" t="s">
        <v>203</v>
      </c>
      <c r="N45" s="573">
        <v>0</v>
      </c>
      <c r="O45" s="570">
        <f t="shared" si="0"/>
        <v>10431.5</v>
      </c>
      <c r="P45" s="573"/>
      <c r="Q45" s="572" t="str">
        <f>VLOOKUP(G:G,list!B:D,3,FALSE)</f>
        <v>Y</v>
      </c>
    </row>
    <row r="46" spans="2:17" ht="18" hidden="1" customHeight="1">
      <c r="B46" s="563">
        <v>41</v>
      </c>
      <c r="C46" s="564" t="str">
        <f>VLOOKUP(G:G,list!B:D,2,FALSE)</f>
        <v>작가기획</v>
      </c>
      <c r="D46" s="564" t="s">
        <v>182</v>
      </c>
      <c r="E46" s="564" t="s">
        <v>115</v>
      </c>
      <c r="F46" s="564" t="s">
        <v>386</v>
      </c>
      <c r="G46" s="564" t="s">
        <v>139</v>
      </c>
      <c r="H46" s="565">
        <v>44643</v>
      </c>
      <c r="I46" s="564" t="s">
        <v>377</v>
      </c>
      <c r="J46" s="599">
        <v>69948</v>
      </c>
      <c r="K46" s="600">
        <v>0.5</v>
      </c>
      <c r="L46" s="568">
        <v>34974</v>
      </c>
      <c r="M46" s="569" t="s">
        <v>203</v>
      </c>
      <c r="N46" s="573">
        <v>0</v>
      </c>
      <c r="O46" s="570">
        <f t="shared" si="0"/>
        <v>34974</v>
      </c>
      <c r="P46" s="575"/>
      <c r="Q46" s="572" t="str">
        <f>VLOOKUP(G:G,list!B:D,3,FALSE)</f>
        <v>Y</v>
      </c>
    </row>
    <row r="47" spans="2:17" ht="18" hidden="1" customHeight="1">
      <c r="B47" s="563">
        <v>42</v>
      </c>
      <c r="C47" s="564" t="str">
        <f>VLOOKUP(G:G,list!B:D,2,FALSE)</f>
        <v>작가기획</v>
      </c>
      <c r="D47" s="564" t="s">
        <v>32</v>
      </c>
      <c r="E47" s="564" t="s">
        <v>9</v>
      </c>
      <c r="F47" s="564" t="s">
        <v>154</v>
      </c>
      <c r="G47" s="564" t="s">
        <v>139</v>
      </c>
      <c r="H47" s="565">
        <v>44113</v>
      </c>
      <c r="I47" s="564" t="s">
        <v>455</v>
      </c>
      <c r="J47" s="599">
        <v>22729</v>
      </c>
      <c r="K47" s="606">
        <v>0.4</v>
      </c>
      <c r="L47" s="568">
        <v>8637</v>
      </c>
      <c r="M47" s="569" t="s">
        <v>203</v>
      </c>
      <c r="N47" s="570">
        <v>0</v>
      </c>
      <c r="O47" s="570">
        <f t="shared" si="0"/>
        <v>8637</v>
      </c>
      <c r="P47" s="602"/>
      <c r="Q47" s="572" t="str">
        <f>VLOOKUP(G:G,list!B:D,3,FALSE)</f>
        <v>Y</v>
      </c>
    </row>
    <row r="48" spans="2:17" ht="18" hidden="1" customHeight="1">
      <c r="B48" s="563">
        <v>43</v>
      </c>
      <c r="C48" s="564" t="str">
        <f>VLOOKUP(G:G,list!B:D,2,FALSE)</f>
        <v>작가기획</v>
      </c>
      <c r="D48" s="564" t="s">
        <v>67</v>
      </c>
      <c r="E48" s="564" t="s">
        <v>9</v>
      </c>
      <c r="F48" s="564" t="s">
        <v>65</v>
      </c>
      <c r="G48" s="564" t="s">
        <v>139</v>
      </c>
      <c r="H48" s="565">
        <v>43921</v>
      </c>
      <c r="I48" s="564" t="s">
        <v>482</v>
      </c>
      <c r="J48" s="599">
        <v>160128</v>
      </c>
      <c r="K48" s="603">
        <v>0.4</v>
      </c>
      <c r="L48" s="568">
        <v>64051</v>
      </c>
      <c r="M48" s="569" t="s">
        <v>203</v>
      </c>
      <c r="N48" s="573">
        <v>0</v>
      </c>
      <c r="O48" s="570">
        <f t="shared" si="0"/>
        <v>64051</v>
      </c>
      <c r="P48" s="575"/>
      <c r="Q48" s="572" t="str">
        <f>VLOOKUP(G:G,list!B:D,3,FALSE)</f>
        <v>Y</v>
      </c>
    </row>
    <row r="49" spans="2:17" ht="18" hidden="1" customHeight="1">
      <c r="B49" s="563">
        <v>44</v>
      </c>
      <c r="C49" s="564" t="e">
        <f>VLOOKUP(G:G,list!B:D,2,FALSE)</f>
        <v>#N/A</v>
      </c>
      <c r="D49" s="564" t="s">
        <v>448</v>
      </c>
      <c r="E49" s="564" t="s">
        <v>62</v>
      </c>
      <c r="F49" s="564" t="s">
        <v>176</v>
      </c>
      <c r="G49" s="564" t="s">
        <v>478</v>
      </c>
      <c r="H49" s="565">
        <v>44814</v>
      </c>
      <c r="I49" s="564" t="s">
        <v>482</v>
      </c>
      <c r="J49" s="586">
        <v>7552936.9000000004</v>
      </c>
      <c r="K49" s="567">
        <v>0.6</v>
      </c>
      <c r="L49" s="568">
        <v>4531762</v>
      </c>
      <c r="M49" s="569">
        <v>0.1</v>
      </c>
      <c r="N49" s="570">
        <f t="shared" ref="N49:N80" si="3">L49*M49</f>
        <v>453176.2</v>
      </c>
      <c r="O49" s="570">
        <f t="shared" si="0"/>
        <v>4078585.8</v>
      </c>
      <c r="P49" s="575"/>
      <c r="Q49" s="572" t="e">
        <f>VLOOKUP(G:G,list!B:D,3,FALSE)</f>
        <v>#N/A</v>
      </c>
    </row>
    <row r="50" spans="2:17" ht="18" hidden="1" customHeight="1">
      <c r="B50" s="563">
        <v>45</v>
      </c>
      <c r="C50" s="564" t="e">
        <f>VLOOKUP(G:G,list!B:D,2,FALSE)</f>
        <v>#N/A</v>
      </c>
      <c r="D50" s="564" t="s">
        <v>78</v>
      </c>
      <c r="E50" s="564" t="s">
        <v>9</v>
      </c>
      <c r="F50" s="564" t="s">
        <v>126</v>
      </c>
      <c r="G50" s="564" t="s">
        <v>226</v>
      </c>
      <c r="H50" s="565">
        <v>44320</v>
      </c>
      <c r="I50" s="564" t="s">
        <v>482</v>
      </c>
      <c r="J50" s="586">
        <v>159865</v>
      </c>
      <c r="K50" s="567">
        <v>0.6</v>
      </c>
      <c r="L50" s="568">
        <v>95919</v>
      </c>
      <c r="M50" s="569">
        <v>0.1</v>
      </c>
      <c r="N50" s="570">
        <f t="shared" si="3"/>
        <v>9591.9</v>
      </c>
      <c r="O50" s="570">
        <f t="shared" si="0"/>
        <v>86327.1</v>
      </c>
      <c r="P50" s="576"/>
      <c r="Q50" s="572" t="e">
        <f>VLOOKUP(G:G,list!B:D,3,FALSE)</f>
        <v>#N/A</v>
      </c>
    </row>
    <row r="51" spans="2:17" ht="18" hidden="1" customHeight="1">
      <c r="B51" s="563">
        <v>46</v>
      </c>
      <c r="C51" s="564" t="e">
        <f>VLOOKUP(G:G,list!B:D,2,FALSE)</f>
        <v>#N/A</v>
      </c>
      <c r="D51" s="564" t="s">
        <v>182</v>
      </c>
      <c r="E51" s="564" t="s">
        <v>9</v>
      </c>
      <c r="F51" s="564" t="s">
        <v>384</v>
      </c>
      <c r="G51" s="564" t="s">
        <v>226</v>
      </c>
      <c r="H51" s="565">
        <v>44371</v>
      </c>
      <c r="I51" s="564" t="s">
        <v>455</v>
      </c>
      <c r="J51" s="599">
        <v>21091</v>
      </c>
      <c r="K51" s="600">
        <v>0.5</v>
      </c>
      <c r="L51" s="568">
        <v>10545.5</v>
      </c>
      <c r="M51" s="569">
        <v>0.1</v>
      </c>
      <c r="N51" s="570">
        <f t="shared" si="3"/>
        <v>1054.55</v>
      </c>
      <c r="O51" s="570">
        <f t="shared" si="0"/>
        <v>9490.9500000000007</v>
      </c>
      <c r="P51" s="575"/>
      <c r="Q51" s="572" t="e">
        <f>VLOOKUP(G:G,list!B:D,3,FALSE)</f>
        <v>#N/A</v>
      </c>
    </row>
    <row r="52" spans="2:17" ht="18" hidden="1" customHeight="1">
      <c r="B52" s="563">
        <v>47</v>
      </c>
      <c r="C52" s="564" t="e">
        <f>VLOOKUP(G:G,list!B:D,2,FALSE)</f>
        <v>#N/A</v>
      </c>
      <c r="D52" s="564" t="s">
        <v>182</v>
      </c>
      <c r="E52" s="564" t="s">
        <v>115</v>
      </c>
      <c r="F52" s="564" t="s">
        <v>283</v>
      </c>
      <c r="G52" s="564" t="s">
        <v>55</v>
      </c>
      <c r="H52" s="565">
        <v>44668</v>
      </c>
      <c r="I52" s="564" t="s">
        <v>377</v>
      </c>
      <c r="J52" s="599">
        <v>67320</v>
      </c>
      <c r="K52" s="600">
        <v>0.5</v>
      </c>
      <c r="L52" s="568">
        <v>33660</v>
      </c>
      <c r="M52" s="569">
        <v>0.1</v>
      </c>
      <c r="N52" s="570">
        <f t="shared" si="3"/>
        <v>3366</v>
      </c>
      <c r="O52" s="570">
        <f t="shared" si="0"/>
        <v>30294</v>
      </c>
      <c r="P52" s="575"/>
      <c r="Q52" s="572" t="e">
        <f>VLOOKUP(G:G,list!B:D,3,FALSE)</f>
        <v>#N/A</v>
      </c>
    </row>
    <row r="53" spans="2:17" ht="18" hidden="1" customHeight="1">
      <c r="B53" s="563">
        <v>48</v>
      </c>
      <c r="C53" s="564" t="e">
        <f>VLOOKUP(G:G,list!B:D,2,FALSE)</f>
        <v>#N/A</v>
      </c>
      <c r="D53" s="564" t="s">
        <v>182</v>
      </c>
      <c r="E53" s="564" t="s">
        <v>115</v>
      </c>
      <c r="F53" s="564" t="s">
        <v>386</v>
      </c>
      <c r="G53" s="564" t="s">
        <v>226</v>
      </c>
      <c r="H53" s="565">
        <v>44633</v>
      </c>
      <c r="I53" s="564" t="s">
        <v>377</v>
      </c>
      <c r="J53" s="599">
        <v>19695</v>
      </c>
      <c r="K53" s="600">
        <v>0.5</v>
      </c>
      <c r="L53" s="568">
        <v>9847.5</v>
      </c>
      <c r="M53" s="569">
        <v>0.1</v>
      </c>
      <c r="N53" s="570">
        <f t="shared" si="3"/>
        <v>984.75</v>
      </c>
      <c r="O53" s="570">
        <f t="shared" si="0"/>
        <v>8862.75</v>
      </c>
      <c r="P53" s="575"/>
      <c r="Q53" s="572" t="e">
        <f>VLOOKUP(G:G,list!B:D,3,FALSE)</f>
        <v>#N/A</v>
      </c>
    </row>
    <row r="54" spans="2:17" ht="18" hidden="1" customHeight="1">
      <c r="B54" s="563">
        <v>49</v>
      </c>
      <c r="C54" s="564" t="e">
        <f>VLOOKUP(G:G,list!B:D,2,FALSE)</f>
        <v>#N/A</v>
      </c>
      <c r="D54" s="564" t="s">
        <v>313</v>
      </c>
      <c r="E54" s="564" t="s">
        <v>9</v>
      </c>
      <c r="F54" s="564" t="s">
        <v>213</v>
      </c>
      <c r="G54" s="564" t="s">
        <v>55</v>
      </c>
      <c r="H54" s="565">
        <v>44666</v>
      </c>
      <c r="I54" s="564" t="s">
        <v>482</v>
      </c>
      <c r="J54" s="599">
        <v>50970</v>
      </c>
      <c r="K54" s="600">
        <v>0.3</v>
      </c>
      <c r="L54" s="568">
        <v>15291</v>
      </c>
      <c r="M54" s="569">
        <v>0.1</v>
      </c>
      <c r="N54" s="570">
        <f t="shared" si="3"/>
        <v>1529.1000000000001</v>
      </c>
      <c r="O54" s="570">
        <f t="shared" si="0"/>
        <v>13761.9</v>
      </c>
      <c r="P54" s="575" t="s">
        <v>307</v>
      </c>
      <c r="Q54" s="572" t="e">
        <f>VLOOKUP(G:G,list!B:D,3,FALSE)</f>
        <v>#N/A</v>
      </c>
    </row>
    <row r="55" spans="2:17" ht="18" hidden="1" customHeight="1">
      <c r="B55" s="563">
        <v>50</v>
      </c>
      <c r="C55" s="564" t="e">
        <f>VLOOKUP(G:G,list!B:D,2,FALSE)</f>
        <v>#N/A</v>
      </c>
      <c r="D55" s="564" t="s">
        <v>72</v>
      </c>
      <c r="E55" s="564" t="s">
        <v>9</v>
      </c>
      <c r="F55" s="564" t="s">
        <v>73</v>
      </c>
      <c r="G55" s="564" t="s">
        <v>55</v>
      </c>
      <c r="H55" s="565">
        <v>44811</v>
      </c>
      <c r="I55" s="564" t="s">
        <v>455</v>
      </c>
      <c r="J55" s="599">
        <v>535260</v>
      </c>
      <c r="K55" s="605">
        <v>0.224</v>
      </c>
      <c r="L55" s="568">
        <v>107147</v>
      </c>
      <c r="M55" s="569">
        <v>0.1</v>
      </c>
      <c r="N55" s="573">
        <f t="shared" si="3"/>
        <v>10714.7</v>
      </c>
      <c r="O55" s="570">
        <f t="shared" si="0"/>
        <v>96432.3</v>
      </c>
      <c r="P55" s="575" t="s">
        <v>287</v>
      </c>
      <c r="Q55" s="572" t="e">
        <f>VLOOKUP(G:G,list!B:D,3,FALSE)</f>
        <v>#N/A</v>
      </c>
    </row>
    <row r="56" spans="2:17" ht="18" hidden="1" customHeight="1">
      <c r="B56" s="563">
        <v>51</v>
      </c>
      <c r="C56" s="564" t="e">
        <f>VLOOKUP(G:G,list!B:D,2,FALSE)</f>
        <v>#N/A</v>
      </c>
      <c r="D56" s="564" t="s">
        <v>78</v>
      </c>
      <c r="E56" s="564" t="s">
        <v>9</v>
      </c>
      <c r="F56" s="564" t="s">
        <v>371</v>
      </c>
      <c r="G56" s="564" t="s">
        <v>498</v>
      </c>
      <c r="H56" s="565">
        <v>44843</v>
      </c>
      <c r="I56" s="564" t="s">
        <v>482</v>
      </c>
      <c r="J56" s="586">
        <v>25834303.100000001</v>
      </c>
      <c r="K56" s="567">
        <v>0.6</v>
      </c>
      <c r="L56" s="568">
        <v>15500584</v>
      </c>
      <c r="M56" s="569">
        <v>0.1</v>
      </c>
      <c r="N56" s="573">
        <f t="shared" si="3"/>
        <v>1550058.4000000001</v>
      </c>
      <c r="O56" s="570">
        <f t="shared" si="0"/>
        <v>13950525.6</v>
      </c>
      <c r="P56" s="578" t="s">
        <v>287</v>
      </c>
      <c r="Q56" s="572" t="e">
        <f>VLOOKUP(G:G,list!B:D,3,FALSE)</f>
        <v>#N/A</v>
      </c>
    </row>
    <row r="57" spans="2:17" ht="17.25" hidden="1" customHeight="1">
      <c r="B57" s="563">
        <v>52</v>
      </c>
      <c r="C57" s="564" t="e">
        <f>VLOOKUP(G:G,list!B:D,2,FALSE)</f>
        <v>#N/A</v>
      </c>
      <c r="D57" s="564" t="s">
        <v>78</v>
      </c>
      <c r="E57" s="564" t="s">
        <v>9</v>
      </c>
      <c r="F57" s="564" t="s">
        <v>242</v>
      </c>
      <c r="G57" s="564" t="s">
        <v>362</v>
      </c>
      <c r="H57" s="565">
        <v>44703</v>
      </c>
      <c r="I57" s="564" t="s">
        <v>482</v>
      </c>
      <c r="J57" s="579">
        <v>3601843</v>
      </c>
      <c r="K57" s="580">
        <v>0.6</v>
      </c>
      <c r="L57" s="568">
        <v>2161106</v>
      </c>
      <c r="M57" s="569">
        <v>0.1</v>
      </c>
      <c r="N57" s="573">
        <f t="shared" si="3"/>
        <v>216110.6</v>
      </c>
      <c r="O57" s="570">
        <f t="shared" si="0"/>
        <v>1944995.4</v>
      </c>
      <c r="P57" s="578"/>
      <c r="Q57" s="572" t="e">
        <f>VLOOKUP(G:G,list!B:D,3,FALSE)</f>
        <v>#N/A</v>
      </c>
    </row>
    <row r="58" spans="2:17" ht="18" hidden="1" customHeight="1">
      <c r="B58" s="563">
        <v>53</v>
      </c>
      <c r="C58" s="564" t="e">
        <f>VLOOKUP(G:G,list!B:D,2,FALSE)</f>
        <v>#N/A</v>
      </c>
      <c r="D58" s="564" t="s">
        <v>27</v>
      </c>
      <c r="E58" s="564" t="s">
        <v>62</v>
      </c>
      <c r="F58" s="564" t="s">
        <v>213</v>
      </c>
      <c r="G58" s="564" t="s">
        <v>357</v>
      </c>
      <c r="H58" s="565">
        <v>44831</v>
      </c>
      <c r="I58" s="564" t="s">
        <v>455</v>
      </c>
      <c r="J58" s="599">
        <v>1946520</v>
      </c>
      <c r="K58" s="600">
        <v>0.3</v>
      </c>
      <c r="L58" s="568">
        <v>583956</v>
      </c>
      <c r="M58" s="569">
        <v>0.1</v>
      </c>
      <c r="N58" s="570">
        <f t="shared" si="3"/>
        <v>58395.600000000006</v>
      </c>
      <c r="O58" s="570">
        <f t="shared" si="0"/>
        <v>525560.4</v>
      </c>
      <c r="P58" s="575" t="s">
        <v>506</v>
      </c>
      <c r="Q58" s="572" t="e">
        <f>VLOOKUP(G:G,list!B:D,3,FALSE)</f>
        <v>#N/A</v>
      </c>
    </row>
    <row r="59" spans="2:17" ht="18" hidden="1" customHeight="1">
      <c r="B59" s="563">
        <v>54</v>
      </c>
      <c r="C59" s="564" t="e">
        <f>VLOOKUP(G:G,list!B:D,2,FALSE)</f>
        <v>#N/A</v>
      </c>
      <c r="D59" s="564" t="s">
        <v>189</v>
      </c>
      <c r="E59" s="564" t="s">
        <v>9</v>
      </c>
      <c r="F59" s="564" t="s">
        <v>213</v>
      </c>
      <c r="G59" s="564" t="s">
        <v>357</v>
      </c>
      <c r="H59" s="565">
        <v>44806</v>
      </c>
      <c r="I59" s="564" t="s">
        <v>482</v>
      </c>
      <c r="J59" s="599">
        <v>731583</v>
      </c>
      <c r="K59" s="600">
        <v>0.3</v>
      </c>
      <c r="L59" s="568">
        <v>219475</v>
      </c>
      <c r="M59" s="569">
        <v>0.1</v>
      </c>
      <c r="N59" s="573">
        <f t="shared" si="3"/>
        <v>21947.5</v>
      </c>
      <c r="O59" s="570">
        <f t="shared" si="0"/>
        <v>197527.5</v>
      </c>
      <c r="P59" s="575" t="s">
        <v>307</v>
      </c>
      <c r="Q59" s="572" t="e">
        <f>VLOOKUP(G:G,list!B:D,3,FALSE)</f>
        <v>#N/A</v>
      </c>
    </row>
    <row r="60" spans="2:17" ht="18" hidden="1" customHeight="1">
      <c r="B60" s="563">
        <v>55</v>
      </c>
      <c r="C60" s="564" t="e">
        <f>VLOOKUP(G:G,list!B:D,2,FALSE)</f>
        <v>#N/A</v>
      </c>
      <c r="D60" s="564" t="s">
        <v>22</v>
      </c>
      <c r="E60" s="564" t="s">
        <v>62</v>
      </c>
      <c r="F60" s="564" t="s">
        <v>213</v>
      </c>
      <c r="G60" s="564" t="s">
        <v>357</v>
      </c>
      <c r="H60" s="565">
        <v>44829</v>
      </c>
      <c r="I60" s="564" t="s">
        <v>482</v>
      </c>
      <c r="J60" s="599">
        <v>375127</v>
      </c>
      <c r="K60" s="603">
        <v>0.3</v>
      </c>
      <c r="L60" s="568">
        <v>112538</v>
      </c>
      <c r="M60" s="569">
        <v>0.1</v>
      </c>
      <c r="N60" s="573">
        <f t="shared" si="3"/>
        <v>11253.800000000001</v>
      </c>
      <c r="O60" s="570">
        <f t="shared" si="0"/>
        <v>101284.2</v>
      </c>
      <c r="P60" s="575" t="s">
        <v>425</v>
      </c>
      <c r="Q60" s="572" t="e">
        <f>VLOOKUP(G:G,list!B:D,3,FALSE)</f>
        <v>#N/A</v>
      </c>
    </row>
    <row r="61" spans="2:17" ht="18" hidden="1" customHeight="1">
      <c r="B61" s="563">
        <v>56</v>
      </c>
      <c r="C61" s="564" t="e">
        <f>VLOOKUP(G:G,list!B:D,2,FALSE)</f>
        <v>#N/A</v>
      </c>
      <c r="D61" s="564" t="s">
        <v>32</v>
      </c>
      <c r="E61" s="564" t="s">
        <v>62</v>
      </c>
      <c r="F61" s="564" t="s">
        <v>213</v>
      </c>
      <c r="G61" s="564" t="s">
        <v>357</v>
      </c>
      <c r="H61" s="565">
        <v>44773</v>
      </c>
      <c r="I61" s="564" t="s">
        <v>482</v>
      </c>
      <c r="J61" s="599">
        <v>521953</v>
      </c>
      <c r="K61" s="603">
        <v>0.3</v>
      </c>
      <c r="L61" s="568">
        <v>156586</v>
      </c>
      <c r="M61" s="569">
        <v>0.1</v>
      </c>
      <c r="N61" s="573">
        <f t="shared" si="3"/>
        <v>15658.6</v>
      </c>
      <c r="O61" s="570">
        <f t="shared" si="0"/>
        <v>140927.4</v>
      </c>
      <c r="P61" s="575" t="s">
        <v>307</v>
      </c>
      <c r="Q61" s="572" t="e">
        <f>VLOOKUP(G:G,list!B:D,3,FALSE)</f>
        <v>#N/A</v>
      </c>
    </row>
    <row r="62" spans="2:17" ht="18" hidden="1" customHeight="1">
      <c r="B62" s="563">
        <v>57</v>
      </c>
      <c r="C62" s="564" t="e">
        <f>VLOOKUP(G:G,list!B:D,2,FALSE)</f>
        <v>#N/A</v>
      </c>
      <c r="D62" s="564" t="s">
        <v>67</v>
      </c>
      <c r="E62" s="564" t="s">
        <v>9</v>
      </c>
      <c r="F62" s="564" t="s">
        <v>213</v>
      </c>
      <c r="G62" s="564" t="s">
        <v>357</v>
      </c>
      <c r="H62" s="565">
        <v>44789</v>
      </c>
      <c r="I62" s="564" t="s">
        <v>482</v>
      </c>
      <c r="J62" s="599">
        <v>1312583</v>
      </c>
      <c r="K62" s="606">
        <v>0.3</v>
      </c>
      <c r="L62" s="568">
        <v>393775</v>
      </c>
      <c r="M62" s="569">
        <v>0.1</v>
      </c>
      <c r="N62" s="573">
        <f t="shared" si="3"/>
        <v>39377.5</v>
      </c>
      <c r="O62" s="570">
        <f t="shared" si="0"/>
        <v>354397.5</v>
      </c>
      <c r="P62" s="575" t="s">
        <v>307</v>
      </c>
      <c r="Q62" s="572" t="e">
        <f>VLOOKUP(G:G,list!B:D,3,FALSE)</f>
        <v>#N/A</v>
      </c>
    </row>
    <row r="63" spans="2:17" ht="18" hidden="1" customHeight="1">
      <c r="B63" s="563">
        <v>58</v>
      </c>
      <c r="C63" s="564" t="e">
        <f>VLOOKUP(G:G,list!B:D,2,FALSE)</f>
        <v>#N/A</v>
      </c>
      <c r="D63" s="564" t="s">
        <v>448</v>
      </c>
      <c r="E63" s="564" t="s">
        <v>62</v>
      </c>
      <c r="F63" s="564" t="s">
        <v>176</v>
      </c>
      <c r="G63" s="564" t="s">
        <v>443</v>
      </c>
      <c r="H63" s="565">
        <v>44781</v>
      </c>
      <c r="I63" s="564" t="s">
        <v>482</v>
      </c>
      <c r="J63" s="586">
        <v>10980060.6</v>
      </c>
      <c r="K63" s="567">
        <v>0.6</v>
      </c>
      <c r="L63" s="568">
        <v>6588035</v>
      </c>
      <c r="M63" s="569">
        <v>0.1</v>
      </c>
      <c r="N63" s="570">
        <f t="shared" si="3"/>
        <v>658803.5</v>
      </c>
      <c r="O63" s="570">
        <f t="shared" si="0"/>
        <v>5929231.5</v>
      </c>
      <c r="P63" s="575"/>
      <c r="Q63" s="572" t="e">
        <f>VLOOKUP(G:G,list!B:D,3,FALSE)</f>
        <v>#N/A</v>
      </c>
    </row>
    <row r="64" spans="2:17" ht="18" hidden="1" customHeight="1">
      <c r="B64" s="563">
        <v>59</v>
      </c>
      <c r="C64" s="564" t="e">
        <f>VLOOKUP(G:G,list!B:D,2,FALSE)</f>
        <v>#N/A</v>
      </c>
      <c r="D64" s="564" t="s">
        <v>78</v>
      </c>
      <c r="E64" s="564" t="s">
        <v>9</v>
      </c>
      <c r="F64" s="564" t="s">
        <v>126</v>
      </c>
      <c r="G64" s="564" t="s">
        <v>409</v>
      </c>
      <c r="H64" s="565">
        <v>44770</v>
      </c>
      <c r="I64" s="564" t="s">
        <v>482</v>
      </c>
      <c r="J64" s="586">
        <v>11311733.699999999</v>
      </c>
      <c r="K64" s="567">
        <v>0.6</v>
      </c>
      <c r="L64" s="568">
        <v>6787039</v>
      </c>
      <c r="M64" s="569">
        <v>0.1</v>
      </c>
      <c r="N64" s="570">
        <f t="shared" si="3"/>
        <v>678703.9</v>
      </c>
      <c r="O64" s="570">
        <f t="shared" si="0"/>
        <v>6108335.0999999996</v>
      </c>
      <c r="P64" s="575"/>
      <c r="Q64" s="572" t="e">
        <f>VLOOKUP(G:G,list!B:D,3,FALSE)</f>
        <v>#N/A</v>
      </c>
    </row>
    <row r="65" spans="2:17" ht="18" hidden="1" customHeight="1">
      <c r="B65" s="563">
        <v>60</v>
      </c>
      <c r="C65" s="564" t="str">
        <f>VLOOKUP(G:G,list!B:D,2,FALSE)</f>
        <v>원작료</v>
      </c>
      <c r="D65" s="564" t="s">
        <v>78</v>
      </c>
      <c r="E65" s="564" t="s">
        <v>9</v>
      </c>
      <c r="F65" s="564" t="s">
        <v>209</v>
      </c>
      <c r="G65" s="564" t="s">
        <v>151</v>
      </c>
      <c r="H65" s="565">
        <v>44409</v>
      </c>
      <c r="I65" s="564" t="s">
        <v>482</v>
      </c>
      <c r="J65" s="586">
        <v>443081</v>
      </c>
      <c r="K65" s="567">
        <v>0.6</v>
      </c>
      <c r="L65" s="568">
        <v>265849</v>
      </c>
      <c r="M65" s="569">
        <v>0.1</v>
      </c>
      <c r="N65" s="570">
        <f t="shared" si="3"/>
        <v>26584.9</v>
      </c>
      <c r="O65" s="570">
        <f t="shared" si="0"/>
        <v>239264.1</v>
      </c>
      <c r="P65" s="576"/>
      <c r="Q65" s="572" t="str">
        <f>VLOOKUP(G:G,list!B:D,3,FALSE)</f>
        <v>Y</v>
      </c>
    </row>
    <row r="66" spans="2:17" ht="18" hidden="1" customHeight="1">
      <c r="B66" s="563">
        <v>61</v>
      </c>
      <c r="C66" s="564" t="str">
        <f>VLOOKUP(G:G,list!B:D,2,FALSE)</f>
        <v>원작료</v>
      </c>
      <c r="D66" s="564" t="s">
        <v>78</v>
      </c>
      <c r="E66" s="564" t="s">
        <v>9</v>
      </c>
      <c r="F66" s="564" t="s">
        <v>126</v>
      </c>
      <c r="G66" s="564" t="s">
        <v>151</v>
      </c>
      <c r="H66" s="565">
        <v>44199</v>
      </c>
      <c r="I66" s="564" t="s">
        <v>482</v>
      </c>
      <c r="J66" s="586">
        <v>894483.5</v>
      </c>
      <c r="K66" s="567">
        <v>0.6</v>
      </c>
      <c r="L66" s="568">
        <v>536691</v>
      </c>
      <c r="M66" s="569">
        <v>0.1</v>
      </c>
      <c r="N66" s="570">
        <f t="shared" si="3"/>
        <v>53669.100000000006</v>
      </c>
      <c r="O66" s="570">
        <f t="shared" si="0"/>
        <v>483021.9</v>
      </c>
      <c r="P66" s="576" t="s">
        <v>511</v>
      </c>
      <c r="Q66" s="572" t="str">
        <f>VLOOKUP(G:G,list!B:D,3,FALSE)</f>
        <v>Y</v>
      </c>
    </row>
    <row r="67" spans="2:17" ht="18" hidden="1" customHeight="1">
      <c r="B67" s="563">
        <v>62</v>
      </c>
      <c r="C67" s="564" t="str">
        <f>VLOOKUP(G:G,list!B:D,2,FALSE)</f>
        <v>원작료</v>
      </c>
      <c r="D67" s="564" t="s">
        <v>66</v>
      </c>
      <c r="E67" s="564" t="s">
        <v>64</v>
      </c>
      <c r="F67" s="564" t="s">
        <v>65</v>
      </c>
      <c r="G67" s="564" t="s">
        <v>151</v>
      </c>
      <c r="H67" s="565">
        <v>44586</v>
      </c>
      <c r="I67" s="564" t="s">
        <v>482</v>
      </c>
      <c r="J67" s="599">
        <v>708428</v>
      </c>
      <c r="K67" s="603">
        <v>0.4</v>
      </c>
      <c r="L67" s="568">
        <v>283371</v>
      </c>
      <c r="M67" s="569">
        <v>0.1</v>
      </c>
      <c r="N67" s="570">
        <f t="shared" si="3"/>
        <v>28337.100000000002</v>
      </c>
      <c r="O67" s="570">
        <f t="shared" si="0"/>
        <v>255033.9</v>
      </c>
      <c r="P67" s="576"/>
      <c r="Q67" s="572" t="str">
        <f>VLOOKUP(G:G,list!B:D,3,FALSE)</f>
        <v>Y</v>
      </c>
    </row>
    <row r="68" spans="2:17" ht="18" hidden="1" customHeight="1">
      <c r="B68" s="563">
        <v>63</v>
      </c>
      <c r="C68" s="564" t="str">
        <f>VLOOKUP(G:G,list!B:D,2,FALSE)</f>
        <v>원작료</v>
      </c>
      <c r="D68" s="564" t="s">
        <v>182</v>
      </c>
      <c r="E68" s="564" t="s">
        <v>9</v>
      </c>
      <c r="F68" s="564" t="s">
        <v>384</v>
      </c>
      <c r="G68" s="564" t="s">
        <v>151</v>
      </c>
      <c r="H68" s="565">
        <v>44207</v>
      </c>
      <c r="I68" s="564" t="s">
        <v>455</v>
      </c>
      <c r="J68" s="599">
        <v>120824</v>
      </c>
      <c r="K68" s="600">
        <v>0.5</v>
      </c>
      <c r="L68" s="568">
        <v>60412</v>
      </c>
      <c r="M68" s="569">
        <v>0.1</v>
      </c>
      <c r="N68" s="570">
        <f t="shared" si="3"/>
        <v>6041.2000000000007</v>
      </c>
      <c r="O68" s="570">
        <f t="shared" si="0"/>
        <v>54370.8</v>
      </c>
      <c r="P68" s="620"/>
      <c r="Q68" s="572" t="str">
        <f>VLOOKUP(G:G,list!B:D,3,FALSE)</f>
        <v>Y</v>
      </c>
    </row>
    <row r="69" spans="2:17" ht="18" hidden="1" customHeight="1">
      <c r="B69" s="563">
        <v>64</v>
      </c>
      <c r="C69" s="564" t="str">
        <f>VLOOKUP(G:G,list!B:D,2,FALSE)</f>
        <v>원작료</v>
      </c>
      <c r="D69" s="564" t="s">
        <v>182</v>
      </c>
      <c r="E69" s="564" t="s">
        <v>115</v>
      </c>
      <c r="F69" s="564" t="s">
        <v>283</v>
      </c>
      <c r="G69" s="564" t="s">
        <v>30</v>
      </c>
      <c r="H69" s="565">
        <v>44358</v>
      </c>
      <c r="I69" s="564" t="s">
        <v>377</v>
      </c>
      <c r="J69" s="599">
        <v>1288620</v>
      </c>
      <c r="K69" s="600">
        <v>0.5</v>
      </c>
      <c r="L69" s="568">
        <v>644310</v>
      </c>
      <c r="M69" s="569">
        <v>0.1</v>
      </c>
      <c r="N69" s="570">
        <f t="shared" si="3"/>
        <v>64431</v>
      </c>
      <c r="O69" s="570">
        <f t="shared" si="0"/>
        <v>579879</v>
      </c>
      <c r="P69" s="575"/>
      <c r="Q69" s="572" t="str">
        <f>VLOOKUP(G:G,list!B:D,3,FALSE)</f>
        <v>Y</v>
      </c>
    </row>
    <row r="70" spans="2:17" ht="18" hidden="1" customHeight="1">
      <c r="B70" s="563">
        <v>65</v>
      </c>
      <c r="C70" s="564" t="str">
        <f>VLOOKUP(G:G,list!B:D,2,FALSE)</f>
        <v>원작료</v>
      </c>
      <c r="D70" s="564" t="s">
        <v>182</v>
      </c>
      <c r="E70" s="564" t="s">
        <v>115</v>
      </c>
      <c r="F70" s="564" t="s">
        <v>386</v>
      </c>
      <c r="G70" s="564" t="s">
        <v>151</v>
      </c>
      <c r="H70" s="565">
        <v>44591</v>
      </c>
      <c r="I70" s="564" t="s">
        <v>377</v>
      </c>
      <c r="J70" s="599">
        <v>567939</v>
      </c>
      <c r="K70" s="600">
        <v>0.5</v>
      </c>
      <c r="L70" s="568">
        <v>283969.5</v>
      </c>
      <c r="M70" s="569">
        <v>0.1</v>
      </c>
      <c r="N70" s="570">
        <f t="shared" si="3"/>
        <v>28396.95</v>
      </c>
      <c r="O70" s="570">
        <f t="shared" ref="O70:O133" si="4">L70-N70</f>
        <v>255572.55</v>
      </c>
      <c r="P70" s="575"/>
      <c r="Q70" s="572" t="str">
        <f>VLOOKUP(G:G,list!B:D,3,FALSE)</f>
        <v>Y</v>
      </c>
    </row>
    <row r="71" spans="2:17" ht="18" hidden="1" customHeight="1">
      <c r="B71" s="563">
        <v>66</v>
      </c>
      <c r="C71" s="564" t="str">
        <f>VLOOKUP(G:G,list!B:D,2,FALSE)</f>
        <v>원작료</v>
      </c>
      <c r="D71" s="564" t="s">
        <v>189</v>
      </c>
      <c r="E71" s="564" t="s">
        <v>9</v>
      </c>
      <c r="F71" s="564" t="s">
        <v>257</v>
      </c>
      <c r="G71" s="564" t="s">
        <v>30</v>
      </c>
      <c r="H71" s="565">
        <v>44742</v>
      </c>
      <c r="I71" s="564" t="s">
        <v>482</v>
      </c>
      <c r="J71" s="586">
        <v>56419</v>
      </c>
      <c r="K71" s="567">
        <v>0.35</v>
      </c>
      <c r="L71" s="568">
        <v>19747</v>
      </c>
      <c r="M71" s="569">
        <v>0.1</v>
      </c>
      <c r="N71" s="570">
        <f t="shared" si="3"/>
        <v>1974.7</v>
      </c>
      <c r="O71" s="570">
        <f t="shared" si="4"/>
        <v>17772.3</v>
      </c>
      <c r="P71" s="575"/>
      <c r="Q71" s="572" t="str">
        <f>VLOOKUP(G:G,list!B:D,3,FALSE)</f>
        <v>Y</v>
      </c>
    </row>
    <row r="72" spans="2:17" ht="18" hidden="1" customHeight="1">
      <c r="B72" s="563">
        <v>67</v>
      </c>
      <c r="C72" s="564" t="str">
        <f>VLOOKUP(G:G,list!B:D,2,FALSE)</f>
        <v>원작료</v>
      </c>
      <c r="D72" s="564" t="s">
        <v>72</v>
      </c>
      <c r="E72" s="564" t="s">
        <v>9</v>
      </c>
      <c r="F72" s="564" t="s">
        <v>73</v>
      </c>
      <c r="G72" s="564" t="s">
        <v>151</v>
      </c>
      <c r="H72" s="565">
        <v>44359</v>
      </c>
      <c r="I72" s="564" t="s">
        <v>455</v>
      </c>
      <c r="J72" s="599">
        <v>6571416</v>
      </c>
      <c r="K72" s="605">
        <v>0.224</v>
      </c>
      <c r="L72" s="568">
        <v>1324800</v>
      </c>
      <c r="M72" s="569">
        <v>0.1</v>
      </c>
      <c r="N72" s="570">
        <f t="shared" si="3"/>
        <v>132480</v>
      </c>
      <c r="O72" s="570">
        <f t="shared" si="4"/>
        <v>1192320</v>
      </c>
      <c r="P72" s="576"/>
      <c r="Q72" s="572" t="str">
        <f>VLOOKUP(G:G,list!B:D,3,FALSE)</f>
        <v>Y</v>
      </c>
    </row>
    <row r="73" spans="2:17" ht="18" hidden="1" customHeight="1">
      <c r="B73" s="563">
        <v>68</v>
      </c>
      <c r="C73" s="564" t="str">
        <f>VLOOKUP(G:G,list!B:D,2,FALSE)</f>
        <v>원작료</v>
      </c>
      <c r="D73" s="564" t="s">
        <v>32</v>
      </c>
      <c r="E73" s="564" t="s">
        <v>115</v>
      </c>
      <c r="F73" s="564" t="s">
        <v>31</v>
      </c>
      <c r="G73" s="564" t="s">
        <v>151</v>
      </c>
      <c r="H73" s="565">
        <v>44239</v>
      </c>
      <c r="I73" s="564" t="s">
        <v>455</v>
      </c>
      <c r="J73" s="599">
        <v>690618</v>
      </c>
      <c r="K73" s="603">
        <v>0.4</v>
      </c>
      <c r="L73" s="568">
        <v>262426</v>
      </c>
      <c r="M73" s="569">
        <v>0.1</v>
      </c>
      <c r="N73" s="570">
        <f t="shared" si="3"/>
        <v>26242.600000000002</v>
      </c>
      <c r="O73" s="570">
        <f t="shared" si="4"/>
        <v>236183.4</v>
      </c>
      <c r="P73" s="575"/>
      <c r="Q73" s="572" t="str">
        <f>VLOOKUP(G:G,list!B:D,3,FALSE)</f>
        <v>Y</v>
      </c>
    </row>
    <row r="74" spans="2:17" ht="18" hidden="1" customHeight="1">
      <c r="B74" s="563">
        <v>69</v>
      </c>
      <c r="C74" s="564" t="str">
        <f>VLOOKUP(G:G,list!B:D,2,FALSE)</f>
        <v>원작료</v>
      </c>
      <c r="D74" s="564" t="s">
        <v>67</v>
      </c>
      <c r="E74" s="564" t="s">
        <v>64</v>
      </c>
      <c r="F74" s="564" t="s">
        <v>65</v>
      </c>
      <c r="G74" s="564" t="s">
        <v>151</v>
      </c>
      <c r="H74" s="565">
        <v>44258</v>
      </c>
      <c r="I74" s="564" t="s">
        <v>482</v>
      </c>
      <c r="J74" s="599">
        <v>283180</v>
      </c>
      <c r="K74" s="603">
        <v>0.4</v>
      </c>
      <c r="L74" s="568">
        <v>113272</v>
      </c>
      <c r="M74" s="569">
        <v>0.1</v>
      </c>
      <c r="N74" s="570">
        <f t="shared" si="3"/>
        <v>11327.2</v>
      </c>
      <c r="O74" s="570">
        <f t="shared" si="4"/>
        <v>101944.8</v>
      </c>
      <c r="P74" s="576"/>
      <c r="Q74" s="572" t="str">
        <f>VLOOKUP(G:G,list!B:D,3,FALSE)</f>
        <v>Y</v>
      </c>
    </row>
    <row r="75" spans="2:17" ht="18" hidden="1" customHeight="1">
      <c r="B75" s="563">
        <v>70</v>
      </c>
      <c r="C75" s="564" t="e">
        <f>VLOOKUP(G:G,list!B:D,2,FALSE)</f>
        <v>#N/A</v>
      </c>
      <c r="D75" s="564" t="s">
        <v>78</v>
      </c>
      <c r="E75" s="564" t="s">
        <v>9</v>
      </c>
      <c r="F75" s="564" t="s">
        <v>209</v>
      </c>
      <c r="G75" s="564" t="s">
        <v>410</v>
      </c>
      <c r="H75" s="565">
        <v>44806</v>
      </c>
      <c r="I75" s="564" t="s">
        <v>482</v>
      </c>
      <c r="J75" s="586">
        <v>5412598</v>
      </c>
      <c r="K75" s="567">
        <v>0.6</v>
      </c>
      <c r="L75" s="568">
        <v>3247558</v>
      </c>
      <c r="M75" s="569">
        <v>0.1</v>
      </c>
      <c r="N75" s="570">
        <f t="shared" si="3"/>
        <v>324755.80000000005</v>
      </c>
      <c r="O75" s="570">
        <f t="shared" si="4"/>
        <v>2922802.2</v>
      </c>
      <c r="P75" s="578"/>
      <c r="Q75" s="572" t="e">
        <f>VLOOKUP(G:G,list!B:D,3,FALSE)</f>
        <v>#N/A</v>
      </c>
    </row>
    <row r="76" spans="2:17" ht="18" hidden="1" customHeight="1">
      <c r="B76" s="563">
        <v>71</v>
      </c>
      <c r="C76" s="564" t="e">
        <f>VLOOKUP(G:G,list!B:D,2,FALSE)</f>
        <v>#N/A</v>
      </c>
      <c r="D76" s="564" t="s">
        <v>78</v>
      </c>
      <c r="E76" s="564" t="s">
        <v>9</v>
      </c>
      <c r="F76" s="564" t="s">
        <v>126</v>
      </c>
      <c r="G76" s="564" t="s">
        <v>410</v>
      </c>
      <c r="H76" s="565">
        <v>44774</v>
      </c>
      <c r="I76" s="564" t="s">
        <v>482</v>
      </c>
      <c r="J76" s="586">
        <v>32675593.399999999</v>
      </c>
      <c r="K76" s="567">
        <v>0.6</v>
      </c>
      <c r="L76" s="568">
        <v>19605357</v>
      </c>
      <c r="M76" s="569">
        <v>0.1</v>
      </c>
      <c r="N76" s="570">
        <f t="shared" si="3"/>
        <v>1960535.7000000002</v>
      </c>
      <c r="O76" s="570">
        <f t="shared" si="4"/>
        <v>17644821.300000001</v>
      </c>
      <c r="P76" s="575"/>
      <c r="Q76" s="572" t="e">
        <f>VLOOKUP(G:G,list!B:D,3,FALSE)</f>
        <v>#N/A</v>
      </c>
    </row>
    <row r="77" spans="2:17" ht="18" hidden="1" customHeight="1">
      <c r="B77" s="563">
        <v>72</v>
      </c>
      <c r="C77" s="564" t="str">
        <f>VLOOKUP(G:G,list!B:D,2,FALSE)</f>
        <v>원작료</v>
      </c>
      <c r="D77" s="564" t="s">
        <v>78</v>
      </c>
      <c r="E77" s="564" t="s">
        <v>9</v>
      </c>
      <c r="F77" s="564" t="s">
        <v>126</v>
      </c>
      <c r="G77" s="564" t="s">
        <v>363</v>
      </c>
      <c r="H77" s="565">
        <v>44709</v>
      </c>
      <c r="I77" s="564" t="s">
        <v>482</v>
      </c>
      <c r="J77" s="586">
        <v>4629986.9000000004</v>
      </c>
      <c r="K77" s="567">
        <v>0.6</v>
      </c>
      <c r="L77" s="568">
        <v>2777992</v>
      </c>
      <c r="M77" s="569">
        <v>0.11</v>
      </c>
      <c r="N77" s="570">
        <f t="shared" si="3"/>
        <v>305579.12</v>
      </c>
      <c r="O77" s="570">
        <f t="shared" si="4"/>
        <v>2472412.88</v>
      </c>
      <c r="P77" s="575"/>
      <c r="Q77" s="572" t="str">
        <f>VLOOKUP(G:G,list!B:D,3,FALSE)</f>
        <v>N</v>
      </c>
    </row>
    <row r="78" spans="2:17" ht="18" hidden="1" customHeight="1">
      <c r="B78" s="563">
        <v>73</v>
      </c>
      <c r="C78" s="564" t="str">
        <f>VLOOKUP(G:G,list!B:D,2,FALSE)</f>
        <v>원작료</v>
      </c>
      <c r="D78" s="564" t="s">
        <v>72</v>
      </c>
      <c r="E78" s="564" t="s">
        <v>9</v>
      </c>
      <c r="F78" s="564" t="s">
        <v>73</v>
      </c>
      <c r="G78" s="564" t="s">
        <v>353</v>
      </c>
      <c r="H78" s="565">
        <v>44808</v>
      </c>
      <c r="I78" s="564" t="s">
        <v>455</v>
      </c>
      <c r="J78" s="599">
        <v>60443291</v>
      </c>
      <c r="K78" s="605">
        <v>0.224</v>
      </c>
      <c r="L78" s="568">
        <v>12175492</v>
      </c>
      <c r="M78" s="569">
        <v>0.11</v>
      </c>
      <c r="N78" s="573">
        <f t="shared" si="3"/>
        <v>1339304.1200000001</v>
      </c>
      <c r="O78" s="570">
        <f t="shared" si="4"/>
        <v>10836187.879999999</v>
      </c>
      <c r="P78" s="575" t="s">
        <v>287</v>
      </c>
      <c r="Q78" s="572" t="str">
        <f>VLOOKUP(G:G,list!B:D,3,FALSE)</f>
        <v>N</v>
      </c>
    </row>
    <row r="79" spans="2:17" ht="18" hidden="1" customHeight="1">
      <c r="B79" s="563">
        <v>74</v>
      </c>
      <c r="C79" s="564" t="str">
        <f>VLOOKUP(G:G,list!B:D,2,FALSE)</f>
        <v>원작료</v>
      </c>
      <c r="D79" s="564" t="s">
        <v>78</v>
      </c>
      <c r="E79" s="564" t="s">
        <v>9</v>
      </c>
      <c r="F79" s="564" t="s">
        <v>201</v>
      </c>
      <c r="G79" s="564" t="s">
        <v>454</v>
      </c>
      <c r="H79" s="565">
        <v>44750</v>
      </c>
      <c r="I79" s="564" t="s">
        <v>455</v>
      </c>
      <c r="J79" s="579">
        <v>9860938</v>
      </c>
      <c r="K79" s="567">
        <v>0.6</v>
      </c>
      <c r="L79" s="568">
        <v>5916566</v>
      </c>
      <c r="M79" s="569">
        <v>0.1</v>
      </c>
      <c r="N79" s="573">
        <f t="shared" si="3"/>
        <v>591656.6</v>
      </c>
      <c r="O79" s="570">
        <f t="shared" si="4"/>
        <v>5324909.4000000004</v>
      </c>
      <c r="P79" s="585"/>
      <c r="Q79" s="572" t="str">
        <f>VLOOKUP(G:G,list!B:D,3,FALSE)</f>
        <v>Y</v>
      </c>
    </row>
    <row r="80" spans="2:17" ht="18" hidden="1" customHeight="1">
      <c r="B80" s="563">
        <v>75</v>
      </c>
      <c r="C80" s="564" t="str">
        <f>VLOOKUP(G:G,list!B:D,2,FALSE)</f>
        <v>원작료</v>
      </c>
      <c r="D80" s="564" t="s">
        <v>67</v>
      </c>
      <c r="E80" s="564" t="s">
        <v>9</v>
      </c>
      <c r="F80" s="564" t="s">
        <v>213</v>
      </c>
      <c r="G80" s="564" t="s">
        <v>454</v>
      </c>
      <c r="H80" s="565">
        <v>44854</v>
      </c>
      <c r="I80" s="564" t="s">
        <v>482</v>
      </c>
      <c r="J80" s="599">
        <v>5800643</v>
      </c>
      <c r="K80" s="606">
        <v>0.3</v>
      </c>
      <c r="L80" s="568">
        <v>1740193</v>
      </c>
      <c r="M80" s="569">
        <v>0.1</v>
      </c>
      <c r="N80" s="573">
        <f t="shared" si="3"/>
        <v>174019.30000000002</v>
      </c>
      <c r="O80" s="570">
        <f t="shared" si="4"/>
        <v>1566173.7</v>
      </c>
      <c r="P80" s="575" t="s">
        <v>337</v>
      </c>
      <c r="Q80" s="572" t="str">
        <f>VLOOKUP(G:G,list!B:D,3,FALSE)</f>
        <v>Y</v>
      </c>
    </row>
    <row r="81" spans="2:17" ht="18" hidden="1" customHeight="1">
      <c r="B81" s="563">
        <v>76</v>
      </c>
      <c r="C81" s="564" t="e">
        <f>VLOOKUP(G:G,list!B:D,2,FALSE)</f>
        <v>#N/A</v>
      </c>
      <c r="D81" s="564" t="s">
        <v>448</v>
      </c>
      <c r="E81" s="564" t="s">
        <v>62</v>
      </c>
      <c r="F81" s="564" t="s">
        <v>176</v>
      </c>
      <c r="G81" s="564" t="s">
        <v>445</v>
      </c>
      <c r="H81" s="565">
        <v>44796</v>
      </c>
      <c r="I81" s="564" t="s">
        <v>482</v>
      </c>
      <c r="J81" s="586">
        <v>18431767.300000001</v>
      </c>
      <c r="K81" s="567">
        <v>0.6</v>
      </c>
      <c r="L81" s="568">
        <v>11059059</v>
      </c>
      <c r="M81" s="569">
        <v>0.1</v>
      </c>
      <c r="N81" s="573">
        <f t="shared" ref="N81:N103" si="5">L81*M81</f>
        <v>1105905.9000000001</v>
      </c>
      <c r="O81" s="570">
        <f t="shared" si="4"/>
        <v>9953153.0999999996</v>
      </c>
      <c r="P81" s="575"/>
      <c r="Q81" s="572" t="e">
        <f>VLOOKUP(G:G,list!B:D,3,FALSE)</f>
        <v>#N/A</v>
      </c>
    </row>
    <row r="82" spans="2:17" ht="18" hidden="1" customHeight="1">
      <c r="B82" s="563">
        <v>77</v>
      </c>
      <c r="C82" s="564" t="e">
        <f>VLOOKUP(G:G,list!B:D,2,FALSE)</f>
        <v>#N/A</v>
      </c>
      <c r="D82" s="564" t="s">
        <v>78</v>
      </c>
      <c r="E82" s="564" t="s">
        <v>9</v>
      </c>
      <c r="F82" s="564" t="s">
        <v>242</v>
      </c>
      <c r="G82" s="564" t="s">
        <v>218</v>
      </c>
      <c r="H82" s="565">
        <v>44309</v>
      </c>
      <c r="I82" s="564" t="s">
        <v>482</v>
      </c>
      <c r="J82" s="566">
        <v>75834663</v>
      </c>
      <c r="K82" s="567">
        <v>0.6</v>
      </c>
      <c r="L82" s="568">
        <v>45500800</v>
      </c>
      <c r="M82" s="569">
        <v>0.1</v>
      </c>
      <c r="N82" s="570">
        <f t="shared" si="5"/>
        <v>4550080</v>
      </c>
      <c r="O82" s="570">
        <f t="shared" si="4"/>
        <v>40950720</v>
      </c>
      <c r="P82" s="576"/>
      <c r="Q82" s="572" t="e">
        <f>VLOOKUP(G:G,list!B:D,3,FALSE)</f>
        <v>#N/A</v>
      </c>
    </row>
    <row r="83" spans="2:17" ht="18" hidden="1" customHeight="1">
      <c r="B83" s="563">
        <v>78</v>
      </c>
      <c r="C83" s="564" t="e">
        <f>VLOOKUP(G:G,list!B:D,2,FALSE)</f>
        <v>#N/A</v>
      </c>
      <c r="D83" s="564" t="s">
        <v>23</v>
      </c>
      <c r="E83" s="564" t="s">
        <v>62</v>
      </c>
      <c r="F83" s="564" t="s">
        <v>213</v>
      </c>
      <c r="G83" s="564" t="s">
        <v>10</v>
      </c>
      <c r="H83" s="565">
        <v>44356</v>
      </c>
      <c r="I83" s="564" t="s">
        <v>482</v>
      </c>
      <c r="J83" s="599">
        <v>6564163</v>
      </c>
      <c r="K83" s="600">
        <v>0.3</v>
      </c>
      <c r="L83" s="568">
        <v>1969249</v>
      </c>
      <c r="M83" s="569">
        <v>0.1</v>
      </c>
      <c r="N83" s="570">
        <f t="shared" si="5"/>
        <v>196924.90000000002</v>
      </c>
      <c r="O83" s="570">
        <f t="shared" si="4"/>
        <v>1772324.1</v>
      </c>
      <c r="P83" s="575" t="s">
        <v>307</v>
      </c>
      <c r="Q83" s="572" t="e">
        <f>VLOOKUP(G:G,list!B:D,3,FALSE)</f>
        <v>#N/A</v>
      </c>
    </row>
    <row r="84" spans="2:17" ht="18" hidden="1" customHeight="1">
      <c r="B84" s="563">
        <v>79</v>
      </c>
      <c r="C84" s="564" t="e">
        <f>VLOOKUP(G:G,list!B:D,2,FALSE)</f>
        <v>#N/A</v>
      </c>
      <c r="D84" s="564" t="s">
        <v>183</v>
      </c>
      <c r="E84" s="564" t="s">
        <v>62</v>
      </c>
      <c r="F84" s="564" t="s">
        <v>213</v>
      </c>
      <c r="G84" s="564" t="s">
        <v>10</v>
      </c>
      <c r="H84" s="565">
        <v>44456</v>
      </c>
      <c r="I84" s="564" t="s">
        <v>482</v>
      </c>
      <c r="J84" s="599">
        <v>618567</v>
      </c>
      <c r="K84" s="600">
        <v>0.3</v>
      </c>
      <c r="L84" s="568">
        <v>185570</v>
      </c>
      <c r="M84" s="569">
        <v>0.1</v>
      </c>
      <c r="N84" s="570">
        <f t="shared" si="5"/>
        <v>18557</v>
      </c>
      <c r="O84" s="570">
        <f t="shared" si="4"/>
        <v>167013</v>
      </c>
      <c r="P84" s="575" t="s">
        <v>307</v>
      </c>
      <c r="Q84" s="572" t="e">
        <f>VLOOKUP(G:G,list!B:D,3,FALSE)</f>
        <v>#N/A</v>
      </c>
    </row>
    <row r="85" spans="2:17" ht="18" hidden="1" customHeight="1">
      <c r="B85" s="563">
        <v>80</v>
      </c>
      <c r="C85" s="564" t="e">
        <f>VLOOKUP(G:G,list!B:D,2,FALSE)</f>
        <v>#N/A</v>
      </c>
      <c r="D85" s="564" t="s">
        <v>27</v>
      </c>
      <c r="E85" s="564" t="s">
        <v>62</v>
      </c>
      <c r="F85" s="564" t="s">
        <v>213</v>
      </c>
      <c r="G85" s="564" t="s">
        <v>10</v>
      </c>
      <c r="H85" s="565">
        <v>44395</v>
      </c>
      <c r="I85" s="564" t="s">
        <v>482</v>
      </c>
      <c r="J85" s="599">
        <v>22946873</v>
      </c>
      <c r="K85" s="600">
        <v>0.3</v>
      </c>
      <c r="L85" s="568">
        <v>6884062</v>
      </c>
      <c r="M85" s="569">
        <v>0.1</v>
      </c>
      <c r="N85" s="570">
        <f t="shared" si="5"/>
        <v>688406.20000000007</v>
      </c>
      <c r="O85" s="570">
        <f t="shared" si="4"/>
        <v>6195655.7999999998</v>
      </c>
      <c r="P85" s="575" t="s">
        <v>307</v>
      </c>
      <c r="Q85" s="572" t="e">
        <f>VLOOKUP(G:G,list!B:D,3,FALSE)</f>
        <v>#N/A</v>
      </c>
    </row>
    <row r="86" spans="2:17" ht="18" hidden="1" customHeight="1">
      <c r="B86" s="563">
        <v>81</v>
      </c>
      <c r="C86" s="564" t="e">
        <f>VLOOKUP(G:G,list!B:D,2,FALSE)</f>
        <v>#N/A</v>
      </c>
      <c r="D86" s="564" t="s">
        <v>313</v>
      </c>
      <c r="E86" s="564" t="s">
        <v>9</v>
      </c>
      <c r="F86" s="564" t="s">
        <v>213</v>
      </c>
      <c r="G86" s="564" t="s">
        <v>10</v>
      </c>
      <c r="H86" s="565">
        <v>44653</v>
      </c>
      <c r="I86" s="564" t="s">
        <v>482</v>
      </c>
      <c r="J86" s="599">
        <v>1840540</v>
      </c>
      <c r="K86" s="600">
        <v>0.3</v>
      </c>
      <c r="L86" s="568">
        <v>552162</v>
      </c>
      <c r="M86" s="569">
        <v>0.1</v>
      </c>
      <c r="N86" s="570">
        <f t="shared" si="5"/>
        <v>55216.200000000004</v>
      </c>
      <c r="O86" s="570">
        <f t="shared" si="4"/>
        <v>496945.8</v>
      </c>
      <c r="P86" s="575" t="s">
        <v>307</v>
      </c>
      <c r="Q86" s="572" t="e">
        <f>VLOOKUP(G:G,list!B:D,3,FALSE)</f>
        <v>#N/A</v>
      </c>
    </row>
    <row r="87" spans="2:17" ht="18" hidden="1" customHeight="1">
      <c r="B87" s="563">
        <v>82</v>
      </c>
      <c r="C87" s="564" t="e">
        <f>VLOOKUP(G:G,list!B:D,2,FALSE)</f>
        <v>#N/A</v>
      </c>
      <c r="D87" s="564" t="s">
        <v>189</v>
      </c>
      <c r="E87" s="564" t="s">
        <v>9</v>
      </c>
      <c r="F87" s="564" t="s">
        <v>213</v>
      </c>
      <c r="G87" s="564" t="s">
        <v>10</v>
      </c>
      <c r="H87" s="565">
        <v>44366</v>
      </c>
      <c r="I87" s="564" t="s">
        <v>482</v>
      </c>
      <c r="J87" s="599">
        <v>11065953</v>
      </c>
      <c r="K87" s="600">
        <v>0.3</v>
      </c>
      <c r="L87" s="568">
        <v>3319786</v>
      </c>
      <c r="M87" s="569">
        <v>0.1</v>
      </c>
      <c r="N87" s="570">
        <f t="shared" si="5"/>
        <v>331978.60000000003</v>
      </c>
      <c r="O87" s="570">
        <f t="shared" si="4"/>
        <v>2987807.4</v>
      </c>
      <c r="P87" s="575" t="s">
        <v>307</v>
      </c>
      <c r="Q87" s="572" t="e">
        <f>VLOOKUP(G:G,list!B:D,3,FALSE)</f>
        <v>#N/A</v>
      </c>
    </row>
    <row r="88" spans="2:17" ht="18" hidden="1" customHeight="1">
      <c r="B88" s="563">
        <v>83</v>
      </c>
      <c r="C88" s="564" t="e">
        <f>VLOOKUP(G:G,list!B:D,2,FALSE)</f>
        <v>#N/A</v>
      </c>
      <c r="D88" s="564" t="s">
        <v>72</v>
      </c>
      <c r="E88" s="564" t="s">
        <v>9</v>
      </c>
      <c r="F88" s="564" t="s">
        <v>184</v>
      </c>
      <c r="G88" s="564" t="s">
        <v>10</v>
      </c>
      <c r="H88" s="565">
        <v>44466</v>
      </c>
      <c r="I88" s="564" t="s">
        <v>455</v>
      </c>
      <c r="J88" s="586">
        <v>150373367</v>
      </c>
      <c r="K88" s="567">
        <v>0.3</v>
      </c>
      <c r="L88" s="568">
        <v>45112010</v>
      </c>
      <c r="M88" s="569">
        <v>0.1</v>
      </c>
      <c r="N88" s="570">
        <f t="shared" si="5"/>
        <v>4511201</v>
      </c>
      <c r="O88" s="570">
        <f t="shared" si="4"/>
        <v>40600809</v>
      </c>
      <c r="P88" s="575" t="s">
        <v>282</v>
      </c>
      <c r="Q88" s="572" t="e">
        <f>VLOOKUP(G:G,list!B:D,3,FALSE)</f>
        <v>#N/A</v>
      </c>
    </row>
    <row r="89" spans="2:17" ht="18" hidden="1" customHeight="1">
      <c r="B89" s="563">
        <v>84</v>
      </c>
      <c r="C89" s="564" t="e">
        <f>VLOOKUP(G:G,list!B:D,2,FALSE)</f>
        <v>#N/A</v>
      </c>
      <c r="D89" s="564" t="s">
        <v>22</v>
      </c>
      <c r="E89" s="564" t="s">
        <v>62</v>
      </c>
      <c r="F89" s="564" t="s">
        <v>213</v>
      </c>
      <c r="G89" s="564" t="s">
        <v>10</v>
      </c>
      <c r="H89" s="565">
        <v>44356</v>
      </c>
      <c r="I89" s="564" t="s">
        <v>482</v>
      </c>
      <c r="J89" s="599">
        <v>497217</v>
      </c>
      <c r="K89" s="603">
        <v>0.3</v>
      </c>
      <c r="L89" s="568">
        <v>149165</v>
      </c>
      <c r="M89" s="569">
        <v>0.1</v>
      </c>
      <c r="N89" s="570">
        <f t="shared" si="5"/>
        <v>14916.5</v>
      </c>
      <c r="O89" s="570">
        <f t="shared" si="4"/>
        <v>134248.5</v>
      </c>
      <c r="P89" s="575" t="s">
        <v>425</v>
      </c>
      <c r="Q89" s="572" t="e">
        <f>VLOOKUP(G:G,list!B:D,3,FALSE)</f>
        <v>#N/A</v>
      </c>
    </row>
    <row r="90" spans="2:17" ht="18" hidden="1" customHeight="1">
      <c r="B90" s="563">
        <v>85</v>
      </c>
      <c r="C90" s="564" t="e">
        <f>VLOOKUP(G:G,list!B:D,2,FALSE)</f>
        <v>#N/A</v>
      </c>
      <c r="D90" s="564" t="s">
        <v>32</v>
      </c>
      <c r="E90" s="564" t="s">
        <v>62</v>
      </c>
      <c r="F90" s="564" t="s">
        <v>213</v>
      </c>
      <c r="G90" s="564" t="s">
        <v>10</v>
      </c>
      <c r="H90" s="565">
        <v>44396</v>
      </c>
      <c r="I90" s="564" t="s">
        <v>482</v>
      </c>
      <c r="J90" s="599">
        <v>8072490</v>
      </c>
      <c r="K90" s="603">
        <v>0.3</v>
      </c>
      <c r="L90" s="568">
        <v>2421747</v>
      </c>
      <c r="M90" s="569">
        <v>0.1</v>
      </c>
      <c r="N90" s="570">
        <f t="shared" si="5"/>
        <v>242174.7</v>
      </c>
      <c r="O90" s="570">
        <f t="shared" si="4"/>
        <v>2179572.2999999998</v>
      </c>
      <c r="P90" s="575" t="s">
        <v>307</v>
      </c>
      <c r="Q90" s="572" t="e">
        <f>VLOOKUP(G:G,list!B:D,3,FALSE)</f>
        <v>#N/A</v>
      </c>
    </row>
    <row r="91" spans="2:17" ht="18" hidden="1" customHeight="1">
      <c r="B91" s="563">
        <v>86</v>
      </c>
      <c r="C91" s="564" t="e">
        <f>VLOOKUP(G:G,list!B:D,2,FALSE)</f>
        <v>#N/A</v>
      </c>
      <c r="D91" s="564" t="s">
        <v>67</v>
      </c>
      <c r="E91" s="564" t="s">
        <v>9</v>
      </c>
      <c r="F91" s="564" t="s">
        <v>213</v>
      </c>
      <c r="G91" s="564" t="s">
        <v>10</v>
      </c>
      <c r="H91" s="565">
        <v>44516</v>
      </c>
      <c r="I91" s="564" t="s">
        <v>482</v>
      </c>
      <c r="J91" s="599">
        <v>9840440</v>
      </c>
      <c r="K91" s="606">
        <v>0.3</v>
      </c>
      <c r="L91" s="568">
        <v>2952132</v>
      </c>
      <c r="M91" s="569">
        <v>0.1</v>
      </c>
      <c r="N91" s="570">
        <f t="shared" si="5"/>
        <v>295213.2</v>
      </c>
      <c r="O91" s="570">
        <f t="shared" si="4"/>
        <v>2656918.7999999998</v>
      </c>
      <c r="P91" s="575" t="s">
        <v>307</v>
      </c>
      <c r="Q91" s="572" t="e">
        <f>VLOOKUP(G:G,list!B:D,3,FALSE)</f>
        <v>#N/A</v>
      </c>
    </row>
    <row r="92" spans="2:17" ht="18" hidden="1" customHeight="1">
      <c r="B92" s="563">
        <v>87</v>
      </c>
      <c r="C92" s="564" t="e">
        <f>VLOOKUP(G:G,list!B:D,2,FALSE)</f>
        <v>#N/A</v>
      </c>
      <c r="D92" s="564" t="s">
        <v>448</v>
      </c>
      <c r="E92" s="564" t="s">
        <v>62</v>
      </c>
      <c r="F92" s="564" t="s">
        <v>176</v>
      </c>
      <c r="G92" s="564" t="s">
        <v>480</v>
      </c>
      <c r="H92" s="565">
        <v>44830</v>
      </c>
      <c r="I92" s="564" t="s">
        <v>482</v>
      </c>
      <c r="J92" s="586">
        <v>7375609.2300000004</v>
      </c>
      <c r="K92" s="567">
        <v>0.6</v>
      </c>
      <c r="L92" s="568">
        <v>4425364</v>
      </c>
      <c r="M92" s="569">
        <v>0.1</v>
      </c>
      <c r="N92" s="570">
        <f t="shared" si="5"/>
        <v>442536.4</v>
      </c>
      <c r="O92" s="570">
        <f t="shared" si="4"/>
        <v>3982827.6</v>
      </c>
      <c r="P92" s="575"/>
      <c r="Q92" s="572" t="e">
        <f>VLOOKUP(G:G,list!B:D,3,FALSE)</f>
        <v>#N/A</v>
      </c>
    </row>
    <row r="93" spans="2:17" ht="18" hidden="1" customHeight="1">
      <c r="B93" s="563">
        <v>88</v>
      </c>
      <c r="C93" s="564" t="e">
        <f>VLOOKUP(G:G,list!B:D,2,FALSE)</f>
        <v>#N/A</v>
      </c>
      <c r="D93" s="564" t="s">
        <v>78</v>
      </c>
      <c r="E93" s="564" t="s">
        <v>9</v>
      </c>
      <c r="F93" s="564" t="s">
        <v>209</v>
      </c>
      <c r="G93" s="564" t="s">
        <v>179</v>
      </c>
      <c r="H93" s="565">
        <v>44409</v>
      </c>
      <c r="I93" s="564" t="s">
        <v>482</v>
      </c>
      <c r="J93" s="586">
        <v>11911929</v>
      </c>
      <c r="K93" s="567">
        <v>0.6</v>
      </c>
      <c r="L93" s="568">
        <v>7147158</v>
      </c>
      <c r="M93" s="569">
        <v>0.1</v>
      </c>
      <c r="N93" s="573">
        <f t="shared" si="5"/>
        <v>714715.8</v>
      </c>
      <c r="O93" s="570">
        <f t="shared" si="4"/>
        <v>6432442.2000000002</v>
      </c>
      <c r="P93" s="575" t="s">
        <v>440</v>
      </c>
      <c r="Q93" s="572" t="e">
        <f>VLOOKUP(G:G,list!B:D,3,FALSE)</f>
        <v>#N/A</v>
      </c>
    </row>
    <row r="94" spans="2:17" ht="18" hidden="1" customHeight="1">
      <c r="B94" s="563">
        <v>89</v>
      </c>
      <c r="C94" s="564" t="e">
        <f>VLOOKUP(G:G,list!B:D,2,FALSE)</f>
        <v>#N/A</v>
      </c>
      <c r="D94" s="564" t="s">
        <v>78</v>
      </c>
      <c r="E94" s="564" t="s">
        <v>9</v>
      </c>
      <c r="F94" s="564" t="s">
        <v>126</v>
      </c>
      <c r="G94" s="564" t="s">
        <v>179</v>
      </c>
      <c r="H94" s="565">
        <v>44074</v>
      </c>
      <c r="I94" s="564" t="s">
        <v>482</v>
      </c>
      <c r="J94" s="586">
        <v>33590678.399999999</v>
      </c>
      <c r="K94" s="567">
        <v>0.6</v>
      </c>
      <c r="L94" s="568">
        <v>20154407</v>
      </c>
      <c r="M94" s="569">
        <v>0.1</v>
      </c>
      <c r="N94" s="573">
        <f t="shared" si="5"/>
        <v>2015440.7000000002</v>
      </c>
      <c r="O94" s="570">
        <f t="shared" si="4"/>
        <v>18138966.300000001</v>
      </c>
      <c r="P94" s="575" t="s">
        <v>440</v>
      </c>
      <c r="Q94" s="572" t="e">
        <f>VLOOKUP(G:G,list!B:D,3,FALSE)</f>
        <v>#N/A</v>
      </c>
    </row>
    <row r="95" spans="2:17" ht="18" hidden="1" customHeight="1">
      <c r="B95" s="563">
        <v>90</v>
      </c>
      <c r="C95" s="564" t="e">
        <f>VLOOKUP(G:G,list!B:D,2,FALSE)</f>
        <v>#N/A</v>
      </c>
      <c r="D95" s="564" t="s">
        <v>177</v>
      </c>
      <c r="E95" s="564" t="s">
        <v>9</v>
      </c>
      <c r="F95" s="564" t="s">
        <v>257</v>
      </c>
      <c r="G95" s="564" t="s">
        <v>179</v>
      </c>
      <c r="H95" s="565">
        <v>44419</v>
      </c>
      <c r="I95" s="564" t="s">
        <v>482</v>
      </c>
      <c r="J95" s="599">
        <v>3851387</v>
      </c>
      <c r="K95" s="600">
        <v>0.28000000000000003</v>
      </c>
      <c r="L95" s="568">
        <v>1078387</v>
      </c>
      <c r="M95" s="569">
        <v>0.1</v>
      </c>
      <c r="N95" s="573">
        <f t="shared" si="5"/>
        <v>107838.70000000001</v>
      </c>
      <c r="O95" s="570">
        <f t="shared" si="4"/>
        <v>970548.3</v>
      </c>
      <c r="P95" s="575" t="s">
        <v>85</v>
      </c>
      <c r="Q95" s="572" t="e">
        <f>VLOOKUP(G:G,list!B:D,3,FALSE)</f>
        <v>#N/A</v>
      </c>
    </row>
    <row r="96" spans="2:17" ht="18" hidden="1" customHeight="1">
      <c r="B96" s="563">
        <v>91</v>
      </c>
      <c r="C96" s="564" t="e">
        <f>VLOOKUP(G:G,list!B:D,2,FALSE)</f>
        <v>#N/A</v>
      </c>
      <c r="D96" s="564" t="s">
        <v>66</v>
      </c>
      <c r="E96" s="564" t="s">
        <v>64</v>
      </c>
      <c r="F96" s="564" t="s">
        <v>65</v>
      </c>
      <c r="G96" s="564" t="s">
        <v>179</v>
      </c>
      <c r="H96" s="565">
        <v>44198</v>
      </c>
      <c r="I96" s="564" t="s">
        <v>482</v>
      </c>
      <c r="J96" s="599">
        <v>1053660</v>
      </c>
      <c r="K96" s="603">
        <v>0.4</v>
      </c>
      <c r="L96" s="568">
        <v>421464</v>
      </c>
      <c r="M96" s="569">
        <v>0.1</v>
      </c>
      <c r="N96" s="573">
        <f t="shared" si="5"/>
        <v>42146.400000000001</v>
      </c>
      <c r="O96" s="570">
        <f t="shared" si="4"/>
        <v>379317.6</v>
      </c>
      <c r="P96" s="575" t="s">
        <v>85</v>
      </c>
      <c r="Q96" s="572" t="e">
        <f>VLOOKUP(G:G,list!B:D,3,FALSE)</f>
        <v>#N/A</v>
      </c>
    </row>
    <row r="97" spans="2:17" ht="18" hidden="1" customHeight="1">
      <c r="B97" s="563">
        <v>92</v>
      </c>
      <c r="C97" s="564" t="e">
        <f>VLOOKUP(G:G,list!B:D,2,FALSE)</f>
        <v>#N/A</v>
      </c>
      <c r="D97" s="564" t="s">
        <v>182</v>
      </c>
      <c r="E97" s="564" t="s">
        <v>9</v>
      </c>
      <c r="F97" s="564" t="s">
        <v>384</v>
      </c>
      <c r="G97" s="564" t="s">
        <v>179</v>
      </c>
      <c r="H97" s="565">
        <v>44180</v>
      </c>
      <c r="I97" s="564" t="s">
        <v>455</v>
      </c>
      <c r="J97" s="599">
        <v>255676</v>
      </c>
      <c r="K97" s="600">
        <v>0.5</v>
      </c>
      <c r="L97" s="568">
        <v>127838</v>
      </c>
      <c r="M97" s="569">
        <v>0.1</v>
      </c>
      <c r="N97" s="573">
        <f t="shared" si="5"/>
        <v>12783.800000000001</v>
      </c>
      <c r="O97" s="570">
        <f t="shared" si="4"/>
        <v>115054.2</v>
      </c>
      <c r="P97" s="575" t="s">
        <v>85</v>
      </c>
      <c r="Q97" s="572" t="e">
        <f>VLOOKUP(G:G,list!B:D,3,FALSE)</f>
        <v>#N/A</v>
      </c>
    </row>
    <row r="98" spans="2:17" ht="18" hidden="1" customHeight="1">
      <c r="B98" s="563">
        <v>93</v>
      </c>
      <c r="C98" s="564" t="e">
        <f>VLOOKUP(G:G,list!B:D,2,FALSE)</f>
        <v>#N/A</v>
      </c>
      <c r="D98" s="564" t="s">
        <v>182</v>
      </c>
      <c r="E98" s="564" t="s">
        <v>115</v>
      </c>
      <c r="F98" s="564" t="s">
        <v>283</v>
      </c>
      <c r="G98" s="564" t="s">
        <v>42</v>
      </c>
      <c r="H98" s="565">
        <v>44290</v>
      </c>
      <c r="I98" s="564" t="s">
        <v>377</v>
      </c>
      <c r="J98" s="599">
        <v>5118480</v>
      </c>
      <c r="K98" s="600">
        <v>0.5</v>
      </c>
      <c r="L98" s="568">
        <v>2559240</v>
      </c>
      <c r="M98" s="569">
        <v>0.1</v>
      </c>
      <c r="N98" s="573">
        <f t="shared" si="5"/>
        <v>255924</v>
      </c>
      <c r="O98" s="570">
        <f t="shared" si="4"/>
        <v>2303316</v>
      </c>
      <c r="P98" s="575" t="s">
        <v>85</v>
      </c>
      <c r="Q98" s="572" t="e">
        <f>VLOOKUP(G:G,list!B:D,3,FALSE)</f>
        <v>#N/A</v>
      </c>
    </row>
    <row r="99" spans="2:17" ht="18" hidden="1" customHeight="1">
      <c r="B99" s="563">
        <v>94</v>
      </c>
      <c r="C99" s="564" t="e">
        <f>VLOOKUP(G:G,list!B:D,2,FALSE)</f>
        <v>#N/A</v>
      </c>
      <c r="D99" s="564" t="s">
        <v>182</v>
      </c>
      <c r="E99" s="564" t="s">
        <v>115</v>
      </c>
      <c r="F99" s="564" t="s">
        <v>386</v>
      </c>
      <c r="G99" s="564" t="s">
        <v>179</v>
      </c>
      <c r="H99" s="565">
        <v>44596</v>
      </c>
      <c r="I99" s="564" t="s">
        <v>377</v>
      </c>
      <c r="J99" s="599">
        <v>893139</v>
      </c>
      <c r="K99" s="600">
        <v>0.5</v>
      </c>
      <c r="L99" s="568">
        <v>446569.5</v>
      </c>
      <c r="M99" s="569">
        <v>0.1</v>
      </c>
      <c r="N99" s="573">
        <f t="shared" si="5"/>
        <v>44656.950000000004</v>
      </c>
      <c r="O99" s="570">
        <f t="shared" si="4"/>
        <v>401912.55</v>
      </c>
      <c r="P99" s="575" t="s">
        <v>85</v>
      </c>
      <c r="Q99" s="572" t="e">
        <f>VLOOKUP(G:G,list!B:D,3,FALSE)</f>
        <v>#N/A</v>
      </c>
    </row>
    <row r="100" spans="2:17" ht="18" hidden="1" customHeight="1">
      <c r="B100" s="563">
        <v>95</v>
      </c>
      <c r="C100" s="564" t="e">
        <f>VLOOKUP(G:G,list!B:D,2,FALSE)</f>
        <v>#N/A</v>
      </c>
      <c r="D100" s="564" t="s">
        <v>189</v>
      </c>
      <c r="E100" s="564" t="s">
        <v>9</v>
      </c>
      <c r="F100" s="564" t="s">
        <v>257</v>
      </c>
      <c r="G100" s="564" t="s">
        <v>179</v>
      </c>
      <c r="H100" s="565">
        <v>44678</v>
      </c>
      <c r="I100" s="564" t="s">
        <v>482</v>
      </c>
      <c r="J100" s="586">
        <v>473409</v>
      </c>
      <c r="K100" s="567">
        <v>0.35</v>
      </c>
      <c r="L100" s="568">
        <v>165693</v>
      </c>
      <c r="M100" s="569">
        <v>0.1</v>
      </c>
      <c r="N100" s="573">
        <f t="shared" si="5"/>
        <v>16569.3</v>
      </c>
      <c r="O100" s="570">
        <f t="shared" si="4"/>
        <v>149123.70000000001</v>
      </c>
      <c r="P100" s="575" t="s">
        <v>356</v>
      </c>
      <c r="Q100" s="572" t="e">
        <f>VLOOKUP(G:G,list!B:D,3,FALSE)</f>
        <v>#N/A</v>
      </c>
    </row>
    <row r="101" spans="2:17" ht="18" hidden="1" customHeight="1">
      <c r="B101" s="563">
        <v>96</v>
      </c>
      <c r="C101" s="564" t="e">
        <f>VLOOKUP(G:G,list!B:D,2,FALSE)</f>
        <v>#N/A</v>
      </c>
      <c r="D101" s="564" t="s">
        <v>72</v>
      </c>
      <c r="E101" s="564" t="s">
        <v>9</v>
      </c>
      <c r="F101" s="564" t="s">
        <v>73</v>
      </c>
      <c r="G101" s="564" t="s">
        <v>179</v>
      </c>
      <c r="H101" s="565">
        <v>44198</v>
      </c>
      <c r="I101" s="564" t="s">
        <v>455</v>
      </c>
      <c r="J101" s="599">
        <v>118469280</v>
      </c>
      <c r="K101" s="605">
        <v>0.224</v>
      </c>
      <c r="L101" s="568">
        <v>23883416</v>
      </c>
      <c r="M101" s="569">
        <v>0.1</v>
      </c>
      <c r="N101" s="573">
        <f t="shared" si="5"/>
        <v>2388341.6</v>
      </c>
      <c r="O101" s="570">
        <f t="shared" si="4"/>
        <v>21495074.399999999</v>
      </c>
      <c r="P101" s="575" t="s">
        <v>85</v>
      </c>
      <c r="Q101" s="572" t="e">
        <f>VLOOKUP(G:G,list!B:D,3,FALSE)</f>
        <v>#N/A</v>
      </c>
    </row>
    <row r="102" spans="2:17" ht="18" hidden="1" customHeight="1">
      <c r="B102" s="563">
        <v>97</v>
      </c>
      <c r="C102" s="564" t="e">
        <f>VLOOKUP(G:G,list!B:D,2,FALSE)</f>
        <v>#N/A</v>
      </c>
      <c r="D102" s="564" t="s">
        <v>32</v>
      </c>
      <c r="E102" s="564" t="s">
        <v>9</v>
      </c>
      <c r="F102" s="564" t="s">
        <v>257</v>
      </c>
      <c r="G102" s="564" t="s">
        <v>179</v>
      </c>
      <c r="H102" s="565">
        <v>44354</v>
      </c>
      <c r="I102" s="564" t="s">
        <v>482</v>
      </c>
      <c r="J102" s="599">
        <v>14300967</v>
      </c>
      <c r="K102" s="600">
        <v>0.28000000000000003</v>
      </c>
      <c r="L102" s="568">
        <v>4004270</v>
      </c>
      <c r="M102" s="569">
        <v>0.1</v>
      </c>
      <c r="N102" s="573">
        <f t="shared" si="5"/>
        <v>400427</v>
      </c>
      <c r="O102" s="570">
        <f t="shared" si="4"/>
        <v>3603843</v>
      </c>
      <c r="P102" s="575" t="s">
        <v>85</v>
      </c>
      <c r="Q102" s="572" t="e">
        <f>VLOOKUP(G:G,list!B:D,3,FALSE)</f>
        <v>#N/A</v>
      </c>
    </row>
    <row r="103" spans="2:17" ht="18" hidden="1" customHeight="1">
      <c r="B103" s="563">
        <v>98</v>
      </c>
      <c r="C103" s="564" t="e">
        <f>VLOOKUP(G:G,list!B:D,2,FALSE)</f>
        <v>#N/A</v>
      </c>
      <c r="D103" s="564" t="s">
        <v>67</v>
      </c>
      <c r="E103" s="564" t="s">
        <v>64</v>
      </c>
      <c r="F103" s="564" t="s">
        <v>65</v>
      </c>
      <c r="G103" s="564" t="s">
        <v>179</v>
      </c>
      <c r="H103" s="565">
        <v>44233</v>
      </c>
      <c r="I103" s="564" t="s">
        <v>482</v>
      </c>
      <c r="J103" s="599">
        <v>702703</v>
      </c>
      <c r="K103" s="603">
        <v>0.4</v>
      </c>
      <c r="L103" s="568">
        <v>281081</v>
      </c>
      <c r="M103" s="569">
        <v>0.1</v>
      </c>
      <c r="N103" s="573">
        <f t="shared" si="5"/>
        <v>28108.100000000002</v>
      </c>
      <c r="O103" s="570">
        <f t="shared" si="4"/>
        <v>252972.9</v>
      </c>
      <c r="P103" s="575" t="s">
        <v>85</v>
      </c>
      <c r="Q103" s="572" t="e">
        <f>VLOOKUP(G:G,list!B:D,3,FALSE)</f>
        <v>#N/A</v>
      </c>
    </row>
    <row r="104" spans="2:17" ht="18" hidden="1" customHeight="1">
      <c r="B104" s="563">
        <v>99</v>
      </c>
      <c r="C104" s="564" t="str">
        <f>VLOOKUP(G:G,list!B:D,2,FALSE)</f>
        <v>작가기획</v>
      </c>
      <c r="D104" s="564" t="s">
        <v>78</v>
      </c>
      <c r="E104" s="564" t="s">
        <v>9</v>
      </c>
      <c r="F104" s="564" t="s">
        <v>126</v>
      </c>
      <c r="G104" s="564" t="s">
        <v>275</v>
      </c>
      <c r="H104" s="565">
        <v>44607</v>
      </c>
      <c r="I104" s="564" t="s">
        <v>482</v>
      </c>
      <c r="J104" s="586">
        <v>492569.3</v>
      </c>
      <c r="K104" s="567">
        <v>0.6</v>
      </c>
      <c r="L104" s="568">
        <v>295542</v>
      </c>
      <c r="M104" s="569" t="s">
        <v>203</v>
      </c>
      <c r="N104" s="573">
        <v>0</v>
      </c>
      <c r="O104" s="570">
        <f t="shared" si="4"/>
        <v>295542</v>
      </c>
      <c r="P104" s="575"/>
      <c r="Q104" s="572" t="str">
        <f>VLOOKUP(G:G,list!B:D,3,FALSE)</f>
        <v>Y</v>
      </c>
    </row>
    <row r="105" spans="2:17" ht="18" hidden="1" customHeight="1">
      <c r="B105" s="563">
        <v>100</v>
      </c>
      <c r="C105" s="564" t="str">
        <f>VLOOKUP(G:G,list!B:D,2,FALSE)</f>
        <v>작가기획</v>
      </c>
      <c r="D105" s="564" t="s">
        <v>182</v>
      </c>
      <c r="E105" s="564" t="s">
        <v>9</v>
      </c>
      <c r="F105" s="564" t="s">
        <v>384</v>
      </c>
      <c r="G105" s="564" t="s">
        <v>308</v>
      </c>
      <c r="H105" s="565">
        <v>44761</v>
      </c>
      <c r="I105" s="564" t="s">
        <v>455</v>
      </c>
      <c r="J105" s="599">
        <v>90501</v>
      </c>
      <c r="K105" s="600">
        <v>0.5</v>
      </c>
      <c r="L105" s="568">
        <v>45250.5</v>
      </c>
      <c r="M105" s="569" t="s">
        <v>203</v>
      </c>
      <c r="N105" s="573">
        <v>0</v>
      </c>
      <c r="O105" s="570">
        <f t="shared" si="4"/>
        <v>45250.5</v>
      </c>
      <c r="P105" s="575"/>
      <c r="Q105" s="572" t="str">
        <f>VLOOKUP(G:G,list!B:D,3,FALSE)</f>
        <v>Y</v>
      </c>
    </row>
    <row r="106" spans="2:17" ht="18" hidden="1" customHeight="1">
      <c r="B106" s="563">
        <v>101</v>
      </c>
      <c r="C106" s="564" t="str">
        <f>VLOOKUP(G:G,list!B:D,2,FALSE)</f>
        <v>작가기획</v>
      </c>
      <c r="D106" s="564" t="s">
        <v>72</v>
      </c>
      <c r="E106" s="564" t="s">
        <v>9</v>
      </c>
      <c r="F106" s="564" t="s">
        <v>73</v>
      </c>
      <c r="G106" s="564" t="s">
        <v>308</v>
      </c>
      <c r="H106" s="565">
        <v>44773</v>
      </c>
      <c r="I106" s="564" t="s">
        <v>455</v>
      </c>
      <c r="J106" s="599">
        <v>401299</v>
      </c>
      <c r="K106" s="605">
        <v>0.224</v>
      </c>
      <c r="L106" s="568">
        <v>79576</v>
      </c>
      <c r="M106" s="569" t="s">
        <v>203</v>
      </c>
      <c r="N106" s="570">
        <v>0</v>
      </c>
      <c r="O106" s="570">
        <f t="shared" si="4"/>
        <v>79576</v>
      </c>
      <c r="P106" s="575"/>
      <c r="Q106" s="572" t="str">
        <f>VLOOKUP(G:G,list!B:D,3,FALSE)</f>
        <v>Y</v>
      </c>
    </row>
    <row r="107" spans="2:17" ht="18" hidden="1" customHeight="1">
      <c r="B107" s="563">
        <v>102</v>
      </c>
      <c r="C107" s="564" t="str">
        <f>VLOOKUP(G:G,list!B:D,2,FALSE)</f>
        <v>외부제작</v>
      </c>
      <c r="D107" s="564" t="s">
        <v>78</v>
      </c>
      <c r="E107" s="564" t="s">
        <v>9</v>
      </c>
      <c r="F107" s="564" t="s">
        <v>248</v>
      </c>
      <c r="G107" s="564" t="s">
        <v>277</v>
      </c>
      <c r="H107" s="565">
        <v>44629</v>
      </c>
      <c r="I107" s="564" t="s">
        <v>482</v>
      </c>
      <c r="J107" s="586">
        <v>1893630.4</v>
      </c>
      <c r="K107" s="567">
        <v>0.6</v>
      </c>
      <c r="L107" s="568">
        <v>1136178</v>
      </c>
      <c r="M107" s="569" t="s">
        <v>203</v>
      </c>
      <c r="N107" s="573">
        <v>0</v>
      </c>
      <c r="O107" s="570">
        <f t="shared" si="4"/>
        <v>1136178</v>
      </c>
      <c r="P107" s="575"/>
      <c r="Q107" s="572" t="str">
        <f>VLOOKUP(G:G,list!B:D,3,FALSE)</f>
        <v>N</v>
      </c>
    </row>
    <row r="108" spans="2:17" ht="18" hidden="1" customHeight="1">
      <c r="B108" s="563">
        <v>103</v>
      </c>
      <c r="C108" s="564" t="str">
        <f>VLOOKUP(G:G,list!B:D,2,FALSE)</f>
        <v>외부제작</v>
      </c>
      <c r="D108" s="564" t="s">
        <v>72</v>
      </c>
      <c r="E108" s="564" t="s">
        <v>9</v>
      </c>
      <c r="F108" s="564" t="s">
        <v>73</v>
      </c>
      <c r="G108" s="564" t="s">
        <v>315</v>
      </c>
      <c r="H108" s="565">
        <v>44825</v>
      </c>
      <c r="I108" s="564" t="s">
        <v>455</v>
      </c>
      <c r="J108" s="599">
        <v>8646103</v>
      </c>
      <c r="K108" s="605">
        <v>0.224</v>
      </c>
      <c r="L108" s="568">
        <v>1733181</v>
      </c>
      <c r="M108" s="569" t="s">
        <v>203</v>
      </c>
      <c r="N108" s="573">
        <v>0</v>
      </c>
      <c r="O108" s="570">
        <f t="shared" si="4"/>
        <v>1733181</v>
      </c>
      <c r="P108" s="575" t="s">
        <v>287</v>
      </c>
      <c r="Q108" s="572" t="str">
        <f>VLOOKUP(G:G,list!B:D,3,FALSE)</f>
        <v>N</v>
      </c>
    </row>
    <row r="109" spans="2:17" ht="18" hidden="1" customHeight="1">
      <c r="B109" s="563">
        <v>104</v>
      </c>
      <c r="C109" s="564" t="e">
        <f>VLOOKUP(G:G,list!B:D,2,FALSE)</f>
        <v>#N/A</v>
      </c>
      <c r="D109" s="564" t="s">
        <v>78</v>
      </c>
      <c r="E109" s="564" t="s">
        <v>9</v>
      </c>
      <c r="F109" s="564" t="s">
        <v>209</v>
      </c>
      <c r="G109" s="564" t="s">
        <v>413</v>
      </c>
      <c r="H109" s="565">
        <v>44755</v>
      </c>
      <c r="I109" s="564" t="s">
        <v>482</v>
      </c>
      <c r="J109" s="586">
        <v>11922099</v>
      </c>
      <c r="K109" s="567">
        <v>0.6</v>
      </c>
      <c r="L109" s="568">
        <v>7153259</v>
      </c>
      <c r="M109" s="569">
        <v>0.1</v>
      </c>
      <c r="N109" s="570">
        <f>L109*M109</f>
        <v>715325.9</v>
      </c>
      <c r="O109" s="570">
        <f t="shared" si="4"/>
        <v>6437933.0999999996</v>
      </c>
      <c r="P109" s="578"/>
      <c r="Q109" s="572" t="e">
        <f>VLOOKUP(G:G,list!B:D,3,FALSE)</f>
        <v>#N/A</v>
      </c>
    </row>
    <row r="110" spans="2:17" ht="18" hidden="1" customHeight="1">
      <c r="B110" s="563">
        <v>105</v>
      </c>
      <c r="C110" s="564" t="e">
        <f>VLOOKUP(G:G,list!B:D,2,FALSE)</f>
        <v>#N/A</v>
      </c>
      <c r="D110" s="564" t="s">
        <v>78</v>
      </c>
      <c r="E110" s="564" t="s">
        <v>9</v>
      </c>
      <c r="F110" s="564" t="s">
        <v>371</v>
      </c>
      <c r="G110" s="564" t="s">
        <v>373</v>
      </c>
      <c r="H110" s="565">
        <v>44735</v>
      </c>
      <c r="I110" s="564" t="s">
        <v>482</v>
      </c>
      <c r="J110" s="586">
        <v>55276515.5</v>
      </c>
      <c r="K110" s="567">
        <v>0.6</v>
      </c>
      <c r="L110" s="568">
        <v>33165909</v>
      </c>
      <c r="M110" s="569">
        <v>0.1</v>
      </c>
      <c r="N110" s="573">
        <f>L110*M110</f>
        <v>3316590.9000000004</v>
      </c>
      <c r="O110" s="570">
        <f t="shared" si="4"/>
        <v>29849318.100000001</v>
      </c>
      <c r="P110" s="578"/>
      <c r="Q110" s="572" t="e">
        <f>VLOOKUP(G:G,list!B:D,3,FALSE)</f>
        <v>#N/A</v>
      </c>
    </row>
    <row r="111" spans="2:17" ht="18" hidden="1" customHeight="1">
      <c r="B111" s="563">
        <v>106</v>
      </c>
      <c r="C111" s="564" t="e">
        <f>VLOOKUP(G:G,list!B:D,2,FALSE)</f>
        <v>#N/A</v>
      </c>
      <c r="D111" s="564" t="s">
        <v>78</v>
      </c>
      <c r="E111" s="564" t="s">
        <v>9</v>
      </c>
      <c r="F111" s="564" t="s">
        <v>209</v>
      </c>
      <c r="G111" s="564" t="s">
        <v>446</v>
      </c>
      <c r="H111" s="565">
        <v>44800</v>
      </c>
      <c r="I111" s="564" t="s">
        <v>482</v>
      </c>
      <c r="J111" s="586">
        <v>424509</v>
      </c>
      <c r="K111" s="567">
        <v>0.6</v>
      </c>
      <c r="L111" s="568">
        <v>254705</v>
      </c>
      <c r="M111" s="569">
        <v>0.1</v>
      </c>
      <c r="N111" s="573">
        <f>L111*M111</f>
        <v>25470.5</v>
      </c>
      <c r="O111" s="570">
        <f t="shared" si="4"/>
        <v>229234.5</v>
      </c>
      <c r="P111" s="578"/>
      <c r="Q111" s="572" t="e">
        <f>VLOOKUP(G:G,list!B:D,3,FALSE)</f>
        <v>#N/A</v>
      </c>
    </row>
    <row r="112" spans="2:17" ht="18" hidden="1" customHeight="1">
      <c r="B112" s="563">
        <v>107</v>
      </c>
      <c r="C112" s="564" t="e">
        <f>VLOOKUP(G:G,list!B:D,2,FALSE)</f>
        <v>#N/A</v>
      </c>
      <c r="D112" s="564" t="s">
        <v>448</v>
      </c>
      <c r="E112" s="564" t="s">
        <v>62</v>
      </c>
      <c r="F112" s="564" t="s">
        <v>176</v>
      </c>
      <c r="G112" s="564" t="s">
        <v>446</v>
      </c>
      <c r="H112" s="565">
        <v>44800</v>
      </c>
      <c r="I112" s="564" t="s">
        <v>482</v>
      </c>
      <c r="J112" s="586">
        <v>1841576.9</v>
      </c>
      <c r="K112" s="567">
        <v>0.6</v>
      </c>
      <c r="L112" s="568">
        <v>1104947</v>
      </c>
      <c r="M112" s="569">
        <v>0.1</v>
      </c>
      <c r="N112" s="573">
        <f>L112*M112</f>
        <v>110494.70000000001</v>
      </c>
      <c r="O112" s="570">
        <f t="shared" si="4"/>
        <v>994452.3</v>
      </c>
      <c r="P112" s="578"/>
      <c r="Q112" s="572" t="e">
        <f>VLOOKUP(G:G,list!B:D,3,FALSE)</f>
        <v>#N/A</v>
      </c>
    </row>
    <row r="113" spans="2:17" ht="18" hidden="1" customHeight="1">
      <c r="B113" s="563">
        <v>108</v>
      </c>
      <c r="C113" s="564" t="e">
        <f>VLOOKUP(G:G,list!B:D,2,FALSE)</f>
        <v>#N/A</v>
      </c>
      <c r="D113" s="564" t="s">
        <v>78</v>
      </c>
      <c r="E113" s="564" t="s">
        <v>62</v>
      </c>
      <c r="F113" s="564" t="s">
        <v>242</v>
      </c>
      <c r="G113" s="564" t="s">
        <v>504</v>
      </c>
      <c r="H113" s="565">
        <v>44858</v>
      </c>
      <c r="I113" s="564" t="s">
        <v>482</v>
      </c>
      <c r="J113" s="577">
        <v>7677573</v>
      </c>
      <c r="K113" s="580">
        <v>0.6</v>
      </c>
      <c r="L113" s="568">
        <v>4606544</v>
      </c>
      <c r="M113" s="569">
        <v>0.1</v>
      </c>
      <c r="N113" s="570">
        <f>L113*M113</f>
        <v>460654.4</v>
      </c>
      <c r="O113" s="570">
        <f t="shared" si="4"/>
        <v>4145889.6</v>
      </c>
      <c r="P113" s="578" t="s">
        <v>287</v>
      </c>
      <c r="Q113" s="572" t="e">
        <f>VLOOKUP(G:G,list!B:D,3,FALSE)</f>
        <v>#N/A</v>
      </c>
    </row>
    <row r="114" spans="2:17" ht="18" hidden="1" customHeight="1">
      <c r="B114" s="563">
        <v>109</v>
      </c>
      <c r="C114" s="564" t="e">
        <f>VLOOKUP(G:G,list!B:D,2,FALSE)</f>
        <v>#N/A</v>
      </c>
      <c r="D114" s="564" t="s">
        <v>78</v>
      </c>
      <c r="E114" s="564" t="s">
        <v>9</v>
      </c>
      <c r="F114" s="564" t="s">
        <v>201</v>
      </c>
      <c r="G114" s="564" t="s">
        <v>509</v>
      </c>
      <c r="H114" s="565">
        <v>44815</v>
      </c>
      <c r="I114" s="564" t="s">
        <v>455</v>
      </c>
      <c r="J114" s="579">
        <v>4497415</v>
      </c>
      <c r="K114" s="567">
        <v>0.6</v>
      </c>
      <c r="L114" s="568">
        <v>2698449</v>
      </c>
      <c r="M114" s="569">
        <v>0.1</v>
      </c>
      <c r="N114" s="573">
        <f t="shared" ref="N114:N145" si="6">L114*M114</f>
        <v>269844.90000000002</v>
      </c>
      <c r="O114" s="570">
        <f t="shared" si="4"/>
        <v>2428604.1</v>
      </c>
      <c r="P114" s="585" t="s">
        <v>287</v>
      </c>
      <c r="Q114" s="572" t="e">
        <f>VLOOKUP(G:G,list!B:D,3,FALSE)</f>
        <v>#N/A</v>
      </c>
    </row>
    <row r="115" spans="2:17" ht="18" hidden="1" customHeight="1">
      <c r="B115" s="563">
        <v>110</v>
      </c>
      <c r="C115" s="564" t="e">
        <f>VLOOKUP(G:G,list!B:D,2,FALSE)</f>
        <v>#N/A</v>
      </c>
      <c r="D115" s="564" t="s">
        <v>78</v>
      </c>
      <c r="E115" s="564" t="s">
        <v>9</v>
      </c>
      <c r="F115" s="564" t="s">
        <v>126</v>
      </c>
      <c r="G115" s="564" t="s">
        <v>374</v>
      </c>
      <c r="H115" s="565">
        <v>44737</v>
      </c>
      <c r="I115" s="564" t="s">
        <v>482</v>
      </c>
      <c r="J115" s="586">
        <v>40678010.299999997</v>
      </c>
      <c r="K115" s="567">
        <v>0.6</v>
      </c>
      <c r="L115" s="568">
        <v>24406808</v>
      </c>
      <c r="M115" s="569">
        <v>0.1</v>
      </c>
      <c r="N115" s="570">
        <f t="shared" si="6"/>
        <v>2440680.8000000003</v>
      </c>
      <c r="O115" s="570">
        <f t="shared" si="4"/>
        <v>21966127.199999999</v>
      </c>
      <c r="P115" s="575"/>
      <c r="Q115" s="572" t="e">
        <f>VLOOKUP(G:G,list!B:D,3,FALSE)</f>
        <v>#N/A</v>
      </c>
    </row>
    <row r="116" spans="2:17" ht="18" hidden="1" customHeight="1">
      <c r="B116" s="563">
        <v>111</v>
      </c>
      <c r="C116" s="564" t="e">
        <f>VLOOKUP(G:G,list!B:D,2,FALSE)</f>
        <v>#N/A</v>
      </c>
      <c r="D116" s="564" t="s">
        <v>67</v>
      </c>
      <c r="E116" s="564" t="s">
        <v>9</v>
      </c>
      <c r="F116" s="564" t="s">
        <v>213</v>
      </c>
      <c r="G116" s="564" t="s">
        <v>505</v>
      </c>
      <c r="H116" s="565">
        <v>44852</v>
      </c>
      <c r="I116" s="564" t="s">
        <v>482</v>
      </c>
      <c r="J116" s="599">
        <v>3679857</v>
      </c>
      <c r="K116" s="606">
        <v>0.3</v>
      </c>
      <c r="L116" s="568">
        <v>1103957</v>
      </c>
      <c r="M116" s="569">
        <v>0.1</v>
      </c>
      <c r="N116" s="573">
        <f t="shared" si="6"/>
        <v>110395.70000000001</v>
      </c>
      <c r="O116" s="570">
        <f t="shared" si="4"/>
        <v>993561.3</v>
      </c>
      <c r="P116" s="575" t="s">
        <v>337</v>
      </c>
      <c r="Q116" s="572" t="e">
        <f>VLOOKUP(G:G,list!B:D,3,FALSE)</f>
        <v>#N/A</v>
      </c>
    </row>
    <row r="117" spans="2:17" ht="18" hidden="1" customHeight="1">
      <c r="B117" s="563">
        <v>112</v>
      </c>
      <c r="C117" s="564" t="str">
        <f>VLOOKUP(G:G,list!B:D,2,FALSE)</f>
        <v>원작료</v>
      </c>
      <c r="D117" s="564" t="s">
        <v>78</v>
      </c>
      <c r="E117" s="564" t="s">
        <v>9</v>
      </c>
      <c r="F117" s="564" t="s">
        <v>126</v>
      </c>
      <c r="G117" s="564" t="s">
        <v>364</v>
      </c>
      <c r="H117" s="565">
        <v>44691</v>
      </c>
      <c r="I117" s="564" t="s">
        <v>482</v>
      </c>
      <c r="J117" s="586">
        <v>2720000.8</v>
      </c>
      <c r="K117" s="567">
        <v>0.6</v>
      </c>
      <c r="L117" s="568">
        <v>1632002</v>
      </c>
      <c r="M117" s="569">
        <v>0.1</v>
      </c>
      <c r="N117" s="573">
        <f t="shared" si="6"/>
        <v>163200.20000000001</v>
      </c>
      <c r="O117" s="570">
        <f t="shared" si="4"/>
        <v>1468801.8</v>
      </c>
      <c r="P117" s="575"/>
      <c r="Q117" s="572" t="str">
        <f>VLOOKUP(G:G,list!B:D,3,FALSE)</f>
        <v>Y</v>
      </c>
    </row>
    <row r="118" spans="2:17" ht="18" hidden="1" customHeight="1">
      <c r="B118" s="563">
        <v>113</v>
      </c>
      <c r="C118" s="564" t="str">
        <f>VLOOKUP(G:G,list!B:D,2,FALSE)</f>
        <v>원작료</v>
      </c>
      <c r="D118" s="564" t="s">
        <v>72</v>
      </c>
      <c r="E118" s="564" t="s">
        <v>9</v>
      </c>
      <c r="F118" s="564" t="s">
        <v>73</v>
      </c>
      <c r="G118" s="564" t="s">
        <v>352</v>
      </c>
      <c r="H118" s="565">
        <v>44813</v>
      </c>
      <c r="I118" s="564" t="s">
        <v>455</v>
      </c>
      <c r="J118" s="599">
        <v>54261320</v>
      </c>
      <c r="K118" s="605">
        <v>0.224</v>
      </c>
      <c r="L118" s="568">
        <v>10929207</v>
      </c>
      <c r="M118" s="569">
        <v>0.1</v>
      </c>
      <c r="N118" s="573">
        <f t="shared" si="6"/>
        <v>1092920.7</v>
      </c>
      <c r="O118" s="570">
        <f t="shared" si="4"/>
        <v>9836286.3000000007</v>
      </c>
      <c r="P118" s="575" t="s">
        <v>287</v>
      </c>
      <c r="Q118" s="572" t="str">
        <f>VLOOKUP(G:G,list!B:D,3,FALSE)</f>
        <v>Y</v>
      </c>
    </row>
    <row r="119" spans="2:17" ht="18" hidden="1" customHeight="1">
      <c r="B119" s="563">
        <v>114</v>
      </c>
      <c r="C119" s="564" t="e">
        <f>VLOOKUP(G:G,list!B:D,2,FALSE)</f>
        <v>#N/A</v>
      </c>
      <c r="D119" s="564" t="s">
        <v>448</v>
      </c>
      <c r="E119" s="564" t="s">
        <v>62</v>
      </c>
      <c r="F119" s="564" t="s">
        <v>126</v>
      </c>
      <c r="G119" s="564" t="s">
        <v>479</v>
      </c>
      <c r="H119" s="565">
        <v>44828</v>
      </c>
      <c r="I119" s="564" t="s">
        <v>482</v>
      </c>
      <c r="J119" s="586">
        <v>46640326.899999999</v>
      </c>
      <c r="K119" s="567">
        <v>0.6</v>
      </c>
      <c r="L119" s="568">
        <v>27984196</v>
      </c>
      <c r="M119" s="569">
        <v>0.1</v>
      </c>
      <c r="N119" s="570">
        <f t="shared" si="6"/>
        <v>2798419.6</v>
      </c>
      <c r="O119" s="570">
        <f t="shared" si="4"/>
        <v>25185776.399999999</v>
      </c>
      <c r="P119" s="575"/>
      <c r="Q119" s="572" t="e">
        <f>VLOOKUP(G:G,list!B:D,3,FALSE)</f>
        <v>#N/A</v>
      </c>
    </row>
    <row r="120" spans="2:17" ht="18" hidden="1" customHeight="1">
      <c r="B120" s="563">
        <v>115</v>
      </c>
      <c r="C120" s="564" t="e">
        <f>VLOOKUP(G:G,list!B:D,2,FALSE)</f>
        <v>#N/A</v>
      </c>
      <c r="D120" s="564" t="s">
        <v>78</v>
      </c>
      <c r="E120" s="564" t="s">
        <v>9</v>
      </c>
      <c r="F120" s="564" t="s">
        <v>126</v>
      </c>
      <c r="G120" s="564" t="s">
        <v>375</v>
      </c>
      <c r="H120" s="565">
        <v>44741</v>
      </c>
      <c r="I120" s="564" t="s">
        <v>482</v>
      </c>
      <c r="J120" s="586">
        <v>12093431.1</v>
      </c>
      <c r="K120" s="567">
        <v>0.6</v>
      </c>
      <c r="L120" s="568">
        <v>7256059</v>
      </c>
      <c r="M120" s="569">
        <v>0.1</v>
      </c>
      <c r="N120" s="570">
        <f t="shared" si="6"/>
        <v>725605.9</v>
      </c>
      <c r="O120" s="570">
        <f t="shared" si="4"/>
        <v>6530453.0999999996</v>
      </c>
      <c r="P120" s="575"/>
      <c r="Q120" s="572" t="e">
        <f>VLOOKUP(G:G,list!B:D,3,FALSE)</f>
        <v>#N/A</v>
      </c>
    </row>
    <row r="121" spans="2:17" ht="18" hidden="1" customHeight="1">
      <c r="B121" s="563">
        <v>116</v>
      </c>
      <c r="C121" s="564" t="e">
        <f>VLOOKUP(G:G,list!B:D,2,FALSE)</f>
        <v>#N/A</v>
      </c>
      <c r="D121" s="564" t="s">
        <v>78</v>
      </c>
      <c r="E121" s="564" t="s">
        <v>9</v>
      </c>
      <c r="F121" s="564" t="s">
        <v>126</v>
      </c>
      <c r="G121" s="564" t="s">
        <v>191</v>
      </c>
      <c r="H121" s="565">
        <v>44372</v>
      </c>
      <c r="I121" s="564" t="s">
        <v>482</v>
      </c>
      <c r="J121" s="586">
        <v>6689904.5</v>
      </c>
      <c r="K121" s="567">
        <v>0.6</v>
      </c>
      <c r="L121" s="568">
        <v>4013943</v>
      </c>
      <c r="M121" s="569">
        <v>0.1</v>
      </c>
      <c r="N121" s="573">
        <f t="shared" si="6"/>
        <v>401394.30000000005</v>
      </c>
      <c r="O121" s="570">
        <f t="shared" si="4"/>
        <v>3612548.7</v>
      </c>
      <c r="P121" s="576"/>
      <c r="Q121" s="572" t="e">
        <f>VLOOKUP(G:G,list!B:D,3,FALSE)</f>
        <v>#N/A</v>
      </c>
    </row>
    <row r="122" spans="2:17" ht="18" hidden="1" customHeight="1">
      <c r="B122" s="563">
        <v>117</v>
      </c>
      <c r="C122" s="564" t="e">
        <f>VLOOKUP(G:G,list!B:D,2,FALSE)</f>
        <v>#N/A</v>
      </c>
      <c r="D122" s="564" t="s">
        <v>183</v>
      </c>
      <c r="E122" s="564" t="s">
        <v>62</v>
      </c>
      <c r="F122" s="564" t="s">
        <v>213</v>
      </c>
      <c r="G122" s="564" t="s">
        <v>191</v>
      </c>
      <c r="H122" s="565">
        <v>44829</v>
      </c>
      <c r="I122" s="564" t="s">
        <v>482</v>
      </c>
      <c r="J122" s="599">
        <v>2260243</v>
      </c>
      <c r="K122" s="600">
        <v>0.3</v>
      </c>
      <c r="L122" s="568">
        <v>678073</v>
      </c>
      <c r="M122" s="569">
        <v>0.1</v>
      </c>
      <c r="N122" s="573">
        <f t="shared" si="6"/>
        <v>67807.3</v>
      </c>
      <c r="O122" s="570">
        <f t="shared" si="4"/>
        <v>610265.69999999995</v>
      </c>
      <c r="P122" s="575" t="s">
        <v>361</v>
      </c>
      <c r="Q122" s="572" t="e">
        <f>VLOOKUP(G:G,list!B:D,3,FALSE)</f>
        <v>#N/A</v>
      </c>
    </row>
    <row r="123" spans="2:17" ht="18" hidden="1" customHeight="1">
      <c r="B123" s="563">
        <v>118</v>
      </c>
      <c r="C123" s="564" t="e">
        <f>VLOOKUP(G:G,list!B:D,2,FALSE)</f>
        <v>#N/A</v>
      </c>
      <c r="D123" s="564" t="s">
        <v>182</v>
      </c>
      <c r="E123" s="564" t="s">
        <v>9</v>
      </c>
      <c r="F123" s="564" t="s">
        <v>384</v>
      </c>
      <c r="G123" s="564" t="s">
        <v>191</v>
      </c>
      <c r="H123" s="565">
        <v>44372</v>
      </c>
      <c r="I123" s="564" t="s">
        <v>455</v>
      </c>
      <c r="J123" s="599">
        <v>509196</v>
      </c>
      <c r="K123" s="600">
        <v>0.5</v>
      </c>
      <c r="L123" s="568">
        <v>254598</v>
      </c>
      <c r="M123" s="569">
        <v>0.1</v>
      </c>
      <c r="N123" s="573">
        <f t="shared" si="6"/>
        <v>25459.800000000003</v>
      </c>
      <c r="O123" s="570">
        <f t="shared" si="4"/>
        <v>229138.2</v>
      </c>
      <c r="P123" s="573"/>
      <c r="Q123" s="572" t="e">
        <f>VLOOKUP(G:G,list!B:D,3,FALSE)</f>
        <v>#N/A</v>
      </c>
    </row>
    <row r="124" spans="2:17" ht="18" hidden="1" customHeight="1">
      <c r="B124" s="563">
        <v>119</v>
      </c>
      <c r="C124" s="564" t="e">
        <f>VLOOKUP(G:G,list!B:D,2,FALSE)</f>
        <v>#N/A</v>
      </c>
      <c r="D124" s="564" t="s">
        <v>182</v>
      </c>
      <c r="E124" s="564" t="s">
        <v>115</v>
      </c>
      <c r="F124" s="564" t="s">
        <v>283</v>
      </c>
      <c r="G124" s="564" t="s">
        <v>191</v>
      </c>
      <c r="H124" s="565">
        <v>44391</v>
      </c>
      <c r="I124" s="564" t="s">
        <v>377</v>
      </c>
      <c r="J124" s="599">
        <v>6364080</v>
      </c>
      <c r="K124" s="600">
        <v>0.5</v>
      </c>
      <c r="L124" s="568">
        <v>3182040</v>
      </c>
      <c r="M124" s="569">
        <v>0.1</v>
      </c>
      <c r="N124" s="573">
        <f t="shared" si="6"/>
        <v>318204</v>
      </c>
      <c r="O124" s="570">
        <f t="shared" si="4"/>
        <v>2863836</v>
      </c>
      <c r="P124" s="575"/>
      <c r="Q124" s="572" t="e">
        <f>VLOOKUP(G:G,list!B:D,3,FALSE)</f>
        <v>#N/A</v>
      </c>
    </row>
    <row r="125" spans="2:17" ht="18" hidden="1" customHeight="1">
      <c r="B125" s="563">
        <v>120</v>
      </c>
      <c r="C125" s="564" t="e">
        <f>VLOOKUP(G:G,list!B:D,2,FALSE)</f>
        <v>#N/A</v>
      </c>
      <c r="D125" s="564" t="s">
        <v>182</v>
      </c>
      <c r="E125" s="564" t="s">
        <v>115</v>
      </c>
      <c r="F125" s="564" t="s">
        <v>386</v>
      </c>
      <c r="G125" s="564" t="s">
        <v>191</v>
      </c>
      <c r="H125" s="565">
        <v>44599</v>
      </c>
      <c r="I125" s="564" t="s">
        <v>377</v>
      </c>
      <c r="J125" s="599">
        <v>3678323</v>
      </c>
      <c r="K125" s="600">
        <v>0.5</v>
      </c>
      <c r="L125" s="568">
        <v>1839161.5</v>
      </c>
      <c r="M125" s="569">
        <v>0.1</v>
      </c>
      <c r="N125" s="573">
        <f t="shared" si="6"/>
        <v>183916.15000000002</v>
      </c>
      <c r="O125" s="570">
        <f t="shared" si="4"/>
        <v>1655245.35</v>
      </c>
      <c r="P125" s="575"/>
      <c r="Q125" s="572" t="e">
        <f>VLOOKUP(G:G,list!B:D,3,FALSE)</f>
        <v>#N/A</v>
      </c>
    </row>
    <row r="126" spans="2:17" ht="18" hidden="1" customHeight="1">
      <c r="B126" s="563">
        <v>121</v>
      </c>
      <c r="C126" s="564" t="e">
        <f>VLOOKUP(G:G,list!B:D,2,FALSE)</f>
        <v>#N/A</v>
      </c>
      <c r="D126" s="564" t="s">
        <v>72</v>
      </c>
      <c r="E126" s="564" t="s">
        <v>9</v>
      </c>
      <c r="F126" s="564" t="s">
        <v>73</v>
      </c>
      <c r="G126" s="564" t="s">
        <v>191</v>
      </c>
      <c r="H126" s="565">
        <v>44629</v>
      </c>
      <c r="I126" s="564" t="s">
        <v>455</v>
      </c>
      <c r="J126" s="599">
        <v>45723096</v>
      </c>
      <c r="K126" s="605">
        <v>0.224</v>
      </c>
      <c r="L126" s="568">
        <v>9217777</v>
      </c>
      <c r="M126" s="569">
        <v>0.1</v>
      </c>
      <c r="N126" s="573">
        <f t="shared" si="6"/>
        <v>921777.70000000007</v>
      </c>
      <c r="O126" s="570">
        <f t="shared" si="4"/>
        <v>8295999.2999999998</v>
      </c>
      <c r="P126" s="575"/>
      <c r="Q126" s="572" t="e">
        <f>VLOOKUP(G:G,list!B:D,3,FALSE)</f>
        <v>#N/A</v>
      </c>
    </row>
    <row r="127" spans="2:17" ht="18" customHeight="1">
      <c r="B127" s="563">
        <v>122</v>
      </c>
      <c r="C127" s="564" t="e">
        <f>VLOOKUP(G:G,list!B:D,2,FALSE)</f>
        <v>#N/A</v>
      </c>
      <c r="D127" s="564" t="s">
        <v>22</v>
      </c>
      <c r="E127" s="564" t="s">
        <v>62</v>
      </c>
      <c r="F127" s="564" t="s">
        <v>421</v>
      </c>
      <c r="G127" s="564" t="s">
        <v>191</v>
      </c>
      <c r="H127" s="565">
        <v>44625</v>
      </c>
      <c r="I127" s="564" t="s">
        <v>377</v>
      </c>
      <c r="J127" s="599">
        <v>1462773</v>
      </c>
      <c r="K127" s="603">
        <v>0.28000000000000003</v>
      </c>
      <c r="L127" s="568">
        <v>333655</v>
      </c>
      <c r="M127" s="569">
        <v>0.1</v>
      </c>
      <c r="N127" s="573">
        <f t="shared" si="6"/>
        <v>33365.5</v>
      </c>
      <c r="O127" s="570">
        <f t="shared" si="4"/>
        <v>300289.5</v>
      </c>
      <c r="P127" s="621"/>
      <c r="Q127" s="572" t="e">
        <f>VLOOKUP(G:G,list!B:D,3,FALSE)</f>
        <v>#N/A</v>
      </c>
    </row>
    <row r="128" spans="2:17" ht="18" customHeight="1">
      <c r="B128" s="563">
        <v>123</v>
      </c>
      <c r="C128" s="564" t="e">
        <f>VLOOKUP(G:G,list!B:D,2,FALSE)</f>
        <v>#N/A</v>
      </c>
      <c r="D128" s="564" t="s">
        <v>22</v>
      </c>
      <c r="E128" s="564" t="s">
        <v>62</v>
      </c>
      <c r="F128" s="564" t="s">
        <v>421</v>
      </c>
      <c r="G128" s="564" t="s">
        <v>191</v>
      </c>
      <c r="H128" s="565">
        <v>44625</v>
      </c>
      <c r="I128" s="564" t="s">
        <v>428</v>
      </c>
      <c r="J128" s="599">
        <v>1487155</v>
      </c>
      <c r="K128" s="603">
        <v>0.28000000000000003</v>
      </c>
      <c r="L128" s="568">
        <v>339882</v>
      </c>
      <c r="M128" s="569">
        <v>0.1</v>
      </c>
      <c r="N128" s="573">
        <f t="shared" si="6"/>
        <v>33988.200000000004</v>
      </c>
      <c r="O128" s="570">
        <f t="shared" si="4"/>
        <v>305893.8</v>
      </c>
      <c r="P128" s="602"/>
      <c r="Q128" s="572" t="e">
        <f>VLOOKUP(G:G,list!B:D,3,FALSE)</f>
        <v>#N/A</v>
      </c>
    </row>
    <row r="129" spans="2:17" ht="18" customHeight="1">
      <c r="B129" s="563">
        <v>124</v>
      </c>
      <c r="C129" s="564" t="e">
        <f>VLOOKUP(G:G,list!B:D,2,FALSE)</f>
        <v>#N/A</v>
      </c>
      <c r="D129" s="564" t="s">
        <v>22</v>
      </c>
      <c r="E129" s="564" t="s">
        <v>62</v>
      </c>
      <c r="F129" s="564" t="s">
        <v>421</v>
      </c>
      <c r="G129" s="564" t="s">
        <v>191</v>
      </c>
      <c r="H129" s="565">
        <v>44625</v>
      </c>
      <c r="I129" s="564" t="s">
        <v>455</v>
      </c>
      <c r="J129" s="599">
        <v>933627</v>
      </c>
      <c r="K129" s="603">
        <v>0.28000000000000003</v>
      </c>
      <c r="L129" s="568">
        <v>208596</v>
      </c>
      <c r="M129" s="569">
        <v>0.1</v>
      </c>
      <c r="N129" s="573">
        <f t="shared" si="6"/>
        <v>20859.600000000002</v>
      </c>
      <c r="O129" s="570">
        <f t="shared" si="4"/>
        <v>187736.4</v>
      </c>
      <c r="P129" s="602"/>
      <c r="Q129" s="572" t="e">
        <f>VLOOKUP(G:G,list!B:D,3,FALSE)</f>
        <v>#N/A</v>
      </c>
    </row>
    <row r="130" spans="2:17" ht="18" hidden="1" customHeight="1">
      <c r="B130" s="563">
        <v>125</v>
      </c>
      <c r="C130" s="564" t="e">
        <f>VLOOKUP(G:G,list!B:D,2,FALSE)</f>
        <v>#N/A</v>
      </c>
      <c r="D130" s="564" t="s">
        <v>67</v>
      </c>
      <c r="E130" s="564" t="s">
        <v>9</v>
      </c>
      <c r="F130" s="564" t="s">
        <v>213</v>
      </c>
      <c r="G130" s="564" t="s">
        <v>191</v>
      </c>
      <c r="H130" s="565">
        <v>44581</v>
      </c>
      <c r="I130" s="564" t="s">
        <v>482</v>
      </c>
      <c r="J130" s="599">
        <v>3664367</v>
      </c>
      <c r="K130" s="606">
        <v>0.3</v>
      </c>
      <c r="L130" s="568">
        <v>1099310</v>
      </c>
      <c r="M130" s="569">
        <v>0.1</v>
      </c>
      <c r="N130" s="573">
        <f t="shared" si="6"/>
        <v>109931</v>
      </c>
      <c r="O130" s="570">
        <f t="shared" si="4"/>
        <v>989379</v>
      </c>
      <c r="P130" s="575" t="s">
        <v>307</v>
      </c>
      <c r="Q130" s="572" t="e">
        <f>VLOOKUP(G:G,list!B:D,3,FALSE)</f>
        <v>#N/A</v>
      </c>
    </row>
    <row r="131" spans="2:17" ht="18" hidden="1" customHeight="1">
      <c r="B131" s="563">
        <v>126</v>
      </c>
      <c r="C131" s="564" t="e">
        <f>VLOOKUP(G:G,list!B:D,2,FALSE)</f>
        <v>#N/A</v>
      </c>
      <c r="D131" s="564" t="s">
        <v>78</v>
      </c>
      <c r="E131" s="564" t="s">
        <v>9</v>
      </c>
      <c r="F131" s="564" t="s">
        <v>242</v>
      </c>
      <c r="G131" s="564" t="s">
        <v>423</v>
      </c>
      <c r="H131" s="565">
        <v>44740</v>
      </c>
      <c r="I131" s="564" t="s">
        <v>482</v>
      </c>
      <c r="J131" s="579">
        <v>16201930</v>
      </c>
      <c r="K131" s="580">
        <v>0.6</v>
      </c>
      <c r="L131" s="568">
        <v>9721158</v>
      </c>
      <c r="M131" s="569">
        <v>0.1</v>
      </c>
      <c r="N131" s="573">
        <f t="shared" si="6"/>
        <v>972115.8</v>
      </c>
      <c r="O131" s="570">
        <f t="shared" si="4"/>
        <v>8749042.1999999993</v>
      </c>
      <c r="P131" s="578"/>
      <c r="Q131" s="572" t="e">
        <f>VLOOKUP(G:G,list!B:D,3,FALSE)</f>
        <v>#N/A</v>
      </c>
    </row>
    <row r="132" spans="2:17" ht="18" hidden="1" customHeight="1">
      <c r="B132" s="563">
        <v>127</v>
      </c>
      <c r="C132" s="564" t="e">
        <f>VLOOKUP(G:G,list!B:D,2,FALSE)</f>
        <v>#N/A</v>
      </c>
      <c r="D132" s="564" t="s">
        <v>182</v>
      </c>
      <c r="E132" s="564" t="s">
        <v>9</v>
      </c>
      <c r="F132" s="564" t="s">
        <v>384</v>
      </c>
      <c r="G132" s="564" t="s">
        <v>385</v>
      </c>
      <c r="H132" s="565">
        <v>44439</v>
      </c>
      <c r="I132" s="564" t="s">
        <v>455</v>
      </c>
      <c r="J132" s="599">
        <v>0</v>
      </c>
      <c r="K132" s="600">
        <v>0.5</v>
      </c>
      <c r="L132" s="568">
        <v>0</v>
      </c>
      <c r="M132" s="569">
        <v>0.1</v>
      </c>
      <c r="N132" s="573">
        <f t="shared" si="6"/>
        <v>0</v>
      </c>
      <c r="O132" s="570">
        <f t="shared" si="4"/>
        <v>0</v>
      </c>
      <c r="P132" s="611" t="s">
        <v>366</v>
      </c>
      <c r="Q132" s="572" t="e">
        <f>VLOOKUP(G:G,list!B:D,3,FALSE)</f>
        <v>#N/A</v>
      </c>
    </row>
    <row r="133" spans="2:17" ht="18" hidden="1" customHeight="1">
      <c r="B133" s="563">
        <v>128</v>
      </c>
      <c r="C133" s="564" t="e">
        <f>VLOOKUP(G:G,list!B:D,2,FALSE)</f>
        <v>#N/A</v>
      </c>
      <c r="D133" s="564" t="s">
        <v>78</v>
      </c>
      <c r="E133" s="564" t="s">
        <v>9</v>
      </c>
      <c r="F133" s="564" t="s">
        <v>209</v>
      </c>
      <c r="G133" s="564" t="s">
        <v>335</v>
      </c>
      <c r="H133" s="565">
        <v>44624</v>
      </c>
      <c r="I133" s="564" t="s">
        <v>482</v>
      </c>
      <c r="J133" s="586">
        <v>1549267</v>
      </c>
      <c r="K133" s="567">
        <v>0.60000003881483055</v>
      </c>
      <c r="L133" s="568">
        <v>929561</v>
      </c>
      <c r="M133" s="569">
        <v>0.1</v>
      </c>
      <c r="N133" s="570">
        <f t="shared" si="6"/>
        <v>92956.1</v>
      </c>
      <c r="O133" s="570">
        <f t="shared" si="4"/>
        <v>836604.9</v>
      </c>
      <c r="P133" s="578"/>
      <c r="Q133" s="572" t="e">
        <f>VLOOKUP(G:G,list!B:D,3,FALSE)</f>
        <v>#N/A</v>
      </c>
    </row>
    <row r="134" spans="2:17" ht="18" hidden="1" customHeight="1">
      <c r="B134" s="563">
        <v>129</v>
      </c>
      <c r="C134" s="564" t="e">
        <f>VLOOKUP(G:G,list!B:D,2,FALSE)</f>
        <v>#N/A</v>
      </c>
      <c r="D134" s="564" t="s">
        <v>78</v>
      </c>
      <c r="E134" s="564" t="s">
        <v>9</v>
      </c>
      <c r="F134" s="564" t="s">
        <v>126</v>
      </c>
      <c r="G134" s="564" t="s">
        <v>335</v>
      </c>
      <c r="H134" s="565">
        <v>44457</v>
      </c>
      <c r="I134" s="564" t="s">
        <v>482</v>
      </c>
      <c r="J134" s="586">
        <v>5460378.5</v>
      </c>
      <c r="K134" s="567">
        <v>0.6</v>
      </c>
      <c r="L134" s="568">
        <v>3276228</v>
      </c>
      <c r="M134" s="569">
        <v>0.1</v>
      </c>
      <c r="N134" s="570">
        <f t="shared" si="6"/>
        <v>327622.80000000005</v>
      </c>
      <c r="O134" s="570">
        <f t="shared" ref="O134:O197" si="7">L134-N134</f>
        <v>2948605.2</v>
      </c>
      <c r="P134" s="576"/>
      <c r="Q134" s="572" t="e">
        <f>VLOOKUP(G:G,list!B:D,3,FALSE)</f>
        <v>#N/A</v>
      </c>
    </row>
    <row r="135" spans="2:17" ht="18" hidden="1" customHeight="1">
      <c r="B135" s="563">
        <v>130</v>
      </c>
      <c r="C135" s="564" t="e">
        <f>VLOOKUP(G:G,list!B:D,2,FALSE)</f>
        <v>#N/A</v>
      </c>
      <c r="D135" s="564" t="s">
        <v>177</v>
      </c>
      <c r="E135" s="564" t="s">
        <v>9</v>
      </c>
      <c r="F135" s="564" t="s">
        <v>257</v>
      </c>
      <c r="G135" s="564" t="s">
        <v>335</v>
      </c>
      <c r="H135" s="565">
        <v>44636</v>
      </c>
      <c r="I135" s="564" t="s">
        <v>482</v>
      </c>
      <c r="J135" s="599">
        <v>1379703</v>
      </c>
      <c r="K135" s="600">
        <v>0.35</v>
      </c>
      <c r="L135" s="568">
        <v>482897</v>
      </c>
      <c r="M135" s="569">
        <v>0.1</v>
      </c>
      <c r="N135" s="570">
        <f t="shared" si="6"/>
        <v>48289.700000000004</v>
      </c>
      <c r="O135" s="570">
        <f t="shared" si="7"/>
        <v>434607.3</v>
      </c>
      <c r="P135" s="602"/>
      <c r="Q135" s="572" t="e">
        <f>VLOOKUP(G:G,list!B:D,3,FALSE)</f>
        <v>#N/A</v>
      </c>
    </row>
    <row r="136" spans="2:17" ht="18" hidden="1" customHeight="1">
      <c r="B136" s="563">
        <v>131</v>
      </c>
      <c r="C136" s="564" t="e">
        <f>VLOOKUP(G:G,list!B:D,2,FALSE)</f>
        <v>#N/A</v>
      </c>
      <c r="D136" s="564" t="s">
        <v>183</v>
      </c>
      <c r="E136" s="564" t="s">
        <v>62</v>
      </c>
      <c r="F136" s="564" t="s">
        <v>213</v>
      </c>
      <c r="G136" s="564" t="s">
        <v>173</v>
      </c>
      <c r="H136" s="565">
        <v>44720</v>
      </c>
      <c r="I136" s="564" t="s">
        <v>482</v>
      </c>
      <c r="J136" s="599">
        <v>1485870</v>
      </c>
      <c r="K136" s="600">
        <v>0.3</v>
      </c>
      <c r="L136" s="568">
        <v>445761</v>
      </c>
      <c r="M136" s="569">
        <v>0.1</v>
      </c>
      <c r="N136" s="570">
        <f t="shared" si="6"/>
        <v>44576.100000000006</v>
      </c>
      <c r="O136" s="570">
        <f t="shared" si="7"/>
        <v>401184.9</v>
      </c>
      <c r="P136" s="575" t="s">
        <v>361</v>
      </c>
      <c r="Q136" s="572" t="e">
        <f>VLOOKUP(G:G,list!B:D,3,FALSE)</f>
        <v>#N/A</v>
      </c>
    </row>
    <row r="137" spans="2:17" ht="18" hidden="1" customHeight="1">
      <c r="B137" s="563">
        <v>132</v>
      </c>
      <c r="C137" s="564" t="e">
        <f>VLOOKUP(G:G,list!B:D,2,FALSE)</f>
        <v>#N/A</v>
      </c>
      <c r="D137" s="564" t="s">
        <v>182</v>
      </c>
      <c r="E137" s="564" t="s">
        <v>9</v>
      </c>
      <c r="F137" s="564" t="s">
        <v>384</v>
      </c>
      <c r="G137" s="564" t="s">
        <v>335</v>
      </c>
      <c r="H137" s="565">
        <v>44674</v>
      </c>
      <c r="I137" s="564" t="s">
        <v>455</v>
      </c>
      <c r="J137" s="599">
        <v>375301</v>
      </c>
      <c r="K137" s="600">
        <v>0.5</v>
      </c>
      <c r="L137" s="568">
        <v>187650.5</v>
      </c>
      <c r="M137" s="569">
        <v>0.1</v>
      </c>
      <c r="N137" s="570">
        <f t="shared" si="6"/>
        <v>18765.05</v>
      </c>
      <c r="O137" s="570">
        <f t="shared" si="7"/>
        <v>168885.45</v>
      </c>
      <c r="P137" s="575"/>
      <c r="Q137" s="572" t="e">
        <f>VLOOKUP(G:G,list!B:D,3,FALSE)</f>
        <v>#N/A</v>
      </c>
    </row>
    <row r="138" spans="2:17" ht="18" hidden="1" customHeight="1">
      <c r="B138" s="563">
        <v>133</v>
      </c>
      <c r="C138" s="564" t="e">
        <f>VLOOKUP(G:G,list!B:D,2,FALSE)</f>
        <v>#N/A</v>
      </c>
      <c r="D138" s="564" t="s">
        <v>189</v>
      </c>
      <c r="E138" s="564" t="s">
        <v>9</v>
      </c>
      <c r="F138" s="564" t="s">
        <v>257</v>
      </c>
      <c r="G138" s="564" t="s">
        <v>335</v>
      </c>
      <c r="H138" s="565">
        <v>44678</v>
      </c>
      <c r="I138" s="564" t="s">
        <v>482</v>
      </c>
      <c r="J138" s="586">
        <v>211773</v>
      </c>
      <c r="K138" s="567">
        <v>0.35</v>
      </c>
      <c r="L138" s="568">
        <v>74121</v>
      </c>
      <c r="M138" s="569">
        <v>0.1</v>
      </c>
      <c r="N138" s="570">
        <f t="shared" si="6"/>
        <v>7412.1</v>
      </c>
      <c r="O138" s="570">
        <f t="shared" si="7"/>
        <v>66708.899999999994</v>
      </c>
      <c r="P138" s="575"/>
      <c r="Q138" s="572" t="e">
        <f>VLOOKUP(G:G,list!B:D,3,FALSE)</f>
        <v>#N/A</v>
      </c>
    </row>
    <row r="139" spans="2:17" ht="18" hidden="1" customHeight="1">
      <c r="B139" s="563">
        <v>134</v>
      </c>
      <c r="C139" s="564" t="e">
        <f>VLOOKUP(G:G,list!B:D,2,FALSE)</f>
        <v>#N/A</v>
      </c>
      <c r="D139" s="564" t="s">
        <v>72</v>
      </c>
      <c r="E139" s="564" t="s">
        <v>9</v>
      </c>
      <c r="F139" s="564" t="s">
        <v>73</v>
      </c>
      <c r="G139" s="564" t="s">
        <v>335</v>
      </c>
      <c r="H139" s="565">
        <v>44694</v>
      </c>
      <c r="I139" s="564" t="s">
        <v>455</v>
      </c>
      <c r="J139" s="599">
        <v>33314699</v>
      </c>
      <c r="K139" s="605">
        <v>0.224</v>
      </c>
      <c r="L139" s="568">
        <v>6716252</v>
      </c>
      <c r="M139" s="569">
        <v>0.1</v>
      </c>
      <c r="N139" s="570">
        <f t="shared" si="6"/>
        <v>671625.20000000007</v>
      </c>
      <c r="O139" s="570">
        <f t="shared" si="7"/>
        <v>6044626.7999999998</v>
      </c>
      <c r="P139" s="575"/>
      <c r="Q139" s="572" t="e">
        <f>VLOOKUP(G:G,list!B:D,3,FALSE)</f>
        <v>#N/A</v>
      </c>
    </row>
    <row r="140" spans="2:17" ht="18" customHeight="1">
      <c r="B140" s="563">
        <v>135</v>
      </c>
      <c r="C140" s="564" t="e">
        <f>VLOOKUP(G:G,list!B:D,2,FALSE)</f>
        <v>#N/A</v>
      </c>
      <c r="D140" s="564" t="s">
        <v>22</v>
      </c>
      <c r="E140" s="564" t="s">
        <v>62</v>
      </c>
      <c r="F140" s="564" t="s">
        <v>421</v>
      </c>
      <c r="G140" s="564" t="s">
        <v>173</v>
      </c>
      <c r="H140" s="565">
        <v>44531</v>
      </c>
      <c r="I140" s="564" t="s">
        <v>377</v>
      </c>
      <c r="J140" s="599">
        <v>436470</v>
      </c>
      <c r="K140" s="603">
        <v>0.28000000000000003</v>
      </c>
      <c r="L140" s="568">
        <v>99761</v>
      </c>
      <c r="M140" s="569">
        <v>0.1</v>
      </c>
      <c r="N140" s="570">
        <f t="shared" si="6"/>
        <v>9976.1</v>
      </c>
      <c r="O140" s="570">
        <f t="shared" si="7"/>
        <v>89784.9</v>
      </c>
      <c r="P140" s="602"/>
      <c r="Q140" s="572" t="e">
        <f>VLOOKUP(G:G,list!B:D,3,FALSE)</f>
        <v>#N/A</v>
      </c>
    </row>
    <row r="141" spans="2:17" ht="18" customHeight="1">
      <c r="B141" s="563">
        <v>136</v>
      </c>
      <c r="C141" s="564" t="e">
        <f>VLOOKUP(G:G,list!B:D,2,FALSE)</f>
        <v>#N/A</v>
      </c>
      <c r="D141" s="564" t="s">
        <v>22</v>
      </c>
      <c r="E141" s="564" t="s">
        <v>62</v>
      </c>
      <c r="F141" s="564" t="s">
        <v>421</v>
      </c>
      <c r="G141" s="564" t="s">
        <v>173</v>
      </c>
      <c r="H141" s="565">
        <v>44531</v>
      </c>
      <c r="I141" s="564" t="s">
        <v>428</v>
      </c>
      <c r="J141" s="599">
        <v>1666544</v>
      </c>
      <c r="K141" s="603">
        <v>0.28000000000000003</v>
      </c>
      <c r="L141" s="568">
        <v>381658</v>
      </c>
      <c r="M141" s="569">
        <v>0.1</v>
      </c>
      <c r="N141" s="570">
        <f t="shared" si="6"/>
        <v>38165.800000000003</v>
      </c>
      <c r="O141" s="570">
        <f t="shared" si="7"/>
        <v>343492.2</v>
      </c>
      <c r="P141" s="602"/>
      <c r="Q141" s="572" t="e">
        <f>VLOOKUP(G:G,list!B:D,3,FALSE)</f>
        <v>#N/A</v>
      </c>
    </row>
    <row r="142" spans="2:17" ht="18" customHeight="1">
      <c r="B142" s="563">
        <v>137</v>
      </c>
      <c r="C142" s="564" t="e">
        <f>VLOOKUP(G:G,list!B:D,2,FALSE)</f>
        <v>#N/A</v>
      </c>
      <c r="D142" s="564" t="s">
        <v>22</v>
      </c>
      <c r="E142" s="564" t="s">
        <v>62</v>
      </c>
      <c r="F142" s="564" t="s">
        <v>421</v>
      </c>
      <c r="G142" s="564" t="s">
        <v>173</v>
      </c>
      <c r="H142" s="565">
        <v>44531</v>
      </c>
      <c r="I142" s="564" t="s">
        <v>455</v>
      </c>
      <c r="J142" s="599">
        <v>731182</v>
      </c>
      <c r="K142" s="603">
        <v>0.28000000000000003</v>
      </c>
      <c r="L142" s="568">
        <v>163697</v>
      </c>
      <c r="M142" s="569">
        <v>0.1</v>
      </c>
      <c r="N142" s="570">
        <f t="shared" si="6"/>
        <v>16369.7</v>
      </c>
      <c r="O142" s="570">
        <f t="shared" si="7"/>
        <v>147327.29999999999</v>
      </c>
      <c r="P142" s="602"/>
      <c r="Q142" s="572" t="e">
        <f>VLOOKUP(G:G,list!B:D,3,FALSE)</f>
        <v>#N/A</v>
      </c>
    </row>
    <row r="143" spans="2:17" ht="18" hidden="1" customHeight="1">
      <c r="B143" s="563">
        <v>138</v>
      </c>
      <c r="C143" s="564" t="e">
        <f>VLOOKUP(G:G,list!B:D,2,FALSE)</f>
        <v>#N/A</v>
      </c>
      <c r="D143" s="564" t="s">
        <v>32</v>
      </c>
      <c r="E143" s="564" t="s">
        <v>9</v>
      </c>
      <c r="F143" s="564" t="s">
        <v>257</v>
      </c>
      <c r="G143" s="564" t="s">
        <v>335</v>
      </c>
      <c r="H143" s="565">
        <v>44698</v>
      </c>
      <c r="I143" s="564" t="s">
        <v>482</v>
      </c>
      <c r="J143" s="599">
        <v>1518983</v>
      </c>
      <c r="K143" s="600">
        <v>0.35</v>
      </c>
      <c r="L143" s="568">
        <v>531644</v>
      </c>
      <c r="M143" s="569">
        <v>0.1</v>
      </c>
      <c r="N143" s="570">
        <f t="shared" si="6"/>
        <v>53164.4</v>
      </c>
      <c r="O143" s="570">
        <f t="shared" si="7"/>
        <v>478479.6</v>
      </c>
      <c r="P143" s="575"/>
      <c r="Q143" s="572" t="e">
        <f>VLOOKUP(G:G,list!B:D,3,FALSE)</f>
        <v>#N/A</v>
      </c>
    </row>
    <row r="144" spans="2:17" ht="18" hidden="1" customHeight="1">
      <c r="B144" s="563">
        <v>139</v>
      </c>
      <c r="C144" s="564" t="e">
        <f>VLOOKUP(G:G,list!B:D,2,FALSE)</f>
        <v>#N/A</v>
      </c>
      <c r="D144" s="564" t="s">
        <v>78</v>
      </c>
      <c r="E144" s="564" t="s">
        <v>9</v>
      </c>
      <c r="F144" s="564" t="s">
        <v>242</v>
      </c>
      <c r="G144" s="564" t="s">
        <v>190</v>
      </c>
      <c r="H144" s="565">
        <v>44391</v>
      </c>
      <c r="I144" s="564" t="s">
        <v>482</v>
      </c>
      <c r="J144" s="579">
        <v>28942415</v>
      </c>
      <c r="K144" s="580">
        <v>0.6</v>
      </c>
      <c r="L144" s="568">
        <v>17365450</v>
      </c>
      <c r="M144" s="569">
        <v>0.12</v>
      </c>
      <c r="N144" s="573">
        <f t="shared" si="6"/>
        <v>2083854</v>
      </c>
      <c r="O144" s="570">
        <f t="shared" si="7"/>
        <v>15281596</v>
      </c>
      <c r="P144" s="576"/>
      <c r="Q144" s="572" t="e">
        <f>VLOOKUP(G:G,list!B:D,3,FALSE)</f>
        <v>#N/A</v>
      </c>
    </row>
    <row r="145" spans="2:17" ht="18" hidden="1" customHeight="1">
      <c r="B145" s="563">
        <v>140</v>
      </c>
      <c r="C145" s="564" t="e">
        <f>VLOOKUP(G:G,list!B:D,2,FALSE)</f>
        <v>#N/A</v>
      </c>
      <c r="D145" s="564" t="s">
        <v>23</v>
      </c>
      <c r="E145" s="564" t="s">
        <v>62</v>
      </c>
      <c r="F145" s="564" t="s">
        <v>213</v>
      </c>
      <c r="G145" s="564" t="s">
        <v>17</v>
      </c>
      <c r="H145" s="565">
        <v>44598</v>
      </c>
      <c r="I145" s="564" t="s">
        <v>482</v>
      </c>
      <c r="J145" s="599">
        <v>2058360</v>
      </c>
      <c r="K145" s="600">
        <v>0.3</v>
      </c>
      <c r="L145" s="568">
        <v>617508</v>
      </c>
      <c r="M145" s="569">
        <v>0.12</v>
      </c>
      <c r="N145" s="573">
        <f t="shared" si="6"/>
        <v>74100.959999999992</v>
      </c>
      <c r="O145" s="570">
        <f t="shared" si="7"/>
        <v>543407.04</v>
      </c>
      <c r="P145" s="575" t="s">
        <v>307</v>
      </c>
      <c r="Q145" s="572" t="e">
        <f>VLOOKUP(G:G,list!B:D,3,FALSE)</f>
        <v>#N/A</v>
      </c>
    </row>
    <row r="146" spans="2:17" ht="18" hidden="1" customHeight="1">
      <c r="B146" s="563">
        <v>141</v>
      </c>
      <c r="C146" s="564" t="e">
        <f>VLOOKUP(G:G,list!B:D,2,FALSE)</f>
        <v>#N/A</v>
      </c>
      <c r="D146" s="564" t="s">
        <v>27</v>
      </c>
      <c r="E146" s="564" t="s">
        <v>62</v>
      </c>
      <c r="F146" s="564" t="s">
        <v>213</v>
      </c>
      <c r="G146" s="564" t="s">
        <v>17</v>
      </c>
      <c r="H146" s="565">
        <v>44486</v>
      </c>
      <c r="I146" s="564" t="s">
        <v>482</v>
      </c>
      <c r="J146" s="599">
        <v>17289483</v>
      </c>
      <c r="K146" s="600">
        <v>0.3</v>
      </c>
      <c r="L146" s="568">
        <v>5186845</v>
      </c>
      <c r="M146" s="569">
        <v>0.12</v>
      </c>
      <c r="N146" s="573">
        <f t="shared" ref="N146:N162" si="8">L146*M146</f>
        <v>622421.4</v>
      </c>
      <c r="O146" s="570">
        <f t="shared" si="7"/>
        <v>4564423.5999999996</v>
      </c>
      <c r="P146" s="575" t="s">
        <v>307</v>
      </c>
      <c r="Q146" s="572" t="e">
        <f>VLOOKUP(G:G,list!B:D,3,FALSE)</f>
        <v>#N/A</v>
      </c>
    </row>
    <row r="147" spans="2:17" ht="18" hidden="1" customHeight="1">
      <c r="B147" s="563">
        <v>142</v>
      </c>
      <c r="C147" s="564" t="e">
        <f>VLOOKUP(G:G,list!B:D,2,FALSE)</f>
        <v>#N/A</v>
      </c>
      <c r="D147" s="564" t="s">
        <v>27</v>
      </c>
      <c r="E147" s="564" t="s">
        <v>62</v>
      </c>
      <c r="F147" s="564" t="s">
        <v>213</v>
      </c>
      <c r="G147" s="564" t="s">
        <v>17</v>
      </c>
      <c r="H147" s="565">
        <v>44486</v>
      </c>
      <c r="I147" s="564" t="s">
        <v>455</v>
      </c>
      <c r="J147" s="599">
        <v>383107</v>
      </c>
      <c r="K147" s="600">
        <v>0.3</v>
      </c>
      <c r="L147" s="568">
        <v>114932</v>
      </c>
      <c r="M147" s="569">
        <v>0.12</v>
      </c>
      <c r="N147" s="573">
        <f t="shared" si="8"/>
        <v>13791.84</v>
      </c>
      <c r="O147" s="570">
        <f t="shared" si="7"/>
        <v>101140.16</v>
      </c>
      <c r="P147" s="575" t="s">
        <v>283</v>
      </c>
      <c r="Q147" s="572" t="e">
        <f>VLOOKUP(G:G,list!B:D,3,FALSE)</f>
        <v>#N/A</v>
      </c>
    </row>
    <row r="148" spans="2:17" ht="18" hidden="1" customHeight="1">
      <c r="B148" s="563">
        <v>143</v>
      </c>
      <c r="C148" s="564" t="e">
        <f>VLOOKUP(G:G,list!B:D,2,FALSE)</f>
        <v>#N/A</v>
      </c>
      <c r="D148" s="564" t="s">
        <v>313</v>
      </c>
      <c r="E148" s="564" t="s">
        <v>9</v>
      </c>
      <c r="F148" s="564" t="s">
        <v>213</v>
      </c>
      <c r="G148" s="564" t="s">
        <v>17</v>
      </c>
      <c r="H148" s="565">
        <v>44642</v>
      </c>
      <c r="I148" s="564" t="s">
        <v>482</v>
      </c>
      <c r="J148" s="599">
        <v>1341380</v>
      </c>
      <c r="K148" s="600">
        <v>0.3</v>
      </c>
      <c r="L148" s="568">
        <v>402414</v>
      </c>
      <c r="M148" s="569">
        <v>0.12</v>
      </c>
      <c r="N148" s="573">
        <f t="shared" si="8"/>
        <v>48289.68</v>
      </c>
      <c r="O148" s="570">
        <f t="shared" si="7"/>
        <v>354124.32</v>
      </c>
      <c r="P148" s="575" t="s">
        <v>307</v>
      </c>
      <c r="Q148" s="572" t="e">
        <f>VLOOKUP(G:G,list!B:D,3,FALSE)</f>
        <v>#N/A</v>
      </c>
    </row>
    <row r="149" spans="2:17" ht="18" hidden="1" customHeight="1">
      <c r="B149" s="563">
        <v>144</v>
      </c>
      <c r="C149" s="564" t="e">
        <f>VLOOKUP(G:G,list!B:D,2,FALSE)</f>
        <v>#N/A</v>
      </c>
      <c r="D149" s="564" t="s">
        <v>189</v>
      </c>
      <c r="E149" s="564" t="s">
        <v>9</v>
      </c>
      <c r="F149" s="564" t="s">
        <v>213</v>
      </c>
      <c r="G149" s="564" t="s">
        <v>17</v>
      </c>
      <c r="H149" s="565">
        <v>44466</v>
      </c>
      <c r="I149" s="564" t="s">
        <v>482</v>
      </c>
      <c r="J149" s="599">
        <v>5776707</v>
      </c>
      <c r="K149" s="600">
        <v>0.3</v>
      </c>
      <c r="L149" s="568">
        <v>1733012</v>
      </c>
      <c r="M149" s="569">
        <v>0.12</v>
      </c>
      <c r="N149" s="573">
        <f t="shared" si="8"/>
        <v>207961.44</v>
      </c>
      <c r="O149" s="570">
        <f t="shared" si="7"/>
        <v>1525050.56</v>
      </c>
      <c r="P149" s="575" t="s">
        <v>307</v>
      </c>
      <c r="Q149" s="572" t="e">
        <f>VLOOKUP(G:G,list!B:D,3,FALSE)</f>
        <v>#N/A</v>
      </c>
    </row>
    <row r="150" spans="2:17" ht="18" hidden="1" customHeight="1">
      <c r="B150" s="563">
        <v>145</v>
      </c>
      <c r="C150" s="564" t="e">
        <f>VLOOKUP(G:G,list!B:D,2,FALSE)</f>
        <v>#N/A</v>
      </c>
      <c r="D150" s="564" t="s">
        <v>72</v>
      </c>
      <c r="E150" s="564" t="s">
        <v>9</v>
      </c>
      <c r="F150" s="564" t="s">
        <v>184</v>
      </c>
      <c r="G150" s="564" t="s">
        <v>17</v>
      </c>
      <c r="H150" s="565">
        <v>44498</v>
      </c>
      <c r="I150" s="564" t="s">
        <v>455</v>
      </c>
      <c r="J150" s="586">
        <v>137948117</v>
      </c>
      <c r="K150" s="567">
        <v>0.3</v>
      </c>
      <c r="L150" s="568">
        <v>41384435</v>
      </c>
      <c r="M150" s="569">
        <v>0.12</v>
      </c>
      <c r="N150" s="573">
        <f t="shared" si="8"/>
        <v>4966132.2</v>
      </c>
      <c r="O150" s="570">
        <f t="shared" si="7"/>
        <v>36418302.799999997</v>
      </c>
      <c r="P150" s="575" t="s">
        <v>282</v>
      </c>
      <c r="Q150" s="572" t="e">
        <f>VLOOKUP(G:G,list!B:D,3,FALSE)</f>
        <v>#N/A</v>
      </c>
    </row>
    <row r="151" spans="2:17" ht="18" hidden="1" customHeight="1">
      <c r="B151" s="563">
        <v>146</v>
      </c>
      <c r="C151" s="564" t="e">
        <f>VLOOKUP(G:G,list!B:D,2,FALSE)</f>
        <v>#N/A</v>
      </c>
      <c r="D151" s="564" t="s">
        <v>22</v>
      </c>
      <c r="E151" s="564" t="s">
        <v>62</v>
      </c>
      <c r="F151" s="564" t="s">
        <v>213</v>
      </c>
      <c r="G151" s="564" t="s">
        <v>17</v>
      </c>
      <c r="H151" s="565">
        <v>44477</v>
      </c>
      <c r="I151" s="564" t="s">
        <v>482</v>
      </c>
      <c r="J151" s="599">
        <v>112623</v>
      </c>
      <c r="K151" s="603">
        <v>0.3</v>
      </c>
      <c r="L151" s="568">
        <v>33787</v>
      </c>
      <c r="M151" s="569">
        <v>0.12</v>
      </c>
      <c r="N151" s="573">
        <f t="shared" si="8"/>
        <v>4054.44</v>
      </c>
      <c r="O151" s="570">
        <f t="shared" si="7"/>
        <v>29732.560000000001</v>
      </c>
      <c r="P151" s="575" t="s">
        <v>425</v>
      </c>
      <c r="Q151" s="572" t="e">
        <f>VLOOKUP(G:G,list!B:D,3,FALSE)</f>
        <v>#N/A</v>
      </c>
    </row>
    <row r="152" spans="2:17" ht="18" hidden="1" customHeight="1">
      <c r="B152" s="563">
        <v>147</v>
      </c>
      <c r="C152" s="564" t="e">
        <f>VLOOKUP(G:G,list!B:D,2,FALSE)</f>
        <v>#N/A</v>
      </c>
      <c r="D152" s="564" t="s">
        <v>32</v>
      </c>
      <c r="E152" s="564" t="s">
        <v>62</v>
      </c>
      <c r="F152" s="564" t="s">
        <v>213</v>
      </c>
      <c r="G152" s="564" t="s">
        <v>17</v>
      </c>
      <c r="H152" s="565">
        <v>44497</v>
      </c>
      <c r="I152" s="564" t="s">
        <v>482</v>
      </c>
      <c r="J152" s="599">
        <v>2240550</v>
      </c>
      <c r="K152" s="603">
        <v>0.3</v>
      </c>
      <c r="L152" s="568">
        <v>672165</v>
      </c>
      <c r="M152" s="569">
        <v>0.12</v>
      </c>
      <c r="N152" s="573">
        <f t="shared" si="8"/>
        <v>80659.8</v>
      </c>
      <c r="O152" s="570">
        <f t="shared" si="7"/>
        <v>591505.19999999995</v>
      </c>
      <c r="P152" s="575" t="s">
        <v>307</v>
      </c>
      <c r="Q152" s="572" t="e">
        <f>VLOOKUP(G:G,list!B:D,3,FALSE)</f>
        <v>#N/A</v>
      </c>
    </row>
    <row r="153" spans="2:17" ht="18" hidden="1" customHeight="1">
      <c r="B153" s="563">
        <v>148</v>
      </c>
      <c r="C153" s="564" t="e">
        <f>VLOOKUP(G:G,list!B:D,2,FALSE)</f>
        <v>#N/A</v>
      </c>
      <c r="D153" s="564" t="s">
        <v>78</v>
      </c>
      <c r="E153" s="564" t="s">
        <v>9</v>
      </c>
      <c r="F153" s="564" t="s">
        <v>209</v>
      </c>
      <c r="G153" s="564" t="s">
        <v>153</v>
      </c>
      <c r="H153" s="565">
        <v>44510</v>
      </c>
      <c r="I153" s="564" t="s">
        <v>482</v>
      </c>
      <c r="J153" s="586">
        <v>354528</v>
      </c>
      <c r="K153" s="567">
        <v>0.6</v>
      </c>
      <c r="L153" s="568">
        <v>212718</v>
      </c>
      <c r="M153" s="569">
        <v>0.1</v>
      </c>
      <c r="N153" s="570">
        <f t="shared" si="8"/>
        <v>21271.800000000003</v>
      </c>
      <c r="O153" s="570">
        <f t="shared" si="7"/>
        <v>191446.2</v>
      </c>
      <c r="P153" s="576"/>
      <c r="Q153" s="572" t="e">
        <f>VLOOKUP(G:G,list!B:D,3,FALSE)</f>
        <v>#N/A</v>
      </c>
    </row>
    <row r="154" spans="2:17" ht="18" hidden="1" customHeight="1">
      <c r="B154" s="563">
        <v>149</v>
      </c>
      <c r="C154" s="564" t="e">
        <f>VLOOKUP(G:G,list!B:D,2,FALSE)</f>
        <v>#N/A</v>
      </c>
      <c r="D154" s="564" t="s">
        <v>78</v>
      </c>
      <c r="E154" s="564" t="s">
        <v>9</v>
      </c>
      <c r="F154" s="564" t="s">
        <v>126</v>
      </c>
      <c r="G154" s="564" t="s">
        <v>153</v>
      </c>
      <c r="H154" s="565">
        <v>44040</v>
      </c>
      <c r="I154" s="564" t="s">
        <v>482</v>
      </c>
      <c r="J154" s="586">
        <v>641072.19999999995</v>
      </c>
      <c r="K154" s="567">
        <v>0.6</v>
      </c>
      <c r="L154" s="568">
        <v>384644</v>
      </c>
      <c r="M154" s="569">
        <v>0.1</v>
      </c>
      <c r="N154" s="570">
        <f t="shared" si="8"/>
        <v>38464.400000000001</v>
      </c>
      <c r="O154" s="570">
        <f t="shared" si="7"/>
        <v>346179.6</v>
      </c>
      <c r="P154" s="575"/>
      <c r="Q154" s="572" t="e">
        <f>VLOOKUP(G:G,list!B:D,3,FALSE)</f>
        <v>#N/A</v>
      </c>
    </row>
    <row r="155" spans="2:17" ht="18" hidden="1" customHeight="1">
      <c r="B155" s="563">
        <v>150</v>
      </c>
      <c r="C155" s="564" t="e">
        <f>VLOOKUP(G:G,list!B:D,2,FALSE)</f>
        <v>#N/A</v>
      </c>
      <c r="D155" s="564" t="s">
        <v>66</v>
      </c>
      <c r="E155" s="564" t="s">
        <v>64</v>
      </c>
      <c r="F155" s="564" t="s">
        <v>65</v>
      </c>
      <c r="G155" s="564" t="s">
        <v>153</v>
      </c>
      <c r="H155" s="565">
        <v>44702</v>
      </c>
      <c r="I155" s="564" t="s">
        <v>482</v>
      </c>
      <c r="J155" s="599">
        <v>472853</v>
      </c>
      <c r="K155" s="603">
        <v>0.4</v>
      </c>
      <c r="L155" s="568">
        <v>189141</v>
      </c>
      <c r="M155" s="569">
        <v>0.1</v>
      </c>
      <c r="N155" s="570">
        <f t="shared" si="8"/>
        <v>18914.100000000002</v>
      </c>
      <c r="O155" s="570">
        <f t="shared" si="7"/>
        <v>170226.9</v>
      </c>
      <c r="P155" s="575"/>
      <c r="Q155" s="572" t="e">
        <f>VLOOKUP(G:G,list!B:D,3,FALSE)</f>
        <v>#N/A</v>
      </c>
    </row>
    <row r="156" spans="2:17" ht="18" hidden="1" customHeight="1">
      <c r="B156" s="563">
        <v>151</v>
      </c>
      <c r="C156" s="564" t="e">
        <f>VLOOKUP(G:G,list!B:D,2,FALSE)</f>
        <v>#N/A</v>
      </c>
      <c r="D156" s="564" t="s">
        <v>182</v>
      </c>
      <c r="E156" s="564" t="s">
        <v>9</v>
      </c>
      <c r="F156" s="564" t="s">
        <v>384</v>
      </c>
      <c r="G156" s="564" t="s">
        <v>153</v>
      </c>
      <c r="H156" s="565">
        <v>44180</v>
      </c>
      <c r="I156" s="564" t="s">
        <v>455</v>
      </c>
      <c r="J156" s="599">
        <v>85949</v>
      </c>
      <c r="K156" s="600">
        <v>0.5</v>
      </c>
      <c r="L156" s="568">
        <v>42974.5</v>
      </c>
      <c r="M156" s="569">
        <v>0.1</v>
      </c>
      <c r="N156" s="570">
        <f t="shared" si="8"/>
        <v>4297.45</v>
      </c>
      <c r="O156" s="570">
        <f t="shared" si="7"/>
        <v>38677.050000000003</v>
      </c>
      <c r="P156" s="573"/>
      <c r="Q156" s="572" t="e">
        <f>VLOOKUP(G:G,list!B:D,3,FALSE)</f>
        <v>#N/A</v>
      </c>
    </row>
    <row r="157" spans="2:17" ht="18" hidden="1" customHeight="1">
      <c r="B157" s="563">
        <v>152</v>
      </c>
      <c r="C157" s="564" t="e">
        <f>VLOOKUP(G:G,list!B:D,2,FALSE)</f>
        <v>#N/A</v>
      </c>
      <c r="D157" s="564" t="s">
        <v>182</v>
      </c>
      <c r="E157" s="564" t="s">
        <v>115</v>
      </c>
      <c r="F157" s="564" t="s">
        <v>283</v>
      </c>
      <c r="G157" s="564" t="s">
        <v>29</v>
      </c>
      <c r="H157" s="565">
        <v>44277</v>
      </c>
      <c r="I157" s="564" t="s">
        <v>377</v>
      </c>
      <c r="J157" s="599">
        <v>2038140</v>
      </c>
      <c r="K157" s="600">
        <v>0.5</v>
      </c>
      <c r="L157" s="568">
        <v>1019070</v>
      </c>
      <c r="M157" s="569">
        <v>0.1</v>
      </c>
      <c r="N157" s="570">
        <f t="shared" si="8"/>
        <v>101907</v>
      </c>
      <c r="O157" s="570">
        <f t="shared" si="7"/>
        <v>917163</v>
      </c>
      <c r="P157" s="575"/>
      <c r="Q157" s="572" t="e">
        <f>VLOOKUP(G:G,list!B:D,3,FALSE)</f>
        <v>#N/A</v>
      </c>
    </row>
    <row r="158" spans="2:17" ht="18" hidden="1" customHeight="1">
      <c r="B158" s="563">
        <v>153</v>
      </c>
      <c r="C158" s="564" t="e">
        <f>VLOOKUP(G:G,list!B:D,2,FALSE)</f>
        <v>#N/A</v>
      </c>
      <c r="D158" s="564" t="s">
        <v>182</v>
      </c>
      <c r="E158" s="564" t="s">
        <v>115</v>
      </c>
      <c r="F158" s="564" t="s">
        <v>386</v>
      </c>
      <c r="G158" s="564" t="s">
        <v>153</v>
      </c>
      <c r="H158" s="565">
        <v>44604</v>
      </c>
      <c r="I158" s="564" t="s">
        <v>377</v>
      </c>
      <c r="J158" s="599">
        <v>3675768</v>
      </c>
      <c r="K158" s="600">
        <v>0.5</v>
      </c>
      <c r="L158" s="568">
        <v>1837884</v>
      </c>
      <c r="M158" s="569">
        <v>0.1</v>
      </c>
      <c r="N158" s="570">
        <f t="shared" si="8"/>
        <v>183788.40000000002</v>
      </c>
      <c r="O158" s="570">
        <f t="shared" si="7"/>
        <v>1654095.6</v>
      </c>
      <c r="P158" s="575"/>
      <c r="Q158" s="572" t="e">
        <f>VLOOKUP(G:G,list!B:D,3,FALSE)</f>
        <v>#N/A</v>
      </c>
    </row>
    <row r="159" spans="2:17" ht="18" hidden="1" customHeight="1">
      <c r="B159" s="563">
        <v>154</v>
      </c>
      <c r="C159" s="564" t="e">
        <f>VLOOKUP(G:G,list!B:D,2,FALSE)</f>
        <v>#N/A</v>
      </c>
      <c r="D159" s="564" t="s">
        <v>189</v>
      </c>
      <c r="E159" s="564" t="s">
        <v>9</v>
      </c>
      <c r="F159" s="564" t="s">
        <v>257</v>
      </c>
      <c r="G159" s="564" t="s">
        <v>29</v>
      </c>
      <c r="H159" s="565">
        <v>44742</v>
      </c>
      <c r="I159" s="564" t="s">
        <v>482</v>
      </c>
      <c r="J159" s="586">
        <v>16875</v>
      </c>
      <c r="K159" s="567">
        <v>0.35</v>
      </c>
      <c r="L159" s="568">
        <v>5906</v>
      </c>
      <c r="M159" s="569">
        <v>0.1</v>
      </c>
      <c r="N159" s="570">
        <f t="shared" si="8"/>
        <v>590.6</v>
      </c>
      <c r="O159" s="570">
        <f t="shared" si="7"/>
        <v>5315.4</v>
      </c>
      <c r="P159" s="575"/>
      <c r="Q159" s="572" t="e">
        <f>VLOOKUP(G:G,list!B:D,3,FALSE)</f>
        <v>#N/A</v>
      </c>
    </row>
    <row r="160" spans="2:17" ht="18" hidden="1" customHeight="1">
      <c r="B160" s="563">
        <v>155</v>
      </c>
      <c r="C160" s="564" t="e">
        <f>VLOOKUP(G:G,list!B:D,2,FALSE)</f>
        <v>#N/A</v>
      </c>
      <c r="D160" s="564" t="s">
        <v>72</v>
      </c>
      <c r="E160" s="564" t="s">
        <v>9</v>
      </c>
      <c r="F160" s="564" t="s">
        <v>73</v>
      </c>
      <c r="G160" s="564" t="s">
        <v>153</v>
      </c>
      <c r="H160" s="565">
        <v>44315</v>
      </c>
      <c r="I160" s="564" t="s">
        <v>455</v>
      </c>
      <c r="J160" s="599">
        <v>2692348</v>
      </c>
      <c r="K160" s="605">
        <v>0.224</v>
      </c>
      <c r="L160" s="568">
        <v>542786</v>
      </c>
      <c r="M160" s="569">
        <v>0.1</v>
      </c>
      <c r="N160" s="570">
        <f t="shared" si="8"/>
        <v>54278.600000000006</v>
      </c>
      <c r="O160" s="570">
        <f t="shared" si="7"/>
        <v>488507.4</v>
      </c>
      <c r="P160" s="575"/>
      <c r="Q160" s="572" t="e">
        <f>VLOOKUP(G:G,list!B:D,3,FALSE)</f>
        <v>#N/A</v>
      </c>
    </row>
    <row r="161" spans="2:17" ht="18" hidden="1" customHeight="1">
      <c r="B161" s="563">
        <v>156</v>
      </c>
      <c r="C161" s="564" t="e">
        <f>VLOOKUP(G:G,list!B:D,2,FALSE)</f>
        <v>#N/A</v>
      </c>
      <c r="D161" s="564" t="s">
        <v>32</v>
      </c>
      <c r="E161" s="564" t="s">
        <v>115</v>
      </c>
      <c r="F161" s="564" t="s">
        <v>31</v>
      </c>
      <c r="G161" s="564" t="s">
        <v>153</v>
      </c>
      <c r="H161" s="565">
        <v>44137</v>
      </c>
      <c r="I161" s="564" t="s">
        <v>455</v>
      </c>
      <c r="J161" s="599">
        <v>150055</v>
      </c>
      <c r="K161" s="603">
        <v>0.4</v>
      </c>
      <c r="L161" s="568">
        <v>57013</v>
      </c>
      <c r="M161" s="569">
        <v>0.1</v>
      </c>
      <c r="N161" s="570">
        <f t="shared" si="8"/>
        <v>5701.3</v>
      </c>
      <c r="O161" s="570">
        <f t="shared" si="7"/>
        <v>51311.7</v>
      </c>
      <c r="P161" s="576"/>
      <c r="Q161" s="572" t="e">
        <f>VLOOKUP(G:G,list!B:D,3,FALSE)</f>
        <v>#N/A</v>
      </c>
    </row>
    <row r="162" spans="2:17" ht="18" hidden="1" customHeight="1">
      <c r="B162" s="563">
        <v>157</v>
      </c>
      <c r="C162" s="564" t="e">
        <f>VLOOKUP(G:G,list!B:D,2,FALSE)</f>
        <v>#N/A</v>
      </c>
      <c r="D162" s="564" t="s">
        <v>67</v>
      </c>
      <c r="E162" s="564" t="s">
        <v>9</v>
      </c>
      <c r="F162" s="564" t="s">
        <v>65</v>
      </c>
      <c r="G162" s="564" t="s">
        <v>153</v>
      </c>
      <c r="H162" s="565">
        <v>44111</v>
      </c>
      <c r="I162" s="564" t="s">
        <v>482</v>
      </c>
      <c r="J162" s="599">
        <v>218843</v>
      </c>
      <c r="K162" s="603">
        <v>0.4</v>
      </c>
      <c r="L162" s="568">
        <v>87537</v>
      </c>
      <c r="M162" s="569">
        <v>0.1</v>
      </c>
      <c r="N162" s="570">
        <f t="shared" si="8"/>
        <v>8753.7000000000007</v>
      </c>
      <c r="O162" s="570">
        <f t="shared" si="7"/>
        <v>78783.3</v>
      </c>
      <c r="P162" s="576"/>
      <c r="Q162" s="572" t="e">
        <f>VLOOKUP(G:G,list!B:D,3,FALSE)</f>
        <v>#N/A</v>
      </c>
    </row>
    <row r="163" spans="2:17" ht="18" hidden="1" customHeight="1">
      <c r="B163" s="563">
        <v>158</v>
      </c>
      <c r="C163" s="564" t="e">
        <f>VLOOKUP(G:G,list!B:D,2,FALSE)</f>
        <v>#N/A</v>
      </c>
      <c r="D163" s="564" t="s">
        <v>78</v>
      </c>
      <c r="E163" s="564" t="s">
        <v>115</v>
      </c>
      <c r="F163" s="564" t="s">
        <v>176</v>
      </c>
      <c r="G163" s="564" t="s">
        <v>499</v>
      </c>
      <c r="H163" s="565">
        <v>44839</v>
      </c>
      <c r="I163" s="564" t="s">
        <v>482</v>
      </c>
      <c r="J163" s="586">
        <v>54092912.700000003</v>
      </c>
      <c r="K163" s="567">
        <v>0.6</v>
      </c>
      <c r="L163" s="568">
        <v>32455747</v>
      </c>
      <c r="M163" s="569">
        <v>0.1</v>
      </c>
      <c r="N163" s="573">
        <f>L163*M163</f>
        <v>3245574.7</v>
      </c>
      <c r="O163" s="570">
        <f t="shared" si="7"/>
        <v>29210172.300000001</v>
      </c>
      <c r="P163" s="575" t="s">
        <v>287</v>
      </c>
      <c r="Q163" s="572" t="e">
        <f>VLOOKUP(G:G,list!B:D,3,FALSE)</f>
        <v>#N/A</v>
      </c>
    </row>
    <row r="164" spans="2:17" ht="18" hidden="1" customHeight="1">
      <c r="B164" s="563">
        <v>159</v>
      </c>
      <c r="C164" s="564" t="e">
        <f>VLOOKUP(G:G,list!B:D,2,FALSE)</f>
        <v>#N/A</v>
      </c>
      <c r="D164" s="564" t="s">
        <v>78</v>
      </c>
      <c r="E164" s="564" t="s">
        <v>62</v>
      </c>
      <c r="F164" s="564" t="s">
        <v>242</v>
      </c>
      <c r="G164" s="564" t="s">
        <v>503</v>
      </c>
      <c r="H164" s="565">
        <v>44842</v>
      </c>
      <c r="I164" s="564" t="s">
        <v>482</v>
      </c>
      <c r="J164" s="577">
        <v>20447383</v>
      </c>
      <c r="K164" s="580">
        <v>0.6</v>
      </c>
      <c r="L164" s="568">
        <v>12268431</v>
      </c>
      <c r="M164" s="569">
        <v>0.1</v>
      </c>
      <c r="N164" s="570">
        <f>L164*M164</f>
        <v>1226843.1000000001</v>
      </c>
      <c r="O164" s="570">
        <f t="shared" si="7"/>
        <v>11041587.9</v>
      </c>
      <c r="P164" s="578" t="s">
        <v>287</v>
      </c>
      <c r="Q164" s="572" t="e">
        <f>VLOOKUP(G:G,list!B:D,3,FALSE)</f>
        <v>#N/A</v>
      </c>
    </row>
    <row r="165" spans="2:17" ht="18" hidden="1" customHeight="1">
      <c r="B165" s="563">
        <v>160</v>
      </c>
      <c r="C165" s="564" t="e">
        <f>VLOOKUP(G:G,list!B:D,2,FALSE)</f>
        <v>#N/A</v>
      </c>
      <c r="D165" s="564" t="s">
        <v>78</v>
      </c>
      <c r="E165" s="564" t="s">
        <v>9</v>
      </c>
      <c r="F165" s="564" t="s">
        <v>209</v>
      </c>
      <c r="G165" s="564" t="s">
        <v>74</v>
      </c>
      <c r="H165" s="565">
        <v>44409</v>
      </c>
      <c r="I165" s="564" t="s">
        <v>482</v>
      </c>
      <c r="J165" s="586">
        <v>255425</v>
      </c>
      <c r="K165" s="567">
        <v>0.6</v>
      </c>
      <c r="L165" s="568">
        <v>153256</v>
      </c>
      <c r="M165" s="569">
        <v>0.1</v>
      </c>
      <c r="N165" s="570">
        <f t="shared" ref="N165:N186" si="9">L165*M165</f>
        <v>15325.6</v>
      </c>
      <c r="O165" s="570">
        <f t="shared" si="7"/>
        <v>137930.4</v>
      </c>
      <c r="P165" s="576"/>
      <c r="Q165" s="572" t="e">
        <f>VLOOKUP(G:G,list!B:D,3,FALSE)</f>
        <v>#N/A</v>
      </c>
    </row>
    <row r="166" spans="2:17" ht="18" hidden="1" customHeight="1">
      <c r="B166" s="563">
        <v>161</v>
      </c>
      <c r="C166" s="564" t="e">
        <f>VLOOKUP(G:G,list!B:D,2,FALSE)</f>
        <v>#N/A</v>
      </c>
      <c r="D166" s="564" t="s">
        <v>78</v>
      </c>
      <c r="E166" s="564" t="s">
        <v>9</v>
      </c>
      <c r="F166" s="564" t="s">
        <v>126</v>
      </c>
      <c r="G166" s="564" t="s">
        <v>74</v>
      </c>
      <c r="H166" s="565">
        <v>44098</v>
      </c>
      <c r="I166" s="564" t="s">
        <v>482</v>
      </c>
      <c r="J166" s="586">
        <v>777710</v>
      </c>
      <c r="K166" s="567">
        <v>0.6</v>
      </c>
      <c r="L166" s="568">
        <v>466627</v>
      </c>
      <c r="M166" s="569">
        <v>0.1</v>
      </c>
      <c r="N166" s="570">
        <f t="shared" si="9"/>
        <v>46662.700000000004</v>
      </c>
      <c r="O166" s="570">
        <f t="shared" si="7"/>
        <v>419964.3</v>
      </c>
      <c r="P166" s="576"/>
      <c r="Q166" s="572" t="e">
        <f>VLOOKUP(G:G,list!B:D,3,FALSE)</f>
        <v>#N/A</v>
      </c>
    </row>
    <row r="167" spans="2:17" ht="18" hidden="1" customHeight="1">
      <c r="B167" s="563">
        <v>162</v>
      </c>
      <c r="C167" s="564" t="e">
        <f>VLOOKUP(G:G,list!B:D,2,FALSE)</f>
        <v>#N/A</v>
      </c>
      <c r="D167" s="564" t="s">
        <v>66</v>
      </c>
      <c r="E167" s="564" t="s">
        <v>64</v>
      </c>
      <c r="F167" s="564" t="s">
        <v>65</v>
      </c>
      <c r="G167" s="564" t="s">
        <v>74</v>
      </c>
      <c r="H167" s="565">
        <v>44246</v>
      </c>
      <c r="I167" s="564" t="s">
        <v>482</v>
      </c>
      <c r="J167" s="599">
        <v>130823</v>
      </c>
      <c r="K167" s="603">
        <v>0.4</v>
      </c>
      <c r="L167" s="568">
        <v>52329</v>
      </c>
      <c r="M167" s="569">
        <v>0.1</v>
      </c>
      <c r="N167" s="570">
        <f t="shared" si="9"/>
        <v>5232.9000000000005</v>
      </c>
      <c r="O167" s="570">
        <f t="shared" si="7"/>
        <v>47096.1</v>
      </c>
      <c r="P167" s="576"/>
      <c r="Q167" s="572" t="e">
        <f>VLOOKUP(G:G,list!B:D,3,FALSE)</f>
        <v>#N/A</v>
      </c>
    </row>
    <row r="168" spans="2:17" ht="18" hidden="1" customHeight="1">
      <c r="B168" s="563">
        <v>163</v>
      </c>
      <c r="C168" s="564" t="e">
        <f>VLOOKUP(G:G,list!B:D,2,FALSE)</f>
        <v>#N/A</v>
      </c>
      <c r="D168" s="564" t="s">
        <v>182</v>
      </c>
      <c r="E168" s="564" t="s">
        <v>9</v>
      </c>
      <c r="F168" s="564" t="s">
        <v>384</v>
      </c>
      <c r="G168" s="564" t="s">
        <v>74</v>
      </c>
      <c r="H168" s="565">
        <v>44180</v>
      </c>
      <c r="I168" s="564" t="s">
        <v>455</v>
      </c>
      <c r="J168" s="599">
        <v>80911</v>
      </c>
      <c r="K168" s="600">
        <v>0.5</v>
      </c>
      <c r="L168" s="568">
        <v>40455.5</v>
      </c>
      <c r="M168" s="569">
        <v>0.1</v>
      </c>
      <c r="N168" s="570">
        <f t="shared" si="9"/>
        <v>4045.55</v>
      </c>
      <c r="O168" s="570">
        <f t="shared" si="7"/>
        <v>36409.949999999997</v>
      </c>
      <c r="P168" s="575"/>
      <c r="Q168" s="572" t="e">
        <f>VLOOKUP(G:G,list!B:D,3,FALSE)</f>
        <v>#N/A</v>
      </c>
    </row>
    <row r="169" spans="2:17" ht="18" hidden="1" customHeight="1">
      <c r="B169" s="563">
        <v>164</v>
      </c>
      <c r="C169" s="564" t="e">
        <f>VLOOKUP(G:G,list!B:D,2,FALSE)</f>
        <v>#N/A</v>
      </c>
      <c r="D169" s="564" t="s">
        <v>182</v>
      </c>
      <c r="E169" s="564" t="s">
        <v>115</v>
      </c>
      <c r="F169" s="564" t="s">
        <v>283</v>
      </c>
      <c r="G169" s="564" t="s">
        <v>54</v>
      </c>
      <c r="H169" s="565">
        <v>44276</v>
      </c>
      <c r="I169" s="564" t="s">
        <v>377</v>
      </c>
      <c r="J169" s="599">
        <v>243720</v>
      </c>
      <c r="K169" s="600">
        <v>0.5</v>
      </c>
      <c r="L169" s="568">
        <v>121860</v>
      </c>
      <c r="M169" s="569">
        <v>0.1</v>
      </c>
      <c r="N169" s="570">
        <f t="shared" si="9"/>
        <v>12186</v>
      </c>
      <c r="O169" s="570">
        <f t="shared" si="7"/>
        <v>109674</v>
      </c>
      <c r="P169" s="575"/>
      <c r="Q169" s="572" t="e">
        <f>VLOOKUP(G:G,list!B:D,3,FALSE)</f>
        <v>#N/A</v>
      </c>
    </row>
    <row r="170" spans="2:17" ht="18" hidden="1" customHeight="1">
      <c r="B170" s="563">
        <v>165</v>
      </c>
      <c r="C170" s="564" t="e">
        <f>VLOOKUP(G:G,list!B:D,2,FALSE)</f>
        <v>#N/A</v>
      </c>
      <c r="D170" s="564" t="s">
        <v>182</v>
      </c>
      <c r="E170" s="564" t="s">
        <v>115</v>
      </c>
      <c r="F170" s="564" t="s">
        <v>386</v>
      </c>
      <c r="G170" s="564" t="s">
        <v>74</v>
      </c>
      <c r="H170" s="565">
        <v>44612</v>
      </c>
      <c r="I170" s="564" t="s">
        <v>377</v>
      </c>
      <c r="J170" s="599">
        <v>31617</v>
      </c>
      <c r="K170" s="600">
        <v>0.5</v>
      </c>
      <c r="L170" s="568">
        <v>15808.5</v>
      </c>
      <c r="M170" s="569">
        <v>0.1</v>
      </c>
      <c r="N170" s="570">
        <f t="shared" si="9"/>
        <v>1580.8500000000001</v>
      </c>
      <c r="O170" s="570">
        <f t="shared" si="7"/>
        <v>14227.65</v>
      </c>
      <c r="P170" s="575"/>
      <c r="Q170" s="572" t="e">
        <f>VLOOKUP(G:G,list!B:D,3,FALSE)</f>
        <v>#N/A</v>
      </c>
    </row>
    <row r="171" spans="2:17" ht="18" hidden="1" customHeight="1">
      <c r="B171" s="563">
        <v>166</v>
      </c>
      <c r="C171" s="564" t="e">
        <f>VLOOKUP(G:G,list!B:D,2,FALSE)</f>
        <v>#N/A</v>
      </c>
      <c r="D171" s="564" t="s">
        <v>72</v>
      </c>
      <c r="E171" s="564" t="s">
        <v>9</v>
      </c>
      <c r="F171" s="564" t="s">
        <v>73</v>
      </c>
      <c r="G171" s="564" t="s">
        <v>74</v>
      </c>
      <c r="H171" s="565">
        <v>44265</v>
      </c>
      <c r="I171" s="564" t="s">
        <v>455</v>
      </c>
      <c r="J171" s="599">
        <v>498511</v>
      </c>
      <c r="K171" s="605">
        <v>0.224</v>
      </c>
      <c r="L171" s="568">
        <v>100504</v>
      </c>
      <c r="M171" s="569">
        <v>0.1</v>
      </c>
      <c r="N171" s="570">
        <f t="shared" si="9"/>
        <v>10050.400000000001</v>
      </c>
      <c r="O171" s="570">
        <f t="shared" si="7"/>
        <v>90453.6</v>
      </c>
      <c r="P171" s="573"/>
      <c r="Q171" s="572" t="e">
        <f>VLOOKUP(G:G,list!B:D,3,FALSE)</f>
        <v>#N/A</v>
      </c>
    </row>
    <row r="172" spans="2:17" ht="18" hidden="1" customHeight="1">
      <c r="B172" s="563">
        <v>167</v>
      </c>
      <c r="C172" s="564" t="e">
        <f>VLOOKUP(G:G,list!B:D,2,FALSE)</f>
        <v>#N/A</v>
      </c>
      <c r="D172" s="564" t="s">
        <v>32</v>
      </c>
      <c r="E172" s="564" t="s">
        <v>9</v>
      </c>
      <c r="F172" s="564" t="s">
        <v>257</v>
      </c>
      <c r="G172" s="564" t="s">
        <v>54</v>
      </c>
      <c r="H172" s="565">
        <v>44753</v>
      </c>
      <c r="I172" s="564" t="s">
        <v>482</v>
      </c>
      <c r="J172" s="599">
        <v>669896</v>
      </c>
      <c r="K172" s="600">
        <v>0.28000000000000003</v>
      </c>
      <c r="L172" s="568">
        <v>187572</v>
      </c>
      <c r="M172" s="569">
        <v>0.1</v>
      </c>
      <c r="N172" s="570">
        <f t="shared" si="9"/>
        <v>18757.2</v>
      </c>
      <c r="O172" s="570">
        <f t="shared" si="7"/>
        <v>168814.8</v>
      </c>
      <c r="P172" s="575"/>
      <c r="Q172" s="572" t="e">
        <f>VLOOKUP(G:G,list!B:D,3,FALSE)</f>
        <v>#N/A</v>
      </c>
    </row>
    <row r="173" spans="2:17" ht="18" hidden="1" customHeight="1">
      <c r="B173" s="563">
        <v>168</v>
      </c>
      <c r="C173" s="564" t="e">
        <f>VLOOKUP(G:G,list!B:D,2,FALSE)</f>
        <v>#N/A</v>
      </c>
      <c r="D173" s="564" t="s">
        <v>67</v>
      </c>
      <c r="E173" s="564" t="s">
        <v>64</v>
      </c>
      <c r="F173" s="564" t="s">
        <v>65</v>
      </c>
      <c r="G173" s="564" t="s">
        <v>74</v>
      </c>
      <c r="H173" s="565">
        <v>44254</v>
      </c>
      <c r="I173" s="564" t="s">
        <v>482</v>
      </c>
      <c r="J173" s="599">
        <v>361045</v>
      </c>
      <c r="K173" s="603">
        <v>0.4</v>
      </c>
      <c r="L173" s="568">
        <v>144418</v>
      </c>
      <c r="M173" s="569">
        <v>0.1</v>
      </c>
      <c r="N173" s="570">
        <f t="shared" si="9"/>
        <v>14441.800000000001</v>
      </c>
      <c r="O173" s="570">
        <f t="shared" si="7"/>
        <v>129976.2</v>
      </c>
      <c r="P173" s="576"/>
      <c r="Q173" s="572" t="e">
        <f>VLOOKUP(G:G,list!B:D,3,FALSE)</f>
        <v>#N/A</v>
      </c>
    </row>
    <row r="174" spans="2:17" ht="18" hidden="1" customHeight="1">
      <c r="B174" s="563">
        <v>169</v>
      </c>
      <c r="C174" s="564" t="e">
        <f>VLOOKUP(G:G,list!B:D,2,FALSE)</f>
        <v>#N/A</v>
      </c>
      <c r="D174" s="564" t="s">
        <v>78</v>
      </c>
      <c r="E174" s="564" t="s">
        <v>9</v>
      </c>
      <c r="F174" s="564" t="s">
        <v>242</v>
      </c>
      <c r="G174" s="564" t="s">
        <v>424</v>
      </c>
      <c r="H174" s="565">
        <v>44753</v>
      </c>
      <c r="I174" s="564" t="s">
        <v>482</v>
      </c>
      <c r="J174" s="579">
        <v>8085299</v>
      </c>
      <c r="K174" s="580">
        <v>0.6</v>
      </c>
      <c r="L174" s="568">
        <v>4851179</v>
      </c>
      <c r="M174" s="569">
        <v>0.1</v>
      </c>
      <c r="N174" s="573">
        <f t="shared" si="9"/>
        <v>485117.9</v>
      </c>
      <c r="O174" s="570">
        <f t="shared" si="7"/>
        <v>4366061.0999999996</v>
      </c>
      <c r="P174" s="578"/>
      <c r="Q174" s="572" t="e">
        <f>VLOOKUP(G:G,list!B:D,3,FALSE)</f>
        <v>#N/A</v>
      </c>
    </row>
    <row r="175" spans="2:17" ht="18" hidden="1" customHeight="1">
      <c r="B175" s="563">
        <v>170</v>
      </c>
      <c r="C175" s="564" t="e">
        <f>VLOOKUP(G:G,list!B:D,2,FALSE)</f>
        <v>#N/A</v>
      </c>
      <c r="D175" s="564" t="s">
        <v>78</v>
      </c>
      <c r="E175" s="564" t="s">
        <v>9</v>
      </c>
      <c r="F175" s="564" t="s">
        <v>209</v>
      </c>
      <c r="G175" s="564" t="s">
        <v>412</v>
      </c>
      <c r="H175" s="565">
        <v>44747</v>
      </c>
      <c r="I175" s="564" t="s">
        <v>482</v>
      </c>
      <c r="J175" s="586">
        <v>1100641</v>
      </c>
      <c r="K175" s="567">
        <v>0.6</v>
      </c>
      <c r="L175" s="568">
        <v>660384</v>
      </c>
      <c r="M175" s="569">
        <v>0.1</v>
      </c>
      <c r="N175" s="573">
        <f t="shared" si="9"/>
        <v>66038.400000000009</v>
      </c>
      <c r="O175" s="570">
        <f t="shared" si="7"/>
        <v>594345.6</v>
      </c>
      <c r="P175" s="578"/>
      <c r="Q175" s="572" t="e">
        <f>VLOOKUP(G:G,list!B:D,3,FALSE)</f>
        <v>#N/A</v>
      </c>
    </row>
    <row r="176" spans="2:17" ht="18" hidden="1" customHeight="1">
      <c r="B176" s="563">
        <v>171</v>
      </c>
      <c r="C176" s="564" t="e">
        <f>VLOOKUP(G:G,list!B:D,2,FALSE)</f>
        <v>#N/A</v>
      </c>
      <c r="D176" s="564" t="s">
        <v>78</v>
      </c>
      <c r="E176" s="564" t="s">
        <v>9</v>
      </c>
      <c r="F176" s="564" t="s">
        <v>126</v>
      </c>
      <c r="G176" s="564" t="s">
        <v>321</v>
      </c>
      <c r="H176" s="565">
        <v>44669</v>
      </c>
      <c r="I176" s="564" t="s">
        <v>482</v>
      </c>
      <c r="J176" s="586">
        <v>8737118.9000000004</v>
      </c>
      <c r="K176" s="567">
        <v>0.6</v>
      </c>
      <c r="L176" s="568">
        <v>5242271</v>
      </c>
      <c r="M176" s="569">
        <v>0.1</v>
      </c>
      <c r="N176" s="573">
        <f t="shared" si="9"/>
        <v>524227.10000000003</v>
      </c>
      <c r="O176" s="570">
        <f t="shared" si="7"/>
        <v>4718043.9000000004</v>
      </c>
      <c r="P176" s="575"/>
      <c r="Q176" s="572" t="e">
        <f>VLOOKUP(G:G,list!B:D,3,FALSE)</f>
        <v>#N/A</v>
      </c>
    </row>
    <row r="177" spans="2:17" ht="18" hidden="1" customHeight="1">
      <c r="B177" s="563">
        <v>172</v>
      </c>
      <c r="C177" s="564" t="e">
        <f>VLOOKUP(G:G,list!B:D,2,FALSE)</f>
        <v>#N/A</v>
      </c>
      <c r="D177" s="564" t="s">
        <v>177</v>
      </c>
      <c r="E177" s="564" t="s">
        <v>9</v>
      </c>
      <c r="F177" s="564" t="s">
        <v>257</v>
      </c>
      <c r="G177" s="564" t="s">
        <v>412</v>
      </c>
      <c r="H177" s="565">
        <v>44806</v>
      </c>
      <c r="I177" s="564" t="s">
        <v>482</v>
      </c>
      <c r="J177" s="599">
        <v>1025531</v>
      </c>
      <c r="K177" s="600">
        <v>0.35</v>
      </c>
      <c r="L177" s="568">
        <v>358935</v>
      </c>
      <c r="M177" s="569">
        <v>0.1</v>
      </c>
      <c r="N177" s="573">
        <f t="shared" si="9"/>
        <v>35893.5</v>
      </c>
      <c r="O177" s="570">
        <f t="shared" si="7"/>
        <v>323041.5</v>
      </c>
      <c r="P177" s="575"/>
      <c r="Q177" s="572" t="e">
        <f>VLOOKUP(G:G,list!B:D,3,FALSE)</f>
        <v>#N/A</v>
      </c>
    </row>
    <row r="178" spans="2:17" ht="18" hidden="1" customHeight="1">
      <c r="B178" s="563">
        <v>173</v>
      </c>
      <c r="C178" s="564" t="e">
        <f>VLOOKUP(G:G,list!B:D,2,FALSE)</f>
        <v>#N/A</v>
      </c>
      <c r="D178" s="564" t="s">
        <v>189</v>
      </c>
      <c r="E178" s="564" t="s">
        <v>9</v>
      </c>
      <c r="F178" s="564" t="s">
        <v>257</v>
      </c>
      <c r="G178" s="564" t="s">
        <v>412</v>
      </c>
      <c r="H178" s="565">
        <v>44820</v>
      </c>
      <c r="I178" s="564" t="s">
        <v>482</v>
      </c>
      <c r="J178" s="586">
        <v>939686</v>
      </c>
      <c r="K178" s="567">
        <v>0.35</v>
      </c>
      <c r="L178" s="568">
        <v>328891</v>
      </c>
      <c r="M178" s="569">
        <v>0.1</v>
      </c>
      <c r="N178" s="573">
        <f t="shared" si="9"/>
        <v>32889.1</v>
      </c>
      <c r="O178" s="570">
        <f t="shared" si="7"/>
        <v>296001.90000000002</v>
      </c>
      <c r="P178" s="575"/>
      <c r="Q178" s="572" t="e">
        <f>VLOOKUP(G:G,list!B:D,3,FALSE)</f>
        <v>#N/A</v>
      </c>
    </row>
    <row r="179" spans="2:17" ht="18" hidden="1" customHeight="1">
      <c r="B179" s="563">
        <v>174</v>
      </c>
      <c r="C179" s="564" t="e">
        <f>VLOOKUP(G:G,list!B:D,2,FALSE)</f>
        <v>#N/A</v>
      </c>
      <c r="D179" s="564" t="s">
        <v>72</v>
      </c>
      <c r="E179" s="564" t="s">
        <v>9</v>
      </c>
      <c r="F179" s="564" t="s">
        <v>73</v>
      </c>
      <c r="G179" s="564" t="s">
        <v>412</v>
      </c>
      <c r="H179" s="565">
        <v>44789</v>
      </c>
      <c r="I179" s="564" t="s">
        <v>455</v>
      </c>
      <c r="J179" s="599">
        <v>55365056</v>
      </c>
      <c r="K179" s="605">
        <v>0.224</v>
      </c>
      <c r="L179" s="568">
        <v>11161604</v>
      </c>
      <c r="M179" s="569">
        <v>0.1</v>
      </c>
      <c r="N179" s="573">
        <f t="shared" si="9"/>
        <v>1116160.4000000001</v>
      </c>
      <c r="O179" s="570">
        <f t="shared" si="7"/>
        <v>10045443.6</v>
      </c>
      <c r="P179" s="575"/>
      <c r="Q179" s="572" t="e">
        <f>VLOOKUP(G:G,list!B:D,3,FALSE)</f>
        <v>#N/A</v>
      </c>
    </row>
    <row r="180" spans="2:17" ht="18" hidden="1" customHeight="1">
      <c r="B180" s="563">
        <v>175</v>
      </c>
      <c r="C180" s="564" t="e">
        <f>VLOOKUP(G:G,list!B:D,2,FALSE)</f>
        <v>#N/A</v>
      </c>
      <c r="D180" s="564" t="s">
        <v>32</v>
      </c>
      <c r="E180" s="564" t="s">
        <v>9</v>
      </c>
      <c r="F180" s="564" t="s">
        <v>257</v>
      </c>
      <c r="G180" s="564" t="s">
        <v>412</v>
      </c>
      <c r="H180" s="565">
        <v>44806</v>
      </c>
      <c r="I180" s="564" t="s">
        <v>482</v>
      </c>
      <c r="J180" s="599">
        <v>2713967</v>
      </c>
      <c r="K180" s="600">
        <v>0.35</v>
      </c>
      <c r="L180" s="568">
        <v>949889</v>
      </c>
      <c r="M180" s="569">
        <v>0.1</v>
      </c>
      <c r="N180" s="573">
        <f t="shared" si="9"/>
        <v>94988.900000000009</v>
      </c>
      <c r="O180" s="570">
        <f t="shared" si="7"/>
        <v>854900.1</v>
      </c>
      <c r="P180" s="575"/>
      <c r="Q180" s="572" t="e">
        <f>VLOOKUP(G:G,list!B:D,3,FALSE)</f>
        <v>#N/A</v>
      </c>
    </row>
    <row r="181" spans="2:17" ht="18" hidden="1" customHeight="1">
      <c r="B181" s="563">
        <v>176</v>
      </c>
      <c r="C181" s="564" t="str">
        <f>VLOOKUP(G:G,list!B:D,2,FALSE)</f>
        <v>원작료</v>
      </c>
      <c r="D181" s="564" t="s">
        <v>78</v>
      </c>
      <c r="E181" s="564" t="s">
        <v>9</v>
      </c>
      <c r="F181" s="564" t="s">
        <v>126</v>
      </c>
      <c r="G181" s="564" t="s">
        <v>278</v>
      </c>
      <c r="H181" s="565">
        <v>44639</v>
      </c>
      <c r="I181" s="564" t="s">
        <v>482</v>
      </c>
      <c r="J181" s="586">
        <v>11207052.4</v>
      </c>
      <c r="K181" s="567">
        <v>0.6</v>
      </c>
      <c r="L181" s="568">
        <v>6724231</v>
      </c>
      <c r="M181" s="569">
        <v>0.1</v>
      </c>
      <c r="N181" s="573">
        <f t="shared" si="9"/>
        <v>672423.10000000009</v>
      </c>
      <c r="O181" s="570">
        <f t="shared" si="7"/>
        <v>6051807.9000000004</v>
      </c>
      <c r="P181" s="575"/>
      <c r="Q181" s="572" t="str">
        <f>VLOOKUP(G:G,list!B:D,3,FALSE)</f>
        <v>Y</v>
      </c>
    </row>
    <row r="182" spans="2:17" ht="18" hidden="1" customHeight="1">
      <c r="B182" s="563">
        <v>177</v>
      </c>
      <c r="C182" s="564" t="str">
        <f>VLOOKUP(G:G,list!B:D,2,FALSE)</f>
        <v>원작료</v>
      </c>
      <c r="D182" s="564" t="s">
        <v>182</v>
      </c>
      <c r="E182" s="564" t="s">
        <v>9</v>
      </c>
      <c r="F182" s="564" t="s">
        <v>384</v>
      </c>
      <c r="G182" s="564" t="s">
        <v>316</v>
      </c>
      <c r="H182" s="565">
        <v>44771</v>
      </c>
      <c r="I182" s="564" t="s">
        <v>455</v>
      </c>
      <c r="J182" s="599">
        <v>231831</v>
      </c>
      <c r="K182" s="600">
        <v>0.5</v>
      </c>
      <c r="L182" s="568">
        <v>115915.5</v>
      </c>
      <c r="M182" s="569">
        <v>0.1</v>
      </c>
      <c r="N182" s="573">
        <f t="shared" si="9"/>
        <v>11591.550000000001</v>
      </c>
      <c r="O182" s="570">
        <f t="shared" si="7"/>
        <v>104323.95</v>
      </c>
      <c r="P182" s="575"/>
      <c r="Q182" s="572" t="str">
        <f>VLOOKUP(G:G,list!B:D,3,FALSE)</f>
        <v>Y</v>
      </c>
    </row>
    <row r="183" spans="2:17" ht="18" hidden="1" customHeight="1">
      <c r="B183" s="563">
        <v>178</v>
      </c>
      <c r="C183" s="564" t="str">
        <f>VLOOKUP(G:G,list!B:D,2,FALSE)</f>
        <v>원작료</v>
      </c>
      <c r="D183" s="564" t="s">
        <v>189</v>
      </c>
      <c r="E183" s="564" t="s">
        <v>9</v>
      </c>
      <c r="F183" s="564" t="s">
        <v>257</v>
      </c>
      <c r="G183" s="564" t="s">
        <v>316</v>
      </c>
      <c r="H183" s="565">
        <v>44782</v>
      </c>
      <c r="I183" s="564" t="s">
        <v>482</v>
      </c>
      <c r="J183" s="586">
        <v>981693</v>
      </c>
      <c r="K183" s="567">
        <v>0.35</v>
      </c>
      <c r="L183" s="568">
        <v>343592</v>
      </c>
      <c r="M183" s="569">
        <v>0.1</v>
      </c>
      <c r="N183" s="573">
        <f t="shared" si="9"/>
        <v>34359.200000000004</v>
      </c>
      <c r="O183" s="570">
        <f t="shared" si="7"/>
        <v>309232.8</v>
      </c>
      <c r="P183" s="575"/>
      <c r="Q183" s="572" t="str">
        <f>VLOOKUP(G:G,list!B:D,3,FALSE)</f>
        <v>Y</v>
      </c>
    </row>
    <row r="184" spans="2:17" ht="18" hidden="1" customHeight="1">
      <c r="B184" s="563">
        <v>179</v>
      </c>
      <c r="C184" s="564" t="str">
        <f>VLOOKUP(G:G,list!B:D,2,FALSE)</f>
        <v>원작료</v>
      </c>
      <c r="D184" s="564" t="s">
        <v>72</v>
      </c>
      <c r="E184" s="564" t="s">
        <v>9</v>
      </c>
      <c r="F184" s="564" t="s">
        <v>73</v>
      </c>
      <c r="G184" s="564" t="s">
        <v>316</v>
      </c>
      <c r="H184" s="565">
        <v>44784</v>
      </c>
      <c r="I184" s="564" t="s">
        <v>455</v>
      </c>
      <c r="J184" s="599">
        <v>4430337</v>
      </c>
      <c r="K184" s="605">
        <v>0.224</v>
      </c>
      <c r="L184" s="568">
        <v>893158</v>
      </c>
      <c r="M184" s="569">
        <v>0.1</v>
      </c>
      <c r="N184" s="573">
        <f t="shared" si="9"/>
        <v>89315.8</v>
      </c>
      <c r="O184" s="570">
        <f t="shared" si="7"/>
        <v>803842.2</v>
      </c>
      <c r="P184" s="575"/>
      <c r="Q184" s="572" t="str">
        <f>VLOOKUP(G:G,list!B:D,3,FALSE)</f>
        <v>Y</v>
      </c>
    </row>
    <row r="185" spans="2:17" ht="18" customHeight="1">
      <c r="B185" s="563">
        <v>180</v>
      </c>
      <c r="C185" s="564" t="str">
        <f>VLOOKUP(G:G,list!B:D,2,FALSE)</f>
        <v>원작료</v>
      </c>
      <c r="D185" s="564" t="s">
        <v>22</v>
      </c>
      <c r="E185" s="564" t="s">
        <v>62</v>
      </c>
      <c r="F185" s="564" t="s">
        <v>421</v>
      </c>
      <c r="G185" s="564" t="s">
        <v>316</v>
      </c>
      <c r="H185" s="565">
        <v>44802</v>
      </c>
      <c r="I185" s="564" t="s">
        <v>428</v>
      </c>
      <c r="J185" s="599">
        <v>594953</v>
      </c>
      <c r="K185" s="603">
        <v>0.28000000000000003</v>
      </c>
      <c r="L185" s="568">
        <v>136076</v>
      </c>
      <c r="M185" s="569">
        <v>0.1</v>
      </c>
      <c r="N185" s="573">
        <f t="shared" si="9"/>
        <v>13607.6</v>
      </c>
      <c r="O185" s="570">
        <f t="shared" si="7"/>
        <v>122468.4</v>
      </c>
      <c r="P185" s="575" t="s">
        <v>287</v>
      </c>
      <c r="Q185" s="572" t="str">
        <f>VLOOKUP(G:G,list!B:D,3,FALSE)</f>
        <v>Y</v>
      </c>
    </row>
    <row r="186" spans="2:17" ht="18" customHeight="1">
      <c r="B186" s="563">
        <v>181</v>
      </c>
      <c r="C186" s="564" t="str">
        <f>VLOOKUP(G:G,list!B:D,2,FALSE)</f>
        <v>원작료</v>
      </c>
      <c r="D186" s="564" t="s">
        <v>22</v>
      </c>
      <c r="E186" s="564" t="s">
        <v>62</v>
      </c>
      <c r="F186" s="564" t="s">
        <v>297</v>
      </c>
      <c r="G186" s="564" t="s">
        <v>316</v>
      </c>
      <c r="H186" s="565">
        <v>44802</v>
      </c>
      <c r="I186" s="564" t="s">
        <v>455</v>
      </c>
      <c r="J186" s="599">
        <v>502590</v>
      </c>
      <c r="K186" s="603">
        <v>0.28000000000000003</v>
      </c>
      <c r="L186" s="568">
        <v>112375</v>
      </c>
      <c r="M186" s="569">
        <v>0.1</v>
      </c>
      <c r="N186" s="573">
        <f t="shared" si="9"/>
        <v>11237.5</v>
      </c>
      <c r="O186" s="570">
        <f t="shared" si="7"/>
        <v>101137.5</v>
      </c>
      <c r="P186" s="575"/>
      <c r="Q186" s="572" t="str">
        <f>VLOOKUP(G:G,list!B:D,3,FALSE)</f>
        <v>Y</v>
      </c>
    </row>
    <row r="187" spans="2:17" ht="18" hidden="1" customHeight="1">
      <c r="B187" s="563">
        <v>182</v>
      </c>
      <c r="C187" s="564" t="e">
        <f>VLOOKUP(G:G,list!B:D,2,FALSE)</f>
        <v>#N/A</v>
      </c>
      <c r="D187" s="564" t="s">
        <v>78</v>
      </c>
      <c r="E187" s="564" t="s">
        <v>9</v>
      </c>
      <c r="F187" s="564" t="s">
        <v>242</v>
      </c>
      <c r="G187" s="564" t="s">
        <v>276</v>
      </c>
      <c r="H187" s="565">
        <v>44603</v>
      </c>
      <c r="I187" s="564" t="s">
        <v>482</v>
      </c>
      <c r="J187" s="579">
        <v>2588036</v>
      </c>
      <c r="K187" s="580">
        <v>0.6</v>
      </c>
      <c r="L187" s="568">
        <v>1552822</v>
      </c>
      <c r="M187" s="569" t="s">
        <v>203</v>
      </c>
      <c r="N187" s="573">
        <v>0</v>
      </c>
      <c r="O187" s="570">
        <f t="shared" si="7"/>
        <v>1552822</v>
      </c>
      <c r="P187" s="578"/>
      <c r="Q187" s="572" t="e">
        <f>VLOOKUP(G:G,list!B:D,3,FALSE)</f>
        <v>#N/A</v>
      </c>
    </row>
    <row r="188" spans="2:17" ht="18" hidden="1" customHeight="1">
      <c r="B188" s="563">
        <v>183</v>
      </c>
      <c r="C188" s="564" t="e">
        <f>VLOOKUP(G:G,list!B:D,2,FALSE)</f>
        <v>#N/A</v>
      </c>
      <c r="D188" s="564" t="s">
        <v>27</v>
      </c>
      <c r="E188" s="564" t="s">
        <v>62</v>
      </c>
      <c r="F188" s="564" t="s">
        <v>213</v>
      </c>
      <c r="G188" s="564" t="s">
        <v>306</v>
      </c>
      <c r="H188" s="565">
        <v>44748</v>
      </c>
      <c r="I188" s="564" t="s">
        <v>482</v>
      </c>
      <c r="J188" s="599">
        <v>882543</v>
      </c>
      <c r="K188" s="600">
        <v>0.3</v>
      </c>
      <c r="L188" s="568">
        <v>264763</v>
      </c>
      <c r="M188" s="569" t="s">
        <v>203</v>
      </c>
      <c r="N188" s="570">
        <v>0</v>
      </c>
      <c r="O188" s="570">
        <f t="shared" si="7"/>
        <v>264763</v>
      </c>
      <c r="P188" s="575" t="s">
        <v>307</v>
      </c>
      <c r="Q188" s="572" t="e">
        <f>VLOOKUP(G:G,list!B:D,3,FALSE)</f>
        <v>#N/A</v>
      </c>
    </row>
    <row r="189" spans="2:17" ht="18" hidden="1" customHeight="1">
      <c r="B189" s="563">
        <v>184</v>
      </c>
      <c r="C189" s="564" t="e">
        <f>VLOOKUP(G:G,list!B:D,2,FALSE)</f>
        <v>#N/A</v>
      </c>
      <c r="D189" s="564" t="s">
        <v>72</v>
      </c>
      <c r="E189" s="564" t="s">
        <v>9</v>
      </c>
      <c r="F189" s="564" t="s">
        <v>184</v>
      </c>
      <c r="G189" s="564" t="s">
        <v>306</v>
      </c>
      <c r="H189" s="565">
        <v>44758</v>
      </c>
      <c r="I189" s="564" t="s">
        <v>455</v>
      </c>
      <c r="J189" s="586">
        <v>884223</v>
      </c>
      <c r="K189" s="567">
        <v>0.3</v>
      </c>
      <c r="L189" s="568">
        <v>265267</v>
      </c>
      <c r="M189" s="569" t="s">
        <v>203</v>
      </c>
      <c r="N189" s="570">
        <v>0</v>
      </c>
      <c r="O189" s="570">
        <f t="shared" si="7"/>
        <v>265267</v>
      </c>
      <c r="P189" s="575" t="s">
        <v>282</v>
      </c>
      <c r="Q189" s="572" t="e">
        <f>VLOOKUP(G:G,list!B:D,3,FALSE)</f>
        <v>#N/A</v>
      </c>
    </row>
    <row r="190" spans="2:17" ht="18" hidden="1" customHeight="1">
      <c r="B190" s="563">
        <v>185</v>
      </c>
      <c r="C190" s="564" t="e">
        <f>VLOOKUP(G:G,list!B:D,2,FALSE)</f>
        <v>#N/A</v>
      </c>
      <c r="D190" s="564" t="s">
        <v>22</v>
      </c>
      <c r="E190" s="564" t="s">
        <v>62</v>
      </c>
      <c r="F190" s="564" t="s">
        <v>213</v>
      </c>
      <c r="G190" s="564" t="s">
        <v>306</v>
      </c>
      <c r="H190" s="565">
        <v>44755</v>
      </c>
      <c r="I190" s="564" t="s">
        <v>482</v>
      </c>
      <c r="J190" s="599">
        <v>13017</v>
      </c>
      <c r="K190" s="603">
        <v>0.3</v>
      </c>
      <c r="L190" s="568">
        <v>3905</v>
      </c>
      <c r="M190" s="569" t="s">
        <v>203</v>
      </c>
      <c r="N190" s="573">
        <v>0</v>
      </c>
      <c r="O190" s="570">
        <f t="shared" si="7"/>
        <v>3905</v>
      </c>
      <c r="P190" s="575" t="s">
        <v>425</v>
      </c>
      <c r="Q190" s="572" t="e">
        <f>VLOOKUP(G:G,list!B:D,3,FALSE)</f>
        <v>#N/A</v>
      </c>
    </row>
    <row r="191" spans="2:17" ht="18" hidden="1" customHeight="1">
      <c r="B191" s="563">
        <v>186</v>
      </c>
      <c r="C191" s="564" t="e">
        <f>VLOOKUP(G:G,list!B:D,2,FALSE)</f>
        <v>#N/A</v>
      </c>
      <c r="D191" s="564" t="s">
        <v>78</v>
      </c>
      <c r="E191" s="564" t="s">
        <v>9</v>
      </c>
      <c r="F191" s="564" t="s">
        <v>209</v>
      </c>
      <c r="G191" s="564" t="s">
        <v>152</v>
      </c>
      <c r="H191" s="565">
        <v>44409</v>
      </c>
      <c r="I191" s="564" t="s">
        <v>482</v>
      </c>
      <c r="J191" s="586">
        <v>1057306</v>
      </c>
      <c r="K191" s="567">
        <v>0.6</v>
      </c>
      <c r="L191" s="568">
        <v>634384</v>
      </c>
      <c r="M191" s="569">
        <v>0.12</v>
      </c>
      <c r="N191" s="573">
        <f>L191*M191</f>
        <v>76126.080000000002</v>
      </c>
      <c r="O191" s="570">
        <f t="shared" si="7"/>
        <v>558257.92000000004</v>
      </c>
      <c r="P191" s="576"/>
      <c r="Q191" s="572" t="e">
        <f>VLOOKUP(G:G,list!B:D,3,FALSE)</f>
        <v>#N/A</v>
      </c>
    </row>
    <row r="192" spans="2:17" ht="18" hidden="1" customHeight="1">
      <c r="B192" s="563">
        <v>187</v>
      </c>
      <c r="C192" s="564" t="e">
        <f>VLOOKUP(G:G,list!B:D,2,FALSE)</f>
        <v>#N/A</v>
      </c>
      <c r="D192" s="564" t="s">
        <v>78</v>
      </c>
      <c r="E192" s="564" t="s">
        <v>9</v>
      </c>
      <c r="F192" s="564" t="s">
        <v>126</v>
      </c>
      <c r="G192" s="564" t="s">
        <v>152</v>
      </c>
      <c r="H192" s="565">
        <v>43994</v>
      </c>
      <c r="I192" s="564" t="s">
        <v>482</v>
      </c>
      <c r="J192" s="586">
        <v>7906945.0999999996</v>
      </c>
      <c r="K192" s="567">
        <v>0.6</v>
      </c>
      <c r="L192" s="568">
        <v>4744166</v>
      </c>
      <c r="M192" s="569">
        <v>0.12</v>
      </c>
      <c r="N192" s="573">
        <f>(L192-3000000)*M192</f>
        <v>209299.91999999998</v>
      </c>
      <c r="O192" s="570">
        <f t="shared" si="7"/>
        <v>4534866.08</v>
      </c>
      <c r="P192" s="576" t="s">
        <v>343</v>
      </c>
      <c r="Q192" s="572" t="e">
        <f>VLOOKUP(G:G,list!B:D,3,FALSE)</f>
        <v>#N/A</v>
      </c>
    </row>
    <row r="193" spans="2:17" ht="18" hidden="1" customHeight="1">
      <c r="B193" s="563">
        <v>188</v>
      </c>
      <c r="C193" s="564" t="e">
        <f>VLOOKUP(G:G,list!B:D,2,FALSE)</f>
        <v>#N/A</v>
      </c>
      <c r="D193" s="564" t="s">
        <v>66</v>
      </c>
      <c r="E193" s="564" t="s">
        <v>64</v>
      </c>
      <c r="F193" s="564" t="s">
        <v>65</v>
      </c>
      <c r="G193" s="564" t="s">
        <v>152</v>
      </c>
      <c r="H193" s="565">
        <v>44235</v>
      </c>
      <c r="I193" s="564" t="s">
        <v>482</v>
      </c>
      <c r="J193" s="599">
        <v>1221320</v>
      </c>
      <c r="K193" s="603">
        <v>0.4</v>
      </c>
      <c r="L193" s="568">
        <v>488528</v>
      </c>
      <c r="M193" s="569">
        <v>0.12</v>
      </c>
      <c r="N193" s="573">
        <f t="shared" ref="N193:N200" si="10">L193*M193</f>
        <v>58623.360000000001</v>
      </c>
      <c r="O193" s="570">
        <f t="shared" si="7"/>
        <v>429904.64000000001</v>
      </c>
      <c r="P193" s="576"/>
      <c r="Q193" s="572" t="e">
        <f>VLOOKUP(G:G,list!B:D,3,FALSE)</f>
        <v>#N/A</v>
      </c>
    </row>
    <row r="194" spans="2:17" ht="18" hidden="1" customHeight="1">
      <c r="B194" s="563">
        <v>189</v>
      </c>
      <c r="C194" s="564" t="e">
        <f>VLOOKUP(G:G,list!B:D,2,FALSE)</f>
        <v>#N/A</v>
      </c>
      <c r="D194" s="564" t="s">
        <v>182</v>
      </c>
      <c r="E194" s="564" t="s">
        <v>9</v>
      </c>
      <c r="F194" s="564" t="s">
        <v>384</v>
      </c>
      <c r="G194" s="564" t="s">
        <v>152</v>
      </c>
      <c r="H194" s="565">
        <v>44180</v>
      </c>
      <c r="I194" s="564" t="s">
        <v>455</v>
      </c>
      <c r="J194" s="599">
        <v>51543</v>
      </c>
      <c r="K194" s="600">
        <v>0.5</v>
      </c>
      <c r="L194" s="568">
        <v>25771.5</v>
      </c>
      <c r="M194" s="569">
        <v>0.12</v>
      </c>
      <c r="N194" s="573">
        <f t="shared" si="10"/>
        <v>3092.58</v>
      </c>
      <c r="O194" s="570">
        <f t="shared" si="7"/>
        <v>22678.92</v>
      </c>
      <c r="P194" s="573"/>
      <c r="Q194" s="572" t="e">
        <f>VLOOKUP(G:G,list!B:D,3,FALSE)</f>
        <v>#N/A</v>
      </c>
    </row>
    <row r="195" spans="2:17" ht="18" hidden="1" customHeight="1">
      <c r="B195" s="563">
        <v>190</v>
      </c>
      <c r="C195" s="564" t="e">
        <f>VLOOKUP(G:G,list!B:D,2,FALSE)</f>
        <v>#N/A</v>
      </c>
      <c r="D195" s="564" t="s">
        <v>182</v>
      </c>
      <c r="E195" s="564" t="s">
        <v>115</v>
      </c>
      <c r="F195" s="564" t="s">
        <v>283</v>
      </c>
      <c r="G195" s="564" t="s">
        <v>28</v>
      </c>
      <c r="H195" s="565">
        <v>44280</v>
      </c>
      <c r="I195" s="564" t="s">
        <v>377</v>
      </c>
      <c r="J195" s="599">
        <v>1518120</v>
      </c>
      <c r="K195" s="600">
        <v>0.5</v>
      </c>
      <c r="L195" s="568">
        <v>759060</v>
      </c>
      <c r="M195" s="569">
        <v>0.12</v>
      </c>
      <c r="N195" s="573">
        <f t="shared" si="10"/>
        <v>91087.2</v>
      </c>
      <c r="O195" s="570">
        <f t="shared" si="7"/>
        <v>667972.80000000005</v>
      </c>
      <c r="P195" s="575"/>
      <c r="Q195" s="572" t="e">
        <f>VLOOKUP(G:G,list!B:D,3,FALSE)</f>
        <v>#N/A</v>
      </c>
    </row>
    <row r="196" spans="2:17" ht="18" hidden="1" customHeight="1">
      <c r="B196" s="563">
        <v>191</v>
      </c>
      <c r="C196" s="564" t="e">
        <f>VLOOKUP(G:G,list!B:D,2,FALSE)</f>
        <v>#N/A</v>
      </c>
      <c r="D196" s="564" t="s">
        <v>182</v>
      </c>
      <c r="E196" s="564" t="s">
        <v>115</v>
      </c>
      <c r="F196" s="564" t="s">
        <v>386</v>
      </c>
      <c r="G196" s="564" t="s">
        <v>152</v>
      </c>
      <c r="H196" s="565">
        <v>44621</v>
      </c>
      <c r="I196" s="564" t="s">
        <v>377</v>
      </c>
      <c r="J196" s="599">
        <v>2387584</v>
      </c>
      <c r="K196" s="600">
        <v>0.5</v>
      </c>
      <c r="L196" s="568">
        <v>1193792</v>
      </c>
      <c r="M196" s="569">
        <v>0.12</v>
      </c>
      <c r="N196" s="573">
        <f t="shared" si="10"/>
        <v>143255.04000000001</v>
      </c>
      <c r="O196" s="570">
        <f t="shared" si="7"/>
        <v>1050536.96</v>
      </c>
      <c r="P196" s="575"/>
      <c r="Q196" s="572" t="e">
        <f>VLOOKUP(G:G,list!B:D,3,FALSE)</f>
        <v>#N/A</v>
      </c>
    </row>
    <row r="197" spans="2:17" ht="18" hidden="1" customHeight="1">
      <c r="B197" s="563">
        <v>192</v>
      </c>
      <c r="C197" s="564" t="e">
        <f>VLOOKUP(G:G,list!B:D,2,FALSE)</f>
        <v>#N/A</v>
      </c>
      <c r="D197" s="564" t="s">
        <v>189</v>
      </c>
      <c r="E197" s="564" t="s">
        <v>9</v>
      </c>
      <c r="F197" s="564" t="s">
        <v>257</v>
      </c>
      <c r="G197" s="564" t="s">
        <v>28</v>
      </c>
      <c r="H197" s="565">
        <v>44742</v>
      </c>
      <c r="I197" s="564" t="s">
        <v>482</v>
      </c>
      <c r="J197" s="586">
        <v>292101</v>
      </c>
      <c r="K197" s="567">
        <v>0.35</v>
      </c>
      <c r="L197" s="568">
        <v>102234</v>
      </c>
      <c r="M197" s="569">
        <v>0.12</v>
      </c>
      <c r="N197" s="570">
        <f t="shared" si="10"/>
        <v>12268.08</v>
      </c>
      <c r="O197" s="570">
        <f t="shared" si="7"/>
        <v>89965.92</v>
      </c>
      <c r="P197" s="575"/>
      <c r="Q197" s="572" t="e">
        <f>VLOOKUP(G:G,list!B:D,3,FALSE)</f>
        <v>#N/A</v>
      </c>
    </row>
    <row r="198" spans="2:17" ht="18" hidden="1" customHeight="1">
      <c r="B198" s="563">
        <v>193</v>
      </c>
      <c r="C198" s="564" t="e">
        <f>VLOOKUP(G:G,list!B:D,2,FALSE)</f>
        <v>#N/A</v>
      </c>
      <c r="D198" s="564" t="s">
        <v>72</v>
      </c>
      <c r="E198" s="564" t="s">
        <v>9</v>
      </c>
      <c r="F198" s="564" t="s">
        <v>73</v>
      </c>
      <c r="G198" s="564" t="s">
        <v>152</v>
      </c>
      <c r="H198" s="565">
        <v>44228</v>
      </c>
      <c r="I198" s="564" t="s">
        <v>455</v>
      </c>
      <c r="J198" s="599">
        <v>14942473</v>
      </c>
      <c r="K198" s="605">
        <v>0.224</v>
      </c>
      <c r="L198" s="568">
        <v>3012411</v>
      </c>
      <c r="M198" s="569">
        <v>0.12</v>
      </c>
      <c r="N198" s="573">
        <f t="shared" si="10"/>
        <v>361489.32</v>
      </c>
      <c r="O198" s="570">
        <f t="shared" ref="O198:O261" si="11">L198-N198</f>
        <v>2650921.6800000002</v>
      </c>
      <c r="P198" s="573"/>
      <c r="Q198" s="572" t="e">
        <f>VLOOKUP(G:G,list!B:D,3,FALSE)</f>
        <v>#N/A</v>
      </c>
    </row>
    <row r="199" spans="2:17" ht="18" hidden="1" customHeight="1">
      <c r="B199" s="563">
        <v>194</v>
      </c>
      <c r="C199" s="564" t="e">
        <f>VLOOKUP(G:G,list!B:D,2,FALSE)</f>
        <v>#N/A</v>
      </c>
      <c r="D199" s="564" t="s">
        <v>32</v>
      </c>
      <c r="E199" s="564" t="s">
        <v>115</v>
      </c>
      <c r="F199" s="564" t="s">
        <v>31</v>
      </c>
      <c r="G199" s="564" t="s">
        <v>152</v>
      </c>
      <c r="H199" s="565">
        <v>44096</v>
      </c>
      <c r="I199" s="564" t="s">
        <v>455</v>
      </c>
      <c r="J199" s="599">
        <v>298747</v>
      </c>
      <c r="K199" s="603">
        <v>0.4</v>
      </c>
      <c r="L199" s="568">
        <v>113526</v>
      </c>
      <c r="M199" s="569">
        <v>0.12</v>
      </c>
      <c r="N199" s="573">
        <f t="shared" si="10"/>
        <v>13623.119999999999</v>
      </c>
      <c r="O199" s="570">
        <f t="shared" si="11"/>
        <v>99902.88</v>
      </c>
      <c r="P199" s="576"/>
      <c r="Q199" s="572" t="e">
        <f>VLOOKUP(G:G,list!B:D,3,FALSE)</f>
        <v>#N/A</v>
      </c>
    </row>
    <row r="200" spans="2:17" ht="18" hidden="1" customHeight="1">
      <c r="B200" s="563">
        <v>195</v>
      </c>
      <c r="C200" s="564" t="e">
        <f>VLOOKUP(G:G,list!B:D,2,FALSE)</f>
        <v>#N/A</v>
      </c>
      <c r="D200" s="564" t="s">
        <v>67</v>
      </c>
      <c r="E200" s="564" t="s">
        <v>9</v>
      </c>
      <c r="F200" s="564" t="s">
        <v>65</v>
      </c>
      <c r="G200" s="564" t="s">
        <v>152</v>
      </c>
      <c r="H200" s="565">
        <v>44105</v>
      </c>
      <c r="I200" s="564" t="s">
        <v>482</v>
      </c>
      <c r="J200" s="599">
        <v>1067088</v>
      </c>
      <c r="K200" s="603">
        <v>0.4</v>
      </c>
      <c r="L200" s="568">
        <v>426835</v>
      </c>
      <c r="M200" s="569">
        <v>0.12</v>
      </c>
      <c r="N200" s="573">
        <f t="shared" si="10"/>
        <v>51220.2</v>
      </c>
      <c r="O200" s="570">
        <f t="shared" si="11"/>
        <v>375614.8</v>
      </c>
      <c r="P200" s="576"/>
      <c r="Q200" s="572" t="e">
        <f>VLOOKUP(G:G,list!B:D,3,FALSE)</f>
        <v>#N/A</v>
      </c>
    </row>
    <row r="201" spans="2:17" ht="18" hidden="1" customHeight="1">
      <c r="B201" s="563">
        <v>196</v>
      </c>
      <c r="C201" s="564" t="e">
        <f>VLOOKUP(G:G,list!B:D,2,FALSE)</f>
        <v>#N/A</v>
      </c>
      <c r="D201" s="564" t="s">
        <v>78</v>
      </c>
      <c r="E201" s="564" t="s">
        <v>9</v>
      </c>
      <c r="F201" s="564" t="s">
        <v>242</v>
      </c>
      <c r="G201" s="564" t="s">
        <v>135</v>
      </c>
      <c r="H201" s="565">
        <v>44308</v>
      </c>
      <c r="I201" s="564" t="s">
        <v>482</v>
      </c>
      <c r="J201" s="566">
        <v>624009</v>
      </c>
      <c r="K201" s="567">
        <v>0.6</v>
      </c>
      <c r="L201" s="568">
        <v>374404</v>
      </c>
      <c r="M201" s="569" t="s">
        <v>203</v>
      </c>
      <c r="N201" s="570">
        <v>0</v>
      </c>
      <c r="O201" s="570">
        <f t="shared" si="11"/>
        <v>374404</v>
      </c>
      <c r="P201" s="575"/>
      <c r="Q201" s="572" t="e">
        <f>VLOOKUP(G:G,list!B:D,3,FALSE)</f>
        <v>#N/A</v>
      </c>
    </row>
    <row r="202" spans="2:17" ht="18" hidden="1" customHeight="1">
      <c r="B202" s="563">
        <v>197</v>
      </c>
      <c r="C202" s="564" t="e">
        <f>VLOOKUP(G:G,list!B:D,2,FALSE)</f>
        <v>#N/A</v>
      </c>
      <c r="D202" s="564" t="s">
        <v>27</v>
      </c>
      <c r="E202" s="564" t="s">
        <v>62</v>
      </c>
      <c r="F202" s="564" t="s">
        <v>213</v>
      </c>
      <c r="G202" s="564" t="s">
        <v>11</v>
      </c>
      <c r="H202" s="565">
        <v>44420</v>
      </c>
      <c r="I202" s="564" t="s">
        <v>482</v>
      </c>
      <c r="J202" s="599">
        <v>1211133</v>
      </c>
      <c r="K202" s="600">
        <v>0.3</v>
      </c>
      <c r="L202" s="568">
        <v>363340</v>
      </c>
      <c r="M202" s="569" t="s">
        <v>203</v>
      </c>
      <c r="N202" s="570">
        <v>0</v>
      </c>
      <c r="O202" s="570">
        <f t="shared" si="11"/>
        <v>363340</v>
      </c>
      <c r="P202" s="575" t="s">
        <v>307</v>
      </c>
      <c r="Q202" s="572" t="e">
        <f>VLOOKUP(G:G,list!B:D,3,FALSE)</f>
        <v>#N/A</v>
      </c>
    </row>
    <row r="203" spans="2:17" ht="18" hidden="1" customHeight="1">
      <c r="B203" s="563">
        <v>198</v>
      </c>
      <c r="C203" s="564" t="e">
        <f>VLOOKUP(G:G,list!B:D,2,FALSE)</f>
        <v>#N/A</v>
      </c>
      <c r="D203" s="564" t="s">
        <v>27</v>
      </c>
      <c r="E203" s="564" t="s">
        <v>62</v>
      </c>
      <c r="F203" s="564" t="s">
        <v>213</v>
      </c>
      <c r="G203" s="564" t="s">
        <v>11</v>
      </c>
      <c r="H203" s="565">
        <v>44637</v>
      </c>
      <c r="I203" s="564" t="s">
        <v>455</v>
      </c>
      <c r="J203" s="599">
        <v>49287</v>
      </c>
      <c r="K203" s="600">
        <v>0.3</v>
      </c>
      <c r="L203" s="568">
        <v>14786</v>
      </c>
      <c r="M203" s="569" t="s">
        <v>203</v>
      </c>
      <c r="N203" s="570">
        <v>0</v>
      </c>
      <c r="O203" s="570">
        <f t="shared" si="11"/>
        <v>14786</v>
      </c>
      <c r="P203" s="575" t="s">
        <v>283</v>
      </c>
      <c r="Q203" s="572" t="e">
        <f>VLOOKUP(G:G,list!B:D,3,FALSE)</f>
        <v>#N/A</v>
      </c>
    </row>
    <row r="204" spans="2:17" ht="18" hidden="1" customHeight="1">
      <c r="B204" s="563">
        <v>199</v>
      </c>
      <c r="C204" s="564" t="e">
        <f>VLOOKUP(G:G,list!B:D,2,FALSE)</f>
        <v>#N/A</v>
      </c>
      <c r="D204" s="564" t="s">
        <v>72</v>
      </c>
      <c r="E204" s="564" t="s">
        <v>9</v>
      </c>
      <c r="F204" s="564" t="s">
        <v>184</v>
      </c>
      <c r="G204" s="564" t="s">
        <v>11</v>
      </c>
      <c r="H204" s="565">
        <v>44468</v>
      </c>
      <c r="I204" s="564" t="s">
        <v>455</v>
      </c>
      <c r="J204" s="586">
        <v>193627</v>
      </c>
      <c r="K204" s="567">
        <v>0.3</v>
      </c>
      <c r="L204" s="568">
        <v>58088</v>
      </c>
      <c r="M204" s="569" t="s">
        <v>203</v>
      </c>
      <c r="N204" s="570">
        <v>0</v>
      </c>
      <c r="O204" s="570">
        <f t="shared" si="11"/>
        <v>58088</v>
      </c>
      <c r="P204" s="575" t="s">
        <v>282</v>
      </c>
      <c r="Q204" s="572" t="e">
        <f>VLOOKUP(G:G,list!B:D,3,FALSE)</f>
        <v>#N/A</v>
      </c>
    </row>
    <row r="205" spans="2:17" ht="18" hidden="1" customHeight="1">
      <c r="B205" s="563">
        <v>200</v>
      </c>
      <c r="C205" s="564" t="e">
        <f>VLOOKUP(G:G,list!B:D,2,FALSE)</f>
        <v>#N/A</v>
      </c>
      <c r="D205" s="564" t="s">
        <v>22</v>
      </c>
      <c r="E205" s="564" t="s">
        <v>62</v>
      </c>
      <c r="F205" s="564" t="s">
        <v>213</v>
      </c>
      <c r="G205" s="564" t="s">
        <v>11</v>
      </c>
      <c r="H205" s="565">
        <v>44381</v>
      </c>
      <c r="I205" s="564" t="s">
        <v>482</v>
      </c>
      <c r="J205" s="599">
        <v>1123</v>
      </c>
      <c r="K205" s="603">
        <v>0.3</v>
      </c>
      <c r="L205" s="568">
        <v>337</v>
      </c>
      <c r="M205" s="569" t="s">
        <v>203</v>
      </c>
      <c r="N205" s="573">
        <v>0</v>
      </c>
      <c r="O205" s="570">
        <f t="shared" si="11"/>
        <v>337</v>
      </c>
      <c r="P205" s="575" t="s">
        <v>425</v>
      </c>
      <c r="Q205" s="572" t="e">
        <f>VLOOKUP(G:G,list!B:D,3,FALSE)</f>
        <v>#N/A</v>
      </c>
    </row>
    <row r="206" spans="2:17" ht="18" hidden="1" customHeight="1">
      <c r="B206" s="563">
        <v>201</v>
      </c>
      <c r="C206" s="564" t="e">
        <f>VLOOKUP(G:G,list!B:D,2,FALSE)</f>
        <v>#N/A</v>
      </c>
      <c r="D206" s="564" t="s">
        <v>32</v>
      </c>
      <c r="E206" s="564" t="s">
        <v>62</v>
      </c>
      <c r="F206" s="564" t="s">
        <v>213</v>
      </c>
      <c r="G206" s="564" t="s">
        <v>11</v>
      </c>
      <c r="H206" s="565">
        <v>44370</v>
      </c>
      <c r="I206" s="564" t="s">
        <v>482</v>
      </c>
      <c r="J206" s="599">
        <v>22627</v>
      </c>
      <c r="K206" s="603">
        <v>0.3</v>
      </c>
      <c r="L206" s="568">
        <v>6788</v>
      </c>
      <c r="M206" s="569" t="s">
        <v>203</v>
      </c>
      <c r="N206" s="573">
        <v>0</v>
      </c>
      <c r="O206" s="570">
        <f t="shared" si="11"/>
        <v>6788</v>
      </c>
      <c r="P206" s="575" t="s">
        <v>307</v>
      </c>
      <c r="Q206" s="572" t="e">
        <f>VLOOKUP(G:G,list!B:D,3,FALSE)</f>
        <v>#N/A</v>
      </c>
    </row>
    <row r="207" spans="2:17" ht="18" hidden="1" customHeight="1">
      <c r="B207" s="563">
        <v>202</v>
      </c>
      <c r="C207" s="564" t="e">
        <f>VLOOKUP(G:G,list!B:D,2,FALSE)</f>
        <v>#N/A</v>
      </c>
      <c r="D207" s="564" t="s">
        <v>78</v>
      </c>
      <c r="E207" s="564" t="s">
        <v>115</v>
      </c>
      <c r="F207" s="564" t="s">
        <v>176</v>
      </c>
      <c r="G207" s="564" t="s">
        <v>500</v>
      </c>
      <c r="H207" s="565">
        <v>44842</v>
      </c>
      <c r="I207" s="564" t="s">
        <v>482</v>
      </c>
      <c r="J207" s="586">
        <v>43443326.369999997</v>
      </c>
      <c r="K207" s="567">
        <v>0.6</v>
      </c>
      <c r="L207" s="568">
        <v>26065995</v>
      </c>
      <c r="M207" s="569">
        <v>0.1</v>
      </c>
      <c r="N207" s="573">
        <f>L207*M207</f>
        <v>2606599.5</v>
      </c>
      <c r="O207" s="570">
        <f t="shared" si="11"/>
        <v>23459395.5</v>
      </c>
      <c r="P207" s="575" t="s">
        <v>287</v>
      </c>
      <c r="Q207" s="572" t="e">
        <f>VLOOKUP(G:G,list!B:D,3,FALSE)</f>
        <v>#N/A</v>
      </c>
    </row>
    <row r="208" spans="2:17" ht="18" hidden="1" customHeight="1">
      <c r="B208" s="563">
        <v>203</v>
      </c>
      <c r="C208" s="564" t="str">
        <f>VLOOKUP(G:G,list!B:D,2,FALSE)</f>
        <v>원작료</v>
      </c>
      <c r="D208" s="564" t="s">
        <v>448</v>
      </c>
      <c r="E208" s="564" t="s">
        <v>62</v>
      </c>
      <c r="F208" s="564" t="s">
        <v>176</v>
      </c>
      <c r="G208" s="564" t="s">
        <v>447</v>
      </c>
      <c r="H208" s="565">
        <v>44801</v>
      </c>
      <c r="I208" s="564" t="s">
        <v>482</v>
      </c>
      <c r="J208" s="586">
        <v>6700877.7000000002</v>
      </c>
      <c r="K208" s="567">
        <v>0.6</v>
      </c>
      <c r="L208" s="568">
        <v>4020528</v>
      </c>
      <c r="M208" s="569">
        <v>0.1</v>
      </c>
      <c r="N208" s="570">
        <f>L208*M208</f>
        <v>402052.80000000005</v>
      </c>
      <c r="O208" s="570">
        <f t="shared" si="11"/>
        <v>3618475.2</v>
      </c>
      <c r="P208" s="575"/>
      <c r="Q208" s="572" t="str">
        <f>VLOOKUP(G:G,list!B:D,3,FALSE)</f>
        <v>Y</v>
      </c>
    </row>
    <row r="209" spans="2:17" ht="18" hidden="1" customHeight="1">
      <c r="B209" s="563">
        <v>204</v>
      </c>
      <c r="C209" s="564" t="e">
        <f>VLOOKUP(G:G,list!B:D,2,FALSE)</f>
        <v>#N/A</v>
      </c>
      <c r="D209" s="564" t="s">
        <v>78</v>
      </c>
      <c r="E209" s="564" t="s">
        <v>115</v>
      </c>
      <c r="F209" s="564" t="s">
        <v>268</v>
      </c>
      <c r="G209" s="564" t="s">
        <v>202</v>
      </c>
      <c r="H209" s="565">
        <v>44609</v>
      </c>
      <c r="I209" s="564" t="s">
        <v>482</v>
      </c>
      <c r="J209" s="566">
        <v>73800</v>
      </c>
      <c r="K209" s="567" t="s">
        <v>271</v>
      </c>
      <c r="L209" s="568">
        <v>51060</v>
      </c>
      <c r="M209" s="569" t="s">
        <v>203</v>
      </c>
      <c r="N209" s="573">
        <v>0</v>
      </c>
      <c r="O209" s="570">
        <f t="shared" si="11"/>
        <v>51060</v>
      </c>
      <c r="P209" s="574"/>
      <c r="Q209" s="572" t="e">
        <f>VLOOKUP(G:G,list!B:D,3,FALSE)</f>
        <v>#N/A</v>
      </c>
    </row>
    <row r="210" spans="2:17" ht="18" hidden="1" customHeight="1">
      <c r="B210" s="563">
        <v>205</v>
      </c>
      <c r="C210" s="564" t="e">
        <f>VLOOKUP(G:G,list!B:D,2,FALSE)</f>
        <v>#N/A</v>
      </c>
      <c r="D210" s="564" t="s">
        <v>78</v>
      </c>
      <c r="E210" s="564" t="s">
        <v>115</v>
      </c>
      <c r="F210" s="564" t="s">
        <v>242</v>
      </c>
      <c r="G210" s="564" t="s">
        <v>202</v>
      </c>
      <c r="H210" s="565">
        <v>44525</v>
      </c>
      <c r="I210" s="564" t="s">
        <v>482</v>
      </c>
      <c r="J210" s="577">
        <v>9312</v>
      </c>
      <c r="K210" s="567">
        <v>0.7</v>
      </c>
      <c r="L210" s="568">
        <v>6519</v>
      </c>
      <c r="M210" s="569" t="s">
        <v>203</v>
      </c>
      <c r="N210" s="570">
        <v>0</v>
      </c>
      <c r="O210" s="570">
        <f t="shared" si="11"/>
        <v>6519</v>
      </c>
      <c r="P210" s="583"/>
      <c r="Q210" s="572" t="e">
        <f>VLOOKUP(G:G,list!B:D,3,FALSE)</f>
        <v>#N/A</v>
      </c>
    </row>
    <row r="211" spans="2:17" ht="18" hidden="1" customHeight="1">
      <c r="B211" s="563">
        <v>206</v>
      </c>
      <c r="C211" s="564" t="e">
        <f>VLOOKUP(G:G,list!B:D,2,FALSE)</f>
        <v>#N/A</v>
      </c>
      <c r="D211" s="564" t="s">
        <v>78</v>
      </c>
      <c r="E211" s="564" t="s">
        <v>115</v>
      </c>
      <c r="F211" s="564" t="s">
        <v>245</v>
      </c>
      <c r="G211" s="564" t="s">
        <v>202</v>
      </c>
      <c r="H211" s="565">
        <v>44441</v>
      </c>
      <c r="I211" s="564" t="s">
        <v>482</v>
      </c>
      <c r="J211" s="577">
        <v>0</v>
      </c>
      <c r="K211" s="567" t="s">
        <v>203</v>
      </c>
      <c r="L211" s="568">
        <v>62400</v>
      </c>
      <c r="M211" s="569" t="s">
        <v>203</v>
      </c>
      <c r="N211" s="570">
        <v>0</v>
      </c>
      <c r="O211" s="570">
        <f t="shared" si="11"/>
        <v>62400</v>
      </c>
      <c r="P211" s="583"/>
      <c r="Q211" s="572" t="e">
        <f>VLOOKUP(G:G,list!B:D,3,FALSE)</f>
        <v>#N/A</v>
      </c>
    </row>
    <row r="212" spans="2:17" ht="18" hidden="1" customHeight="1">
      <c r="B212" s="563">
        <v>207</v>
      </c>
      <c r="C212" s="564" t="e">
        <f>VLOOKUP(G:G,list!B:D,2,FALSE)</f>
        <v>#N/A</v>
      </c>
      <c r="D212" s="564" t="s">
        <v>78</v>
      </c>
      <c r="E212" s="564" t="s">
        <v>115</v>
      </c>
      <c r="F212" s="564" t="s">
        <v>201</v>
      </c>
      <c r="G212" s="564" t="s">
        <v>202</v>
      </c>
      <c r="H212" s="565">
        <v>44300</v>
      </c>
      <c r="I212" s="564" t="s">
        <v>455</v>
      </c>
      <c r="J212" s="579">
        <v>137424</v>
      </c>
      <c r="K212" s="567">
        <v>0.7</v>
      </c>
      <c r="L212" s="568">
        <v>96197</v>
      </c>
      <c r="M212" s="569" t="s">
        <v>203</v>
      </c>
      <c r="N212" s="570">
        <v>0</v>
      </c>
      <c r="O212" s="570">
        <f t="shared" si="11"/>
        <v>96197</v>
      </c>
      <c r="P212" s="583"/>
      <c r="Q212" s="572" t="e">
        <f>VLOOKUP(G:G,list!B:D,3,FALSE)</f>
        <v>#N/A</v>
      </c>
    </row>
    <row r="213" spans="2:17" ht="18" hidden="1" customHeight="1">
      <c r="B213" s="563">
        <v>208</v>
      </c>
      <c r="C213" s="564" t="e">
        <f>VLOOKUP(G:G,list!B:D,2,FALSE)</f>
        <v>#N/A</v>
      </c>
      <c r="D213" s="564" t="s">
        <v>78</v>
      </c>
      <c r="E213" s="564" t="s">
        <v>115</v>
      </c>
      <c r="F213" s="564" t="s">
        <v>246</v>
      </c>
      <c r="G213" s="564" t="s">
        <v>202</v>
      </c>
      <c r="H213" s="565">
        <v>44328</v>
      </c>
      <c r="I213" s="564" t="s">
        <v>482</v>
      </c>
      <c r="J213" s="579">
        <v>96840</v>
      </c>
      <c r="K213" s="567" t="s">
        <v>120</v>
      </c>
      <c r="L213" s="568">
        <v>43978</v>
      </c>
      <c r="M213" s="569" t="s">
        <v>203</v>
      </c>
      <c r="N213" s="570">
        <v>0</v>
      </c>
      <c r="O213" s="570">
        <f t="shared" si="11"/>
        <v>43978</v>
      </c>
      <c r="P213" s="576"/>
      <c r="Q213" s="572" t="e">
        <f>VLOOKUP(G:G,list!B:D,3,FALSE)</f>
        <v>#N/A</v>
      </c>
    </row>
    <row r="214" spans="2:17" ht="18" hidden="1" customHeight="1">
      <c r="B214" s="563">
        <v>209</v>
      </c>
      <c r="C214" s="564" t="e">
        <f>VLOOKUP(G:G,list!B:D,2,FALSE)</f>
        <v>#N/A</v>
      </c>
      <c r="D214" s="564" t="s">
        <v>78</v>
      </c>
      <c r="E214" s="564" t="s">
        <v>115</v>
      </c>
      <c r="F214" s="564" t="s">
        <v>197</v>
      </c>
      <c r="G214" s="564" t="s">
        <v>202</v>
      </c>
      <c r="H214" s="565">
        <v>44328</v>
      </c>
      <c r="I214" s="564" t="s">
        <v>482</v>
      </c>
      <c r="J214" s="586">
        <v>0</v>
      </c>
      <c r="K214" s="567">
        <v>0.7</v>
      </c>
      <c r="L214" s="568">
        <v>0</v>
      </c>
      <c r="M214" s="569" t="s">
        <v>203</v>
      </c>
      <c r="N214" s="570">
        <v>0</v>
      </c>
      <c r="O214" s="570">
        <f t="shared" si="11"/>
        <v>0</v>
      </c>
      <c r="P214" s="575" t="s">
        <v>508</v>
      </c>
      <c r="Q214" s="572" t="e">
        <f>VLOOKUP(G:G,list!B:D,3,FALSE)</f>
        <v>#N/A</v>
      </c>
    </row>
    <row r="215" spans="2:17" ht="18" hidden="1" customHeight="1">
      <c r="B215" s="563">
        <v>210</v>
      </c>
      <c r="C215" s="564" t="e">
        <f>VLOOKUP(G:G,list!B:D,2,FALSE)</f>
        <v>#N/A</v>
      </c>
      <c r="D215" s="564" t="s">
        <v>78</v>
      </c>
      <c r="E215" s="564" t="s">
        <v>115</v>
      </c>
      <c r="F215" s="564" t="s">
        <v>269</v>
      </c>
      <c r="G215" s="564" t="s">
        <v>202</v>
      </c>
      <c r="H215" s="565">
        <v>44609</v>
      </c>
      <c r="I215" s="564" t="s">
        <v>482</v>
      </c>
      <c r="J215" s="586">
        <v>5400</v>
      </c>
      <c r="K215" s="567">
        <v>0.7</v>
      </c>
      <c r="L215" s="568">
        <v>3780</v>
      </c>
      <c r="M215" s="569" t="s">
        <v>203</v>
      </c>
      <c r="N215" s="570">
        <v>0</v>
      </c>
      <c r="O215" s="570">
        <f t="shared" si="11"/>
        <v>3780</v>
      </c>
      <c r="P215" s="574"/>
      <c r="Q215" s="572" t="e">
        <f>VLOOKUP(G:G,list!B:D,3,FALSE)</f>
        <v>#N/A</v>
      </c>
    </row>
    <row r="216" spans="2:17" ht="18" hidden="1" customHeight="1">
      <c r="B216" s="563">
        <v>211</v>
      </c>
      <c r="C216" s="564" t="e">
        <f>VLOOKUP(G:G,list!B:D,2,FALSE)</f>
        <v>#N/A</v>
      </c>
      <c r="D216" s="564" t="s">
        <v>182</v>
      </c>
      <c r="E216" s="564" t="s">
        <v>115</v>
      </c>
      <c r="F216" s="564" t="s">
        <v>330</v>
      </c>
      <c r="G216" s="564" t="s">
        <v>19</v>
      </c>
      <c r="H216" s="565">
        <v>44463</v>
      </c>
      <c r="I216" s="564" t="s">
        <v>323</v>
      </c>
      <c r="J216" s="599">
        <v>90627.965451055672</v>
      </c>
      <c r="K216" s="600">
        <v>0.5</v>
      </c>
      <c r="L216" s="568">
        <v>45314</v>
      </c>
      <c r="M216" s="569" t="s">
        <v>203</v>
      </c>
      <c r="N216" s="570">
        <v>0</v>
      </c>
      <c r="O216" s="570">
        <f t="shared" si="11"/>
        <v>45314</v>
      </c>
      <c r="P216" s="575"/>
      <c r="Q216" s="572" t="e">
        <f>VLOOKUP(G:G,list!B:D,3,FALSE)</f>
        <v>#N/A</v>
      </c>
    </row>
    <row r="217" spans="2:17" ht="18" hidden="1" customHeight="1">
      <c r="B217" s="563">
        <v>212</v>
      </c>
      <c r="C217" s="564" t="e">
        <f>VLOOKUP(G:G,list!B:D,2,FALSE)</f>
        <v>#N/A</v>
      </c>
      <c r="D217" s="564" t="s">
        <v>182</v>
      </c>
      <c r="E217" s="564" t="s">
        <v>115</v>
      </c>
      <c r="F217" s="564" t="s">
        <v>330</v>
      </c>
      <c r="G217" s="564" t="s">
        <v>19</v>
      </c>
      <c r="H217" s="565">
        <v>44463</v>
      </c>
      <c r="I217" s="564" t="s">
        <v>351</v>
      </c>
      <c r="J217" s="599">
        <v>98192.418426103643</v>
      </c>
      <c r="K217" s="600">
        <v>0.5</v>
      </c>
      <c r="L217" s="568">
        <v>49096.2</v>
      </c>
      <c r="M217" s="569" t="s">
        <v>203</v>
      </c>
      <c r="N217" s="570">
        <v>0</v>
      </c>
      <c r="O217" s="570">
        <f t="shared" si="11"/>
        <v>49096.2</v>
      </c>
      <c r="P217" s="575"/>
      <c r="Q217" s="572" t="e">
        <f>VLOOKUP(G:G,list!B:D,3,FALSE)</f>
        <v>#N/A</v>
      </c>
    </row>
    <row r="218" spans="2:17" ht="18" hidden="1" customHeight="1">
      <c r="B218" s="563">
        <v>213</v>
      </c>
      <c r="C218" s="564" t="e">
        <f>VLOOKUP(G:G,list!B:D,2,FALSE)</f>
        <v>#N/A</v>
      </c>
      <c r="D218" s="564" t="s">
        <v>182</v>
      </c>
      <c r="E218" s="564" t="s">
        <v>115</v>
      </c>
      <c r="F218" s="564" t="s">
        <v>330</v>
      </c>
      <c r="G218" s="564" t="s">
        <v>19</v>
      </c>
      <c r="H218" s="565">
        <v>44463</v>
      </c>
      <c r="I218" s="564" t="s">
        <v>368</v>
      </c>
      <c r="J218" s="599">
        <v>38549.616122840685</v>
      </c>
      <c r="K218" s="600">
        <v>0.5</v>
      </c>
      <c r="L218" s="568">
        <v>19274.8</v>
      </c>
      <c r="M218" s="569" t="s">
        <v>203</v>
      </c>
      <c r="N218" s="573">
        <v>0</v>
      </c>
      <c r="O218" s="570">
        <f t="shared" si="11"/>
        <v>19274.8</v>
      </c>
      <c r="P218" s="575"/>
      <c r="Q218" s="572" t="e">
        <f>VLOOKUP(G:G,list!B:D,3,FALSE)</f>
        <v>#N/A</v>
      </c>
    </row>
    <row r="219" spans="2:17" ht="18" hidden="1" customHeight="1">
      <c r="B219" s="563">
        <v>214</v>
      </c>
      <c r="C219" s="564" t="e">
        <f>VLOOKUP(G:G,list!B:D,2,FALSE)</f>
        <v>#N/A</v>
      </c>
      <c r="D219" s="564" t="s">
        <v>182</v>
      </c>
      <c r="E219" s="564" t="s">
        <v>115</v>
      </c>
      <c r="F219" s="564" t="s">
        <v>384</v>
      </c>
      <c r="G219" s="564" t="s">
        <v>202</v>
      </c>
      <c r="H219" s="565">
        <v>44463</v>
      </c>
      <c r="I219" s="564" t="s">
        <v>455</v>
      </c>
      <c r="J219" s="599">
        <v>76829</v>
      </c>
      <c r="K219" s="600">
        <v>0.5</v>
      </c>
      <c r="L219" s="568">
        <v>38414.5</v>
      </c>
      <c r="M219" s="569" t="s">
        <v>203</v>
      </c>
      <c r="N219" s="570">
        <v>0</v>
      </c>
      <c r="O219" s="570">
        <f t="shared" si="11"/>
        <v>38414.5</v>
      </c>
      <c r="P219" s="573"/>
      <c r="Q219" s="572" t="e">
        <f>VLOOKUP(G:G,list!B:D,3,FALSE)</f>
        <v>#N/A</v>
      </c>
    </row>
    <row r="220" spans="2:17" ht="18" hidden="1" customHeight="1">
      <c r="B220" s="563">
        <v>215</v>
      </c>
      <c r="C220" s="564" t="e">
        <f>VLOOKUP(G:G,list!B:D,2,FALSE)</f>
        <v>#N/A</v>
      </c>
      <c r="D220" s="564" t="s">
        <v>32</v>
      </c>
      <c r="E220" s="564" t="s">
        <v>115</v>
      </c>
      <c r="F220" s="564" t="s">
        <v>31</v>
      </c>
      <c r="G220" s="564" t="s">
        <v>19</v>
      </c>
      <c r="H220" s="565">
        <v>44714</v>
      </c>
      <c r="I220" s="564" t="s">
        <v>455</v>
      </c>
      <c r="J220" s="599">
        <v>99972</v>
      </c>
      <c r="K220" s="603">
        <v>0.45</v>
      </c>
      <c r="L220" s="568">
        <v>42736</v>
      </c>
      <c r="M220" s="569" t="s">
        <v>203</v>
      </c>
      <c r="N220" s="573">
        <v>0</v>
      </c>
      <c r="O220" s="570">
        <f t="shared" si="11"/>
        <v>42736</v>
      </c>
      <c r="P220" s="571"/>
      <c r="Q220" s="572" t="e">
        <f>VLOOKUP(G:G,list!B:D,3,FALSE)</f>
        <v>#N/A</v>
      </c>
    </row>
    <row r="221" spans="2:17" ht="18" hidden="1" customHeight="1">
      <c r="B221" s="563">
        <v>216</v>
      </c>
      <c r="C221" s="564" t="e">
        <f>VLOOKUP(G:G,list!B:D,2,FALSE)</f>
        <v>#N/A</v>
      </c>
      <c r="D221" s="564" t="s">
        <v>78</v>
      </c>
      <c r="E221" s="564" t="s">
        <v>115</v>
      </c>
      <c r="F221" s="564" t="s">
        <v>176</v>
      </c>
      <c r="G221" s="564" t="s">
        <v>382</v>
      </c>
      <c r="H221" s="565">
        <v>44328</v>
      </c>
      <c r="I221" s="564" t="s">
        <v>482</v>
      </c>
      <c r="J221" s="586">
        <v>31788</v>
      </c>
      <c r="K221" s="567">
        <v>0.7</v>
      </c>
      <c r="L221" s="568">
        <v>22251</v>
      </c>
      <c r="M221" s="569" t="s">
        <v>203</v>
      </c>
      <c r="N221" s="573">
        <v>0</v>
      </c>
      <c r="O221" s="570">
        <f t="shared" si="11"/>
        <v>22251</v>
      </c>
      <c r="P221" s="575"/>
      <c r="Q221" s="572" t="e">
        <f>VLOOKUP(G:G,list!B:D,3,FALSE)</f>
        <v>#N/A</v>
      </c>
    </row>
    <row r="222" spans="2:17" ht="18" hidden="1" customHeight="1">
      <c r="B222" s="563">
        <v>217</v>
      </c>
      <c r="C222" s="564" t="e">
        <f>VLOOKUP(G:G,list!B:D,2,FALSE)</f>
        <v>#N/A</v>
      </c>
      <c r="D222" s="564" t="s">
        <v>78</v>
      </c>
      <c r="E222" s="564" t="s">
        <v>9</v>
      </c>
      <c r="F222" s="564" t="s">
        <v>209</v>
      </c>
      <c r="G222" s="564" t="s">
        <v>407</v>
      </c>
      <c r="H222" s="565">
        <v>44822</v>
      </c>
      <c r="I222" s="564" t="s">
        <v>482</v>
      </c>
      <c r="J222" s="586">
        <v>503559</v>
      </c>
      <c r="K222" s="567">
        <v>0.6</v>
      </c>
      <c r="L222" s="568">
        <v>302136</v>
      </c>
      <c r="M222" s="569">
        <v>0.12</v>
      </c>
      <c r="N222" s="570">
        <f t="shared" ref="N222:N253" si="12">L222*M222</f>
        <v>36256.32</v>
      </c>
      <c r="O222" s="570">
        <f t="shared" si="11"/>
        <v>265879.67999999999</v>
      </c>
      <c r="P222" s="578"/>
      <c r="Q222" s="572" t="e">
        <f>VLOOKUP(G:G,list!B:D,3,FALSE)</f>
        <v>#N/A</v>
      </c>
    </row>
    <row r="223" spans="2:17" ht="18" hidden="1" customHeight="1">
      <c r="B223" s="563">
        <v>218</v>
      </c>
      <c r="C223" s="564" t="e">
        <f>VLOOKUP(G:G,list!B:D,2,FALSE)</f>
        <v>#N/A</v>
      </c>
      <c r="D223" s="564" t="s">
        <v>78</v>
      </c>
      <c r="E223" s="564" t="s">
        <v>9</v>
      </c>
      <c r="F223" s="564" t="s">
        <v>126</v>
      </c>
      <c r="G223" s="564" t="s">
        <v>407</v>
      </c>
      <c r="H223" s="565">
        <v>44757</v>
      </c>
      <c r="I223" s="564" t="s">
        <v>482</v>
      </c>
      <c r="J223" s="586">
        <v>4414677.2</v>
      </c>
      <c r="K223" s="567">
        <v>0.6</v>
      </c>
      <c r="L223" s="568">
        <v>2648805</v>
      </c>
      <c r="M223" s="569">
        <v>0.12</v>
      </c>
      <c r="N223" s="570">
        <f t="shared" si="12"/>
        <v>317856.59999999998</v>
      </c>
      <c r="O223" s="570">
        <f t="shared" si="11"/>
        <v>2330948.4</v>
      </c>
      <c r="P223" s="575"/>
      <c r="Q223" s="572" t="e">
        <f>VLOOKUP(G:G,list!B:D,3,FALSE)</f>
        <v>#N/A</v>
      </c>
    </row>
    <row r="224" spans="2:17" ht="18" hidden="1" customHeight="1">
      <c r="B224" s="563">
        <v>219</v>
      </c>
      <c r="C224" s="564" t="e">
        <f>VLOOKUP(G:G,list!B:D,2,FALSE)</f>
        <v>#N/A</v>
      </c>
      <c r="D224" s="564" t="s">
        <v>78</v>
      </c>
      <c r="E224" s="564" t="s">
        <v>9</v>
      </c>
      <c r="F224" s="564" t="s">
        <v>209</v>
      </c>
      <c r="G224" s="564" t="s">
        <v>225</v>
      </c>
      <c r="H224" s="565">
        <v>44484</v>
      </c>
      <c r="I224" s="564" t="s">
        <v>482</v>
      </c>
      <c r="J224" s="586">
        <v>201439</v>
      </c>
      <c r="K224" s="567">
        <v>0.6</v>
      </c>
      <c r="L224" s="568">
        <v>120864</v>
      </c>
      <c r="M224" s="569">
        <v>0.1</v>
      </c>
      <c r="N224" s="570">
        <f t="shared" si="12"/>
        <v>12086.400000000001</v>
      </c>
      <c r="O224" s="570">
        <f t="shared" si="11"/>
        <v>108777.60000000001</v>
      </c>
      <c r="P224" s="576"/>
      <c r="Q224" s="572" t="e">
        <f>VLOOKUP(G:G,list!B:D,3,FALSE)</f>
        <v>#N/A</v>
      </c>
    </row>
    <row r="225" spans="2:17" ht="18" hidden="1" customHeight="1">
      <c r="B225" s="563">
        <v>220</v>
      </c>
      <c r="C225" s="564" t="e">
        <f>VLOOKUP(G:G,list!B:D,2,FALSE)</f>
        <v>#N/A</v>
      </c>
      <c r="D225" s="564" t="s">
        <v>78</v>
      </c>
      <c r="E225" s="564" t="s">
        <v>9</v>
      </c>
      <c r="F225" s="564" t="s">
        <v>126</v>
      </c>
      <c r="G225" s="564" t="s">
        <v>225</v>
      </c>
      <c r="H225" s="565">
        <v>44331</v>
      </c>
      <c r="I225" s="564" t="s">
        <v>482</v>
      </c>
      <c r="J225" s="586">
        <v>284783.90000000002</v>
      </c>
      <c r="K225" s="567">
        <v>0.6</v>
      </c>
      <c r="L225" s="568">
        <v>170871</v>
      </c>
      <c r="M225" s="569">
        <v>0.1</v>
      </c>
      <c r="N225" s="570">
        <f t="shared" si="12"/>
        <v>17087.100000000002</v>
      </c>
      <c r="O225" s="570">
        <f t="shared" si="11"/>
        <v>153783.9</v>
      </c>
      <c r="P225" s="576"/>
      <c r="Q225" s="572" t="e">
        <f>VLOOKUP(G:G,list!B:D,3,FALSE)</f>
        <v>#N/A</v>
      </c>
    </row>
    <row r="226" spans="2:17" ht="18" hidden="1" customHeight="1">
      <c r="B226" s="563">
        <v>221</v>
      </c>
      <c r="C226" s="564" t="e">
        <f>VLOOKUP(G:G,list!B:D,2,FALSE)</f>
        <v>#N/A</v>
      </c>
      <c r="D226" s="564" t="s">
        <v>183</v>
      </c>
      <c r="E226" s="564" t="s">
        <v>62</v>
      </c>
      <c r="F226" s="564" t="s">
        <v>213</v>
      </c>
      <c r="G226" s="564" t="s">
        <v>57</v>
      </c>
      <c r="H226" s="565">
        <v>44691</v>
      </c>
      <c r="I226" s="564" t="s">
        <v>482</v>
      </c>
      <c r="J226" s="599">
        <v>340543</v>
      </c>
      <c r="K226" s="600">
        <v>0.3</v>
      </c>
      <c r="L226" s="568">
        <v>102163</v>
      </c>
      <c r="M226" s="569">
        <v>0.1</v>
      </c>
      <c r="N226" s="570">
        <f t="shared" si="12"/>
        <v>10216.300000000001</v>
      </c>
      <c r="O226" s="570">
        <f t="shared" si="11"/>
        <v>91946.7</v>
      </c>
      <c r="P226" s="575" t="s">
        <v>361</v>
      </c>
      <c r="Q226" s="572" t="e">
        <f>VLOOKUP(G:G,list!B:D,3,FALSE)</f>
        <v>#N/A</v>
      </c>
    </row>
    <row r="227" spans="2:17" ht="18" hidden="1" customHeight="1">
      <c r="B227" s="563">
        <v>222</v>
      </c>
      <c r="C227" s="564" t="e">
        <f>VLOOKUP(G:G,list!B:D,2,FALSE)</f>
        <v>#N/A</v>
      </c>
      <c r="D227" s="564" t="s">
        <v>182</v>
      </c>
      <c r="E227" s="564" t="s">
        <v>9</v>
      </c>
      <c r="F227" s="564" t="s">
        <v>384</v>
      </c>
      <c r="G227" s="564" t="s">
        <v>225</v>
      </c>
      <c r="H227" s="565">
        <v>44357</v>
      </c>
      <c r="I227" s="564" t="s">
        <v>455</v>
      </c>
      <c r="J227" s="599">
        <v>485</v>
      </c>
      <c r="K227" s="600">
        <v>0.5</v>
      </c>
      <c r="L227" s="568">
        <v>242.5</v>
      </c>
      <c r="M227" s="569">
        <v>0.1</v>
      </c>
      <c r="N227" s="570">
        <f t="shared" si="12"/>
        <v>24.25</v>
      </c>
      <c r="O227" s="570">
        <f t="shared" si="11"/>
        <v>218.25</v>
      </c>
      <c r="P227" s="575"/>
      <c r="Q227" s="572" t="e">
        <f>VLOOKUP(G:G,list!B:D,3,FALSE)</f>
        <v>#N/A</v>
      </c>
    </row>
    <row r="228" spans="2:17" ht="18" hidden="1" customHeight="1">
      <c r="B228" s="563">
        <v>223</v>
      </c>
      <c r="C228" s="564" t="e">
        <f>VLOOKUP(G:G,list!B:D,2,FALSE)</f>
        <v>#N/A</v>
      </c>
      <c r="D228" s="564" t="s">
        <v>182</v>
      </c>
      <c r="E228" s="564" t="s">
        <v>115</v>
      </c>
      <c r="F228" s="564" t="s">
        <v>283</v>
      </c>
      <c r="G228" s="564" t="s">
        <v>57</v>
      </c>
      <c r="H228" s="565">
        <v>44384</v>
      </c>
      <c r="I228" s="564" t="s">
        <v>377</v>
      </c>
      <c r="J228" s="599">
        <v>167580</v>
      </c>
      <c r="K228" s="600">
        <v>0.5</v>
      </c>
      <c r="L228" s="568">
        <v>83790</v>
      </c>
      <c r="M228" s="569">
        <v>0.1</v>
      </c>
      <c r="N228" s="570">
        <f t="shared" si="12"/>
        <v>8379</v>
      </c>
      <c r="O228" s="570">
        <f t="shared" si="11"/>
        <v>75411</v>
      </c>
      <c r="P228" s="575"/>
      <c r="Q228" s="572" t="e">
        <f>VLOOKUP(G:G,list!B:D,3,FALSE)</f>
        <v>#N/A</v>
      </c>
    </row>
    <row r="229" spans="2:17" ht="18" hidden="1" customHeight="1">
      <c r="B229" s="563">
        <v>224</v>
      </c>
      <c r="C229" s="564" t="e">
        <f>VLOOKUP(G:G,list!B:D,2,FALSE)</f>
        <v>#N/A</v>
      </c>
      <c r="D229" s="564" t="s">
        <v>72</v>
      </c>
      <c r="E229" s="564" t="s">
        <v>9</v>
      </c>
      <c r="F229" s="564" t="s">
        <v>73</v>
      </c>
      <c r="G229" s="564" t="s">
        <v>225</v>
      </c>
      <c r="H229" s="565">
        <v>44479</v>
      </c>
      <c r="I229" s="564" t="s">
        <v>455</v>
      </c>
      <c r="J229" s="599">
        <v>475992</v>
      </c>
      <c r="K229" s="605">
        <v>0.224</v>
      </c>
      <c r="L229" s="568">
        <v>95965</v>
      </c>
      <c r="M229" s="569">
        <v>0.1</v>
      </c>
      <c r="N229" s="570">
        <f t="shared" si="12"/>
        <v>9596.5</v>
      </c>
      <c r="O229" s="570">
        <f t="shared" si="11"/>
        <v>86368.5</v>
      </c>
      <c r="P229" s="573"/>
      <c r="Q229" s="572" t="e">
        <f>VLOOKUP(G:G,list!B:D,3,FALSE)</f>
        <v>#N/A</v>
      </c>
    </row>
    <row r="230" spans="2:17" ht="18" customHeight="1">
      <c r="B230" s="563">
        <v>225</v>
      </c>
      <c r="C230" s="564" t="e">
        <f>VLOOKUP(G:G,list!B:D,2,FALSE)</f>
        <v>#N/A</v>
      </c>
      <c r="D230" s="564" t="s">
        <v>22</v>
      </c>
      <c r="E230" s="564" t="s">
        <v>62</v>
      </c>
      <c r="F230" s="564" t="s">
        <v>421</v>
      </c>
      <c r="G230" s="564" t="s">
        <v>57</v>
      </c>
      <c r="H230" s="565">
        <v>44552</v>
      </c>
      <c r="I230" s="564" t="s">
        <v>377</v>
      </c>
      <c r="J230" s="599">
        <v>348900</v>
      </c>
      <c r="K230" s="603">
        <v>0.28000000000000003</v>
      </c>
      <c r="L230" s="568">
        <v>78523</v>
      </c>
      <c r="M230" s="569">
        <v>0.1</v>
      </c>
      <c r="N230" s="570">
        <f t="shared" si="12"/>
        <v>7852.3</v>
      </c>
      <c r="O230" s="570">
        <f t="shared" si="11"/>
        <v>70670.7</v>
      </c>
      <c r="P230" s="602"/>
      <c r="Q230" s="572" t="e">
        <f>VLOOKUP(G:G,list!B:D,3,FALSE)</f>
        <v>#N/A</v>
      </c>
    </row>
    <row r="231" spans="2:17" ht="18" customHeight="1">
      <c r="B231" s="563">
        <v>226</v>
      </c>
      <c r="C231" s="564" t="e">
        <f>VLOOKUP(G:G,list!B:D,2,FALSE)</f>
        <v>#N/A</v>
      </c>
      <c r="D231" s="564" t="s">
        <v>22</v>
      </c>
      <c r="E231" s="564" t="s">
        <v>62</v>
      </c>
      <c r="F231" s="564" t="s">
        <v>421</v>
      </c>
      <c r="G231" s="564" t="s">
        <v>57</v>
      </c>
      <c r="H231" s="565">
        <v>44552</v>
      </c>
      <c r="I231" s="564" t="s">
        <v>428</v>
      </c>
      <c r="J231" s="599">
        <v>474646</v>
      </c>
      <c r="K231" s="603">
        <v>0.28000000000000003</v>
      </c>
      <c r="L231" s="568">
        <v>107034</v>
      </c>
      <c r="M231" s="569">
        <v>0.1</v>
      </c>
      <c r="N231" s="570">
        <f t="shared" si="12"/>
        <v>10703.400000000001</v>
      </c>
      <c r="O231" s="570">
        <f t="shared" si="11"/>
        <v>96330.6</v>
      </c>
      <c r="P231" s="602"/>
      <c r="Q231" s="572" t="e">
        <f>VLOOKUP(G:G,list!B:D,3,FALSE)</f>
        <v>#N/A</v>
      </c>
    </row>
    <row r="232" spans="2:17" ht="18" customHeight="1">
      <c r="B232" s="563">
        <v>227</v>
      </c>
      <c r="C232" s="564" t="e">
        <f>VLOOKUP(G:G,list!B:D,2,FALSE)</f>
        <v>#N/A</v>
      </c>
      <c r="D232" s="564" t="s">
        <v>22</v>
      </c>
      <c r="E232" s="564" t="s">
        <v>62</v>
      </c>
      <c r="F232" s="564" t="s">
        <v>421</v>
      </c>
      <c r="G232" s="564" t="s">
        <v>57</v>
      </c>
      <c r="H232" s="565">
        <v>44552</v>
      </c>
      <c r="I232" s="564" t="s">
        <v>455</v>
      </c>
      <c r="J232" s="599">
        <v>333494</v>
      </c>
      <c r="K232" s="603">
        <v>0.28000000000000003</v>
      </c>
      <c r="L232" s="568">
        <v>73519</v>
      </c>
      <c r="M232" s="569">
        <v>0.1</v>
      </c>
      <c r="N232" s="570">
        <f t="shared" si="12"/>
        <v>7351.9000000000005</v>
      </c>
      <c r="O232" s="570">
        <f t="shared" si="11"/>
        <v>66167.100000000006</v>
      </c>
      <c r="P232" s="602"/>
      <c r="Q232" s="572" t="e">
        <f>VLOOKUP(G:G,list!B:D,3,FALSE)</f>
        <v>#N/A</v>
      </c>
    </row>
    <row r="233" spans="2:17" ht="18" hidden="1" customHeight="1">
      <c r="B233" s="563">
        <v>228</v>
      </c>
      <c r="C233" s="564" t="e">
        <f>VLOOKUP(G:G,list!B:D,2,FALSE)</f>
        <v>#N/A</v>
      </c>
      <c r="D233" s="564" t="s">
        <v>67</v>
      </c>
      <c r="E233" s="564" t="s">
        <v>9</v>
      </c>
      <c r="F233" s="564" t="s">
        <v>213</v>
      </c>
      <c r="G233" s="564" t="s">
        <v>57</v>
      </c>
      <c r="H233" s="565">
        <v>44627</v>
      </c>
      <c r="I233" s="564" t="s">
        <v>482</v>
      </c>
      <c r="J233" s="599">
        <v>516633</v>
      </c>
      <c r="K233" s="606">
        <v>0.3</v>
      </c>
      <c r="L233" s="568">
        <v>154990</v>
      </c>
      <c r="M233" s="569">
        <v>0.1</v>
      </c>
      <c r="N233" s="570">
        <f t="shared" si="12"/>
        <v>15499</v>
      </c>
      <c r="O233" s="570">
        <f t="shared" si="11"/>
        <v>139491</v>
      </c>
      <c r="P233" s="575" t="s">
        <v>307</v>
      </c>
      <c r="Q233" s="572" t="e">
        <f>VLOOKUP(G:G,list!B:D,3,FALSE)</f>
        <v>#N/A</v>
      </c>
    </row>
    <row r="234" spans="2:17" ht="18" hidden="1" customHeight="1">
      <c r="B234" s="563">
        <v>229</v>
      </c>
      <c r="C234" s="564" t="e">
        <f>VLOOKUP(G:G,list!B:D,2,FALSE)</f>
        <v>#N/A</v>
      </c>
      <c r="D234" s="564" t="s">
        <v>78</v>
      </c>
      <c r="E234" s="564" t="s">
        <v>9</v>
      </c>
      <c r="F234" s="564" t="s">
        <v>209</v>
      </c>
      <c r="G234" s="564" t="s">
        <v>444</v>
      </c>
      <c r="H234" s="565">
        <v>44853</v>
      </c>
      <c r="I234" s="564" t="s">
        <v>482</v>
      </c>
      <c r="J234" s="586">
        <v>12011962</v>
      </c>
      <c r="K234" s="567">
        <v>0.6</v>
      </c>
      <c r="L234" s="568">
        <v>7207177</v>
      </c>
      <c r="M234" s="569">
        <v>0.1</v>
      </c>
      <c r="N234" s="570">
        <f t="shared" si="12"/>
        <v>720717.70000000007</v>
      </c>
      <c r="O234" s="570">
        <f t="shared" si="11"/>
        <v>6486459.2999999998</v>
      </c>
      <c r="P234" s="578" t="s">
        <v>287</v>
      </c>
      <c r="Q234" s="572" t="e">
        <f>VLOOKUP(G:G,list!B:D,3,FALSE)</f>
        <v>#N/A</v>
      </c>
    </row>
    <row r="235" spans="2:17" ht="18" hidden="1" customHeight="1">
      <c r="B235" s="563">
        <v>230</v>
      </c>
      <c r="C235" s="564" t="e">
        <f>VLOOKUP(G:G,list!B:D,2,FALSE)</f>
        <v>#N/A</v>
      </c>
      <c r="D235" s="564" t="s">
        <v>448</v>
      </c>
      <c r="E235" s="564" t="s">
        <v>62</v>
      </c>
      <c r="F235" s="564" t="s">
        <v>176</v>
      </c>
      <c r="G235" s="564" t="s">
        <v>444</v>
      </c>
      <c r="H235" s="565">
        <v>44790</v>
      </c>
      <c r="I235" s="564" t="s">
        <v>482</v>
      </c>
      <c r="J235" s="586">
        <v>20795302.5</v>
      </c>
      <c r="K235" s="567">
        <v>0.6</v>
      </c>
      <c r="L235" s="568">
        <v>12477181</v>
      </c>
      <c r="M235" s="569">
        <v>0.1</v>
      </c>
      <c r="N235" s="570">
        <f t="shared" si="12"/>
        <v>1247718.1000000001</v>
      </c>
      <c r="O235" s="570">
        <f t="shared" si="11"/>
        <v>11229462.9</v>
      </c>
      <c r="P235" s="575"/>
      <c r="Q235" s="572" t="e">
        <f>VLOOKUP(G:G,list!B:D,3,FALSE)</f>
        <v>#N/A</v>
      </c>
    </row>
    <row r="236" spans="2:17" ht="18" hidden="1" customHeight="1">
      <c r="B236" s="563">
        <v>231</v>
      </c>
      <c r="C236" s="564" t="e">
        <f>VLOOKUP(G:G,list!B:D,2,FALSE)</f>
        <v>#N/A</v>
      </c>
      <c r="D236" s="564" t="s">
        <v>78</v>
      </c>
      <c r="E236" s="564" t="s">
        <v>9</v>
      </c>
      <c r="F236" s="564" t="s">
        <v>209</v>
      </c>
      <c r="G236" s="564" t="s">
        <v>336</v>
      </c>
      <c r="H236" s="565">
        <v>44595</v>
      </c>
      <c r="I236" s="564" t="s">
        <v>482</v>
      </c>
      <c r="J236" s="586">
        <v>2030284</v>
      </c>
      <c r="K236" s="567">
        <v>0.6</v>
      </c>
      <c r="L236" s="568">
        <v>1218170</v>
      </c>
      <c r="M236" s="569">
        <v>0.1</v>
      </c>
      <c r="N236" s="570">
        <f t="shared" si="12"/>
        <v>121817</v>
      </c>
      <c r="O236" s="570">
        <f t="shared" si="11"/>
        <v>1096353</v>
      </c>
      <c r="P236" s="578"/>
      <c r="Q236" s="572" t="e">
        <f>VLOOKUP(G:G,list!B:D,3,FALSE)</f>
        <v>#N/A</v>
      </c>
    </row>
    <row r="237" spans="2:17" ht="18" hidden="1" customHeight="1">
      <c r="B237" s="563">
        <v>232</v>
      </c>
      <c r="C237" s="564" t="e">
        <f>VLOOKUP(G:G,list!B:D,2,FALSE)</f>
        <v>#N/A</v>
      </c>
      <c r="D237" s="564" t="s">
        <v>78</v>
      </c>
      <c r="E237" s="564" t="s">
        <v>9</v>
      </c>
      <c r="F237" s="564" t="s">
        <v>126</v>
      </c>
      <c r="G237" s="564" t="s">
        <v>336</v>
      </c>
      <c r="H237" s="565">
        <v>44392</v>
      </c>
      <c r="I237" s="564" t="s">
        <v>482</v>
      </c>
      <c r="J237" s="586">
        <v>8590718.9000000004</v>
      </c>
      <c r="K237" s="567">
        <v>0.6</v>
      </c>
      <c r="L237" s="568">
        <v>5154432</v>
      </c>
      <c r="M237" s="569">
        <v>0.1</v>
      </c>
      <c r="N237" s="570">
        <f t="shared" si="12"/>
        <v>515443.20000000001</v>
      </c>
      <c r="O237" s="570">
        <f t="shared" si="11"/>
        <v>4638988.8</v>
      </c>
      <c r="P237" s="576"/>
      <c r="Q237" s="572" t="e">
        <f>VLOOKUP(G:G,list!B:D,3,FALSE)</f>
        <v>#N/A</v>
      </c>
    </row>
    <row r="238" spans="2:17" ht="18" hidden="1" customHeight="1">
      <c r="B238" s="563">
        <v>233</v>
      </c>
      <c r="C238" s="564" t="e">
        <f>VLOOKUP(G:G,list!B:D,2,FALSE)</f>
        <v>#N/A</v>
      </c>
      <c r="D238" s="564" t="s">
        <v>177</v>
      </c>
      <c r="E238" s="564" t="s">
        <v>9</v>
      </c>
      <c r="F238" s="564" t="s">
        <v>257</v>
      </c>
      <c r="G238" s="564" t="s">
        <v>336</v>
      </c>
      <c r="H238" s="565">
        <v>44676</v>
      </c>
      <c r="I238" s="564" t="s">
        <v>482</v>
      </c>
      <c r="J238" s="599">
        <v>279283</v>
      </c>
      <c r="K238" s="600">
        <v>0.28000000000000003</v>
      </c>
      <c r="L238" s="568">
        <v>78199</v>
      </c>
      <c r="M238" s="569">
        <v>0.1</v>
      </c>
      <c r="N238" s="570">
        <f t="shared" si="12"/>
        <v>7819.9000000000005</v>
      </c>
      <c r="O238" s="570">
        <f t="shared" si="11"/>
        <v>70379.100000000006</v>
      </c>
      <c r="P238" s="575"/>
      <c r="Q238" s="572" t="e">
        <f>VLOOKUP(G:G,list!B:D,3,FALSE)</f>
        <v>#N/A</v>
      </c>
    </row>
    <row r="239" spans="2:17" ht="18" hidden="1" customHeight="1">
      <c r="B239" s="563">
        <v>234</v>
      </c>
      <c r="C239" s="564" t="e">
        <f>VLOOKUP(G:G,list!B:D,2,FALSE)</f>
        <v>#N/A</v>
      </c>
      <c r="D239" s="564" t="s">
        <v>183</v>
      </c>
      <c r="E239" s="564" t="s">
        <v>62</v>
      </c>
      <c r="F239" s="564" t="s">
        <v>213</v>
      </c>
      <c r="G239" s="564" t="s">
        <v>59</v>
      </c>
      <c r="H239" s="565">
        <v>44661</v>
      </c>
      <c r="I239" s="564" t="s">
        <v>482</v>
      </c>
      <c r="J239" s="599">
        <v>1586920</v>
      </c>
      <c r="K239" s="600">
        <v>0.3</v>
      </c>
      <c r="L239" s="568">
        <v>476076</v>
      </c>
      <c r="M239" s="569">
        <v>0.1</v>
      </c>
      <c r="N239" s="570">
        <f t="shared" si="12"/>
        <v>47607.600000000006</v>
      </c>
      <c r="O239" s="570">
        <f t="shared" si="11"/>
        <v>428468.4</v>
      </c>
      <c r="P239" s="575" t="s">
        <v>307</v>
      </c>
      <c r="Q239" s="572" t="e">
        <f>VLOOKUP(G:G,list!B:D,3,FALSE)</f>
        <v>#N/A</v>
      </c>
    </row>
    <row r="240" spans="2:17" ht="18" hidden="1" customHeight="1">
      <c r="B240" s="563">
        <v>235</v>
      </c>
      <c r="C240" s="564" t="e">
        <f>VLOOKUP(G:G,list!B:D,2,FALSE)</f>
        <v>#N/A</v>
      </c>
      <c r="D240" s="564" t="s">
        <v>182</v>
      </c>
      <c r="E240" s="564" t="s">
        <v>64</v>
      </c>
      <c r="F240" s="564" t="s">
        <v>330</v>
      </c>
      <c r="G240" s="564" t="s">
        <v>59</v>
      </c>
      <c r="H240" s="565">
        <v>44391</v>
      </c>
      <c r="I240" s="564" t="s">
        <v>323</v>
      </c>
      <c r="J240" s="599">
        <v>422698.55239693698</v>
      </c>
      <c r="K240" s="600">
        <v>0.5</v>
      </c>
      <c r="L240" s="568">
        <v>211349.3</v>
      </c>
      <c r="M240" s="569">
        <v>0.1</v>
      </c>
      <c r="N240" s="570">
        <f t="shared" si="12"/>
        <v>21134.93</v>
      </c>
      <c r="O240" s="570">
        <f t="shared" si="11"/>
        <v>190214.37</v>
      </c>
      <c r="P240" s="575"/>
      <c r="Q240" s="572" t="e">
        <f>VLOOKUP(G:G,list!B:D,3,FALSE)</f>
        <v>#N/A</v>
      </c>
    </row>
    <row r="241" spans="2:17" ht="18" hidden="1" customHeight="1">
      <c r="B241" s="563">
        <v>236</v>
      </c>
      <c r="C241" s="564" t="e">
        <f>VLOOKUP(G:G,list!B:D,2,FALSE)</f>
        <v>#N/A</v>
      </c>
      <c r="D241" s="564" t="s">
        <v>182</v>
      </c>
      <c r="E241" s="564" t="s">
        <v>64</v>
      </c>
      <c r="F241" s="564" t="s">
        <v>330</v>
      </c>
      <c r="G241" s="564" t="s">
        <v>59</v>
      </c>
      <c r="H241" s="565">
        <v>44391</v>
      </c>
      <c r="I241" s="564" t="s">
        <v>351</v>
      </c>
      <c r="J241" s="599">
        <v>623904.1749711528</v>
      </c>
      <c r="K241" s="600">
        <v>0.5</v>
      </c>
      <c r="L241" s="568">
        <v>311952.09999999998</v>
      </c>
      <c r="M241" s="569">
        <v>0.1</v>
      </c>
      <c r="N241" s="570">
        <f t="shared" si="12"/>
        <v>31195.21</v>
      </c>
      <c r="O241" s="570">
        <f t="shared" si="11"/>
        <v>280756.88999999996</v>
      </c>
      <c r="P241" s="575"/>
      <c r="Q241" s="572" t="e">
        <f>VLOOKUP(G:G,list!B:D,3,FALSE)</f>
        <v>#N/A</v>
      </c>
    </row>
    <row r="242" spans="2:17" ht="18" hidden="1" customHeight="1">
      <c r="B242" s="563">
        <v>237</v>
      </c>
      <c r="C242" s="564" t="e">
        <f>VLOOKUP(G:G,list!B:D,2,FALSE)</f>
        <v>#N/A</v>
      </c>
      <c r="D242" s="564" t="s">
        <v>182</v>
      </c>
      <c r="E242" s="564" t="s">
        <v>64</v>
      </c>
      <c r="F242" s="564" t="s">
        <v>330</v>
      </c>
      <c r="G242" s="564" t="s">
        <v>59</v>
      </c>
      <c r="H242" s="565">
        <v>44391</v>
      </c>
      <c r="I242" s="564" t="s">
        <v>368</v>
      </c>
      <c r="J242" s="599">
        <v>278047.27263191022</v>
      </c>
      <c r="K242" s="600">
        <v>0.5</v>
      </c>
      <c r="L242" s="568">
        <v>139023.6</v>
      </c>
      <c r="M242" s="569">
        <v>0.1</v>
      </c>
      <c r="N242" s="570">
        <f t="shared" si="12"/>
        <v>13902.36</v>
      </c>
      <c r="O242" s="570">
        <f t="shared" si="11"/>
        <v>125121.24</v>
      </c>
      <c r="P242" s="575"/>
      <c r="Q242" s="572" t="e">
        <f>VLOOKUP(G:G,list!B:D,3,FALSE)</f>
        <v>#N/A</v>
      </c>
    </row>
    <row r="243" spans="2:17" ht="18" hidden="1" customHeight="1">
      <c r="B243" s="563">
        <v>238</v>
      </c>
      <c r="C243" s="564" t="e">
        <f>VLOOKUP(G:G,list!B:D,2,FALSE)</f>
        <v>#N/A</v>
      </c>
      <c r="D243" s="564" t="s">
        <v>182</v>
      </c>
      <c r="E243" s="564" t="s">
        <v>9</v>
      </c>
      <c r="F243" s="564" t="s">
        <v>384</v>
      </c>
      <c r="G243" s="564" t="s">
        <v>336</v>
      </c>
      <c r="H243" s="565">
        <v>44392</v>
      </c>
      <c r="I243" s="564" t="s">
        <v>455</v>
      </c>
      <c r="J243" s="599">
        <v>603778</v>
      </c>
      <c r="K243" s="600">
        <v>0.5</v>
      </c>
      <c r="L243" s="568">
        <v>301889</v>
      </c>
      <c r="M243" s="569">
        <v>0.1</v>
      </c>
      <c r="N243" s="570">
        <f t="shared" si="12"/>
        <v>30188.9</v>
      </c>
      <c r="O243" s="570">
        <f t="shared" si="11"/>
        <v>271700.09999999998</v>
      </c>
      <c r="P243" s="573"/>
      <c r="Q243" s="572" t="e">
        <f>VLOOKUP(G:G,list!B:D,3,FALSE)</f>
        <v>#N/A</v>
      </c>
    </row>
    <row r="244" spans="2:17" ht="18" hidden="1" customHeight="1">
      <c r="B244" s="563">
        <v>239</v>
      </c>
      <c r="C244" s="564" t="e">
        <f>VLOOKUP(G:G,list!B:D,2,FALSE)</f>
        <v>#N/A</v>
      </c>
      <c r="D244" s="564" t="s">
        <v>182</v>
      </c>
      <c r="E244" s="564" t="s">
        <v>115</v>
      </c>
      <c r="F244" s="564" t="s">
        <v>283</v>
      </c>
      <c r="G244" s="564" t="s">
        <v>336</v>
      </c>
      <c r="H244" s="565">
        <v>44764</v>
      </c>
      <c r="I244" s="564" t="s">
        <v>377</v>
      </c>
      <c r="J244" s="599">
        <v>16585920</v>
      </c>
      <c r="K244" s="600">
        <v>0.5</v>
      </c>
      <c r="L244" s="568">
        <v>8292960</v>
      </c>
      <c r="M244" s="569">
        <v>0.1</v>
      </c>
      <c r="N244" s="573">
        <f t="shared" si="12"/>
        <v>829296</v>
      </c>
      <c r="O244" s="570">
        <f t="shared" si="11"/>
        <v>7463664</v>
      </c>
      <c r="P244" s="575" t="s">
        <v>287</v>
      </c>
      <c r="Q244" s="572" t="e">
        <f>VLOOKUP(G:G,list!B:D,3,FALSE)</f>
        <v>#N/A</v>
      </c>
    </row>
    <row r="245" spans="2:17" ht="18" hidden="1" customHeight="1">
      <c r="B245" s="563">
        <v>240</v>
      </c>
      <c r="C245" s="564" t="e">
        <f>VLOOKUP(G:G,list!B:D,2,FALSE)</f>
        <v>#N/A</v>
      </c>
      <c r="D245" s="564" t="s">
        <v>182</v>
      </c>
      <c r="E245" s="564" t="s">
        <v>115</v>
      </c>
      <c r="F245" s="564" t="s">
        <v>386</v>
      </c>
      <c r="G245" s="564" t="s">
        <v>336</v>
      </c>
      <c r="H245" s="565">
        <v>44763</v>
      </c>
      <c r="I245" s="564" t="s">
        <v>377</v>
      </c>
      <c r="J245" s="599">
        <v>20788711</v>
      </c>
      <c r="K245" s="600">
        <v>0.5</v>
      </c>
      <c r="L245" s="568">
        <v>10394355.5</v>
      </c>
      <c r="M245" s="569">
        <v>0.1</v>
      </c>
      <c r="N245" s="573">
        <f t="shared" si="12"/>
        <v>1039435.55</v>
      </c>
      <c r="O245" s="570">
        <f t="shared" si="11"/>
        <v>9354919.9499999993</v>
      </c>
      <c r="P245" s="575"/>
      <c r="Q245" s="572" t="e">
        <f>VLOOKUP(G:G,list!B:D,3,FALSE)</f>
        <v>#N/A</v>
      </c>
    </row>
    <row r="246" spans="2:17" ht="18" hidden="1" customHeight="1">
      <c r="B246" s="563">
        <v>241</v>
      </c>
      <c r="C246" s="564" t="e">
        <f>VLOOKUP(G:G,list!B:D,2,FALSE)</f>
        <v>#N/A</v>
      </c>
      <c r="D246" s="564" t="s">
        <v>189</v>
      </c>
      <c r="E246" s="564" t="s">
        <v>9</v>
      </c>
      <c r="F246" s="564" t="s">
        <v>257</v>
      </c>
      <c r="G246" s="564" t="s">
        <v>336</v>
      </c>
      <c r="H246" s="565">
        <v>44685</v>
      </c>
      <c r="I246" s="564" t="s">
        <v>482</v>
      </c>
      <c r="J246" s="586">
        <v>1261433</v>
      </c>
      <c r="K246" s="567">
        <v>0.35</v>
      </c>
      <c r="L246" s="568">
        <v>441502</v>
      </c>
      <c r="M246" s="569">
        <v>0.1</v>
      </c>
      <c r="N246" s="570">
        <f t="shared" si="12"/>
        <v>44150.200000000004</v>
      </c>
      <c r="O246" s="570">
        <f t="shared" si="11"/>
        <v>397351.8</v>
      </c>
      <c r="P246" s="575"/>
      <c r="Q246" s="572" t="e">
        <f>VLOOKUP(G:G,list!B:D,3,FALSE)</f>
        <v>#N/A</v>
      </c>
    </row>
    <row r="247" spans="2:17" ht="18" hidden="1" customHeight="1">
      <c r="B247" s="563">
        <v>242</v>
      </c>
      <c r="C247" s="564" t="e">
        <f>VLOOKUP(G:G,list!B:D,2,FALSE)</f>
        <v>#N/A</v>
      </c>
      <c r="D247" s="564" t="s">
        <v>72</v>
      </c>
      <c r="E247" s="564" t="s">
        <v>9</v>
      </c>
      <c r="F247" s="564" t="s">
        <v>73</v>
      </c>
      <c r="G247" s="564" t="s">
        <v>336</v>
      </c>
      <c r="H247" s="565">
        <v>44597</v>
      </c>
      <c r="I247" s="564" t="s">
        <v>455</v>
      </c>
      <c r="J247" s="599">
        <v>76651324</v>
      </c>
      <c r="K247" s="605">
        <v>0.224</v>
      </c>
      <c r="L247" s="568">
        <v>15452909</v>
      </c>
      <c r="M247" s="569">
        <v>0.1</v>
      </c>
      <c r="N247" s="570">
        <f t="shared" si="12"/>
        <v>1545290.9000000001</v>
      </c>
      <c r="O247" s="570">
        <f t="shared" si="11"/>
        <v>13907618.1</v>
      </c>
      <c r="P247" s="571"/>
      <c r="Q247" s="572" t="e">
        <f>VLOOKUP(G:G,list!B:D,3,FALSE)</f>
        <v>#N/A</v>
      </c>
    </row>
    <row r="248" spans="2:17" ht="18" customHeight="1">
      <c r="B248" s="563">
        <v>243</v>
      </c>
      <c r="C248" s="564" t="e">
        <f>VLOOKUP(G:G,list!B:D,2,FALSE)</f>
        <v>#N/A</v>
      </c>
      <c r="D248" s="564" t="s">
        <v>22</v>
      </c>
      <c r="E248" s="564" t="s">
        <v>62</v>
      </c>
      <c r="F248" s="564" t="s">
        <v>421</v>
      </c>
      <c r="G248" s="564" t="s">
        <v>59</v>
      </c>
      <c r="H248" s="565">
        <v>44611</v>
      </c>
      <c r="I248" s="564" t="s">
        <v>377</v>
      </c>
      <c r="J248" s="599">
        <v>4077914</v>
      </c>
      <c r="K248" s="603">
        <v>0.28000000000000003</v>
      </c>
      <c r="L248" s="568">
        <v>932062</v>
      </c>
      <c r="M248" s="569">
        <v>0.1</v>
      </c>
      <c r="N248" s="570">
        <f t="shared" si="12"/>
        <v>93206.200000000012</v>
      </c>
      <c r="O248" s="570">
        <f t="shared" si="11"/>
        <v>838855.8</v>
      </c>
      <c r="P248" s="602"/>
      <c r="Q248" s="572" t="e">
        <f>VLOOKUP(G:G,list!B:D,3,FALSE)</f>
        <v>#N/A</v>
      </c>
    </row>
    <row r="249" spans="2:17" ht="18" customHeight="1">
      <c r="B249" s="563">
        <v>244</v>
      </c>
      <c r="C249" s="564" t="e">
        <f>VLOOKUP(G:G,list!B:D,2,FALSE)</f>
        <v>#N/A</v>
      </c>
      <c r="D249" s="564" t="s">
        <v>22</v>
      </c>
      <c r="E249" s="564" t="s">
        <v>62</v>
      </c>
      <c r="F249" s="564" t="s">
        <v>421</v>
      </c>
      <c r="G249" s="564" t="s">
        <v>59</v>
      </c>
      <c r="H249" s="565">
        <v>44611</v>
      </c>
      <c r="I249" s="564" t="s">
        <v>428</v>
      </c>
      <c r="J249" s="599">
        <v>3293445</v>
      </c>
      <c r="K249" s="603">
        <v>0.28000000000000003</v>
      </c>
      <c r="L249" s="568">
        <v>754237</v>
      </c>
      <c r="M249" s="569">
        <v>0.1</v>
      </c>
      <c r="N249" s="570">
        <f t="shared" si="12"/>
        <v>75423.7</v>
      </c>
      <c r="O249" s="570">
        <f t="shared" si="11"/>
        <v>678813.3</v>
      </c>
      <c r="P249" s="602"/>
      <c r="Q249" s="572" t="e">
        <f>VLOOKUP(G:G,list!B:D,3,FALSE)</f>
        <v>#N/A</v>
      </c>
    </row>
    <row r="250" spans="2:17" ht="18" customHeight="1">
      <c r="B250" s="563">
        <v>245</v>
      </c>
      <c r="C250" s="564" t="e">
        <f>VLOOKUP(G:G,list!B:D,2,FALSE)</f>
        <v>#N/A</v>
      </c>
      <c r="D250" s="564" t="s">
        <v>22</v>
      </c>
      <c r="E250" s="564" t="s">
        <v>62</v>
      </c>
      <c r="F250" s="564" t="s">
        <v>421</v>
      </c>
      <c r="G250" s="564" t="s">
        <v>59</v>
      </c>
      <c r="H250" s="565">
        <v>44611</v>
      </c>
      <c r="I250" s="564" t="s">
        <v>455</v>
      </c>
      <c r="J250" s="599">
        <v>2840338</v>
      </c>
      <c r="K250" s="603">
        <v>0.28000000000000003</v>
      </c>
      <c r="L250" s="568">
        <v>635898</v>
      </c>
      <c r="M250" s="569">
        <v>0.1</v>
      </c>
      <c r="N250" s="570">
        <f t="shared" si="12"/>
        <v>63589.8</v>
      </c>
      <c r="O250" s="570">
        <f t="shared" si="11"/>
        <v>572308.19999999995</v>
      </c>
      <c r="P250" s="602"/>
      <c r="Q250" s="572" t="e">
        <f>VLOOKUP(G:G,list!B:D,3,FALSE)</f>
        <v>#N/A</v>
      </c>
    </row>
    <row r="251" spans="2:17" ht="18" hidden="1" customHeight="1">
      <c r="B251" s="563">
        <v>246</v>
      </c>
      <c r="C251" s="564" t="e">
        <f>VLOOKUP(G:G,list!B:D,2,FALSE)</f>
        <v>#N/A</v>
      </c>
      <c r="D251" s="564" t="s">
        <v>32</v>
      </c>
      <c r="E251" s="564" t="s">
        <v>9</v>
      </c>
      <c r="F251" s="564" t="s">
        <v>257</v>
      </c>
      <c r="G251" s="564" t="s">
        <v>336</v>
      </c>
      <c r="H251" s="565">
        <v>44692</v>
      </c>
      <c r="I251" s="564" t="s">
        <v>482</v>
      </c>
      <c r="J251" s="599">
        <v>5943497</v>
      </c>
      <c r="K251" s="600">
        <v>0.35</v>
      </c>
      <c r="L251" s="568">
        <v>2080225</v>
      </c>
      <c r="M251" s="569">
        <v>0.1</v>
      </c>
      <c r="N251" s="570">
        <f t="shared" si="12"/>
        <v>208022.5</v>
      </c>
      <c r="O251" s="570">
        <f t="shared" si="11"/>
        <v>1872202.5</v>
      </c>
      <c r="P251" s="575"/>
      <c r="Q251" s="572" t="e">
        <f>VLOOKUP(G:G,list!B:D,3,FALSE)</f>
        <v>#N/A</v>
      </c>
    </row>
    <row r="252" spans="2:17" ht="18" hidden="1" customHeight="1">
      <c r="B252" s="563">
        <v>247</v>
      </c>
      <c r="C252" s="564" t="e">
        <f>VLOOKUP(G:G,list!B:D,2,FALSE)</f>
        <v>#N/A</v>
      </c>
      <c r="D252" s="564" t="s">
        <v>67</v>
      </c>
      <c r="E252" s="564" t="s">
        <v>9</v>
      </c>
      <c r="F252" s="564" t="s">
        <v>213</v>
      </c>
      <c r="G252" s="564" t="s">
        <v>59</v>
      </c>
      <c r="H252" s="565">
        <v>44582</v>
      </c>
      <c r="I252" s="564" t="s">
        <v>482</v>
      </c>
      <c r="J252" s="599">
        <v>4041147</v>
      </c>
      <c r="K252" s="606">
        <v>0.3</v>
      </c>
      <c r="L252" s="568">
        <v>1212344</v>
      </c>
      <c r="M252" s="569">
        <v>0.1</v>
      </c>
      <c r="N252" s="570">
        <f t="shared" si="12"/>
        <v>121234.40000000001</v>
      </c>
      <c r="O252" s="570">
        <f t="shared" si="11"/>
        <v>1091109.6000000001</v>
      </c>
      <c r="P252" s="575" t="s">
        <v>307</v>
      </c>
      <c r="Q252" s="572" t="e">
        <f>VLOOKUP(G:G,list!B:D,3,FALSE)</f>
        <v>#N/A</v>
      </c>
    </row>
    <row r="253" spans="2:17" ht="18" hidden="1" customHeight="1">
      <c r="B253" s="563">
        <v>248</v>
      </c>
      <c r="C253" s="564" t="e">
        <f>VLOOKUP(G:G,list!B:D,2,FALSE)</f>
        <v>#N/A</v>
      </c>
      <c r="D253" s="564" t="s">
        <v>78</v>
      </c>
      <c r="E253" s="564" t="s">
        <v>9</v>
      </c>
      <c r="F253" s="564" t="s">
        <v>209</v>
      </c>
      <c r="G253" s="564" t="s">
        <v>414</v>
      </c>
      <c r="H253" s="565">
        <v>44762</v>
      </c>
      <c r="I253" s="564" t="s">
        <v>482</v>
      </c>
      <c r="J253" s="586">
        <v>921153</v>
      </c>
      <c r="K253" s="567">
        <v>0.6</v>
      </c>
      <c r="L253" s="568">
        <v>552692</v>
      </c>
      <c r="M253" s="569">
        <v>0.12</v>
      </c>
      <c r="N253" s="573">
        <f t="shared" si="12"/>
        <v>66323.039999999994</v>
      </c>
      <c r="O253" s="570">
        <f t="shared" si="11"/>
        <v>486368.96</v>
      </c>
      <c r="P253" s="578"/>
      <c r="Q253" s="572" t="e">
        <f>VLOOKUP(G:G,list!B:D,3,FALSE)</f>
        <v>#N/A</v>
      </c>
    </row>
    <row r="254" spans="2:17" ht="18" hidden="1" customHeight="1">
      <c r="B254" s="563">
        <v>249</v>
      </c>
      <c r="C254" s="564" t="e">
        <f>VLOOKUP(G:G,list!B:D,2,FALSE)</f>
        <v>#N/A</v>
      </c>
      <c r="D254" s="564" t="s">
        <v>78</v>
      </c>
      <c r="E254" s="564" t="s">
        <v>9</v>
      </c>
      <c r="F254" s="564" t="s">
        <v>126</v>
      </c>
      <c r="G254" s="564" t="s">
        <v>322</v>
      </c>
      <c r="H254" s="565">
        <v>44675</v>
      </c>
      <c r="I254" s="564" t="s">
        <v>482</v>
      </c>
      <c r="J254" s="586">
        <v>2936110.6</v>
      </c>
      <c r="K254" s="567">
        <v>0.6</v>
      </c>
      <c r="L254" s="568">
        <v>1761668</v>
      </c>
      <c r="M254" s="569">
        <v>0.12</v>
      </c>
      <c r="N254" s="573">
        <f t="shared" ref="N254:N285" si="13">L254*M254</f>
        <v>211400.16</v>
      </c>
      <c r="O254" s="570">
        <f t="shared" si="11"/>
        <v>1550267.84</v>
      </c>
      <c r="P254" s="575"/>
      <c r="Q254" s="572" t="e">
        <f>VLOOKUP(G:G,list!B:D,3,FALSE)</f>
        <v>#N/A</v>
      </c>
    </row>
    <row r="255" spans="2:17" ht="18" hidden="1" customHeight="1">
      <c r="B255" s="563">
        <v>250</v>
      </c>
      <c r="C255" s="564" t="e">
        <f>VLOOKUP(G:G,list!B:D,2,FALSE)</f>
        <v>#N/A</v>
      </c>
      <c r="D255" s="564" t="s">
        <v>72</v>
      </c>
      <c r="E255" s="564" t="s">
        <v>9</v>
      </c>
      <c r="F255" s="564" t="s">
        <v>73</v>
      </c>
      <c r="G255" s="564" t="s">
        <v>414</v>
      </c>
      <c r="H255" s="565">
        <v>44821</v>
      </c>
      <c r="I255" s="564" t="s">
        <v>455</v>
      </c>
      <c r="J255" s="599">
        <v>4661520</v>
      </c>
      <c r="K255" s="605">
        <v>0.224</v>
      </c>
      <c r="L255" s="568">
        <v>933141</v>
      </c>
      <c r="M255" s="569">
        <v>0.12</v>
      </c>
      <c r="N255" s="573">
        <f t="shared" si="13"/>
        <v>111976.92</v>
      </c>
      <c r="O255" s="570">
        <f t="shared" si="11"/>
        <v>821164.08</v>
      </c>
      <c r="P255" s="575" t="s">
        <v>287</v>
      </c>
      <c r="Q255" s="572" t="e">
        <f>VLOOKUP(G:G,list!B:D,3,FALSE)</f>
        <v>#N/A</v>
      </c>
    </row>
    <row r="256" spans="2:17" ht="18" hidden="1" customHeight="1">
      <c r="B256" s="563">
        <v>251</v>
      </c>
      <c r="C256" s="564" t="e">
        <f>VLOOKUP(G:G,list!B:D,2,FALSE)</f>
        <v>#N/A</v>
      </c>
      <c r="D256" s="564" t="s">
        <v>78</v>
      </c>
      <c r="E256" s="564" t="s">
        <v>9</v>
      </c>
      <c r="F256" s="564" t="s">
        <v>209</v>
      </c>
      <c r="G256" s="564" t="s">
        <v>212</v>
      </c>
      <c r="H256" s="565">
        <v>44465</v>
      </c>
      <c r="I256" s="564" t="s">
        <v>482</v>
      </c>
      <c r="J256" s="586">
        <v>4462055</v>
      </c>
      <c r="K256" s="567">
        <v>0.6</v>
      </c>
      <c r="L256" s="568">
        <v>2677233</v>
      </c>
      <c r="M256" s="569">
        <v>0.1</v>
      </c>
      <c r="N256" s="573">
        <f t="shared" si="13"/>
        <v>267723.3</v>
      </c>
      <c r="O256" s="570">
        <f t="shared" si="11"/>
        <v>2409509.7000000002</v>
      </c>
      <c r="P256" s="576"/>
      <c r="Q256" s="572" t="e">
        <f>VLOOKUP(G:G,list!B:D,3,FALSE)</f>
        <v>#N/A</v>
      </c>
    </row>
    <row r="257" spans="2:17" ht="18" hidden="1" customHeight="1">
      <c r="B257" s="563">
        <v>252</v>
      </c>
      <c r="C257" s="564" t="e">
        <f>VLOOKUP(G:G,list!B:D,2,FALSE)</f>
        <v>#N/A</v>
      </c>
      <c r="D257" s="564" t="s">
        <v>78</v>
      </c>
      <c r="E257" s="564" t="s">
        <v>9</v>
      </c>
      <c r="F257" s="564" t="s">
        <v>175</v>
      </c>
      <c r="G257" s="564" t="s">
        <v>212</v>
      </c>
      <c r="H257" s="565">
        <v>44268</v>
      </c>
      <c r="I257" s="564" t="s">
        <v>482</v>
      </c>
      <c r="J257" s="586">
        <v>5773143.4000000004</v>
      </c>
      <c r="K257" s="567">
        <v>0.6</v>
      </c>
      <c r="L257" s="568">
        <v>3463889</v>
      </c>
      <c r="M257" s="569">
        <v>0.1</v>
      </c>
      <c r="N257" s="573">
        <f t="shared" si="13"/>
        <v>346388.9</v>
      </c>
      <c r="O257" s="570">
        <f t="shared" si="11"/>
        <v>3117500.1</v>
      </c>
      <c r="P257" s="576"/>
      <c r="Q257" s="572" t="e">
        <f>VLOOKUP(G:G,list!B:D,3,FALSE)</f>
        <v>#N/A</v>
      </c>
    </row>
    <row r="258" spans="2:17" ht="18" hidden="1" customHeight="1">
      <c r="B258" s="563">
        <v>253</v>
      </c>
      <c r="C258" s="564" t="e">
        <f>VLOOKUP(G:G,list!B:D,2,FALSE)</f>
        <v>#N/A</v>
      </c>
      <c r="D258" s="564" t="s">
        <v>177</v>
      </c>
      <c r="E258" s="564" t="s">
        <v>9</v>
      </c>
      <c r="F258" s="564" t="s">
        <v>257</v>
      </c>
      <c r="G258" s="564" t="s">
        <v>212</v>
      </c>
      <c r="H258" s="565">
        <v>44477</v>
      </c>
      <c r="I258" s="564" t="s">
        <v>482</v>
      </c>
      <c r="J258" s="599">
        <v>1213112</v>
      </c>
      <c r="K258" s="601">
        <v>0.245</v>
      </c>
      <c r="L258" s="568">
        <v>297212</v>
      </c>
      <c r="M258" s="569">
        <v>0.1</v>
      </c>
      <c r="N258" s="573">
        <f t="shared" si="13"/>
        <v>29721.200000000001</v>
      </c>
      <c r="O258" s="570">
        <f t="shared" si="11"/>
        <v>267490.8</v>
      </c>
      <c r="P258" s="602"/>
      <c r="Q258" s="572" t="e">
        <f>VLOOKUP(G:G,list!B:D,3,FALSE)</f>
        <v>#N/A</v>
      </c>
    </row>
    <row r="259" spans="2:17" ht="18" hidden="1" customHeight="1">
      <c r="B259" s="563">
        <v>254</v>
      </c>
      <c r="C259" s="564" t="e">
        <f>VLOOKUP(G:G,list!B:D,2,FALSE)</f>
        <v>#N/A</v>
      </c>
      <c r="D259" s="564" t="s">
        <v>27</v>
      </c>
      <c r="E259" s="564" t="s">
        <v>62</v>
      </c>
      <c r="F259" s="564" t="s">
        <v>422</v>
      </c>
      <c r="G259" s="564" t="s">
        <v>43</v>
      </c>
      <c r="H259" s="565">
        <v>44614</v>
      </c>
      <c r="I259" s="564" t="s">
        <v>377</v>
      </c>
      <c r="J259" s="599">
        <v>470952</v>
      </c>
      <c r="K259" s="601">
        <v>0.245</v>
      </c>
      <c r="L259" s="568">
        <v>103844</v>
      </c>
      <c r="M259" s="569">
        <v>0.1</v>
      </c>
      <c r="N259" s="573">
        <f t="shared" si="13"/>
        <v>10384.400000000001</v>
      </c>
      <c r="O259" s="570">
        <f t="shared" si="11"/>
        <v>93459.6</v>
      </c>
      <c r="P259" s="571"/>
      <c r="Q259" s="572" t="e">
        <f>VLOOKUP(G:G,list!B:D,3,FALSE)</f>
        <v>#N/A</v>
      </c>
    </row>
    <row r="260" spans="2:17" ht="18" hidden="1" customHeight="1">
      <c r="B260" s="563">
        <v>255</v>
      </c>
      <c r="C260" s="564" t="e">
        <f>VLOOKUP(G:G,list!B:D,2,FALSE)</f>
        <v>#N/A</v>
      </c>
      <c r="D260" s="564" t="s">
        <v>27</v>
      </c>
      <c r="E260" s="564" t="s">
        <v>62</v>
      </c>
      <c r="F260" s="564" t="s">
        <v>422</v>
      </c>
      <c r="G260" s="564" t="s">
        <v>43</v>
      </c>
      <c r="H260" s="565">
        <v>44614</v>
      </c>
      <c r="I260" s="564" t="s">
        <v>428</v>
      </c>
      <c r="J260" s="599">
        <v>200878</v>
      </c>
      <c r="K260" s="601">
        <v>0.245</v>
      </c>
      <c r="L260" s="568">
        <v>44293</v>
      </c>
      <c r="M260" s="569">
        <v>0.1</v>
      </c>
      <c r="N260" s="573">
        <f t="shared" si="13"/>
        <v>4429.3</v>
      </c>
      <c r="O260" s="570">
        <f t="shared" si="11"/>
        <v>39863.699999999997</v>
      </c>
      <c r="P260" s="571"/>
      <c r="Q260" s="572" t="e">
        <f>VLOOKUP(G:G,list!B:D,3,FALSE)</f>
        <v>#N/A</v>
      </c>
    </row>
    <row r="261" spans="2:17" ht="18" hidden="1" customHeight="1">
      <c r="B261" s="563">
        <v>256</v>
      </c>
      <c r="C261" s="564" t="e">
        <f>VLOOKUP(G:G,list!B:D,2,FALSE)</f>
        <v>#N/A</v>
      </c>
      <c r="D261" s="564" t="s">
        <v>27</v>
      </c>
      <c r="E261" s="564" t="s">
        <v>62</v>
      </c>
      <c r="F261" s="564" t="s">
        <v>334</v>
      </c>
      <c r="G261" s="564" t="s">
        <v>43</v>
      </c>
      <c r="H261" s="565">
        <v>44614</v>
      </c>
      <c r="I261" s="564" t="s">
        <v>455</v>
      </c>
      <c r="J261" s="599">
        <v>256011</v>
      </c>
      <c r="K261" s="601">
        <v>0.245</v>
      </c>
      <c r="L261" s="568">
        <v>56450</v>
      </c>
      <c r="M261" s="569">
        <v>0.1</v>
      </c>
      <c r="N261" s="573">
        <f t="shared" si="13"/>
        <v>5645</v>
      </c>
      <c r="O261" s="570">
        <f t="shared" si="11"/>
        <v>50805</v>
      </c>
      <c r="P261" s="571"/>
      <c r="Q261" s="572" t="e">
        <f>VLOOKUP(G:G,list!B:D,3,FALSE)</f>
        <v>#N/A</v>
      </c>
    </row>
    <row r="262" spans="2:17" ht="18" hidden="1" customHeight="1">
      <c r="B262" s="563">
        <v>257</v>
      </c>
      <c r="C262" s="564" t="e">
        <f>VLOOKUP(G:G,list!B:D,2,FALSE)</f>
        <v>#N/A</v>
      </c>
      <c r="D262" s="564" t="s">
        <v>27</v>
      </c>
      <c r="E262" s="564" t="s">
        <v>62</v>
      </c>
      <c r="F262" s="564" t="s">
        <v>326</v>
      </c>
      <c r="G262" s="564" t="s">
        <v>43</v>
      </c>
      <c r="H262" s="565">
        <v>44408</v>
      </c>
      <c r="I262" s="564" t="s">
        <v>377</v>
      </c>
      <c r="J262" s="599">
        <v>7987808</v>
      </c>
      <c r="K262" s="601">
        <v>0.245</v>
      </c>
      <c r="L262" s="568">
        <v>1761311</v>
      </c>
      <c r="M262" s="569">
        <v>0.1</v>
      </c>
      <c r="N262" s="573">
        <f t="shared" si="13"/>
        <v>176131.1</v>
      </c>
      <c r="O262" s="570">
        <f t="shared" ref="O262:O286" si="14">L262-N262</f>
        <v>1585179.9</v>
      </c>
      <c r="P262" s="571"/>
      <c r="Q262" s="572" t="e">
        <f>VLOOKUP(G:G,list!B:D,3,FALSE)</f>
        <v>#N/A</v>
      </c>
    </row>
    <row r="263" spans="2:17" ht="18" hidden="1" customHeight="1">
      <c r="B263" s="563">
        <v>258</v>
      </c>
      <c r="C263" s="564" t="e">
        <f>VLOOKUP(G:G,list!B:D,2,FALSE)</f>
        <v>#N/A</v>
      </c>
      <c r="D263" s="564" t="s">
        <v>27</v>
      </c>
      <c r="E263" s="564" t="s">
        <v>62</v>
      </c>
      <c r="F263" s="564" t="s">
        <v>326</v>
      </c>
      <c r="G263" s="564" t="s">
        <v>43</v>
      </c>
      <c r="H263" s="565">
        <v>44408</v>
      </c>
      <c r="I263" s="564" t="s">
        <v>428</v>
      </c>
      <c r="J263" s="599">
        <v>9483051</v>
      </c>
      <c r="K263" s="601">
        <v>0.245</v>
      </c>
      <c r="L263" s="568">
        <v>2091012</v>
      </c>
      <c r="M263" s="569">
        <v>0.1</v>
      </c>
      <c r="N263" s="573">
        <f t="shared" si="13"/>
        <v>209101.2</v>
      </c>
      <c r="O263" s="570">
        <f t="shared" si="14"/>
        <v>1881910.8</v>
      </c>
      <c r="P263" s="571"/>
      <c r="Q263" s="572" t="e">
        <f>VLOOKUP(G:G,list!B:D,3,FALSE)</f>
        <v>#N/A</v>
      </c>
    </row>
    <row r="264" spans="2:17" ht="18" hidden="1" customHeight="1">
      <c r="B264" s="563">
        <v>259</v>
      </c>
      <c r="C264" s="564" t="e">
        <f>VLOOKUP(G:G,list!B:D,2,FALSE)</f>
        <v>#N/A</v>
      </c>
      <c r="D264" s="564" t="s">
        <v>27</v>
      </c>
      <c r="E264" s="564" t="s">
        <v>62</v>
      </c>
      <c r="F264" s="564" t="s">
        <v>230</v>
      </c>
      <c r="G264" s="564" t="s">
        <v>43</v>
      </c>
      <c r="H264" s="565">
        <v>44408</v>
      </c>
      <c r="I264" s="564" t="s">
        <v>477</v>
      </c>
      <c r="J264" s="599">
        <v>4742970</v>
      </c>
      <c r="K264" s="601">
        <v>0.245</v>
      </c>
      <c r="L264" s="568">
        <v>1045824</v>
      </c>
      <c r="M264" s="569">
        <v>0.1</v>
      </c>
      <c r="N264" s="573">
        <f t="shared" si="13"/>
        <v>104582.40000000001</v>
      </c>
      <c r="O264" s="570">
        <f t="shared" si="14"/>
        <v>941241.6</v>
      </c>
      <c r="P264" s="571"/>
      <c r="Q264" s="572" t="e">
        <f>VLOOKUP(G:G,list!B:D,3,FALSE)</f>
        <v>#N/A</v>
      </c>
    </row>
    <row r="265" spans="2:17" ht="18" hidden="1" customHeight="1">
      <c r="B265" s="563">
        <v>260</v>
      </c>
      <c r="C265" s="564" t="e">
        <f>VLOOKUP(G:G,list!B:D,2,FALSE)</f>
        <v>#N/A</v>
      </c>
      <c r="D265" s="564" t="s">
        <v>189</v>
      </c>
      <c r="E265" s="564" t="s">
        <v>9</v>
      </c>
      <c r="F265" s="564" t="s">
        <v>257</v>
      </c>
      <c r="G265" s="564" t="s">
        <v>43</v>
      </c>
      <c r="H265" s="565">
        <v>44742</v>
      </c>
      <c r="I265" s="564" t="s">
        <v>482</v>
      </c>
      <c r="J265" s="586">
        <v>476493</v>
      </c>
      <c r="K265" s="567">
        <v>0.28000000000000003</v>
      </c>
      <c r="L265" s="568">
        <v>133417</v>
      </c>
      <c r="M265" s="569">
        <v>0.1</v>
      </c>
      <c r="N265" s="573">
        <f t="shared" si="13"/>
        <v>13341.7</v>
      </c>
      <c r="O265" s="570">
        <f t="shared" si="14"/>
        <v>120075.3</v>
      </c>
      <c r="P265" s="575"/>
      <c r="Q265" s="572" t="e">
        <f>VLOOKUP(G:G,list!B:D,3,FALSE)</f>
        <v>#N/A</v>
      </c>
    </row>
    <row r="266" spans="2:17" ht="18" hidden="1" customHeight="1">
      <c r="B266" s="563">
        <v>261</v>
      </c>
      <c r="C266" s="564" t="e">
        <f>VLOOKUP(G:G,list!B:D,2,FALSE)</f>
        <v>#N/A</v>
      </c>
      <c r="D266" s="564" t="s">
        <v>72</v>
      </c>
      <c r="E266" s="564" t="s">
        <v>9</v>
      </c>
      <c r="F266" s="564" t="s">
        <v>73</v>
      </c>
      <c r="G266" s="564" t="s">
        <v>212</v>
      </c>
      <c r="H266" s="565">
        <v>44378</v>
      </c>
      <c r="I266" s="564" t="s">
        <v>455</v>
      </c>
      <c r="J266" s="599">
        <v>19525749</v>
      </c>
      <c r="K266" s="605">
        <v>0.24</v>
      </c>
      <c r="L266" s="568">
        <v>4217564</v>
      </c>
      <c r="M266" s="569">
        <v>0.1</v>
      </c>
      <c r="N266" s="573">
        <f t="shared" si="13"/>
        <v>421756.4</v>
      </c>
      <c r="O266" s="570">
        <f t="shared" si="14"/>
        <v>3795807.6</v>
      </c>
      <c r="P266" s="573"/>
      <c r="Q266" s="572" t="e">
        <f>VLOOKUP(G:G,list!B:D,3,FALSE)</f>
        <v>#N/A</v>
      </c>
    </row>
    <row r="267" spans="2:17" ht="18" customHeight="1">
      <c r="B267" s="563">
        <v>262</v>
      </c>
      <c r="C267" s="564" t="e">
        <f>VLOOKUP(G:G,list!B:D,2,FALSE)</f>
        <v>#N/A</v>
      </c>
      <c r="D267" s="564" t="s">
        <v>22</v>
      </c>
      <c r="E267" s="564" t="s">
        <v>62</v>
      </c>
      <c r="F267" s="564" t="s">
        <v>421</v>
      </c>
      <c r="G267" s="564" t="s">
        <v>43</v>
      </c>
      <c r="H267" s="565">
        <v>44534</v>
      </c>
      <c r="I267" s="564" t="s">
        <v>377</v>
      </c>
      <c r="J267" s="599">
        <v>3279047</v>
      </c>
      <c r="K267" s="605">
        <v>0.245</v>
      </c>
      <c r="L267" s="568">
        <v>645737</v>
      </c>
      <c r="M267" s="569">
        <v>0.1</v>
      </c>
      <c r="N267" s="573">
        <f t="shared" si="13"/>
        <v>64573.700000000004</v>
      </c>
      <c r="O267" s="570">
        <f t="shared" si="14"/>
        <v>581163.30000000005</v>
      </c>
      <c r="P267" s="602"/>
      <c r="Q267" s="572" t="e">
        <f>VLOOKUP(G:G,list!B:D,3,FALSE)</f>
        <v>#N/A</v>
      </c>
    </row>
    <row r="268" spans="2:17" ht="18" customHeight="1">
      <c r="B268" s="563">
        <v>263</v>
      </c>
      <c r="C268" s="564" t="e">
        <f>VLOOKUP(G:G,list!B:D,2,FALSE)</f>
        <v>#N/A</v>
      </c>
      <c r="D268" s="564" t="s">
        <v>22</v>
      </c>
      <c r="E268" s="564" t="s">
        <v>62</v>
      </c>
      <c r="F268" s="564" t="s">
        <v>421</v>
      </c>
      <c r="G268" s="564" t="s">
        <v>43</v>
      </c>
      <c r="H268" s="565">
        <v>44534</v>
      </c>
      <c r="I268" s="564" t="s">
        <v>428</v>
      </c>
      <c r="J268" s="599">
        <v>3937532</v>
      </c>
      <c r="K268" s="605">
        <v>0.245</v>
      </c>
      <c r="L268" s="568">
        <v>776932</v>
      </c>
      <c r="M268" s="569">
        <v>0.1</v>
      </c>
      <c r="N268" s="573">
        <f t="shared" si="13"/>
        <v>77693.2</v>
      </c>
      <c r="O268" s="570">
        <f t="shared" si="14"/>
        <v>699238.8</v>
      </c>
      <c r="P268" s="602"/>
      <c r="Q268" s="572" t="e">
        <f>VLOOKUP(G:G,list!B:D,3,FALSE)</f>
        <v>#N/A</v>
      </c>
    </row>
    <row r="269" spans="2:17" ht="18" customHeight="1">
      <c r="B269" s="563">
        <v>264</v>
      </c>
      <c r="C269" s="564" t="e">
        <f>VLOOKUP(G:G,list!B:D,2,FALSE)</f>
        <v>#N/A</v>
      </c>
      <c r="D269" s="564" t="s">
        <v>22</v>
      </c>
      <c r="E269" s="564" t="s">
        <v>62</v>
      </c>
      <c r="F269" s="564" t="s">
        <v>421</v>
      </c>
      <c r="G269" s="564" t="s">
        <v>43</v>
      </c>
      <c r="H269" s="565">
        <v>44534</v>
      </c>
      <c r="I269" s="564" t="s">
        <v>455</v>
      </c>
      <c r="J269" s="599">
        <v>3184009</v>
      </c>
      <c r="K269" s="605">
        <v>0.245</v>
      </c>
      <c r="L269" s="568">
        <v>614177</v>
      </c>
      <c r="M269" s="569">
        <v>0.1</v>
      </c>
      <c r="N269" s="573">
        <f t="shared" si="13"/>
        <v>61417.700000000004</v>
      </c>
      <c r="O269" s="570">
        <f t="shared" si="14"/>
        <v>552759.30000000005</v>
      </c>
      <c r="P269" s="602"/>
      <c r="Q269" s="572" t="e">
        <f>VLOOKUP(G:G,list!B:D,3,FALSE)</f>
        <v>#N/A</v>
      </c>
    </row>
    <row r="270" spans="2:17" ht="18" hidden="1" customHeight="1">
      <c r="B270" s="563">
        <v>265</v>
      </c>
      <c r="C270" s="564" t="e">
        <f>VLOOKUP(G:G,list!B:D,2,FALSE)</f>
        <v>#N/A</v>
      </c>
      <c r="D270" s="564" t="s">
        <v>32</v>
      </c>
      <c r="E270" s="564" t="s">
        <v>9</v>
      </c>
      <c r="F270" s="564" t="s">
        <v>257</v>
      </c>
      <c r="G270" s="564" t="s">
        <v>212</v>
      </c>
      <c r="H270" s="565">
        <v>44507</v>
      </c>
      <c r="I270" s="564" t="s">
        <v>482</v>
      </c>
      <c r="J270" s="599">
        <v>2019254</v>
      </c>
      <c r="K270" s="601">
        <v>0.245</v>
      </c>
      <c r="L270" s="568">
        <v>494717</v>
      </c>
      <c r="M270" s="569">
        <v>0.1</v>
      </c>
      <c r="N270" s="573">
        <f t="shared" si="13"/>
        <v>49471.700000000004</v>
      </c>
      <c r="O270" s="570">
        <f t="shared" si="14"/>
        <v>445245.3</v>
      </c>
      <c r="P270" s="602"/>
      <c r="Q270" s="572" t="e">
        <f>VLOOKUP(G:G,list!B:D,3,FALSE)</f>
        <v>#N/A</v>
      </c>
    </row>
    <row r="271" spans="2:17" ht="18" hidden="1" customHeight="1">
      <c r="B271" s="563">
        <v>266</v>
      </c>
      <c r="C271" s="564" t="e">
        <f>VLOOKUP(G:G,list!B:D,2,FALSE)</f>
        <v>#N/A</v>
      </c>
      <c r="D271" s="564" t="s">
        <v>67</v>
      </c>
      <c r="E271" s="564" t="s">
        <v>9</v>
      </c>
      <c r="F271" s="564" t="s">
        <v>73</v>
      </c>
      <c r="G271" s="564" t="s">
        <v>43</v>
      </c>
      <c r="H271" s="565">
        <v>44747</v>
      </c>
      <c r="I271" s="564" t="s">
        <v>455</v>
      </c>
      <c r="J271" s="599">
        <v>4466646</v>
      </c>
      <c r="K271" s="606">
        <v>0.28000000000000003</v>
      </c>
      <c r="L271" s="568">
        <v>1113154</v>
      </c>
      <c r="M271" s="569">
        <v>0.1</v>
      </c>
      <c r="N271" s="573">
        <f t="shared" si="13"/>
        <v>111315.40000000001</v>
      </c>
      <c r="O271" s="570">
        <f t="shared" si="14"/>
        <v>1001838.6</v>
      </c>
      <c r="P271" s="602"/>
      <c r="Q271" s="572" t="e">
        <f>VLOOKUP(G:G,list!B:D,3,FALSE)</f>
        <v>#N/A</v>
      </c>
    </row>
    <row r="272" spans="2:17" ht="18" hidden="1" customHeight="1">
      <c r="B272" s="563">
        <v>267</v>
      </c>
      <c r="C272" s="564" t="e">
        <f>VLOOKUP(G:G,list!B:D,2,FALSE)</f>
        <v>#N/A</v>
      </c>
      <c r="D272" s="564" t="s">
        <v>78</v>
      </c>
      <c r="E272" s="564" t="s">
        <v>115</v>
      </c>
      <c r="F272" s="564" t="s">
        <v>309</v>
      </c>
      <c r="G272" s="564" t="s">
        <v>258</v>
      </c>
      <c r="H272" s="565">
        <v>44603</v>
      </c>
      <c r="I272" s="564" t="s">
        <v>482</v>
      </c>
      <c r="J272" s="586">
        <v>0</v>
      </c>
      <c r="K272" s="567">
        <v>0.7</v>
      </c>
      <c r="L272" s="568">
        <v>0</v>
      </c>
      <c r="M272" s="569">
        <v>0.1</v>
      </c>
      <c r="N272" s="573">
        <f t="shared" si="13"/>
        <v>0</v>
      </c>
      <c r="O272" s="570">
        <f t="shared" si="14"/>
        <v>0</v>
      </c>
      <c r="P272" s="575" t="s">
        <v>508</v>
      </c>
      <c r="Q272" s="572" t="e">
        <f>VLOOKUP(G:G,list!B:D,3,FALSE)</f>
        <v>#N/A</v>
      </c>
    </row>
    <row r="273" spans="2:17" ht="18" hidden="1" customHeight="1">
      <c r="B273" s="563">
        <v>268</v>
      </c>
      <c r="C273" s="564" t="e">
        <f>VLOOKUP(G:G,list!B:D,2,FALSE)</f>
        <v>#N/A</v>
      </c>
      <c r="D273" s="564" t="s">
        <v>78</v>
      </c>
      <c r="E273" s="564" t="s">
        <v>115</v>
      </c>
      <c r="F273" s="564" t="s">
        <v>248</v>
      </c>
      <c r="G273" s="564" t="s">
        <v>258</v>
      </c>
      <c r="H273" s="565">
        <v>44329</v>
      </c>
      <c r="I273" s="564" t="s">
        <v>482</v>
      </c>
      <c r="J273" s="586">
        <v>437557.7</v>
      </c>
      <c r="K273" s="567">
        <v>0.7</v>
      </c>
      <c r="L273" s="568">
        <v>306291</v>
      </c>
      <c r="M273" s="569">
        <v>0.1</v>
      </c>
      <c r="N273" s="573">
        <f t="shared" si="13"/>
        <v>30629.100000000002</v>
      </c>
      <c r="O273" s="570">
        <f t="shared" si="14"/>
        <v>275661.90000000002</v>
      </c>
      <c r="P273" s="576"/>
      <c r="Q273" s="572" t="e">
        <f>VLOOKUP(G:G,list!B:D,3,FALSE)</f>
        <v>#N/A</v>
      </c>
    </row>
    <row r="274" spans="2:17" ht="18" hidden="1" customHeight="1">
      <c r="B274" s="563">
        <v>269</v>
      </c>
      <c r="C274" s="564" t="e">
        <f>VLOOKUP(G:G,list!B:D,2,FALSE)</f>
        <v>#N/A</v>
      </c>
      <c r="D274" s="564" t="s">
        <v>78</v>
      </c>
      <c r="E274" s="564" t="s">
        <v>115</v>
      </c>
      <c r="F274" s="564" t="s">
        <v>172</v>
      </c>
      <c r="G274" s="564" t="s">
        <v>258</v>
      </c>
      <c r="H274" s="565">
        <v>44362</v>
      </c>
      <c r="I274" s="564" t="s">
        <v>482</v>
      </c>
      <c r="J274" s="599">
        <v>49750</v>
      </c>
      <c r="K274" s="567">
        <v>0.6</v>
      </c>
      <c r="L274" s="568">
        <v>29850</v>
      </c>
      <c r="M274" s="569">
        <v>0.1</v>
      </c>
      <c r="N274" s="573">
        <f t="shared" si="13"/>
        <v>2985</v>
      </c>
      <c r="O274" s="570">
        <f t="shared" si="14"/>
        <v>26865</v>
      </c>
      <c r="P274" s="575"/>
      <c r="Q274" s="572" t="e">
        <f>VLOOKUP(G:G,list!B:D,3,FALSE)</f>
        <v>#N/A</v>
      </c>
    </row>
    <row r="275" spans="2:17" ht="18" hidden="1" customHeight="1">
      <c r="B275" s="563">
        <v>270</v>
      </c>
      <c r="C275" s="564" t="e">
        <f>VLOOKUP(G:G,list!B:D,2,FALSE)</f>
        <v>#N/A</v>
      </c>
      <c r="D275" s="564" t="s">
        <v>78</v>
      </c>
      <c r="E275" s="564" t="s">
        <v>115</v>
      </c>
      <c r="F275" s="564" t="s">
        <v>269</v>
      </c>
      <c r="G275" s="564" t="s">
        <v>258</v>
      </c>
      <c r="H275" s="565">
        <v>44554</v>
      </c>
      <c r="I275" s="564" t="s">
        <v>482</v>
      </c>
      <c r="J275" s="586">
        <v>0</v>
      </c>
      <c r="K275" s="567">
        <v>0.7</v>
      </c>
      <c r="L275" s="568">
        <v>0</v>
      </c>
      <c r="M275" s="569">
        <v>0.1</v>
      </c>
      <c r="N275" s="573">
        <f t="shared" si="13"/>
        <v>0</v>
      </c>
      <c r="O275" s="570">
        <f t="shared" si="14"/>
        <v>0</v>
      </c>
      <c r="P275" s="574" t="s">
        <v>366</v>
      </c>
      <c r="Q275" s="572" t="e">
        <f>VLOOKUP(G:G,list!B:D,3,FALSE)</f>
        <v>#N/A</v>
      </c>
    </row>
    <row r="276" spans="2:17" ht="18" hidden="1" customHeight="1">
      <c r="B276" s="563">
        <v>271</v>
      </c>
      <c r="C276" s="564" t="e">
        <f>VLOOKUP(G:G,list!B:D,2,FALSE)</f>
        <v>#N/A</v>
      </c>
      <c r="D276" s="564" t="s">
        <v>182</v>
      </c>
      <c r="E276" s="564" t="s">
        <v>115</v>
      </c>
      <c r="F276" s="564" t="s">
        <v>384</v>
      </c>
      <c r="G276" s="564" t="s">
        <v>258</v>
      </c>
      <c r="H276" s="565">
        <v>44491</v>
      </c>
      <c r="I276" s="564" t="s">
        <v>455</v>
      </c>
      <c r="J276" s="599">
        <v>29368</v>
      </c>
      <c r="K276" s="600">
        <v>0.5</v>
      </c>
      <c r="L276" s="568">
        <v>14684</v>
      </c>
      <c r="M276" s="569">
        <v>0.1</v>
      </c>
      <c r="N276" s="573">
        <f t="shared" si="13"/>
        <v>1468.4</v>
      </c>
      <c r="O276" s="570">
        <f t="shared" si="14"/>
        <v>13215.6</v>
      </c>
      <c r="P276" s="575"/>
      <c r="Q276" s="572" t="e">
        <f>VLOOKUP(G:G,list!B:D,3,FALSE)</f>
        <v>#N/A</v>
      </c>
    </row>
    <row r="277" spans="2:17" ht="18" hidden="1" customHeight="1">
      <c r="B277" s="563">
        <v>272</v>
      </c>
      <c r="C277" s="564" t="e">
        <f>VLOOKUP(G:G,list!B:D,2,FALSE)</f>
        <v>#N/A</v>
      </c>
      <c r="D277" s="564" t="s">
        <v>79</v>
      </c>
      <c r="E277" s="564" t="s">
        <v>9</v>
      </c>
      <c r="F277" s="564" t="s">
        <v>260</v>
      </c>
      <c r="G277" s="564" t="s">
        <v>258</v>
      </c>
      <c r="H277" s="565">
        <v>44492</v>
      </c>
      <c r="I277" s="564" t="s">
        <v>455</v>
      </c>
      <c r="J277" s="599">
        <v>84113</v>
      </c>
      <c r="K277" s="603">
        <v>0.5</v>
      </c>
      <c r="L277" s="568">
        <v>35422</v>
      </c>
      <c r="M277" s="569">
        <v>0.1</v>
      </c>
      <c r="N277" s="573">
        <f t="shared" si="13"/>
        <v>3542.2000000000003</v>
      </c>
      <c r="O277" s="570">
        <f t="shared" si="14"/>
        <v>31879.8</v>
      </c>
      <c r="P277" s="602"/>
      <c r="Q277" s="572" t="e">
        <f>VLOOKUP(G:G,list!B:D,3,FALSE)</f>
        <v>#N/A</v>
      </c>
    </row>
    <row r="278" spans="2:17" ht="18" hidden="1" customHeight="1">
      <c r="B278" s="563">
        <v>273</v>
      </c>
      <c r="C278" s="564" t="e">
        <f>VLOOKUP(G:G,list!B:D,2,FALSE)</f>
        <v>#N/A</v>
      </c>
      <c r="D278" s="564" t="s">
        <v>32</v>
      </c>
      <c r="E278" s="564" t="s">
        <v>115</v>
      </c>
      <c r="F278" s="564" t="s">
        <v>31</v>
      </c>
      <c r="G278" s="564" t="s">
        <v>258</v>
      </c>
      <c r="H278" s="565">
        <v>44470</v>
      </c>
      <c r="I278" s="564" t="s">
        <v>455</v>
      </c>
      <c r="J278" s="599">
        <v>102532</v>
      </c>
      <c r="K278" s="603">
        <v>0.4</v>
      </c>
      <c r="L278" s="568">
        <v>38965</v>
      </c>
      <c r="M278" s="569">
        <v>0.1</v>
      </c>
      <c r="N278" s="573">
        <f t="shared" si="13"/>
        <v>3896.5</v>
      </c>
      <c r="O278" s="570">
        <f t="shared" si="14"/>
        <v>35068.5</v>
      </c>
      <c r="P278" s="571"/>
      <c r="Q278" s="572" t="e">
        <f>VLOOKUP(G:G,list!B:D,3,FALSE)</f>
        <v>#N/A</v>
      </c>
    </row>
    <row r="279" spans="2:17" ht="18" hidden="1" customHeight="1">
      <c r="B279" s="563">
        <v>274</v>
      </c>
      <c r="C279" s="564" t="e">
        <f>VLOOKUP(G:G,list!B:D,2,FALSE)</f>
        <v>#N/A</v>
      </c>
      <c r="D279" s="564" t="s">
        <v>32</v>
      </c>
      <c r="E279" s="564" t="s">
        <v>115</v>
      </c>
      <c r="F279" s="564" t="s">
        <v>154</v>
      </c>
      <c r="G279" s="564" t="s">
        <v>258</v>
      </c>
      <c r="H279" s="565">
        <v>44386</v>
      </c>
      <c r="I279" s="564" t="s">
        <v>455</v>
      </c>
      <c r="J279" s="599">
        <v>572502</v>
      </c>
      <c r="K279" s="606">
        <v>0.4</v>
      </c>
      <c r="L279" s="568">
        <v>217551</v>
      </c>
      <c r="M279" s="569">
        <v>0.1</v>
      </c>
      <c r="N279" s="573">
        <f t="shared" si="13"/>
        <v>21755.100000000002</v>
      </c>
      <c r="O279" s="570">
        <f t="shared" si="14"/>
        <v>195795.9</v>
      </c>
      <c r="P279" s="602"/>
      <c r="Q279" s="572" t="e">
        <f>VLOOKUP(G:G,list!B:D,3,FALSE)</f>
        <v>#N/A</v>
      </c>
    </row>
    <row r="280" spans="2:17" ht="18" hidden="1" customHeight="1">
      <c r="B280" s="563">
        <v>275</v>
      </c>
      <c r="C280" s="564" t="e">
        <f>VLOOKUP(G:G,list!B:D,2,FALSE)</f>
        <v>#N/A</v>
      </c>
      <c r="D280" s="564" t="s">
        <v>78</v>
      </c>
      <c r="E280" s="564" t="s">
        <v>9</v>
      </c>
      <c r="F280" s="564" t="s">
        <v>242</v>
      </c>
      <c r="G280" s="564" t="s">
        <v>136</v>
      </c>
      <c r="H280" s="565">
        <v>44240</v>
      </c>
      <c r="I280" s="564" t="s">
        <v>482</v>
      </c>
      <c r="J280" s="577">
        <v>550168</v>
      </c>
      <c r="K280" s="567">
        <v>0.6</v>
      </c>
      <c r="L280" s="568">
        <v>330100</v>
      </c>
      <c r="M280" s="569">
        <v>0.1</v>
      </c>
      <c r="N280" s="570">
        <f t="shared" si="13"/>
        <v>33010</v>
      </c>
      <c r="O280" s="570">
        <f t="shared" si="14"/>
        <v>297090</v>
      </c>
      <c r="P280" s="578"/>
      <c r="Q280" s="572" t="e">
        <f>VLOOKUP(G:G,list!B:D,3,FALSE)</f>
        <v>#N/A</v>
      </c>
    </row>
    <row r="281" spans="2:17" ht="18" hidden="1" customHeight="1">
      <c r="B281" s="563">
        <v>276</v>
      </c>
      <c r="C281" s="564" t="e">
        <f>VLOOKUP(G:G,list!B:D,2,FALSE)</f>
        <v>#N/A</v>
      </c>
      <c r="D281" s="564" t="s">
        <v>27</v>
      </c>
      <c r="E281" s="564" t="s">
        <v>62</v>
      </c>
      <c r="F281" s="564" t="s">
        <v>213</v>
      </c>
      <c r="G281" s="564" t="s">
        <v>12</v>
      </c>
      <c r="H281" s="565">
        <v>44544</v>
      </c>
      <c r="I281" s="564" t="s">
        <v>455</v>
      </c>
      <c r="J281" s="599">
        <v>599760</v>
      </c>
      <c r="K281" s="600">
        <v>0.3</v>
      </c>
      <c r="L281" s="568">
        <v>179928</v>
      </c>
      <c r="M281" s="569">
        <v>0.1</v>
      </c>
      <c r="N281" s="570">
        <f t="shared" si="13"/>
        <v>17992.8</v>
      </c>
      <c r="O281" s="570">
        <f t="shared" si="14"/>
        <v>161935.20000000001</v>
      </c>
      <c r="P281" s="575" t="s">
        <v>283</v>
      </c>
      <c r="Q281" s="572" t="e">
        <f>VLOOKUP(G:G,list!B:D,3,FALSE)</f>
        <v>#N/A</v>
      </c>
    </row>
    <row r="282" spans="2:17" ht="18" hidden="1" customHeight="1">
      <c r="B282" s="563">
        <v>277</v>
      </c>
      <c r="C282" s="564" t="e">
        <f>VLOOKUP(G:G,list!B:D,2,FALSE)</f>
        <v>#N/A</v>
      </c>
      <c r="D282" s="564" t="s">
        <v>72</v>
      </c>
      <c r="E282" s="564" t="s">
        <v>9</v>
      </c>
      <c r="F282" s="564" t="s">
        <v>184</v>
      </c>
      <c r="G282" s="564" t="s">
        <v>12</v>
      </c>
      <c r="H282" s="565">
        <v>44552</v>
      </c>
      <c r="I282" s="564" t="s">
        <v>455</v>
      </c>
      <c r="J282" s="586">
        <v>1130460</v>
      </c>
      <c r="K282" s="567">
        <v>0.3</v>
      </c>
      <c r="L282" s="568">
        <v>339138</v>
      </c>
      <c r="M282" s="569">
        <v>0.1</v>
      </c>
      <c r="N282" s="570">
        <f t="shared" si="13"/>
        <v>33913.800000000003</v>
      </c>
      <c r="O282" s="570">
        <f t="shared" si="14"/>
        <v>305224.2</v>
      </c>
      <c r="P282" s="575" t="s">
        <v>282</v>
      </c>
      <c r="Q282" s="572" t="e">
        <f>VLOOKUP(G:G,list!B:D,3,FALSE)</f>
        <v>#N/A</v>
      </c>
    </row>
    <row r="283" spans="2:17" ht="18" hidden="1" customHeight="1">
      <c r="B283" s="563">
        <v>278</v>
      </c>
      <c r="C283" s="564" t="e">
        <f>VLOOKUP(G:G,list!B:D,2,FALSE)</f>
        <v>#N/A</v>
      </c>
      <c r="D283" s="564" t="s">
        <v>22</v>
      </c>
      <c r="E283" s="564" t="s">
        <v>62</v>
      </c>
      <c r="F283" s="564" t="s">
        <v>213</v>
      </c>
      <c r="G283" s="564" t="s">
        <v>12</v>
      </c>
      <c r="H283" s="565">
        <v>44364</v>
      </c>
      <c r="I283" s="564" t="s">
        <v>482</v>
      </c>
      <c r="J283" s="599">
        <v>3657</v>
      </c>
      <c r="K283" s="603">
        <v>0.3</v>
      </c>
      <c r="L283" s="568">
        <v>1097</v>
      </c>
      <c r="M283" s="569">
        <v>0.1</v>
      </c>
      <c r="N283" s="570">
        <f t="shared" si="13"/>
        <v>109.7</v>
      </c>
      <c r="O283" s="570">
        <f t="shared" si="14"/>
        <v>987.3</v>
      </c>
      <c r="P283" s="575" t="s">
        <v>425</v>
      </c>
      <c r="Q283" s="572" t="e">
        <f>VLOOKUP(G:G,list!B:D,3,FALSE)</f>
        <v>#N/A</v>
      </c>
    </row>
    <row r="284" spans="2:17" ht="18" hidden="1" customHeight="1">
      <c r="B284" s="563">
        <v>279</v>
      </c>
      <c r="C284" s="564" t="e">
        <f>VLOOKUP(G:G,list!B:D,2,FALSE)</f>
        <v>#N/A</v>
      </c>
      <c r="D284" s="564" t="s">
        <v>78</v>
      </c>
      <c r="E284" s="564" t="s">
        <v>9</v>
      </c>
      <c r="F284" s="564" t="s">
        <v>126</v>
      </c>
      <c r="G284" s="564" t="s">
        <v>408</v>
      </c>
      <c r="H284" s="565">
        <v>44768</v>
      </c>
      <c r="I284" s="564" t="s">
        <v>482</v>
      </c>
      <c r="J284" s="586">
        <v>9325450.8000000007</v>
      </c>
      <c r="K284" s="567">
        <v>0.6</v>
      </c>
      <c r="L284" s="568">
        <v>5595270</v>
      </c>
      <c r="M284" s="569">
        <v>0.1</v>
      </c>
      <c r="N284" s="570">
        <f t="shared" si="13"/>
        <v>559527</v>
      </c>
      <c r="O284" s="570">
        <f t="shared" si="14"/>
        <v>5035743</v>
      </c>
      <c r="P284" s="575"/>
      <c r="Q284" s="572" t="e">
        <f>VLOOKUP(G:G,list!B:D,3,FALSE)</f>
        <v>#N/A</v>
      </c>
    </row>
    <row r="285" spans="2:17" ht="18" hidden="1" customHeight="1">
      <c r="B285" s="563">
        <v>280</v>
      </c>
      <c r="C285" s="564" t="e">
        <f>VLOOKUP(G:G,list!B:D,2,FALSE)</f>
        <v>#N/A</v>
      </c>
      <c r="D285" s="564" t="s">
        <v>78</v>
      </c>
      <c r="E285" s="564" t="s">
        <v>9</v>
      </c>
      <c r="F285" s="564" t="s">
        <v>201</v>
      </c>
      <c r="G285" s="564" t="s">
        <v>279</v>
      </c>
      <c r="H285" s="565">
        <v>44644</v>
      </c>
      <c r="I285" s="564" t="s">
        <v>455</v>
      </c>
      <c r="J285" s="579">
        <v>2077927</v>
      </c>
      <c r="K285" s="567">
        <v>0.6</v>
      </c>
      <c r="L285" s="568">
        <v>1246756</v>
      </c>
      <c r="M285" s="569">
        <v>0.1</v>
      </c>
      <c r="N285" s="573">
        <f t="shared" si="13"/>
        <v>124675.6</v>
      </c>
      <c r="O285" s="570">
        <f t="shared" si="14"/>
        <v>1122080.3999999999</v>
      </c>
      <c r="P285" s="585"/>
      <c r="Q285" s="572" t="e">
        <f>VLOOKUP(G:G,list!B:D,3,FALSE)</f>
        <v>#N/A</v>
      </c>
    </row>
    <row r="286" spans="2:17" ht="18" hidden="1" customHeight="1">
      <c r="B286" s="563">
        <v>281</v>
      </c>
      <c r="C286" s="564" t="e">
        <f>VLOOKUP(G:G,list!B:D,2,FALSE)</f>
        <v>#N/A</v>
      </c>
      <c r="D286" s="564" t="s">
        <v>182</v>
      </c>
      <c r="E286" s="564" t="s">
        <v>9</v>
      </c>
      <c r="F286" s="564" t="s">
        <v>264</v>
      </c>
      <c r="G286" s="564" t="s">
        <v>279</v>
      </c>
      <c r="H286" s="565">
        <v>44772</v>
      </c>
      <c r="I286" s="564" t="s">
        <v>513</v>
      </c>
      <c r="J286" s="599">
        <v>1800000</v>
      </c>
      <c r="K286" s="603" t="s">
        <v>203</v>
      </c>
      <c r="L286" s="568">
        <v>1800000</v>
      </c>
      <c r="M286" s="569">
        <v>0.1</v>
      </c>
      <c r="N286" s="573">
        <f>L286*M286</f>
        <v>180000</v>
      </c>
      <c r="O286" s="570">
        <f t="shared" si="14"/>
        <v>1620000</v>
      </c>
      <c r="P286" s="575" t="s">
        <v>429</v>
      </c>
      <c r="Q286" s="572" t="e">
        <f>VLOOKUP(G:G,list!B:D,3,FALSE)</f>
        <v>#N/A</v>
      </c>
    </row>
    <row r="287" spans="2:17" ht="18" hidden="1" customHeight="1">
      <c r="B287" s="563">
        <v>282</v>
      </c>
      <c r="C287" s="564" t="str">
        <f>VLOOKUP(G:G,list!B:D,2,FALSE)</f>
        <v>원작료</v>
      </c>
      <c r="D287" s="564" t="s">
        <v>182</v>
      </c>
      <c r="E287" s="564" t="s">
        <v>9</v>
      </c>
      <c r="F287" s="564" t="s">
        <v>264</v>
      </c>
      <c r="G287" s="564" t="s">
        <v>460</v>
      </c>
      <c r="H287" s="565">
        <v>44870</v>
      </c>
      <c r="I287" s="564" t="s">
        <v>513</v>
      </c>
      <c r="J287" s="599">
        <v>25000000</v>
      </c>
      <c r="K287" s="603" t="s">
        <v>203</v>
      </c>
      <c r="L287" s="568">
        <v>25000000</v>
      </c>
      <c r="M287" s="569">
        <v>0.1</v>
      </c>
      <c r="N287" s="573">
        <f>L287*M287</f>
        <v>2500000</v>
      </c>
      <c r="O287" s="570">
        <f t="shared" ref="O287" si="15">L287-N287</f>
        <v>22500000</v>
      </c>
      <c r="P287" s="575" t="s">
        <v>514</v>
      </c>
      <c r="Q287" s="572" t="str">
        <f>VLOOKUP(G:G,list!B:D,3,FALSE)</f>
        <v>Y</v>
      </c>
    </row>
    <row r="288" spans="2:17" ht="18" hidden="1" customHeight="1">
      <c r="B288" s="563">
        <v>283</v>
      </c>
      <c r="C288" s="564" t="e">
        <f>VLOOKUP(G:G,list!B:D,2,FALSE)</f>
        <v>#N/A</v>
      </c>
      <c r="D288" s="564" t="s">
        <v>182</v>
      </c>
      <c r="E288" s="564" t="s">
        <v>9</v>
      </c>
      <c r="F288" s="564" t="s">
        <v>264</v>
      </c>
      <c r="G288" s="564" t="s">
        <v>488</v>
      </c>
      <c r="H288" s="565">
        <v>44882</v>
      </c>
      <c r="I288" s="564" t="s">
        <v>513</v>
      </c>
      <c r="J288" s="599">
        <v>16666660</v>
      </c>
      <c r="K288" s="603" t="s">
        <v>203</v>
      </c>
      <c r="L288" s="568">
        <v>16666660</v>
      </c>
      <c r="M288" s="569">
        <v>0.1</v>
      </c>
      <c r="N288" s="573">
        <f>L288*M288</f>
        <v>1666666</v>
      </c>
      <c r="O288" s="570">
        <f t="shared" ref="O288" si="16">L288-N288</f>
        <v>14999994</v>
      </c>
      <c r="P288" s="575" t="s">
        <v>515</v>
      </c>
      <c r="Q288" s="572" t="e">
        <f>VLOOKUP(G:G,list!B:D,3,FALSE)</f>
        <v>#N/A</v>
      </c>
    </row>
    <row r="289" spans="2:17">
      <c r="B289" s="52"/>
      <c r="C289" s="430"/>
      <c r="D289" s="430"/>
      <c r="E289" s="431"/>
      <c r="F289" s="430"/>
      <c r="G289" s="432"/>
      <c r="H289" s="433"/>
      <c r="I289" s="434"/>
      <c r="J289" s="435"/>
      <c r="K289" s="436"/>
      <c r="M289" s="438"/>
      <c r="N289" s="439"/>
      <c r="O289" s="440"/>
      <c r="P289" s="441"/>
      <c r="Q289" s="486"/>
    </row>
    <row r="290" spans="2:17" s="7" customFormat="1">
      <c r="B290" s="612" t="s">
        <v>387</v>
      </c>
      <c r="E290" s="186"/>
      <c r="H290" s="311"/>
      <c r="I290" s="311"/>
      <c r="J290" s="311"/>
      <c r="K290" s="311"/>
      <c r="M290" s="424"/>
      <c r="N290"/>
      <c r="O290" s="333"/>
      <c r="P290" s="18"/>
      <c r="Q290" s="484"/>
    </row>
    <row r="291" spans="2:17" s="7" customFormat="1">
      <c r="B291" s="380" t="s">
        <v>299</v>
      </c>
      <c r="E291" s="186"/>
      <c r="H291" s="311"/>
      <c r="I291" s="311"/>
      <c r="K291" s="311"/>
      <c r="L291" s="311"/>
      <c r="M291" s="424"/>
      <c r="N291"/>
      <c r="O291" s="333"/>
      <c r="P291" s="18"/>
      <c r="Q291" s="484"/>
    </row>
    <row r="292" spans="2:17" s="7" customFormat="1">
      <c r="B292" s="614" t="s">
        <v>302</v>
      </c>
      <c r="C292" s="613"/>
      <c r="E292" s="186"/>
      <c r="H292" s="311"/>
      <c r="I292" s="311"/>
      <c r="J292" s="311"/>
      <c r="K292" s="311"/>
      <c r="L292" s="311"/>
      <c r="M292" s="424"/>
      <c r="N292"/>
      <c r="O292" s="333"/>
      <c r="P292" s="18"/>
      <c r="Q292" s="484"/>
    </row>
    <row r="293" spans="2:17" s="7" customFormat="1">
      <c r="B293" s="615" t="s">
        <v>303</v>
      </c>
      <c r="C293" s="613"/>
      <c r="E293" s="186"/>
      <c r="H293" s="311"/>
      <c r="I293" s="311"/>
      <c r="J293" s="311"/>
      <c r="K293" s="311"/>
      <c r="L293" s="311"/>
      <c r="M293" s="424"/>
      <c r="N293"/>
      <c r="O293" s="333"/>
      <c r="P293" s="18"/>
      <c r="Q293" s="484"/>
    </row>
    <row r="294" spans="2:17">
      <c r="B294" s="380" t="s">
        <v>340</v>
      </c>
      <c r="H294" s="311"/>
      <c r="I294" s="311"/>
      <c r="J294" s="311"/>
      <c r="K294" s="311"/>
    </row>
    <row r="295" spans="2:17">
      <c r="B295" s="380" t="s">
        <v>512</v>
      </c>
      <c r="H295" s="311"/>
      <c r="I295" s="311"/>
      <c r="J295" s="311"/>
      <c r="K295" s="311"/>
    </row>
    <row r="296" spans="2:17">
      <c r="B296" s="380" t="s">
        <v>493</v>
      </c>
      <c r="H296" s="311"/>
      <c r="I296" s="311"/>
      <c r="J296" s="311"/>
      <c r="K296" s="311"/>
    </row>
    <row r="297" spans="2:17">
      <c r="B297" s="380" t="s">
        <v>516</v>
      </c>
      <c r="J297" s="7"/>
    </row>
    <row r="298" spans="2:17">
      <c r="J298" s="7"/>
    </row>
    <row r="299" spans="2:17">
      <c r="J299" s="7"/>
    </row>
    <row r="300" spans="2:17" s="7" customFormat="1">
      <c r="E300" s="186"/>
      <c r="H300"/>
      <c r="I300"/>
      <c r="L300" s="311"/>
      <c r="M300" s="424"/>
      <c r="N300"/>
      <c r="O300" s="333"/>
      <c r="P300" s="18"/>
      <c r="Q300" s="484"/>
    </row>
    <row r="301" spans="2:17" s="7" customFormat="1">
      <c r="E301" s="186"/>
      <c r="H301"/>
      <c r="I301"/>
      <c r="L301" s="311"/>
      <c r="M301" s="424"/>
      <c r="N301"/>
      <c r="O301" s="333"/>
      <c r="P301" s="18"/>
      <c r="Q301" s="484"/>
    </row>
    <row r="302" spans="2:17" s="7" customFormat="1">
      <c r="E302" s="186"/>
      <c r="H302"/>
      <c r="I302"/>
      <c r="L302" s="311"/>
      <c r="M302" s="424"/>
      <c r="N302"/>
      <c r="O302" s="333"/>
      <c r="P302" s="18"/>
      <c r="Q302" s="484"/>
    </row>
    <row r="303" spans="2:17" s="7" customFormat="1">
      <c r="E303" s="186"/>
      <c r="H303"/>
      <c r="I303"/>
      <c r="L303" s="311"/>
      <c r="M303" s="424"/>
      <c r="N303"/>
      <c r="O303" s="333"/>
      <c r="P303" s="18"/>
      <c r="Q303" s="484"/>
    </row>
    <row r="304" spans="2:17" s="7" customFormat="1">
      <c r="E304" s="186"/>
      <c r="H304"/>
      <c r="I304"/>
      <c r="L304" s="311"/>
      <c r="M304" s="424"/>
      <c r="N304"/>
      <c r="O304" s="333"/>
      <c r="P304" s="18"/>
      <c r="Q304" s="484"/>
    </row>
    <row r="305" spans="5:17" s="7" customFormat="1">
      <c r="E305" s="186"/>
      <c r="H305"/>
      <c r="I305"/>
      <c r="L305" s="311"/>
      <c r="M305" s="424"/>
      <c r="N305"/>
      <c r="O305" s="333"/>
      <c r="P305" s="18"/>
      <c r="Q305" s="484"/>
    </row>
    <row r="306" spans="5:17" s="7" customFormat="1">
      <c r="E306" s="186"/>
      <c r="H306"/>
      <c r="I306"/>
      <c r="L306" s="311"/>
      <c r="M306" s="424"/>
      <c r="N306"/>
      <c r="O306" s="333"/>
      <c r="P306" s="18"/>
      <c r="Q306" s="484"/>
    </row>
    <row r="307" spans="5:17" s="7" customFormat="1">
      <c r="E307" s="186"/>
      <c r="H307"/>
      <c r="I307"/>
      <c r="L307" s="311"/>
      <c r="M307" s="424"/>
      <c r="N307"/>
      <c r="O307" s="333"/>
      <c r="P307" s="18"/>
      <c r="Q307" s="484"/>
    </row>
    <row r="308" spans="5:17" s="7" customFormat="1">
      <c r="E308" s="186"/>
      <c r="H308"/>
      <c r="I308"/>
      <c r="L308" s="311"/>
      <c r="M308" s="424"/>
      <c r="N308"/>
      <c r="O308" s="333"/>
      <c r="P308" s="18"/>
      <c r="Q308" s="484"/>
    </row>
    <row r="309" spans="5:17" s="7" customFormat="1">
      <c r="E309" s="186"/>
      <c r="H309"/>
      <c r="I309"/>
      <c r="L309" s="311"/>
      <c r="M309" s="424"/>
      <c r="N309"/>
      <c r="O309" s="333"/>
      <c r="P309" s="18"/>
      <c r="Q309" s="484"/>
    </row>
    <row r="310" spans="5:17" s="7" customFormat="1">
      <c r="E310" s="186"/>
      <c r="H310"/>
      <c r="I310"/>
      <c r="L310" s="311"/>
      <c r="M310" s="424"/>
      <c r="N310"/>
      <c r="O310" s="333"/>
      <c r="P310" s="18"/>
      <c r="Q310" s="484"/>
    </row>
    <row r="311" spans="5:17" s="7" customFormat="1">
      <c r="E311" s="186"/>
      <c r="H311"/>
      <c r="I311"/>
      <c r="L311" s="311"/>
      <c r="M311" s="424"/>
      <c r="N311"/>
      <c r="O311" s="333"/>
      <c r="P311" s="18"/>
      <c r="Q311" s="484"/>
    </row>
    <row r="312" spans="5:17" s="7" customFormat="1">
      <c r="E312" s="186"/>
      <c r="H312"/>
      <c r="I312"/>
      <c r="L312" s="311"/>
      <c r="M312" s="424"/>
      <c r="N312"/>
      <c r="O312" s="333"/>
      <c r="P312" s="18"/>
      <c r="Q312" s="484"/>
    </row>
    <row r="313" spans="5:17" s="7" customFormat="1">
      <c r="E313" s="186"/>
      <c r="H313"/>
      <c r="I313"/>
      <c r="L313" s="311"/>
      <c r="M313" s="424"/>
      <c r="N313"/>
      <c r="O313" s="333"/>
      <c r="P313" s="18"/>
      <c r="Q313" s="484"/>
    </row>
    <row r="314" spans="5:17" s="7" customFormat="1">
      <c r="E314" s="186"/>
      <c r="H314"/>
      <c r="I314"/>
      <c r="L314" s="311"/>
      <c r="M314" s="424"/>
      <c r="N314"/>
      <c r="O314" s="333"/>
      <c r="P314" s="18"/>
      <c r="Q314" s="484"/>
    </row>
  </sheetData>
  <autoFilter ref="B5:Q288" xr:uid="{3185535B-A284-42F5-98BA-CBA5D3192932}">
    <filterColumn colId="4">
      <filters>
        <filter val="포도만화"/>
      </filters>
    </filterColumn>
  </autoFilter>
  <sortState xmlns:xlrd2="http://schemas.microsoft.com/office/spreadsheetml/2017/richdata2" ref="B6:Q285">
    <sortCondition ref="G6:G285"/>
    <sortCondition ref="D6:D285"/>
  </sortState>
  <mergeCells count="1">
    <mergeCell ref="P2:Q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9479-EBFF-4B88-8995-A2422E37444D}">
  <sheetPr filterMode="1"/>
  <dimension ref="B1:Q284"/>
  <sheetViews>
    <sheetView showGridLines="0" zoomScaleNormal="100" workbookViewId="0">
      <pane xSplit="7" ySplit="5" topLeftCell="H161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4.3984375" style="7" customWidth="1"/>
    <col min="3" max="3" width="13" style="7" customWidth="1"/>
    <col min="4" max="4" width="7.59765625" style="7" customWidth="1"/>
    <col min="5" max="5" width="7.3984375" style="186" customWidth="1"/>
    <col min="6" max="6" width="16.19921875" style="7" customWidth="1"/>
    <col min="7" max="7" width="28" style="7" customWidth="1"/>
    <col min="8" max="8" width="10.59765625" customWidth="1"/>
    <col min="9" max="9" width="13" bestFit="1" customWidth="1"/>
    <col min="10" max="10" width="17.09765625" customWidth="1"/>
    <col min="11" max="11" width="9" style="7" customWidth="1"/>
    <col min="12" max="12" width="13.59765625" style="311" customWidth="1"/>
    <col min="13" max="13" width="8.5" style="424" customWidth="1"/>
    <col min="14" max="14" width="13.59765625" customWidth="1"/>
    <col min="15" max="15" width="13.59765625" style="333" customWidth="1"/>
    <col min="16" max="16" width="57" style="18" customWidth="1"/>
    <col min="17" max="17" width="30.59765625" style="484" bestFit="1" customWidth="1"/>
  </cols>
  <sheetData>
    <row r="1" spans="2:17" ht="7.5" customHeight="1"/>
    <row r="2" spans="2:17" ht="30" customHeight="1">
      <c r="B2" s="461" t="s">
        <v>475</v>
      </c>
      <c r="C2" s="539"/>
      <c r="D2" s="539"/>
      <c r="E2" s="539"/>
      <c r="F2" s="539"/>
      <c r="G2" s="540"/>
      <c r="H2" s="541"/>
      <c r="I2" s="541"/>
      <c r="J2" s="52"/>
      <c r="K2" s="52"/>
      <c r="L2" s="542"/>
      <c r="M2" s="543"/>
      <c r="N2" s="543"/>
      <c r="O2" s="544"/>
      <c r="P2" s="681"/>
      <c r="Q2" s="682"/>
    </row>
    <row r="3" spans="2:17" ht="16.5" customHeight="1">
      <c r="B3" s="545" t="s">
        <v>476</v>
      </c>
      <c r="C3" s="52"/>
      <c r="D3" s="52"/>
      <c r="E3" s="52"/>
      <c r="F3" s="52"/>
      <c r="G3" s="52"/>
      <c r="H3" s="541"/>
      <c r="I3" s="541"/>
      <c r="J3" s="541"/>
      <c r="K3" s="52"/>
      <c r="L3" s="546"/>
      <c r="M3" s="547"/>
      <c r="N3" s="547"/>
      <c r="O3" s="548"/>
      <c r="P3" s="549"/>
      <c r="Q3" s="550"/>
    </row>
    <row r="4" spans="2:17" ht="18" customHeight="1">
      <c r="B4" s="52"/>
      <c r="C4" s="52"/>
      <c r="D4" s="52"/>
      <c r="E4" s="52"/>
      <c r="F4" s="52"/>
      <c r="G4" s="52"/>
      <c r="H4" s="52"/>
      <c r="I4" s="482" t="s">
        <v>391</v>
      </c>
      <c r="J4" s="480">
        <f>SUBTOTAL(109,J6:J1048576)</f>
        <v>1607575.3399999999</v>
      </c>
      <c r="K4" s="481"/>
      <c r="L4" s="480">
        <f>SUBTOTAL(109,L6:L1048576)</f>
        <v>803787.6</v>
      </c>
      <c r="M4" s="481"/>
      <c r="N4" s="483">
        <f>SUBTOTAL(109,N6:N1048576)</f>
        <v>70740.708000000013</v>
      </c>
      <c r="O4" s="482">
        <f>SUBTOTAL(109,O6:O1048576)</f>
        <v>733046.89199999999</v>
      </c>
      <c r="P4" s="549"/>
      <c r="Q4" s="551"/>
    </row>
    <row r="5" spans="2:17" s="9" customFormat="1" ht="32.25" customHeight="1">
      <c r="B5" s="552" t="s">
        <v>7</v>
      </c>
      <c r="C5" s="552" t="s">
        <v>345</v>
      </c>
      <c r="D5" s="553" t="s">
        <v>388</v>
      </c>
      <c r="E5" s="554" t="s">
        <v>389</v>
      </c>
      <c r="F5" s="555" t="s">
        <v>0</v>
      </c>
      <c r="G5" s="555" t="s">
        <v>4</v>
      </c>
      <c r="H5" s="556" t="s">
        <v>5</v>
      </c>
      <c r="I5" s="557" t="s">
        <v>390</v>
      </c>
      <c r="J5" s="557" t="s">
        <v>434</v>
      </c>
      <c r="K5" s="557" t="s">
        <v>435</v>
      </c>
      <c r="L5" s="558" t="s">
        <v>436</v>
      </c>
      <c r="M5" s="559" t="s">
        <v>437</v>
      </c>
      <c r="N5" s="560" t="s">
        <v>438</v>
      </c>
      <c r="O5" s="561" t="s">
        <v>439</v>
      </c>
      <c r="P5" s="562" t="s">
        <v>82</v>
      </c>
      <c r="Q5" s="610" t="s">
        <v>474</v>
      </c>
    </row>
    <row r="6" spans="2:17" ht="18" hidden="1" customHeight="1">
      <c r="B6" s="563">
        <v>1</v>
      </c>
      <c r="C6" s="564" t="e">
        <f>VLOOKUP(G:G,list!B:D,2,FALSE)</f>
        <v>#N/A</v>
      </c>
      <c r="D6" s="564" t="s">
        <v>78</v>
      </c>
      <c r="E6" s="564" t="s">
        <v>115</v>
      </c>
      <c r="F6" s="564" t="s">
        <v>268</v>
      </c>
      <c r="G6" s="564" t="s">
        <v>256</v>
      </c>
      <c r="H6" s="565">
        <v>44553</v>
      </c>
      <c r="I6" s="564" t="s">
        <v>455</v>
      </c>
      <c r="J6" s="566">
        <v>1900</v>
      </c>
      <c r="K6" s="567" t="s">
        <v>271</v>
      </c>
      <c r="L6" s="568">
        <v>1030</v>
      </c>
      <c r="M6" s="569">
        <v>0.1</v>
      </c>
      <c r="N6" s="570">
        <f>L6*M6</f>
        <v>103</v>
      </c>
      <c r="O6" s="570">
        <f t="shared" ref="O6:O44" si="0">L6-N6</f>
        <v>927</v>
      </c>
      <c r="P6" s="571"/>
      <c r="Q6" s="572" t="e">
        <f>VLOOKUP(G:G,list!B:D,3,FALSE)</f>
        <v>#N/A</v>
      </c>
    </row>
    <row r="7" spans="2:17" ht="18" hidden="1" customHeight="1">
      <c r="B7" s="563">
        <v>2</v>
      </c>
      <c r="C7" s="564" t="e">
        <f>VLOOKUP(G:G,list!B:D,2,FALSE)</f>
        <v>#N/A</v>
      </c>
      <c r="D7" s="564" t="s">
        <v>78</v>
      </c>
      <c r="E7" s="564" t="s">
        <v>115</v>
      </c>
      <c r="F7" s="564" t="s">
        <v>268</v>
      </c>
      <c r="G7" s="564" t="s">
        <v>204</v>
      </c>
      <c r="H7" s="565">
        <v>44554</v>
      </c>
      <c r="I7" s="564" t="s">
        <v>455</v>
      </c>
      <c r="J7" s="566">
        <v>4800</v>
      </c>
      <c r="K7" s="567" t="s">
        <v>271</v>
      </c>
      <c r="L7" s="568">
        <v>3360</v>
      </c>
      <c r="M7" s="569">
        <v>0.1</v>
      </c>
      <c r="N7" s="573">
        <f>L7*M7</f>
        <v>336</v>
      </c>
      <c r="O7" s="570">
        <f t="shared" si="0"/>
        <v>3024</v>
      </c>
      <c r="P7" s="571"/>
      <c r="Q7" s="572" t="e">
        <f>VLOOKUP(G:G,list!B:D,3,FALSE)</f>
        <v>#N/A</v>
      </c>
    </row>
    <row r="8" spans="2:17" ht="18" hidden="1" customHeight="1">
      <c r="B8" s="563">
        <v>3</v>
      </c>
      <c r="C8" s="564" t="e">
        <f>VLOOKUP(G:G,list!B:D,2,FALSE)</f>
        <v>#N/A</v>
      </c>
      <c r="D8" s="564" t="s">
        <v>78</v>
      </c>
      <c r="E8" s="564" t="s">
        <v>115</v>
      </c>
      <c r="F8" s="564" t="s">
        <v>268</v>
      </c>
      <c r="G8" s="564" t="s">
        <v>202</v>
      </c>
      <c r="H8" s="565">
        <v>44609</v>
      </c>
      <c r="I8" s="564" t="s">
        <v>455</v>
      </c>
      <c r="J8" s="566">
        <v>39600</v>
      </c>
      <c r="K8" s="567" t="s">
        <v>271</v>
      </c>
      <c r="L8" s="568">
        <v>26280</v>
      </c>
      <c r="M8" s="569" t="s">
        <v>203</v>
      </c>
      <c r="N8" s="573">
        <v>0</v>
      </c>
      <c r="O8" s="570">
        <f t="shared" si="0"/>
        <v>26280</v>
      </c>
      <c r="P8" s="574"/>
      <c r="Q8" s="572" t="e">
        <f>VLOOKUP(G:G,list!B:D,3,FALSE)</f>
        <v>#N/A</v>
      </c>
    </row>
    <row r="9" spans="2:17" ht="18" hidden="1" customHeight="1">
      <c r="B9" s="563">
        <v>4</v>
      </c>
      <c r="C9" s="564" t="e">
        <f>VLOOKUP(G:G,list!B:D,2,FALSE)</f>
        <v>#N/A</v>
      </c>
      <c r="D9" s="564" t="s">
        <v>78</v>
      </c>
      <c r="E9" s="564" t="s">
        <v>9</v>
      </c>
      <c r="F9" s="564" t="s">
        <v>242</v>
      </c>
      <c r="G9" s="564" t="s">
        <v>135</v>
      </c>
      <c r="H9" s="565">
        <v>44308</v>
      </c>
      <c r="I9" s="564" t="s">
        <v>477</v>
      </c>
      <c r="J9" s="566">
        <v>421137</v>
      </c>
      <c r="K9" s="567">
        <v>0.6</v>
      </c>
      <c r="L9" s="568">
        <v>252682</v>
      </c>
      <c r="M9" s="569" t="s">
        <v>203</v>
      </c>
      <c r="N9" s="570">
        <v>0</v>
      </c>
      <c r="O9" s="570">
        <f t="shared" si="0"/>
        <v>252682</v>
      </c>
      <c r="P9" s="575"/>
      <c r="Q9" s="572" t="e">
        <f>VLOOKUP(G:G,list!B:D,3,FALSE)</f>
        <v>#N/A</v>
      </c>
    </row>
    <row r="10" spans="2:17" ht="18" hidden="1" customHeight="1">
      <c r="B10" s="563">
        <v>5</v>
      </c>
      <c r="C10" s="564" t="e">
        <f>VLOOKUP(G:G,list!B:D,2,FALSE)</f>
        <v>#N/A</v>
      </c>
      <c r="D10" s="564" t="s">
        <v>78</v>
      </c>
      <c r="E10" s="564" t="s">
        <v>9</v>
      </c>
      <c r="F10" s="564" t="s">
        <v>242</v>
      </c>
      <c r="G10" s="564" t="s">
        <v>218</v>
      </c>
      <c r="H10" s="565">
        <v>44309</v>
      </c>
      <c r="I10" s="564" t="s">
        <v>477</v>
      </c>
      <c r="J10" s="566">
        <v>66564288</v>
      </c>
      <c r="K10" s="567">
        <v>0.6</v>
      </c>
      <c r="L10" s="568">
        <v>39938573</v>
      </c>
      <c r="M10" s="569">
        <v>0.1</v>
      </c>
      <c r="N10" s="570">
        <f>L10*M10</f>
        <v>3993857.3000000003</v>
      </c>
      <c r="O10" s="570">
        <f>L10-N10</f>
        <v>35944715.700000003</v>
      </c>
      <c r="P10" s="576"/>
      <c r="Q10" s="572" t="e">
        <f>VLOOKUP(G:G,list!B:D,3,FALSE)</f>
        <v>#N/A</v>
      </c>
    </row>
    <row r="11" spans="2:17" ht="18" hidden="1" customHeight="1">
      <c r="B11" s="563">
        <v>6</v>
      </c>
      <c r="C11" s="564" t="e">
        <f>VLOOKUP(G:G,list!B:D,2,FALSE)</f>
        <v>#N/A</v>
      </c>
      <c r="D11" s="564" t="s">
        <v>78</v>
      </c>
      <c r="E11" s="564" t="s">
        <v>9</v>
      </c>
      <c r="F11" s="564" t="s">
        <v>242</v>
      </c>
      <c r="G11" s="564" t="s">
        <v>136</v>
      </c>
      <c r="H11" s="565">
        <v>44240</v>
      </c>
      <c r="I11" s="564" t="s">
        <v>477</v>
      </c>
      <c r="J11" s="577">
        <v>722218</v>
      </c>
      <c r="K11" s="567">
        <v>0.6</v>
      </c>
      <c r="L11" s="568">
        <v>433331</v>
      </c>
      <c r="M11" s="569">
        <v>0.1</v>
      </c>
      <c r="N11" s="570">
        <f>L11*M11</f>
        <v>43333.100000000006</v>
      </c>
      <c r="O11" s="570">
        <f t="shared" si="0"/>
        <v>389997.9</v>
      </c>
      <c r="P11" s="578"/>
      <c r="Q11" s="572" t="e">
        <f>VLOOKUP(G:G,list!B:D,3,FALSE)</f>
        <v>#N/A</v>
      </c>
    </row>
    <row r="12" spans="2:17" ht="18" hidden="1" customHeight="1">
      <c r="B12" s="563">
        <v>7</v>
      </c>
      <c r="C12" s="564" t="e">
        <f>VLOOKUP(G:G,list!B:D,2,FALSE)</f>
        <v>#N/A</v>
      </c>
      <c r="D12" s="564" t="s">
        <v>78</v>
      </c>
      <c r="E12" s="564" t="s">
        <v>9</v>
      </c>
      <c r="F12" s="564" t="s">
        <v>242</v>
      </c>
      <c r="G12" s="564" t="s">
        <v>190</v>
      </c>
      <c r="H12" s="565">
        <v>44391</v>
      </c>
      <c r="I12" s="564" t="s">
        <v>477</v>
      </c>
      <c r="J12" s="579">
        <v>22677711</v>
      </c>
      <c r="K12" s="580">
        <v>0.6</v>
      </c>
      <c r="L12" s="568">
        <v>13606626</v>
      </c>
      <c r="M12" s="569">
        <v>0.12</v>
      </c>
      <c r="N12" s="573">
        <f>L12*M12</f>
        <v>1632795.1199999999</v>
      </c>
      <c r="O12" s="570">
        <f t="shared" si="0"/>
        <v>11973830.880000001</v>
      </c>
      <c r="P12" s="576"/>
      <c r="Q12" s="572" t="e">
        <f>VLOOKUP(G:G,list!B:D,3,FALSE)</f>
        <v>#N/A</v>
      </c>
    </row>
    <row r="13" spans="2:17" ht="18" hidden="1" customHeight="1">
      <c r="B13" s="563">
        <v>8</v>
      </c>
      <c r="C13" s="564" t="e">
        <f>VLOOKUP(G:G,list!B:D,2,FALSE)</f>
        <v>#N/A</v>
      </c>
      <c r="D13" s="564" t="s">
        <v>78</v>
      </c>
      <c r="E13" s="564" t="s">
        <v>9</v>
      </c>
      <c r="F13" s="564" t="s">
        <v>242</v>
      </c>
      <c r="G13" s="564" t="s">
        <v>276</v>
      </c>
      <c r="H13" s="565">
        <v>44603</v>
      </c>
      <c r="I13" s="564" t="s">
        <v>477</v>
      </c>
      <c r="J13" s="579">
        <v>3121735</v>
      </c>
      <c r="K13" s="580">
        <v>0.6</v>
      </c>
      <c r="L13" s="568">
        <v>1873041</v>
      </c>
      <c r="M13" s="569" t="s">
        <v>203</v>
      </c>
      <c r="N13" s="573">
        <v>0</v>
      </c>
      <c r="O13" s="570">
        <f t="shared" si="0"/>
        <v>1873041</v>
      </c>
      <c r="P13" s="578"/>
      <c r="Q13" s="572" t="e">
        <f>VLOOKUP(G:G,list!B:D,3,FALSE)</f>
        <v>#N/A</v>
      </c>
    </row>
    <row r="14" spans="2:17" ht="18" hidden="1" customHeight="1">
      <c r="B14" s="563">
        <v>9</v>
      </c>
      <c r="C14" s="564" t="e">
        <f>VLOOKUP(G:G,list!B:D,2,FALSE)</f>
        <v>#N/A</v>
      </c>
      <c r="D14" s="564" t="s">
        <v>78</v>
      </c>
      <c r="E14" s="564" t="s">
        <v>9</v>
      </c>
      <c r="F14" s="564" t="s">
        <v>242</v>
      </c>
      <c r="G14" s="564" t="s">
        <v>362</v>
      </c>
      <c r="H14" s="565">
        <v>44703</v>
      </c>
      <c r="I14" s="564" t="s">
        <v>477</v>
      </c>
      <c r="J14" s="579">
        <v>6322795</v>
      </c>
      <c r="K14" s="580">
        <v>0.6</v>
      </c>
      <c r="L14" s="568">
        <v>3793678</v>
      </c>
      <c r="M14" s="569">
        <v>0.1</v>
      </c>
      <c r="N14" s="573">
        <f>L14*M14</f>
        <v>379367.80000000005</v>
      </c>
      <c r="O14" s="570">
        <f>L14-N14</f>
        <v>3414310.2</v>
      </c>
      <c r="P14" s="578"/>
      <c r="Q14" s="572" t="e">
        <f>VLOOKUP(G:G,list!B:D,3,FALSE)</f>
        <v>#N/A</v>
      </c>
    </row>
    <row r="15" spans="2:17" ht="18" hidden="1" customHeight="1">
      <c r="B15" s="563">
        <v>10</v>
      </c>
      <c r="C15" s="564" t="e">
        <f>VLOOKUP(G:G,list!B:D,2,FALSE)</f>
        <v>#N/A</v>
      </c>
      <c r="D15" s="564" t="s">
        <v>78</v>
      </c>
      <c r="E15" s="564" t="s">
        <v>9</v>
      </c>
      <c r="F15" s="564" t="s">
        <v>242</v>
      </c>
      <c r="G15" s="564" t="s">
        <v>423</v>
      </c>
      <c r="H15" s="565">
        <v>44740</v>
      </c>
      <c r="I15" s="564" t="s">
        <v>477</v>
      </c>
      <c r="J15" s="579">
        <v>14920157</v>
      </c>
      <c r="K15" s="580">
        <v>0.6</v>
      </c>
      <c r="L15" s="568">
        <v>8952093</v>
      </c>
      <c r="M15" s="569">
        <v>0.1</v>
      </c>
      <c r="N15" s="573">
        <f>L15*M15</f>
        <v>895209.3</v>
      </c>
      <c r="O15" s="570">
        <f t="shared" si="0"/>
        <v>8056883.7000000002</v>
      </c>
      <c r="P15" s="578"/>
      <c r="Q15" s="572" t="e">
        <f>VLOOKUP(G:G,list!B:D,3,FALSE)</f>
        <v>#N/A</v>
      </c>
    </row>
    <row r="16" spans="2:17" ht="18" hidden="1" customHeight="1">
      <c r="B16" s="563">
        <v>11</v>
      </c>
      <c r="C16" s="564" t="e">
        <f>VLOOKUP(G:G,list!B:D,2,FALSE)</f>
        <v>#N/A</v>
      </c>
      <c r="D16" s="564" t="s">
        <v>78</v>
      </c>
      <c r="E16" s="564" t="s">
        <v>9</v>
      </c>
      <c r="F16" s="564" t="s">
        <v>242</v>
      </c>
      <c r="G16" s="564" t="s">
        <v>424</v>
      </c>
      <c r="H16" s="565">
        <v>44753</v>
      </c>
      <c r="I16" s="564" t="s">
        <v>455</v>
      </c>
      <c r="J16" s="579">
        <v>11319274</v>
      </c>
      <c r="K16" s="580">
        <v>0.6</v>
      </c>
      <c r="L16" s="568">
        <v>6791563</v>
      </c>
      <c r="M16" s="569">
        <v>0.1</v>
      </c>
      <c r="N16" s="573">
        <f>L16*M16</f>
        <v>679156.3</v>
      </c>
      <c r="O16" s="570">
        <f t="shared" si="0"/>
        <v>6112406.7000000002</v>
      </c>
      <c r="P16" s="578"/>
      <c r="Q16" s="572" t="e">
        <f>VLOOKUP(G:G,list!B:D,3,FALSE)</f>
        <v>#N/A</v>
      </c>
    </row>
    <row r="17" spans="2:17" ht="18" hidden="1" customHeight="1">
      <c r="B17" s="563">
        <v>12</v>
      </c>
      <c r="C17" s="564" t="e">
        <f>VLOOKUP(G:G,list!B:D,2,FALSE)</f>
        <v>#N/A</v>
      </c>
      <c r="D17" s="564" t="s">
        <v>448</v>
      </c>
      <c r="E17" s="564" t="s">
        <v>62</v>
      </c>
      <c r="F17" s="564" t="s">
        <v>169</v>
      </c>
      <c r="G17" s="564" t="s">
        <v>484</v>
      </c>
      <c r="H17" s="565">
        <v>44821</v>
      </c>
      <c r="I17" s="564" t="s">
        <v>455</v>
      </c>
      <c r="J17" s="579">
        <v>1326828</v>
      </c>
      <c r="K17" s="580">
        <v>0.6</v>
      </c>
      <c r="L17" s="568">
        <v>796096</v>
      </c>
      <c r="M17" s="569" t="s">
        <v>203</v>
      </c>
      <c r="N17" s="573">
        <v>0</v>
      </c>
      <c r="O17" s="570">
        <f t="shared" si="0"/>
        <v>796096</v>
      </c>
      <c r="P17" s="578" t="s">
        <v>287</v>
      </c>
      <c r="Q17" s="572"/>
    </row>
    <row r="18" spans="2:17" ht="18" hidden="1" customHeight="1">
      <c r="B18" s="563">
        <v>13</v>
      </c>
      <c r="C18" s="564" t="e">
        <f>VLOOKUP(G:G,list!B:D,2,FALSE)</f>
        <v>#N/A</v>
      </c>
      <c r="D18" s="564" t="s">
        <v>78</v>
      </c>
      <c r="E18" s="564" t="s">
        <v>115</v>
      </c>
      <c r="F18" s="564" t="s">
        <v>242</v>
      </c>
      <c r="G18" s="564" t="s">
        <v>204</v>
      </c>
      <c r="H18" s="565">
        <v>44428</v>
      </c>
      <c r="I18" s="564" t="s">
        <v>477</v>
      </c>
      <c r="J18" s="581">
        <v>259451</v>
      </c>
      <c r="K18" s="582">
        <v>0.7</v>
      </c>
      <c r="L18" s="568">
        <v>181616</v>
      </c>
      <c r="M18" s="569">
        <v>0.1</v>
      </c>
      <c r="N18" s="573">
        <f>L18*M18</f>
        <v>18161.600000000002</v>
      </c>
      <c r="O18" s="570">
        <f t="shared" si="0"/>
        <v>163454.39999999999</v>
      </c>
      <c r="P18" s="583"/>
      <c r="Q18" s="572" t="e">
        <f>VLOOKUP(G:G,list!B:D,3,FALSE)</f>
        <v>#N/A</v>
      </c>
    </row>
    <row r="19" spans="2:17" ht="18" hidden="1" customHeight="1">
      <c r="B19" s="563">
        <v>14</v>
      </c>
      <c r="C19" s="564" t="e">
        <f>VLOOKUP(G:G,list!B:D,2,FALSE)</f>
        <v>#N/A</v>
      </c>
      <c r="D19" s="564" t="s">
        <v>78</v>
      </c>
      <c r="E19" s="564" t="s">
        <v>115</v>
      </c>
      <c r="F19" s="564" t="s">
        <v>242</v>
      </c>
      <c r="G19" s="564" t="s">
        <v>202</v>
      </c>
      <c r="H19" s="565">
        <v>44525</v>
      </c>
      <c r="I19" s="564" t="s">
        <v>477</v>
      </c>
      <c r="J19" s="577">
        <v>19538</v>
      </c>
      <c r="K19" s="567">
        <v>0.7</v>
      </c>
      <c r="L19" s="568">
        <v>13677</v>
      </c>
      <c r="M19" s="569" t="s">
        <v>203</v>
      </c>
      <c r="N19" s="570">
        <v>0</v>
      </c>
      <c r="O19" s="570">
        <f t="shared" si="0"/>
        <v>13677</v>
      </c>
      <c r="P19" s="583"/>
      <c r="Q19" s="572" t="e">
        <f>VLOOKUP(G:G,list!B:D,3,FALSE)</f>
        <v>#N/A</v>
      </c>
    </row>
    <row r="20" spans="2:17" ht="18" hidden="1" customHeight="1">
      <c r="B20" s="563">
        <v>15</v>
      </c>
      <c r="C20" s="564" t="str">
        <f>VLOOKUP(G:G,list!B:D,2,FALSE)</f>
        <v>작가기획</v>
      </c>
      <c r="D20" s="564" t="s">
        <v>78</v>
      </c>
      <c r="E20" s="564" t="s">
        <v>9</v>
      </c>
      <c r="F20" s="564" t="s">
        <v>272</v>
      </c>
      <c r="G20" s="564" t="s">
        <v>139</v>
      </c>
      <c r="H20" s="565">
        <v>44513</v>
      </c>
      <c r="I20" s="564" t="s">
        <v>428</v>
      </c>
      <c r="J20" s="577">
        <v>34720</v>
      </c>
      <c r="K20" s="567">
        <v>0.5</v>
      </c>
      <c r="L20" s="568">
        <v>17360</v>
      </c>
      <c r="M20" s="569" t="s">
        <v>203</v>
      </c>
      <c r="N20" s="570">
        <v>0</v>
      </c>
      <c r="O20" s="570">
        <f>L20-N20</f>
        <v>17360</v>
      </c>
      <c r="P20" s="584"/>
      <c r="Q20" s="572" t="str">
        <f>VLOOKUP(G:G,list!B:D,3,FALSE)</f>
        <v>Y</v>
      </c>
    </row>
    <row r="21" spans="2:17" ht="18" hidden="1" customHeight="1">
      <c r="B21" s="563">
        <v>16</v>
      </c>
      <c r="C21" s="564" t="e">
        <f>VLOOKUP(G:G,list!B:D,2,FALSE)</f>
        <v>#N/A</v>
      </c>
      <c r="D21" s="564" t="s">
        <v>78</v>
      </c>
      <c r="E21" s="564" t="s">
        <v>115</v>
      </c>
      <c r="F21" s="564" t="s">
        <v>245</v>
      </c>
      <c r="G21" s="564" t="s">
        <v>202</v>
      </c>
      <c r="H21" s="565">
        <v>44441</v>
      </c>
      <c r="I21" s="564" t="s">
        <v>455</v>
      </c>
      <c r="J21" s="577">
        <v>0</v>
      </c>
      <c r="K21" s="567" t="s">
        <v>203</v>
      </c>
      <c r="L21" s="568">
        <v>76800</v>
      </c>
      <c r="M21" s="569" t="s">
        <v>203</v>
      </c>
      <c r="N21" s="570">
        <v>0</v>
      </c>
      <c r="O21" s="570">
        <f t="shared" si="0"/>
        <v>76800</v>
      </c>
      <c r="P21" s="583"/>
      <c r="Q21" s="572" t="e">
        <f>VLOOKUP(G:G,list!B:D,3,FALSE)</f>
        <v>#N/A</v>
      </c>
    </row>
    <row r="22" spans="2:17" ht="18" hidden="1" customHeight="1">
      <c r="B22" s="563">
        <v>17</v>
      </c>
      <c r="C22" s="564" t="e">
        <f>VLOOKUP(G:G,list!B:D,2,FALSE)</f>
        <v>#N/A</v>
      </c>
      <c r="D22" s="564" t="s">
        <v>78</v>
      </c>
      <c r="E22" s="564" t="s">
        <v>115</v>
      </c>
      <c r="F22" s="564" t="s">
        <v>201</v>
      </c>
      <c r="G22" s="564" t="s">
        <v>202</v>
      </c>
      <c r="H22" s="565">
        <v>44300</v>
      </c>
      <c r="I22" s="564" t="s">
        <v>428</v>
      </c>
      <c r="J22" s="579">
        <v>274211</v>
      </c>
      <c r="K22" s="567">
        <v>0.7</v>
      </c>
      <c r="L22" s="568">
        <v>191948</v>
      </c>
      <c r="M22" s="569" t="s">
        <v>203</v>
      </c>
      <c r="N22" s="570">
        <v>0</v>
      </c>
      <c r="O22" s="570">
        <f t="shared" si="0"/>
        <v>191948</v>
      </c>
      <c r="P22" s="583"/>
      <c r="Q22" s="572" t="e">
        <f>VLOOKUP(G:G,list!B:D,3,FALSE)</f>
        <v>#N/A</v>
      </c>
    </row>
    <row r="23" spans="2:17" ht="18" hidden="1" customHeight="1">
      <c r="B23" s="563">
        <v>18</v>
      </c>
      <c r="C23" s="564" t="e">
        <f>VLOOKUP(G:G,list!B:D,2,FALSE)</f>
        <v>#N/A</v>
      </c>
      <c r="D23" s="564" t="s">
        <v>78</v>
      </c>
      <c r="E23" s="564" t="s">
        <v>9</v>
      </c>
      <c r="F23" s="564" t="s">
        <v>201</v>
      </c>
      <c r="G23" s="564" t="s">
        <v>279</v>
      </c>
      <c r="H23" s="565">
        <v>44644</v>
      </c>
      <c r="I23" s="564" t="s">
        <v>428</v>
      </c>
      <c r="J23" s="579">
        <v>1515400</v>
      </c>
      <c r="K23" s="567">
        <v>0.6</v>
      </c>
      <c r="L23" s="568">
        <v>909240</v>
      </c>
      <c r="M23" s="569">
        <v>0.1</v>
      </c>
      <c r="N23" s="573">
        <f>L23*M23</f>
        <v>90924</v>
      </c>
      <c r="O23" s="570">
        <f t="shared" si="0"/>
        <v>818316</v>
      </c>
      <c r="P23" s="585"/>
      <c r="Q23" s="572" t="e">
        <f>VLOOKUP(G:G,list!B:D,3,FALSE)</f>
        <v>#N/A</v>
      </c>
    </row>
    <row r="24" spans="2:17" ht="18" hidden="1" customHeight="1">
      <c r="B24" s="563">
        <v>19</v>
      </c>
      <c r="C24" s="564" t="str">
        <f>VLOOKUP(G:G,list!B:D,2,FALSE)</f>
        <v>원작료</v>
      </c>
      <c r="D24" s="564" t="s">
        <v>78</v>
      </c>
      <c r="E24" s="564" t="s">
        <v>9</v>
      </c>
      <c r="F24" s="564" t="s">
        <v>201</v>
      </c>
      <c r="G24" s="564" t="s">
        <v>454</v>
      </c>
      <c r="H24" s="565">
        <v>44750</v>
      </c>
      <c r="I24" s="564" t="s">
        <v>428</v>
      </c>
      <c r="J24" s="579">
        <v>10495901</v>
      </c>
      <c r="K24" s="567">
        <v>0.6</v>
      </c>
      <c r="L24" s="568">
        <v>6297545</v>
      </c>
      <c r="M24" s="569">
        <v>0.1</v>
      </c>
      <c r="N24" s="573">
        <f>L24*M24</f>
        <v>629754.5</v>
      </c>
      <c r="O24" s="570">
        <f t="shared" si="0"/>
        <v>5667790.5</v>
      </c>
      <c r="P24" s="585"/>
      <c r="Q24" s="572" t="str">
        <f>VLOOKUP(G:G,list!B:D,3,FALSE)</f>
        <v>Y</v>
      </c>
    </row>
    <row r="25" spans="2:17" ht="18" hidden="1" customHeight="1">
      <c r="B25" s="563">
        <v>20</v>
      </c>
      <c r="C25" s="564" t="e">
        <f>VLOOKUP(G:G,list!B:D,2,FALSE)</f>
        <v>#N/A</v>
      </c>
      <c r="D25" s="564" t="s">
        <v>78</v>
      </c>
      <c r="E25" s="564" t="s">
        <v>9</v>
      </c>
      <c r="F25" s="564" t="s">
        <v>201</v>
      </c>
      <c r="G25" s="564" t="s">
        <v>485</v>
      </c>
      <c r="H25" s="565">
        <v>44792</v>
      </c>
      <c r="I25" s="564" t="s">
        <v>428</v>
      </c>
      <c r="J25" s="579">
        <v>20928188</v>
      </c>
      <c r="K25" s="567">
        <v>0.6</v>
      </c>
      <c r="L25" s="568">
        <v>12556914</v>
      </c>
      <c r="M25" s="569">
        <v>0.1</v>
      </c>
      <c r="N25" s="573">
        <f>L25*M25</f>
        <v>1255691.4000000001</v>
      </c>
      <c r="O25" s="570">
        <f>L25-N25</f>
        <v>11301222.6</v>
      </c>
      <c r="P25" s="585" t="s">
        <v>287</v>
      </c>
      <c r="Q25" s="572"/>
    </row>
    <row r="26" spans="2:17" ht="18" hidden="1" customHeight="1">
      <c r="B26" s="563">
        <v>21</v>
      </c>
      <c r="C26" s="564" t="str">
        <f>VLOOKUP(G:G,list!B:D,2,FALSE)</f>
        <v>작가기획</v>
      </c>
      <c r="D26" s="564" t="s">
        <v>78</v>
      </c>
      <c r="E26" s="564" t="s">
        <v>9</v>
      </c>
      <c r="F26" s="564" t="s">
        <v>246</v>
      </c>
      <c r="G26" s="564" t="s">
        <v>180</v>
      </c>
      <c r="H26" s="565">
        <v>43810</v>
      </c>
      <c r="I26" s="564" t="s">
        <v>455</v>
      </c>
      <c r="J26" s="579">
        <v>6895260</v>
      </c>
      <c r="K26" s="567" t="s">
        <v>165</v>
      </c>
      <c r="L26" s="568">
        <v>2780325</v>
      </c>
      <c r="M26" s="569" t="s">
        <v>203</v>
      </c>
      <c r="N26" s="570">
        <v>0</v>
      </c>
      <c r="O26" s="570">
        <f t="shared" si="0"/>
        <v>2780325</v>
      </c>
      <c r="P26" s="583"/>
      <c r="Q26" s="572" t="str">
        <f>VLOOKUP(G:G,list!B:D,3,FALSE)</f>
        <v>Y</v>
      </c>
    </row>
    <row r="27" spans="2:17" ht="18" hidden="1" customHeight="1">
      <c r="B27" s="563">
        <v>22</v>
      </c>
      <c r="C27" s="564" t="str">
        <f>VLOOKUP(G:G,list!B:D,2,FALSE)</f>
        <v>작가기획</v>
      </c>
      <c r="D27" s="564" t="s">
        <v>78</v>
      </c>
      <c r="E27" s="564" t="s">
        <v>9</v>
      </c>
      <c r="F27" s="564" t="s">
        <v>246</v>
      </c>
      <c r="G27" s="564" t="s">
        <v>139</v>
      </c>
      <c r="H27" s="565">
        <v>43852</v>
      </c>
      <c r="I27" s="564" t="s">
        <v>455</v>
      </c>
      <c r="J27" s="579">
        <v>57780</v>
      </c>
      <c r="K27" s="567" t="s">
        <v>165</v>
      </c>
      <c r="L27" s="568">
        <v>20655</v>
      </c>
      <c r="M27" s="569" t="s">
        <v>203</v>
      </c>
      <c r="N27" s="570">
        <v>0</v>
      </c>
      <c r="O27" s="570">
        <f>L27-N27</f>
        <v>20655</v>
      </c>
      <c r="P27" s="584"/>
      <c r="Q27" s="572" t="str">
        <f>VLOOKUP(G:G,list!B:D,3,FALSE)</f>
        <v>Y</v>
      </c>
    </row>
    <row r="28" spans="2:17" ht="18" hidden="1" customHeight="1">
      <c r="B28" s="563">
        <v>23</v>
      </c>
      <c r="C28" s="564" t="e">
        <f>VLOOKUP(G:G,list!B:D,2,FALSE)</f>
        <v>#N/A</v>
      </c>
      <c r="D28" s="564" t="s">
        <v>78</v>
      </c>
      <c r="E28" s="564" t="s">
        <v>115</v>
      </c>
      <c r="F28" s="564" t="s">
        <v>246</v>
      </c>
      <c r="G28" s="564" t="s">
        <v>202</v>
      </c>
      <c r="H28" s="565">
        <v>44328</v>
      </c>
      <c r="I28" s="564" t="s">
        <v>455</v>
      </c>
      <c r="J28" s="579">
        <v>55260</v>
      </c>
      <c r="K28" s="567" t="s">
        <v>120</v>
      </c>
      <c r="L28" s="568">
        <v>26881</v>
      </c>
      <c r="M28" s="569" t="s">
        <v>203</v>
      </c>
      <c r="N28" s="570">
        <v>0</v>
      </c>
      <c r="O28" s="570">
        <f t="shared" si="0"/>
        <v>26881</v>
      </c>
      <c r="P28" s="576"/>
      <c r="Q28" s="572" t="e">
        <f>VLOOKUP(G:G,list!B:D,3,FALSE)</f>
        <v>#N/A</v>
      </c>
    </row>
    <row r="29" spans="2:17" ht="18" hidden="1" customHeight="1">
      <c r="B29" s="563">
        <v>24</v>
      </c>
      <c r="C29" s="564" t="e">
        <f>VLOOKUP(G:G,list!B:D,2,FALSE)</f>
        <v>#N/A</v>
      </c>
      <c r="D29" s="564" t="s">
        <v>78</v>
      </c>
      <c r="E29" s="564" t="s">
        <v>115</v>
      </c>
      <c r="F29" s="564" t="s">
        <v>197</v>
      </c>
      <c r="G29" s="564" t="s">
        <v>202</v>
      </c>
      <c r="H29" s="565">
        <v>44328</v>
      </c>
      <c r="I29" s="564" t="s">
        <v>455</v>
      </c>
      <c r="J29" s="586">
        <v>52800</v>
      </c>
      <c r="K29" s="567">
        <v>0.7</v>
      </c>
      <c r="L29" s="568">
        <v>36960</v>
      </c>
      <c r="M29" s="569" t="s">
        <v>203</v>
      </c>
      <c r="N29" s="570">
        <v>0</v>
      </c>
      <c r="O29" s="570">
        <f t="shared" si="0"/>
        <v>36960</v>
      </c>
      <c r="P29" s="575"/>
      <c r="Q29" s="572" t="e">
        <f>VLOOKUP(G:G,list!B:D,3,FALSE)</f>
        <v>#N/A</v>
      </c>
    </row>
    <row r="30" spans="2:17" ht="18" hidden="1" customHeight="1">
      <c r="B30" s="563">
        <v>25</v>
      </c>
      <c r="C30" s="564" t="e">
        <f>VLOOKUP(G:G,list!B:D,2,FALSE)</f>
        <v>#N/A</v>
      </c>
      <c r="D30" s="564" t="s">
        <v>78</v>
      </c>
      <c r="E30" s="564" t="s">
        <v>115</v>
      </c>
      <c r="F30" s="564" t="s">
        <v>309</v>
      </c>
      <c r="G30" s="564" t="s">
        <v>256</v>
      </c>
      <c r="H30" s="565">
        <v>44602</v>
      </c>
      <c r="I30" s="564" t="s">
        <v>455</v>
      </c>
      <c r="J30" s="586">
        <v>200</v>
      </c>
      <c r="K30" s="567">
        <v>0.7</v>
      </c>
      <c r="L30" s="568">
        <v>140</v>
      </c>
      <c r="M30" s="569">
        <v>0.1</v>
      </c>
      <c r="N30" s="570">
        <f t="shared" ref="N30:N35" si="1">L30*M30</f>
        <v>14</v>
      </c>
      <c r="O30" s="570">
        <f t="shared" si="0"/>
        <v>126</v>
      </c>
      <c r="P30" s="575"/>
      <c r="Q30" s="572" t="e">
        <f>VLOOKUP(G:G,list!B:D,3,FALSE)</f>
        <v>#N/A</v>
      </c>
    </row>
    <row r="31" spans="2:17" ht="18" hidden="1" customHeight="1">
      <c r="B31" s="563">
        <v>26</v>
      </c>
      <c r="C31" s="564" t="e">
        <f>VLOOKUP(G:G,list!B:D,2,FALSE)</f>
        <v>#N/A</v>
      </c>
      <c r="D31" s="564" t="s">
        <v>78</v>
      </c>
      <c r="E31" s="564" t="s">
        <v>115</v>
      </c>
      <c r="F31" s="564" t="s">
        <v>309</v>
      </c>
      <c r="G31" s="564" t="s">
        <v>204</v>
      </c>
      <c r="H31" s="565">
        <v>44603</v>
      </c>
      <c r="I31" s="564" t="s">
        <v>455</v>
      </c>
      <c r="J31" s="586">
        <v>8200</v>
      </c>
      <c r="K31" s="567">
        <v>0.7</v>
      </c>
      <c r="L31" s="568">
        <v>5740</v>
      </c>
      <c r="M31" s="569">
        <v>0.1</v>
      </c>
      <c r="N31" s="573">
        <f t="shared" si="1"/>
        <v>574</v>
      </c>
      <c r="O31" s="570">
        <f t="shared" si="0"/>
        <v>5166</v>
      </c>
      <c r="P31" s="575"/>
      <c r="Q31" s="572" t="e">
        <f>VLOOKUP(G:G,list!B:D,3,FALSE)</f>
        <v>#N/A</v>
      </c>
    </row>
    <row r="32" spans="2:17" ht="18" hidden="1" customHeight="1">
      <c r="B32" s="563">
        <v>27</v>
      </c>
      <c r="C32" s="564" t="e">
        <f>VLOOKUP(G:G,list!B:D,2,FALSE)</f>
        <v>#N/A</v>
      </c>
      <c r="D32" s="564" t="s">
        <v>78</v>
      </c>
      <c r="E32" s="564" t="s">
        <v>115</v>
      </c>
      <c r="F32" s="564" t="s">
        <v>309</v>
      </c>
      <c r="G32" s="564" t="s">
        <v>258</v>
      </c>
      <c r="H32" s="565">
        <v>44603</v>
      </c>
      <c r="I32" s="564" t="s">
        <v>455</v>
      </c>
      <c r="J32" s="586">
        <v>17800</v>
      </c>
      <c r="K32" s="567">
        <v>0.7</v>
      </c>
      <c r="L32" s="568">
        <v>12460</v>
      </c>
      <c r="M32" s="569">
        <v>0.1</v>
      </c>
      <c r="N32" s="573">
        <f t="shared" si="1"/>
        <v>1246</v>
      </c>
      <c r="O32" s="570">
        <f t="shared" si="0"/>
        <v>11214</v>
      </c>
      <c r="P32" s="575"/>
      <c r="Q32" s="572" t="e">
        <f>VLOOKUP(G:G,list!B:D,3,FALSE)</f>
        <v>#N/A</v>
      </c>
    </row>
    <row r="33" spans="2:17" ht="18" hidden="1" customHeight="1">
      <c r="B33" s="563">
        <v>28</v>
      </c>
      <c r="C33" s="564" t="e">
        <f>VLOOKUP(G:G,list!B:D,2,FALSE)</f>
        <v>#N/A</v>
      </c>
      <c r="D33" s="564" t="s">
        <v>78</v>
      </c>
      <c r="E33" s="564" t="s">
        <v>9</v>
      </c>
      <c r="F33" s="564" t="s">
        <v>209</v>
      </c>
      <c r="G33" s="564" t="s">
        <v>152</v>
      </c>
      <c r="H33" s="565">
        <v>44409</v>
      </c>
      <c r="I33" s="564" t="s">
        <v>477</v>
      </c>
      <c r="J33" s="586">
        <v>1299759</v>
      </c>
      <c r="K33" s="567">
        <v>0.6</v>
      </c>
      <c r="L33" s="568">
        <v>779857</v>
      </c>
      <c r="M33" s="569">
        <v>0.12</v>
      </c>
      <c r="N33" s="573">
        <f t="shared" si="1"/>
        <v>93582.84</v>
      </c>
      <c r="O33" s="570">
        <f t="shared" si="0"/>
        <v>686274.16</v>
      </c>
      <c r="P33" s="576"/>
      <c r="Q33" s="572" t="e">
        <f>VLOOKUP(G:G,list!B:D,3,FALSE)</f>
        <v>#N/A</v>
      </c>
    </row>
    <row r="34" spans="2:17" ht="18" hidden="1" customHeight="1">
      <c r="B34" s="563">
        <v>29</v>
      </c>
      <c r="C34" s="564" t="e">
        <f>VLOOKUP(G:G,list!B:D,2,FALSE)</f>
        <v>#N/A</v>
      </c>
      <c r="D34" s="564" t="s">
        <v>78</v>
      </c>
      <c r="E34" s="564" t="s">
        <v>9</v>
      </c>
      <c r="F34" s="564" t="s">
        <v>209</v>
      </c>
      <c r="G34" s="564" t="s">
        <v>179</v>
      </c>
      <c r="H34" s="565">
        <v>44409</v>
      </c>
      <c r="I34" s="564" t="s">
        <v>477</v>
      </c>
      <c r="J34" s="586">
        <v>3361059</v>
      </c>
      <c r="K34" s="567">
        <v>0.6</v>
      </c>
      <c r="L34" s="568">
        <v>2016636</v>
      </c>
      <c r="M34" s="569">
        <v>0.1</v>
      </c>
      <c r="N34" s="573">
        <f t="shared" si="1"/>
        <v>201663.6</v>
      </c>
      <c r="O34" s="570">
        <f t="shared" si="0"/>
        <v>1814972.4</v>
      </c>
      <c r="P34" s="575" t="s">
        <v>440</v>
      </c>
      <c r="Q34" s="572" t="e">
        <f>VLOOKUP(G:G,list!B:D,3,FALSE)</f>
        <v>#N/A</v>
      </c>
    </row>
    <row r="35" spans="2:17" ht="18" hidden="1" customHeight="1">
      <c r="B35" s="563">
        <v>30</v>
      </c>
      <c r="C35" s="564" t="e">
        <f>VLOOKUP(G:G,list!B:D,2,FALSE)</f>
        <v>#N/A</v>
      </c>
      <c r="D35" s="564" t="s">
        <v>78</v>
      </c>
      <c r="E35" s="564" t="s">
        <v>9</v>
      </c>
      <c r="F35" s="564" t="s">
        <v>209</v>
      </c>
      <c r="G35" s="564" t="s">
        <v>74</v>
      </c>
      <c r="H35" s="565">
        <v>44409</v>
      </c>
      <c r="I35" s="564" t="s">
        <v>477</v>
      </c>
      <c r="J35" s="586">
        <v>247090</v>
      </c>
      <c r="K35" s="567">
        <v>0.6</v>
      </c>
      <c r="L35" s="568">
        <v>148254</v>
      </c>
      <c r="M35" s="569">
        <v>0.1</v>
      </c>
      <c r="N35" s="570">
        <f t="shared" si="1"/>
        <v>14825.400000000001</v>
      </c>
      <c r="O35" s="570">
        <f t="shared" si="0"/>
        <v>133428.6</v>
      </c>
      <c r="P35" s="576"/>
      <c r="Q35" s="572" t="e">
        <f>VLOOKUP(G:G,list!B:D,3,FALSE)</f>
        <v>#N/A</v>
      </c>
    </row>
    <row r="36" spans="2:17" ht="18" hidden="1" customHeight="1">
      <c r="B36" s="563">
        <v>31</v>
      </c>
      <c r="C36" s="564" t="str">
        <f>VLOOKUP(G:G,list!B:D,2,FALSE)</f>
        <v>원작료</v>
      </c>
      <c r="D36" s="564" t="s">
        <v>78</v>
      </c>
      <c r="E36" s="564" t="s">
        <v>9</v>
      </c>
      <c r="F36" s="564" t="s">
        <v>209</v>
      </c>
      <c r="G36" s="564" t="s">
        <v>151</v>
      </c>
      <c r="H36" s="565">
        <v>44409</v>
      </c>
      <c r="I36" s="564" t="s">
        <v>477</v>
      </c>
      <c r="J36" s="586">
        <v>482157</v>
      </c>
      <c r="K36" s="567">
        <v>0.6</v>
      </c>
      <c r="L36" s="568">
        <v>289295</v>
      </c>
      <c r="M36" s="569">
        <v>0.1</v>
      </c>
      <c r="N36" s="570">
        <f>L36*M36</f>
        <v>28929.5</v>
      </c>
      <c r="O36" s="570">
        <f>L36-N36</f>
        <v>260365.5</v>
      </c>
      <c r="P36" s="576"/>
      <c r="Q36" s="572" t="str">
        <f>VLOOKUP(G:G,list!B:D,3,FALSE)</f>
        <v>Y</v>
      </c>
    </row>
    <row r="37" spans="2:17" ht="18" hidden="1" customHeight="1">
      <c r="B37" s="563">
        <v>32</v>
      </c>
      <c r="C37" s="564" t="e">
        <f>VLOOKUP(G:G,list!B:D,2,FALSE)</f>
        <v>#N/A</v>
      </c>
      <c r="D37" s="564" t="s">
        <v>78</v>
      </c>
      <c r="E37" s="564" t="s">
        <v>9</v>
      </c>
      <c r="F37" s="564" t="s">
        <v>209</v>
      </c>
      <c r="G37" s="564" t="s">
        <v>147</v>
      </c>
      <c r="H37" s="565">
        <v>44409</v>
      </c>
      <c r="I37" s="564" t="s">
        <v>477</v>
      </c>
      <c r="J37" s="586">
        <v>973678</v>
      </c>
      <c r="K37" s="567">
        <v>0.6</v>
      </c>
      <c r="L37" s="568">
        <v>584207</v>
      </c>
      <c r="M37" s="569" t="s">
        <v>203</v>
      </c>
      <c r="N37" s="570">
        <v>0</v>
      </c>
      <c r="O37" s="570">
        <f t="shared" si="0"/>
        <v>584207</v>
      </c>
      <c r="P37" s="575"/>
      <c r="Q37" s="572" t="e">
        <f>VLOOKUP(G:G,list!B:D,3,FALSE)</f>
        <v>#N/A</v>
      </c>
    </row>
    <row r="38" spans="2:17" ht="18" hidden="1" customHeight="1">
      <c r="B38" s="563">
        <v>33</v>
      </c>
      <c r="C38" s="564" t="e">
        <f>VLOOKUP(G:G,list!B:D,2,FALSE)</f>
        <v>#N/A</v>
      </c>
      <c r="D38" s="564" t="s">
        <v>78</v>
      </c>
      <c r="E38" s="564" t="s">
        <v>9</v>
      </c>
      <c r="F38" s="564" t="s">
        <v>209</v>
      </c>
      <c r="G38" s="564" t="s">
        <v>212</v>
      </c>
      <c r="H38" s="565">
        <v>44465</v>
      </c>
      <c r="I38" s="564" t="s">
        <v>477</v>
      </c>
      <c r="J38" s="586">
        <v>3041509</v>
      </c>
      <c r="K38" s="567">
        <v>0.6</v>
      </c>
      <c r="L38" s="568">
        <v>1824904</v>
      </c>
      <c r="M38" s="569">
        <v>0.1</v>
      </c>
      <c r="N38" s="573">
        <f t="shared" ref="N38:N48" si="2">L38*M38</f>
        <v>182490.40000000002</v>
      </c>
      <c r="O38" s="570">
        <f t="shared" si="0"/>
        <v>1642413.6</v>
      </c>
      <c r="P38" s="576"/>
      <c r="Q38" s="572" t="e">
        <f>VLOOKUP(G:G,list!B:D,3,FALSE)</f>
        <v>#N/A</v>
      </c>
    </row>
    <row r="39" spans="2:17" ht="18" hidden="1" customHeight="1">
      <c r="B39" s="563">
        <v>34</v>
      </c>
      <c r="C39" s="564" t="e">
        <f>VLOOKUP(G:G,list!B:D,2,FALSE)</f>
        <v>#N/A</v>
      </c>
      <c r="D39" s="564" t="s">
        <v>78</v>
      </c>
      <c r="E39" s="564" t="s">
        <v>9</v>
      </c>
      <c r="F39" s="564" t="s">
        <v>209</v>
      </c>
      <c r="G39" s="564" t="s">
        <v>225</v>
      </c>
      <c r="H39" s="565">
        <v>44484</v>
      </c>
      <c r="I39" s="564" t="s">
        <v>477</v>
      </c>
      <c r="J39" s="586">
        <v>179397</v>
      </c>
      <c r="K39" s="567">
        <v>0.6</v>
      </c>
      <c r="L39" s="568">
        <v>107639</v>
      </c>
      <c r="M39" s="569">
        <v>0.1</v>
      </c>
      <c r="N39" s="570">
        <f t="shared" si="2"/>
        <v>10763.900000000001</v>
      </c>
      <c r="O39" s="570">
        <f>L39-N39</f>
        <v>96875.1</v>
      </c>
      <c r="P39" s="576"/>
      <c r="Q39" s="572" t="e">
        <f>VLOOKUP(G:G,list!B:D,3,FALSE)</f>
        <v>#N/A</v>
      </c>
    </row>
    <row r="40" spans="2:17" ht="18" hidden="1" customHeight="1">
      <c r="B40" s="563">
        <v>35</v>
      </c>
      <c r="C40" s="564" t="e">
        <f>VLOOKUP(G:G,list!B:D,2,FALSE)</f>
        <v>#N/A</v>
      </c>
      <c r="D40" s="564" t="s">
        <v>78</v>
      </c>
      <c r="E40" s="564" t="s">
        <v>9</v>
      </c>
      <c r="F40" s="564" t="s">
        <v>209</v>
      </c>
      <c r="G40" s="564" t="s">
        <v>153</v>
      </c>
      <c r="H40" s="565">
        <v>44510</v>
      </c>
      <c r="I40" s="564" t="s">
        <v>477</v>
      </c>
      <c r="J40" s="586">
        <v>453566</v>
      </c>
      <c r="K40" s="567">
        <v>0.6</v>
      </c>
      <c r="L40" s="568">
        <v>272139</v>
      </c>
      <c r="M40" s="569">
        <v>0.1</v>
      </c>
      <c r="N40" s="570">
        <f t="shared" si="2"/>
        <v>27213.9</v>
      </c>
      <c r="O40" s="570">
        <f t="shared" si="0"/>
        <v>244925.1</v>
      </c>
      <c r="P40" s="576"/>
      <c r="Q40" s="572" t="e">
        <f>VLOOKUP(G:G,list!B:D,3,FALSE)</f>
        <v>#N/A</v>
      </c>
    </row>
    <row r="41" spans="2:17" ht="18" hidden="1" customHeight="1">
      <c r="B41" s="563">
        <v>36</v>
      </c>
      <c r="C41" s="564" t="e">
        <f>VLOOKUP(G:G,list!B:D,2,FALSE)</f>
        <v>#N/A</v>
      </c>
      <c r="D41" s="564" t="s">
        <v>78</v>
      </c>
      <c r="E41" s="564" t="s">
        <v>9</v>
      </c>
      <c r="F41" s="564" t="s">
        <v>209</v>
      </c>
      <c r="G41" s="564" t="s">
        <v>336</v>
      </c>
      <c r="H41" s="565">
        <v>44595</v>
      </c>
      <c r="I41" s="564" t="s">
        <v>477</v>
      </c>
      <c r="J41" s="586">
        <v>2311705</v>
      </c>
      <c r="K41" s="567">
        <v>0.6</v>
      </c>
      <c r="L41" s="568">
        <v>1387023</v>
      </c>
      <c r="M41" s="569">
        <v>0.1</v>
      </c>
      <c r="N41" s="570">
        <f t="shared" si="2"/>
        <v>138702.30000000002</v>
      </c>
      <c r="O41" s="570">
        <f t="shared" si="0"/>
        <v>1248320.7</v>
      </c>
      <c r="P41" s="578"/>
      <c r="Q41" s="572" t="e">
        <f>VLOOKUP(G:G,list!B:D,3,FALSE)</f>
        <v>#N/A</v>
      </c>
    </row>
    <row r="42" spans="2:17" ht="18" hidden="1" customHeight="1">
      <c r="B42" s="563">
        <v>37</v>
      </c>
      <c r="C42" s="564" t="e">
        <f>VLOOKUP(G:G,list!B:D,2,FALSE)</f>
        <v>#N/A</v>
      </c>
      <c r="D42" s="564" t="s">
        <v>78</v>
      </c>
      <c r="E42" s="564" t="s">
        <v>9</v>
      </c>
      <c r="F42" s="564" t="s">
        <v>209</v>
      </c>
      <c r="G42" s="564" t="s">
        <v>335</v>
      </c>
      <c r="H42" s="565">
        <v>44624</v>
      </c>
      <c r="I42" s="564" t="s">
        <v>477</v>
      </c>
      <c r="J42" s="586">
        <v>1781779</v>
      </c>
      <c r="K42" s="567">
        <v>0.60000003881483055</v>
      </c>
      <c r="L42" s="568">
        <v>1069068</v>
      </c>
      <c r="M42" s="569">
        <v>0.1</v>
      </c>
      <c r="N42" s="570">
        <f t="shared" si="2"/>
        <v>106906.8</v>
      </c>
      <c r="O42" s="570">
        <f t="shared" si="0"/>
        <v>962161.2</v>
      </c>
      <c r="P42" s="578"/>
      <c r="Q42" s="572" t="e">
        <f>VLOOKUP(G:G,list!B:D,3,FALSE)</f>
        <v>#N/A</v>
      </c>
    </row>
    <row r="43" spans="2:17" ht="18" hidden="1" customHeight="1">
      <c r="B43" s="563">
        <v>38</v>
      </c>
      <c r="C43" s="564" t="e">
        <f>VLOOKUP(G:G,list!B:D,2,FALSE)</f>
        <v>#N/A</v>
      </c>
      <c r="D43" s="564" t="s">
        <v>78</v>
      </c>
      <c r="E43" s="564" t="s">
        <v>9</v>
      </c>
      <c r="F43" s="564" t="s">
        <v>209</v>
      </c>
      <c r="G43" s="564" t="s">
        <v>412</v>
      </c>
      <c r="H43" s="565">
        <v>44747</v>
      </c>
      <c r="I43" s="564" t="s">
        <v>477</v>
      </c>
      <c r="J43" s="586">
        <v>1824975</v>
      </c>
      <c r="K43" s="567">
        <v>0.6</v>
      </c>
      <c r="L43" s="568">
        <v>1094985</v>
      </c>
      <c r="M43" s="569">
        <v>0.1</v>
      </c>
      <c r="N43" s="573">
        <f t="shared" si="2"/>
        <v>109498.5</v>
      </c>
      <c r="O43" s="570">
        <f t="shared" si="0"/>
        <v>985486.5</v>
      </c>
      <c r="P43" s="578"/>
      <c r="Q43" s="572" t="e">
        <f>VLOOKUP(G:G,list!B:D,3,FALSE)</f>
        <v>#N/A</v>
      </c>
    </row>
    <row r="44" spans="2:17" s="608" customFormat="1" ht="18" hidden="1" customHeight="1">
      <c r="B44" s="607">
        <v>39</v>
      </c>
      <c r="C44" s="587" t="e">
        <f>VLOOKUP(G:G,list!B:D,2,FALSE)</f>
        <v>#N/A</v>
      </c>
      <c r="D44" s="587" t="s">
        <v>78</v>
      </c>
      <c r="E44" s="587" t="s">
        <v>9</v>
      </c>
      <c r="F44" s="587" t="s">
        <v>209</v>
      </c>
      <c r="G44" s="587" t="s">
        <v>413</v>
      </c>
      <c r="H44" s="588">
        <v>44755</v>
      </c>
      <c r="I44" s="587" t="s">
        <v>477</v>
      </c>
      <c r="J44" s="589">
        <v>12131189</v>
      </c>
      <c r="K44" s="590">
        <v>0.6</v>
      </c>
      <c r="L44" s="591">
        <v>7278713</v>
      </c>
      <c r="M44" s="592">
        <v>0.1</v>
      </c>
      <c r="N44" s="593">
        <f t="shared" si="2"/>
        <v>727871.3</v>
      </c>
      <c r="O44" s="593">
        <f t="shared" si="0"/>
        <v>6550841.7000000002</v>
      </c>
      <c r="P44" s="594" t="s">
        <v>494</v>
      </c>
      <c r="Q44" s="595" t="e">
        <f>VLOOKUP(G:G,list!B:D,3,FALSE)</f>
        <v>#N/A</v>
      </c>
    </row>
    <row r="45" spans="2:17" ht="18" hidden="1" customHeight="1">
      <c r="B45" s="563">
        <v>40</v>
      </c>
      <c r="C45" s="564" t="e">
        <f>VLOOKUP(G:G,list!B:D,2,FALSE)</f>
        <v>#N/A</v>
      </c>
      <c r="D45" s="564" t="s">
        <v>78</v>
      </c>
      <c r="E45" s="564" t="s">
        <v>9</v>
      </c>
      <c r="F45" s="564" t="s">
        <v>209</v>
      </c>
      <c r="G45" s="564" t="s">
        <v>414</v>
      </c>
      <c r="H45" s="565">
        <v>44762</v>
      </c>
      <c r="I45" s="564" t="s">
        <v>477</v>
      </c>
      <c r="J45" s="586">
        <v>816959</v>
      </c>
      <c r="K45" s="567">
        <v>0.6</v>
      </c>
      <c r="L45" s="568">
        <v>490175</v>
      </c>
      <c r="M45" s="569">
        <v>0.12</v>
      </c>
      <c r="N45" s="573">
        <f t="shared" si="2"/>
        <v>58821</v>
      </c>
      <c r="O45" s="570">
        <f>L45-N45</f>
        <v>431354</v>
      </c>
      <c r="P45" s="578"/>
      <c r="Q45" s="572" t="e">
        <f>VLOOKUP(G:G,list!B:D,3,FALSE)</f>
        <v>#N/A</v>
      </c>
    </row>
    <row r="46" spans="2:17" s="608" customFormat="1" ht="18" hidden="1" customHeight="1">
      <c r="B46" s="607">
        <v>41</v>
      </c>
      <c r="C46" s="587" t="e">
        <f>VLOOKUP(G:G,list!B:D,2,FALSE)</f>
        <v>#N/A</v>
      </c>
      <c r="D46" s="587" t="s">
        <v>78</v>
      </c>
      <c r="E46" s="587" t="s">
        <v>9</v>
      </c>
      <c r="F46" s="587" t="s">
        <v>209</v>
      </c>
      <c r="G46" s="587" t="s">
        <v>446</v>
      </c>
      <c r="H46" s="588">
        <v>44800</v>
      </c>
      <c r="I46" s="587" t="s">
        <v>455</v>
      </c>
      <c r="J46" s="589">
        <v>788726</v>
      </c>
      <c r="K46" s="590">
        <v>0.6</v>
      </c>
      <c r="L46" s="591">
        <v>473235</v>
      </c>
      <c r="M46" s="592">
        <v>0.1</v>
      </c>
      <c r="N46" s="598">
        <f t="shared" si="2"/>
        <v>47323.5</v>
      </c>
      <c r="O46" s="593">
        <f>L46-N46</f>
        <v>425911.5</v>
      </c>
      <c r="P46" s="594" t="s">
        <v>494</v>
      </c>
      <c r="Q46" s="595" t="e">
        <f>VLOOKUP(G:G,list!B:D,3,FALSE)</f>
        <v>#N/A</v>
      </c>
    </row>
    <row r="47" spans="2:17" s="608" customFormat="1" ht="18" hidden="1" customHeight="1">
      <c r="B47" s="607">
        <v>42</v>
      </c>
      <c r="C47" s="587" t="e">
        <f>VLOOKUP(G:G,list!B:D,2,FALSE)</f>
        <v>#N/A</v>
      </c>
      <c r="D47" s="587" t="s">
        <v>78</v>
      </c>
      <c r="E47" s="587" t="s">
        <v>9</v>
      </c>
      <c r="F47" s="587" t="s">
        <v>209</v>
      </c>
      <c r="G47" s="587" t="s">
        <v>410</v>
      </c>
      <c r="H47" s="588">
        <v>44806</v>
      </c>
      <c r="I47" s="587" t="s">
        <v>477</v>
      </c>
      <c r="J47" s="589">
        <v>13131440</v>
      </c>
      <c r="K47" s="590">
        <v>0.6</v>
      </c>
      <c r="L47" s="591">
        <v>7878862</v>
      </c>
      <c r="M47" s="592">
        <v>0.1</v>
      </c>
      <c r="N47" s="593">
        <f t="shared" si="2"/>
        <v>787886.20000000007</v>
      </c>
      <c r="O47" s="593">
        <f t="shared" ref="O47:O48" si="3">L47-N47</f>
        <v>7090975.7999999998</v>
      </c>
      <c r="P47" s="594" t="s">
        <v>495</v>
      </c>
      <c r="Q47" s="595"/>
    </row>
    <row r="48" spans="2:17" ht="18" hidden="1" customHeight="1">
      <c r="B48" s="563">
        <v>43</v>
      </c>
      <c r="C48" s="564" t="e">
        <f>VLOOKUP(G:G,list!B:D,2,FALSE)</f>
        <v>#N/A</v>
      </c>
      <c r="D48" s="564" t="s">
        <v>78</v>
      </c>
      <c r="E48" s="564" t="s">
        <v>9</v>
      </c>
      <c r="F48" s="564" t="s">
        <v>209</v>
      </c>
      <c r="G48" s="564" t="s">
        <v>407</v>
      </c>
      <c r="H48" s="565">
        <v>44822</v>
      </c>
      <c r="I48" s="564" t="s">
        <v>477</v>
      </c>
      <c r="J48" s="586">
        <v>437461</v>
      </c>
      <c r="K48" s="567">
        <v>0.6</v>
      </c>
      <c r="L48" s="568">
        <v>262477</v>
      </c>
      <c r="M48" s="569">
        <v>0.12</v>
      </c>
      <c r="N48" s="570">
        <f t="shared" si="2"/>
        <v>31497.239999999998</v>
      </c>
      <c r="O48" s="570">
        <f t="shared" si="3"/>
        <v>230979.76</v>
      </c>
      <c r="P48" s="578" t="s">
        <v>287</v>
      </c>
      <c r="Q48" s="572"/>
    </row>
    <row r="49" spans="2:17" ht="18" hidden="1" customHeight="1">
      <c r="B49" s="563">
        <v>44</v>
      </c>
      <c r="C49" s="564" t="e">
        <f>VLOOKUP(G:G,list!B:D,2,FALSE)</f>
        <v>#N/A</v>
      </c>
      <c r="D49" s="564" t="s">
        <v>78</v>
      </c>
      <c r="E49" s="564" t="s">
        <v>9</v>
      </c>
      <c r="F49" s="564" t="s">
        <v>126</v>
      </c>
      <c r="G49" s="564" t="s">
        <v>152</v>
      </c>
      <c r="H49" s="565">
        <v>43994</v>
      </c>
      <c r="I49" s="564" t="s">
        <v>455</v>
      </c>
      <c r="J49" s="586">
        <v>9861418.6999999993</v>
      </c>
      <c r="K49" s="567" t="s">
        <v>207</v>
      </c>
      <c r="L49" s="568">
        <v>5916853</v>
      </c>
      <c r="M49" s="569">
        <v>0.12</v>
      </c>
      <c r="N49" s="573">
        <f>(L49-4000000)*M49</f>
        <v>230022.36</v>
      </c>
      <c r="O49" s="570">
        <f t="shared" ref="O49:O113" si="4">L49-N49</f>
        <v>5686830.6399999997</v>
      </c>
      <c r="P49" s="576" t="s">
        <v>343</v>
      </c>
      <c r="Q49" s="572" t="e">
        <f>VLOOKUP(G:G,list!B:D,3,FALSE)</f>
        <v>#N/A</v>
      </c>
    </row>
    <row r="50" spans="2:17" ht="18" hidden="1" customHeight="1">
      <c r="B50" s="563">
        <v>45</v>
      </c>
      <c r="C50" s="564" t="e">
        <f>VLOOKUP(G:G,list!B:D,2,FALSE)</f>
        <v>#N/A</v>
      </c>
      <c r="D50" s="564" t="s">
        <v>78</v>
      </c>
      <c r="E50" s="564" t="s">
        <v>9</v>
      </c>
      <c r="F50" s="564" t="s">
        <v>126</v>
      </c>
      <c r="G50" s="564" t="s">
        <v>153</v>
      </c>
      <c r="H50" s="565">
        <v>44040</v>
      </c>
      <c r="I50" s="564" t="s">
        <v>477</v>
      </c>
      <c r="J50" s="586">
        <v>808606.1</v>
      </c>
      <c r="K50" s="567" t="s">
        <v>207</v>
      </c>
      <c r="L50" s="568">
        <v>485164</v>
      </c>
      <c r="M50" s="569">
        <v>0.1</v>
      </c>
      <c r="N50" s="570">
        <f>L50*M50</f>
        <v>48516.4</v>
      </c>
      <c r="O50" s="570">
        <f t="shared" si="4"/>
        <v>436647.6</v>
      </c>
      <c r="P50" s="575"/>
      <c r="Q50" s="572" t="e">
        <f>VLOOKUP(G:G,list!B:D,3,FALSE)</f>
        <v>#N/A</v>
      </c>
    </row>
    <row r="51" spans="2:17" ht="18" hidden="1" customHeight="1">
      <c r="B51" s="563">
        <v>46</v>
      </c>
      <c r="C51" s="564" t="e">
        <f>VLOOKUP(G:G,list!B:D,2,FALSE)</f>
        <v>#N/A</v>
      </c>
      <c r="D51" s="564" t="s">
        <v>78</v>
      </c>
      <c r="E51" s="564" t="s">
        <v>9</v>
      </c>
      <c r="F51" s="564" t="s">
        <v>126</v>
      </c>
      <c r="G51" s="564" t="s">
        <v>179</v>
      </c>
      <c r="H51" s="565">
        <v>44074</v>
      </c>
      <c r="I51" s="564" t="s">
        <v>477</v>
      </c>
      <c r="J51" s="586">
        <v>18404879.199999999</v>
      </c>
      <c r="K51" s="567" t="s">
        <v>207</v>
      </c>
      <c r="L51" s="568">
        <v>11042927</v>
      </c>
      <c r="M51" s="569">
        <v>0.1</v>
      </c>
      <c r="N51" s="573">
        <f>L51*M51</f>
        <v>1104292.7</v>
      </c>
      <c r="O51" s="570">
        <f t="shared" si="4"/>
        <v>9938634.3000000007</v>
      </c>
      <c r="P51" s="575" t="s">
        <v>440</v>
      </c>
      <c r="Q51" s="572" t="e">
        <f>VLOOKUP(G:G,list!B:D,3,FALSE)</f>
        <v>#N/A</v>
      </c>
    </row>
    <row r="52" spans="2:17" ht="18" hidden="1" customHeight="1">
      <c r="B52" s="563">
        <v>47</v>
      </c>
      <c r="C52" s="564" t="e">
        <f>VLOOKUP(G:G,list!B:D,2,FALSE)</f>
        <v>#N/A</v>
      </c>
      <c r="D52" s="564" t="s">
        <v>78</v>
      </c>
      <c r="E52" s="564" t="s">
        <v>9</v>
      </c>
      <c r="F52" s="564" t="s">
        <v>126</v>
      </c>
      <c r="G52" s="564" t="s">
        <v>74</v>
      </c>
      <c r="H52" s="565">
        <v>44098</v>
      </c>
      <c r="I52" s="564" t="s">
        <v>477</v>
      </c>
      <c r="J52" s="586">
        <v>900287.3</v>
      </c>
      <c r="K52" s="567" t="s">
        <v>207</v>
      </c>
      <c r="L52" s="568">
        <v>540173</v>
      </c>
      <c r="M52" s="569">
        <v>0.1</v>
      </c>
      <c r="N52" s="570">
        <f>L52*M52</f>
        <v>54017.3</v>
      </c>
      <c r="O52" s="570">
        <f t="shared" si="4"/>
        <v>486155.7</v>
      </c>
      <c r="P52" s="576"/>
      <c r="Q52" s="572" t="e">
        <f>VLOOKUP(G:G,list!B:D,3,FALSE)</f>
        <v>#N/A</v>
      </c>
    </row>
    <row r="53" spans="2:17" ht="18" hidden="1" customHeight="1">
      <c r="B53" s="563">
        <v>48</v>
      </c>
      <c r="C53" s="564" t="str">
        <f>VLOOKUP(G:G,list!B:D,2,FALSE)</f>
        <v>원작료</v>
      </c>
      <c r="D53" s="564" t="s">
        <v>78</v>
      </c>
      <c r="E53" s="564" t="s">
        <v>9</v>
      </c>
      <c r="F53" s="564" t="s">
        <v>126</v>
      </c>
      <c r="G53" s="564" t="s">
        <v>151</v>
      </c>
      <c r="H53" s="565">
        <v>44199</v>
      </c>
      <c r="I53" s="564" t="s">
        <v>477</v>
      </c>
      <c r="J53" s="586">
        <v>709405.4</v>
      </c>
      <c r="K53" s="567" t="s">
        <v>207</v>
      </c>
      <c r="L53" s="568">
        <v>425646</v>
      </c>
      <c r="M53" s="569">
        <v>0.1</v>
      </c>
      <c r="N53" s="570">
        <f>L53*M53</f>
        <v>42564.600000000006</v>
      </c>
      <c r="O53" s="570">
        <f>L53-N53</f>
        <v>383081.4</v>
      </c>
      <c r="P53" s="576" t="s">
        <v>489</v>
      </c>
      <c r="Q53" s="572" t="str">
        <f>VLOOKUP(G:G,list!B:D,3,FALSE)</f>
        <v>Y</v>
      </c>
    </row>
    <row r="54" spans="2:17" ht="18" hidden="1" customHeight="1">
      <c r="B54" s="563">
        <v>49</v>
      </c>
      <c r="C54" s="564" t="e">
        <f>VLOOKUP(G:G,list!B:D,2,FALSE)</f>
        <v>#N/A</v>
      </c>
      <c r="D54" s="564" t="s">
        <v>78</v>
      </c>
      <c r="E54" s="564" t="s">
        <v>9</v>
      </c>
      <c r="F54" s="564" t="s">
        <v>126</v>
      </c>
      <c r="G54" s="564" t="s">
        <v>147</v>
      </c>
      <c r="H54" s="565">
        <v>44224</v>
      </c>
      <c r="I54" s="564" t="s">
        <v>477</v>
      </c>
      <c r="J54" s="586">
        <v>1623036.6</v>
      </c>
      <c r="K54" s="567" t="s">
        <v>369</v>
      </c>
      <c r="L54" s="568">
        <v>973822</v>
      </c>
      <c r="M54" s="569" t="s">
        <v>203</v>
      </c>
      <c r="N54" s="573">
        <v>0</v>
      </c>
      <c r="O54" s="570">
        <f t="shared" si="4"/>
        <v>973822</v>
      </c>
      <c r="P54" s="576"/>
      <c r="Q54" s="572" t="e">
        <f>VLOOKUP(G:G,list!B:D,3,FALSE)</f>
        <v>#N/A</v>
      </c>
    </row>
    <row r="55" spans="2:17" ht="18" hidden="1" customHeight="1">
      <c r="B55" s="563">
        <v>50</v>
      </c>
      <c r="C55" s="564" t="e">
        <f>VLOOKUP(G:G,list!B:D,2,FALSE)</f>
        <v>#N/A</v>
      </c>
      <c r="D55" s="564" t="s">
        <v>78</v>
      </c>
      <c r="E55" s="564" t="s">
        <v>9</v>
      </c>
      <c r="F55" s="564" t="s">
        <v>126</v>
      </c>
      <c r="G55" s="564" t="s">
        <v>226</v>
      </c>
      <c r="H55" s="565">
        <v>44320</v>
      </c>
      <c r="I55" s="564" t="s">
        <v>477</v>
      </c>
      <c r="J55" s="586">
        <v>175951</v>
      </c>
      <c r="K55" s="567" t="s">
        <v>207</v>
      </c>
      <c r="L55" s="568">
        <v>105570</v>
      </c>
      <c r="M55" s="569">
        <v>0.1</v>
      </c>
      <c r="N55" s="570">
        <f>L55*M55</f>
        <v>10557</v>
      </c>
      <c r="O55" s="570">
        <f>L55-N55</f>
        <v>95013</v>
      </c>
      <c r="P55" s="576"/>
      <c r="Q55" s="572" t="e">
        <f>VLOOKUP(G:G,list!B:D,3,FALSE)</f>
        <v>#N/A</v>
      </c>
    </row>
    <row r="56" spans="2:17" ht="18" hidden="1" customHeight="1">
      <c r="B56" s="563">
        <v>51</v>
      </c>
      <c r="C56" s="564" t="e">
        <f>VLOOKUP(G:G,list!B:D,2,FALSE)</f>
        <v>#N/A</v>
      </c>
      <c r="D56" s="564" t="s">
        <v>78</v>
      </c>
      <c r="E56" s="564" t="s">
        <v>9</v>
      </c>
      <c r="F56" s="564" t="s">
        <v>126</v>
      </c>
      <c r="G56" s="564" t="s">
        <v>225</v>
      </c>
      <c r="H56" s="565">
        <v>44331</v>
      </c>
      <c r="I56" s="564" t="s">
        <v>477</v>
      </c>
      <c r="J56" s="586">
        <v>303175.5</v>
      </c>
      <c r="K56" s="567" t="s">
        <v>207</v>
      </c>
      <c r="L56" s="568">
        <v>181904</v>
      </c>
      <c r="M56" s="569">
        <v>0.1</v>
      </c>
      <c r="N56" s="570">
        <f>L56*M56</f>
        <v>18190.400000000001</v>
      </c>
      <c r="O56" s="570">
        <f>L56-N56</f>
        <v>163713.60000000001</v>
      </c>
      <c r="P56" s="576"/>
      <c r="Q56" s="572" t="e">
        <f>VLOOKUP(G:G,list!B:D,3,FALSE)</f>
        <v>#N/A</v>
      </c>
    </row>
    <row r="57" spans="2:17" ht="17.25" hidden="1" customHeight="1">
      <c r="B57" s="563">
        <v>52</v>
      </c>
      <c r="C57" s="564" t="e">
        <f>VLOOKUP(G:G,list!B:D,2,FALSE)</f>
        <v>#N/A</v>
      </c>
      <c r="D57" s="564" t="s">
        <v>78</v>
      </c>
      <c r="E57" s="564" t="s">
        <v>9</v>
      </c>
      <c r="F57" s="564" t="s">
        <v>126</v>
      </c>
      <c r="G57" s="564" t="s">
        <v>191</v>
      </c>
      <c r="H57" s="565">
        <v>44372</v>
      </c>
      <c r="I57" s="564" t="s">
        <v>477</v>
      </c>
      <c r="J57" s="586">
        <v>7424401.0999999996</v>
      </c>
      <c r="K57" s="567" t="s">
        <v>207</v>
      </c>
      <c r="L57" s="568">
        <v>4454640</v>
      </c>
      <c r="M57" s="569">
        <v>0.1</v>
      </c>
      <c r="N57" s="573">
        <f>L57*M57</f>
        <v>445464</v>
      </c>
      <c r="O57" s="570">
        <f t="shared" si="4"/>
        <v>4009176</v>
      </c>
      <c r="P57" s="576"/>
      <c r="Q57" s="572" t="e">
        <f>VLOOKUP(G:G,list!B:D,3,FALSE)</f>
        <v>#N/A</v>
      </c>
    </row>
    <row r="58" spans="2:17" ht="18" hidden="1" customHeight="1">
      <c r="B58" s="563">
        <v>53</v>
      </c>
      <c r="C58" s="564" t="e">
        <f>VLOOKUP(G:G,list!B:D,2,FALSE)</f>
        <v>#N/A</v>
      </c>
      <c r="D58" s="564" t="s">
        <v>78</v>
      </c>
      <c r="E58" s="564" t="s">
        <v>9</v>
      </c>
      <c r="F58" s="564" t="s">
        <v>126</v>
      </c>
      <c r="G58" s="564" t="s">
        <v>336</v>
      </c>
      <c r="H58" s="565">
        <v>44392</v>
      </c>
      <c r="I58" s="564" t="s">
        <v>477</v>
      </c>
      <c r="J58" s="586">
        <v>8828793.9000000004</v>
      </c>
      <c r="K58" s="567" t="s">
        <v>207</v>
      </c>
      <c r="L58" s="568">
        <v>5297276</v>
      </c>
      <c r="M58" s="569">
        <v>0.1</v>
      </c>
      <c r="N58" s="570">
        <f>L58*M58</f>
        <v>529727.6</v>
      </c>
      <c r="O58" s="570">
        <f t="shared" si="4"/>
        <v>4767548.4000000004</v>
      </c>
      <c r="P58" s="576"/>
      <c r="Q58" s="572" t="e">
        <f>VLOOKUP(G:G,list!B:D,3,FALSE)</f>
        <v>#N/A</v>
      </c>
    </row>
    <row r="59" spans="2:17" ht="18" hidden="1" customHeight="1">
      <c r="B59" s="563">
        <v>54</v>
      </c>
      <c r="C59" s="564" t="e">
        <f>VLOOKUP(G:G,list!B:D,2,FALSE)</f>
        <v>#N/A</v>
      </c>
      <c r="D59" s="564" t="s">
        <v>78</v>
      </c>
      <c r="E59" s="564" t="s">
        <v>9</v>
      </c>
      <c r="F59" s="564" t="s">
        <v>126</v>
      </c>
      <c r="G59" s="564" t="s">
        <v>335</v>
      </c>
      <c r="H59" s="565">
        <v>44457</v>
      </c>
      <c r="I59" s="564" t="s">
        <v>477</v>
      </c>
      <c r="J59" s="586">
        <v>9043268.0999999996</v>
      </c>
      <c r="K59" s="567" t="s">
        <v>207</v>
      </c>
      <c r="L59" s="568">
        <v>5425960</v>
      </c>
      <c r="M59" s="569">
        <v>0.1</v>
      </c>
      <c r="N59" s="570">
        <f>L59*M59</f>
        <v>542596</v>
      </c>
      <c r="O59" s="570">
        <f t="shared" si="4"/>
        <v>4883364</v>
      </c>
      <c r="P59" s="576"/>
      <c r="Q59" s="572" t="e">
        <f>VLOOKUP(G:G,list!B:D,3,FALSE)</f>
        <v>#N/A</v>
      </c>
    </row>
    <row r="60" spans="2:17" ht="18" hidden="1" customHeight="1">
      <c r="B60" s="563">
        <v>55</v>
      </c>
      <c r="C60" s="564" t="str">
        <f>VLOOKUP(G:G,list!B:D,2,FALSE)</f>
        <v>작가기획</v>
      </c>
      <c r="D60" s="564" t="s">
        <v>78</v>
      </c>
      <c r="E60" s="564" t="s">
        <v>9</v>
      </c>
      <c r="F60" s="564" t="s">
        <v>126</v>
      </c>
      <c r="G60" s="564" t="s">
        <v>275</v>
      </c>
      <c r="H60" s="565">
        <v>44607</v>
      </c>
      <c r="I60" s="564" t="s">
        <v>477</v>
      </c>
      <c r="J60" s="586">
        <v>603827.6</v>
      </c>
      <c r="K60" s="567" t="s">
        <v>207</v>
      </c>
      <c r="L60" s="568">
        <v>362299</v>
      </c>
      <c r="M60" s="569" t="s">
        <v>203</v>
      </c>
      <c r="N60" s="573">
        <v>0</v>
      </c>
      <c r="O60" s="570">
        <f>L60-N60</f>
        <v>362299</v>
      </c>
      <c r="P60" s="575"/>
      <c r="Q60" s="572" t="str">
        <f>VLOOKUP(G:G,list!B:D,3,FALSE)</f>
        <v>Y</v>
      </c>
    </row>
    <row r="61" spans="2:17" ht="18" hidden="1" customHeight="1">
      <c r="B61" s="563">
        <v>56</v>
      </c>
      <c r="C61" s="564" t="str">
        <f>VLOOKUP(G:G,list!B:D,2,FALSE)</f>
        <v>원작료</v>
      </c>
      <c r="D61" s="564" t="s">
        <v>78</v>
      </c>
      <c r="E61" s="564" t="s">
        <v>9</v>
      </c>
      <c r="F61" s="564" t="s">
        <v>126</v>
      </c>
      <c r="G61" s="564" t="s">
        <v>278</v>
      </c>
      <c r="H61" s="565">
        <v>44639</v>
      </c>
      <c r="I61" s="564" t="s">
        <v>477</v>
      </c>
      <c r="J61" s="586">
        <v>2771702.3</v>
      </c>
      <c r="K61" s="567" t="s">
        <v>207</v>
      </c>
      <c r="L61" s="568">
        <v>1663021</v>
      </c>
      <c r="M61" s="569">
        <v>0.1</v>
      </c>
      <c r="N61" s="573">
        <f t="shared" ref="N61:N71" si="5">L61*M61</f>
        <v>166302.1</v>
      </c>
      <c r="O61" s="570">
        <f t="shared" si="4"/>
        <v>1496718.9</v>
      </c>
      <c r="P61" s="575"/>
      <c r="Q61" s="572" t="str">
        <f>VLOOKUP(G:G,list!B:D,3,FALSE)</f>
        <v>Y</v>
      </c>
    </row>
    <row r="62" spans="2:17" ht="18" hidden="1" customHeight="1">
      <c r="B62" s="563">
        <v>57</v>
      </c>
      <c r="C62" s="564" t="e">
        <f>VLOOKUP(G:G,list!B:D,2,FALSE)</f>
        <v>#N/A</v>
      </c>
      <c r="D62" s="564" t="s">
        <v>78</v>
      </c>
      <c r="E62" s="564" t="s">
        <v>9</v>
      </c>
      <c r="F62" s="564" t="s">
        <v>126</v>
      </c>
      <c r="G62" s="564" t="s">
        <v>321</v>
      </c>
      <c r="H62" s="565">
        <v>44669</v>
      </c>
      <c r="I62" s="564" t="s">
        <v>477</v>
      </c>
      <c r="J62" s="586">
        <v>9901412.9000000004</v>
      </c>
      <c r="K62" s="567" t="s">
        <v>207</v>
      </c>
      <c r="L62" s="568">
        <v>5940847</v>
      </c>
      <c r="M62" s="569">
        <v>0.1</v>
      </c>
      <c r="N62" s="573">
        <f t="shared" si="5"/>
        <v>594084.70000000007</v>
      </c>
      <c r="O62" s="570">
        <f t="shared" si="4"/>
        <v>5346762.3</v>
      </c>
      <c r="P62" s="575"/>
      <c r="Q62" s="572" t="e">
        <f>VLOOKUP(G:G,list!B:D,3,FALSE)</f>
        <v>#N/A</v>
      </c>
    </row>
    <row r="63" spans="2:17" ht="18" hidden="1" customHeight="1">
      <c r="B63" s="563">
        <v>58</v>
      </c>
      <c r="C63" s="564" t="e">
        <f>VLOOKUP(G:G,list!B:D,2,FALSE)</f>
        <v>#N/A</v>
      </c>
      <c r="D63" s="564" t="s">
        <v>78</v>
      </c>
      <c r="E63" s="564" t="s">
        <v>9</v>
      </c>
      <c r="F63" s="564" t="s">
        <v>126</v>
      </c>
      <c r="G63" s="564" t="s">
        <v>322</v>
      </c>
      <c r="H63" s="565">
        <v>44675</v>
      </c>
      <c r="I63" s="564" t="s">
        <v>477</v>
      </c>
      <c r="J63" s="586">
        <v>3687674.3</v>
      </c>
      <c r="K63" s="567" t="s">
        <v>207</v>
      </c>
      <c r="L63" s="568">
        <v>2212604</v>
      </c>
      <c r="M63" s="569">
        <v>0.12</v>
      </c>
      <c r="N63" s="573">
        <f>L63*M63</f>
        <v>265512.48</v>
      </c>
      <c r="O63" s="570">
        <f>L63-N63</f>
        <v>1947091.52</v>
      </c>
      <c r="P63" s="575"/>
      <c r="Q63" s="572" t="e">
        <f>VLOOKUP(G:G,list!B:D,3,FALSE)</f>
        <v>#N/A</v>
      </c>
    </row>
    <row r="64" spans="2:17" ht="18" hidden="1" customHeight="1">
      <c r="B64" s="563">
        <v>59</v>
      </c>
      <c r="C64" s="564" t="str">
        <f>VLOOKUP(G:G,list!B:D,2,FALSE)</f>
        <v>원작료</v>
      </c>
      <c r="D64" s="564" t="s">
        <v>78</v>
      </c>
      <c r="E64" s="564" t="s">
        <v>9</v>
      </c>
      <c r="F64" s="564" t="s">
        <v>126</v>
      </c>
      <c r="G64" s="564" t="s">
        <v>364</v>
      </c>
      <c r="H64" s="565">
        <v>44691</v>
      </c>
      <c r="I64" s="564" t="s">
        <v>477</v>
      </c>
      <c r="J64" s="586">
        <v>1788279.6</v>
      </c>
      <c r="K64" s="567" t="s">
        <v>207</v>
      </c>
      <c r="L64" s="568">
        <v>1072968</v>
      </c>
      <c r="M64" s="569">
        <v>0.1</v>
      </c>
      <c r="N64" s="573">
        <f t="shared" si="5"/>
        <v>107296.8</v>
      </c>
      <c r="O64" s="570">
        <f t="shared" si="4"/>
        <v>965671.2</v>
      </c>
      <c r="P64" s="575"/>
      <c r="Q64" s="572" t="str">
        <f>VLOOKUP(G:G,list!B:D,3,FALSE)</f>
        <v>Y</v>
      </c>
    </row>
    <row r="65" spans="2:17" ht="18" hidden="1" customHeight="1">
      <c r="B65" s="563">
        <v>60</v>
      </c>
      <c r="C65" s="564" t="str">
        <f>VLOOKUP(G:G,list!B:D,2,FALSE)</f>
        <v>원작료</v>
      </c>
      <c r="D65" s="564" t="s">
        <v>78</v>
      </c>
      <c r="E65" s="564" t="s">
        <v>9</v>
      </c>
      <c r="F65" s="564" t="s">
        <v>126</v>
      </c>
      <c r="G65" s="564" t="s">
        <v>363</v>
      </c>
      <c r="H65" s="565">
        <v>44709</v>
      </c>
      <c r="I65" s="564" t="s">
        <v>477</v>
      </c>
      <c r="J65" s="586">
        <v>6449788</v>
      </c>
      <c r="K65" s="567" t="s">
        <v>207</v>
      </c>
      <c r="L65" s="568">
        <v>3869871</v>
      </c>
      <c r="M65" s="569">
        <v>0.11</v>
      </c>
      <c r="N65" s="570">
        <f>L65*M65</f>
        <v>425685.81</v>
      </c>
      <c r="O65" s="570">
        <f>L65-N65</f>
        <v>3444185.19</v>
      </c>
      <c r="P65" s="575"/>
      <c r="Q65" s="572" t="str">
        <f>VLOOKUP(G:G,list!B:D,3,FALSE)</f>
        <v>N</v>
      </c>
    </row>
    <row r="66" spans="2:17" ht="18" hidden="1" customHeight="1">
      <c r="B66" s="563">
        <v>61</v>
      </c>
      <c r="C66" s="564" t="e">
        <f>VLOOKUP(G:G,list!B:D,2,FALSE)</f>
        <v>#N/A</v>
      </c>
      <c r="D66" s="564" t="s">
        <v>78</v>
      </c>
      <c r="E66" s="564" t="s">
        <v>9</v>
      </c>
      <c r="F66" s="564" t="s">
        <v>126</v>
      </c>
      <c r="G66" s="564" t="s">
        <v>374</v>
      </c>
      <c r="H66" s="565">
        <v>44737</v>
      </c>
      <c r="I66" s="564" t="s">
        <v>477</v>
      </c>
      <c r="J66" s="586">
        <v>32116040</v>
      </c>
      <c r="K66" s="567" t="s">
        <v>207</v>
      </c>
      <c r="L66" s="568">
        <v>19269626</v>
      </c>
      <c r="M66" s="569">
        <v>0.1</v>
      </c>
      <c r="N66" s="570">
        <f t="shared" si="5"/>
        <v>1926962.6</v>
      </c>
      <c r="O66" s="570">
        <f t="shared" si="4"/>
        <v>17342663.399999999</v>
      </c>
      <c r="P66" s="575"/>
      <c r="Q66" s="572" t="e">
        <f>VLOOKUP(G:G,list!B:D,3,FALSE)</f>
        <v>#N/A</v>
      </c>
    </row>
    <row r="67" spans="2:17" ht="18" hidden="1" customHeight="1">
      <c r="B67" s="563">
        <v>62</v>
      </c>
      <c r="C67" s="564" t="e">
        <f>VLOOKUP(G:G,list!B:D,2,FALSE)</f>
        <v>#N/A</v>
      </c>
      <c r="D67" s="564" t="s">
        <v>78</v>
      </c>
      <c r="E67" s="564" t="s">
        <v>9</v>
      </c>
      <c r="F67" s="564" t="s">
        <v>126</v>
      </c>
      <c r="G67" s="564" t="s">
        <v>375</v>
      </c>
      <c r="H67" s="565">
        <v>44741</v>
      </c>
      <c r="I67" s="564" t="s">
        <v>477</v>
      </c>
      <c r="J67" s="586">
        <v>11962772</v>
      </c>
      <c r="K67" s="567" t="s">
        <v>207</v>
      </c>
      <c r="L67" s="568">
        <v>7177664</v>
      </c>
      <c r="M67" s="569">
        <v>0.1</v>
      </c>
      <c r="N67" s="570">
        <f t="shared" si="5"/>
        <v>717766.4</v>
      </c>
      <c r="O67" s="570">
        <f t="shared" si="4"/>
        <v>6459897.5999999996</v>
      </c>
      <c r="P67" s="575"/>
      <c r="Q67" s="572" t="e">
        <f>VLOOKUP(G:G,list!B:D,3,FALSE)</f>
        <v>#N/A</v>
      </c>
    </row>
    <row r="68" spans="2:17" ht="18" hidden="1" customHeight="1">
      <c r="B68" s="563">
        <v>63</v>
      </c>
      <c r="C68" s="564" t="e">
        <f>VLOOKUP(G:G,list!B:D,2,FALSE)</f>
        <v>#N/A</v>
      </c>
      <c r="D68" s="564" t="s">
        <v>78</v>
      </c>
      <c r="E68" s="564" t="s">
        <v>9</v>
      </c>
      <c r="F68" s="564" t="s">
        <v>126</v>
      </c>
      <c r="G68" s="564" t="s">
        <v>407</v>
      </c>
      <c r="H68" s="565">
        <v>44757</v>
      </c>
      <c r="I68" s="564" t="s">
        <v>477</v>
      </c>
      <c r="J68" s="586">
        <v>5109526.4000000004</v>
      </c>
      <c r="K68" s="567" t="s">
        <v>207</v>
      </c>
      <c r="L68" s="568">
        <v>3065716</v>
      </c>
      <c r="M68" s="569">
        <v>0.12</v>
      </c>
      <c r="N68" s="570">
        <f t="shared" si="5"/>
        <v>367885.92</v>
      </c>
      <c r="O68" s="570">
        <f t="shared" si="4"/>
        <v>2697830.08</v>
      </c>
      <c r="P68" s="575"/>
      <c r="Q68" s="572" t="e">
        <f>VLOOKUP(G:G,list!B:D,3,FALSE)</f>
        <v>#N/A</v>
      </c>
    </row>
    <row r="69" spans="2:17" ht="18" hidden="1" customHeight="1">
      <c r="B69" s="563">
        <v>64</v>
      </c>
      <c r="C69" s="564" t="e">
        <f>VLOOKUP(G:G,list!B:D,2,FALSE)</f>
        <v>#N/A</v>
      </c>
      <c r="D69" s="564" t="s">
        <v>78</v>
      </c>
      <c r="E69" s="564" t="s">
        <v>9</v>
      </c>
      <c r="F69" s="564" t="s">
        <v>126</v>
      </c>
      <c r="G69" s="564" t="s">
        <v>408</v>
      </c>
      <c r="H69" s="565">
        <v>44768</v>
      </c>
      <c r="I69" s="564" t="s">
        <v>477</v>
      </c>
      <c r="J69" s="586">
        <v>12517901.300000001</v>
      </c>
      <c r="K69" s="567" t="s">
        <v>207</v>
      </c>
      <c r="L69" s="568">
        <v>7510740</v>
      </c>
      <c r="M69" s="569">
        <v>0.1</v>
      </c>
      <c r="N69" s="570">
        <f t="shared" si="5"/>
        <v>751074</v>
      </c>
      <c r="O69" s="570">
        <f t="shared" si="4"/>
        <v>6759666</v>
      </c>
      <c r="P69" s="575"/>
      <c r="Q69" s="572" t="e">
        <f>VLOOKUP(G:G,list!B:D,3,FALSE)</f>
        <v>#N/A</v>
      </c>
    </row>
    <row r="70" spans="2:17" s="608" customFormat="1" ht="18" hidden="1" customHeight="1">
      <c r="B70" s="607">
        <v>65</v>
      </c>
      <c r="C70" s="587" t="e">
        <f>VLOOKUP(G:G,list!B:D,2,FALSE)</f>
        <v>#N/A</v>
      </c>
      <c r="D70" s="587" t="s">
        <v>78</v>
      </c>
      <c r="E70" s="587" t="s">
        <v>9</v>
      </c>
      <c r="F70" s="587" t="s">
        <v>126</v>
      </c>
      <c r="G70" s="587" t="s">
        <v>409</v>
      </c>
      <c r="H70" s="588">
        <v>44770</v>
      </c>
      <c r="I70" s="587" t="s">
        <v>477</v>
      </c>
      <c r="J70" s="589">
        <v>15480270.4</v>
      </c>
      <c r="K70" s="590" t="s">
        <v>207</v>
      </c>
      <c r="L70" s="591">
        <v>9288163</v>
      </c>
      <c r="M70" s="592">
        <v>0.1</v>
      </c>
      <c r="N70" s="593">
        <f t="shared" si="5"/>
        <v>928816.3</v>
      </c>
      <c r="O70" s="593">
        <f t="shared" si="4"/>
        <v>8359346.7000000002</v>
      </c>
      <c r="P70" s="596" t="s">
        <v>494</v>
      </c>
      <c r="Q70" s="595" t="e">
        <f>VLOOKUP(G:G,list!B:D,3,FALSE)</f>
        <v>#N/A</v>
      </c>
    </row>
    <row r="71" spans="2:17" s="608" customFormat="1" ht="18" hidden="1" customHeight="1">
      <c r="B71" s="607">
        <v>66</v>
      </c>
      <c r="C71" s="587" t="e">
        <f>VLOOKUP(G:G,list!B:D,2,FALSE)</f>
        <v>#N/A</v>
      </c>
      <c r="D71" s="587" t="s">
        <v>78</v>
      </c>
      <c r="E71" s="587" t="s">
        <v>9</v>
      </c>
      <c r="F71" s="587" t="s">
        <v>126</v>
      </c>
      <c r="G71" s="587" t="s">
        <v>410</v>
      </c>
      <c r="H71" s="588">
        <v>44774</v>
      </c>
      <c r="I71" s="587" t="s">
        <v>477</v>
      </c>
      <c r="J71" s="589">
        <v>32360575.5</v>
      </c>
      <c r="K71" s="590" t="s">
        <v>207</v>
      </c>
      <c r="L71" s="591">
        <v>19416346</v>
      </c>
      <c r="M71" s="592">
        <v>0.1</v>
      </c>
      <c r="N71" s="593">
        <f t="shared" si="5"/>
        <v>1941634.6</v>
      </c>
      <c r="O71" s="593">
        <f t="shared" si="4"/>
        <v>17474711.399999999</v>
      </c>
      <c r="P71" s="596" t="s">
        <v>494</v>
      </c>
      <c r="Q71" s="595" t="e">
        <f>VLOOKUP(G:G,list!B:D,3,FALSE)</f>
        <v>#N/A</v>
      </c>
    </row>
    <row r="72" spans="2:17" ht="18" hidden="1" customHeight="1">
      <c r="B72" s="563">
        <v>67</v>
      </c>
      <c r="C72" s="564" t="e">
        <f>VLOOKUP(G:G,list!B:D,2,FALSE)</f>
        <v>#N/A</v>
      </c>
      <c r="D72" s="564" t="s">
        <v>448</v>
      </c>
      <c r="E72" s="564" t="s">
        <v>62</v>
      </c>
      <c r="F72" s="564" t="s">
        <v>176</v>
      </c>
      <c r="G72" s="564" t="s">
        <v>443</v>
      </c>
      <c r="H72" s="565">
        <v>44781</v>
      </c>
      <c r="I72" s="564" t="s">
        <v>477</v>
      </c>
      <c r="J72" s="586">
        <v>15297384.6</v>
      </c>
      <c r="K72" s="567" t="s">
        <v>369</v>
      </c>
      <c r="L72" s="568">
        <v>9178429</v>
      </c>
      <c r="M72" s="569">
        <v>0.1</v>
      </c>
      <c r="N72" s="570">
        <f t="shared" ref="N72:N80" si="6">L72*M72</f>
        <v>917842.9</v>
      </c>
      <c r="O72" s="570">
        <f>L72-N72</f>
        <v>8260586.0999999996</v>
      </c>
      <c r="P72" s="575"/>
      <c r="Q72" s="572" t="e">
        <f>VLOOKUP(G:G,list!B:D,3,FALSE)</f>
        <v>#N/A</v>
      </c>
    </row>
    <row r="73" spans="2:17" ht="18" hidden="1" customHeight="1">
      <c r="B73" s="563">
        <v>68</v>
      </c>
      <c r="C73" s="564" t="e">
        <f>VLOOKUP(G:G,list!B:D,2,FALSE)</f>
        <v>#N/A</v>
      </c>
      <c r="D73" s="564" t="s">
        <v>448</v>
      </c>
      <c r="E73" s="564" t="s">
        <v>62</v>
      </c>
      <c r="F73" s="564" t="s">
        <v>176</v>
      </c>
      <c r="G73" s="564" t="s">
        <v>444</v>
      </c>
      <c r="H73" s="565">
        <v>44790</v>
      </c>
      <c r="I73" s="564" t="s">
        <v>477</v>
      </c>
      <c r="J73" s="586">
        <v>28102833.100000001</v>
      </c>
      <c r="K73" s="567" t="s">
        <v>369</v>
      </c>
      <c r="L73" s="568">
        <v>16861700</v>
      </c>
      <c r="M73" s="569">
        <v>0.1</v>
      </c>
      <c r="N73" s="570">
        <f t="shared" si="6"/>
        <v>1686170</v>
      </c>
      <c r="O73" s="570">
        <f>L73-N73</f>
        <v>15175530</v>
      </c>
      <c r="P73" s="575"/>
      <c r="Q73" s="572" t="e">
        <f>VLOOKUP(G:G,list!B:D,3,FALSE)</f>
        <v>#N/A</v>
      </c>
    </row>
    <row r="74" spans="2:17" ht="18" hidden="1" customHeight="1">
      <c r="B74" s="563">
        <v>69</v>
      </c>
      <c r="C74" s="564" t="e">
        <f>VLOOKUP(G:G,list!B:D,2,FALSE)</f>
        <v>#N/A</v>
      </c>
      <c r="D74" s="564" t="s">
        <v>448</v>
      </c>
      <c r="E74" s="564" t="s">
        <v>62</v>
      </c>
      <c r="F74" s="564" t="s">
        <v>176</v>
      </c>
      <c r="G74" s="564" t="s">
        <v>445</v>
      </c>
      <c r="H74" s="565">
        <v>44796</v>
      </c>
      <c r="I74" s="564" t="s">
        <v>477</v>
      </c>
      <c r="J74" s="586">
        <v>22956847.800000001</v>
      </c>
      <c r="K74" s="567" t="s">
        <v>369</v>
      </c>
      <c r="L74" s="568">
        <v>13774109</v>
      </c>
      <c r="M74" s="569">
        <v>0.1</v>
      </c>
      <c r="N74" s="573">
        <f t="shared" si="6"/>
        <v>1377410.9000000001</v>
      </c>
      <c r="O74" s="570">
        <f t="shared" si="4"/>
        <v>12396698.1</v>
      </c>
      <c r="P74" s="575"/>
      <c r="Q74" s="572" t="e">
        <f>VLOOKUP(G:G,list!B:D,3,FALSE)</f>
        <v>#N/A</v>
      </c>
    </row>
    <row r="75" spans="2:17" s="608" customFormat="1" ht="18" hidden="1" customHeight="1">
      <c r="B75" s="607">
        <v>70</v>
      </c>
      <c r="C75" s="587" t="e">
        <f>VLOOKUP(G:G,list!B:D,2,FALSE)</f>
        <v>#N/A</v>
      </c>
      <c r="D75" s="587" t="s">
        <v>448</v>
      </c>
      <c r="E75" s="587" t="s">
        <v>62</v>
      </c>
      <c r="F75" s="587" t="s">
        <v>176</v>
      </c>
      <c r="G75" s="587" t="s">
        <v>446</v>
      </c>
      <c r="H75" s="588">
        <v>44800</v>
      </c>
      <c r="I75" s="587" t="s">
        <v>477</v>
      </c>
      <c r="J75" s="589">
        <v>1717358.6</v>
      </c>
      <c r="K75" s="590" t="s">
        <v>369</v>
      </c>
      <c r="L75" s="591">
        <v>1030416</v>
      </c>
      <c r="M75" s="592">
        <v>0.1</v>
      </c>
      <c r="N75" s="598">
        <f t="shared" si="6"/>
        <v>103041.60000000001</v>
      </c>
      <c r="O75" s="593">
        <f t="shared" ref="O75:O80" si="7">L75-N75</f>
        <v>927374.4</v>
      </c>
      <c r="P75" s="594" t="s">
        <v>494</v>
      </c>
      <c r="Q75" s="595" t="e">
        <f>VLOOKUP(G:G,list!B:D,3,FALSE)</f>
        <v>#N/A</v>
      </c>
    </row>
    <row r="76" spans="2:17" ht="18" hidden="1" customHeight="1">
      <c r="B76" s="563">
        <v>71</v>
      </c>
      <c r="C76" s="564" t="str">
        <f>VLOOKUP(G:G,list!B:D,2,FALSE)</f>
        <v>원작료</v>
      </c>
      <c r="D76" s="564" t="s">
        <v>448</v>
      </c>
      <c r="E76" s="564" t="s">
        <v>62</v>
      </c>
      <c r="F76" s="564" t="s">
        <v>176</v>
      </c>
      <c r="G76" s="564" t="s">
        <v>447</v>
      </c>
      <c r="H76" s="565">
        <v>44801</v>
      </c>
      <c r="I76" s="564" t="s">
        <v>477</v>
      </c>
      <c r="J76" s="586">
        <v>8433027.4700000007</v>
      </c>
      <c r="K76" s="567" t="s">
        <v>369</v>
      </c>
      <c r="L76" s="568">
        <v>5059816</v>
      </c>
      <c r="M76" s="569">
        <v>0.1</v>
      </c>
      <c r="N76" s="570">
        <f t="shared" si="6"/>
        <v>505981.60000000003</v>
      </c>
      <c r="O76" s="570">
        <f t="shared" si="7"/>
        <v>4553834.4000000004</v>
      </c>
      <c r="P76" s="575"/>
      <c r="Q76" s="572" t="str">
        <f>VLOOKUP(G:G,list!B:D,3,FALSE)</f>
        <v>Y</v>
      </c>
    </row>
    <row r="77" spans="2:17" s="608" customFormat="1" ht="18" hidden="1" customHeight="1">
      <c r="B77" s="607">
        <v>72</v>
      </c>
      <c r="C77" s="587" t="e">
        <f>VLOOKUP(G:G,list!B:D,2,FALSE)</f>
        <v>#N/A</v>
      </c>
      <c r="D77" s="587" t="s">
        <v>448</v>
      </c>
      <c r="E77" s="587" t="s">
        <v>62</v>
      </c>
      <c r="F77" s="587" t="s">
        <v>176</v>
      </c>
      <c r="G77" s="587" t="s">
        <v>478</v>
      </c>
      <c r="H77" s="588">
        <v>44814</v>
      </c>
      <c r="I77" s="587" t="s">
        <v>477</v>
      </c>
      <c r="J77" s="589">
        <v>54628039.869999997</v>
      </c>
      <c r="K77" s="590" t="s">
        <v>369</v>
      </c>
      <c r="L77" s="591">
        <v>32776824</v>
      </c>
      <c r="M77" s="592">
        <v>0.1</v>
      </c>
      <c r="N77" s="593">
        <f>L77*M77</f>
        <v>3277682.4000000004</v>
      </c>
      <c r="O77" s="593">
        <f t="shared" si="7"/>
        <v>29499141.600000001</v>
      </c>
      <c r="P77" s="596" t="s">
        <v>495</v>
      </c>
      <c r="Q77" s="595"/>
    </row>
    <row r="78" spans="2:17" ht="18" hidden="1" customHeight="1">
      <c r="B78" s="563">
        <v>73</v>
      </c>
      <c r="C78" s="564" t="e">
        <f>VLOOKUP(G:G,list!B:D,2,FALSE)</f>
        <v>#N/A</v>
      </c>
      <c r="D78" s="564" t="s">
        <v>448</v>
      </c>
      <c r="E78" s="564" t="s">
        <v>62</v>
      </c>
      <c r="F78" s="564" t="s">
        <v>176</v>
      </c>
      <c r="G78" s="564" t="s">
        <v>479</v>
      </c>
      <c r="H78" s="565">
        <v>44828</v>
      </c>
      <c r="I78" s="564" t="s">
        <v>477</v>
      </c>
      <c r="J78" s="586">
        <v>96533568.900000006</v>
      </c>
      <c r="K78" s="567" t="s">
        <v>369</v>
      </c>
      <c r="L78" s="568">
        <v>57920142</v>
      </c>
      <c r="M78" s="569">
        <v>0.1</v>
      </c>
      <c r="N78" s="570">
        <f t="shared" si="6"/>
        <v>5792014.2000000002</v>
      </c>
      <c r="O78" s="570">
        <f t="shared" si="7"/>
        <v>52128127.799999997</v>
      </c>
      <c r="P78" s="575" t="s">
        <v>287</v>
      </c>
      <c r="Q78" s="572"/>
    </row>
    <row r="79" spans="2:17" ht="18" hidden="1" customHeight="1">
      <c r="B79" s="563">
        <v>74</v>
      </c>
      <c r="C79" s="564" t="e">
        <f>VLOOKUP(G:G,list!B:D,2,FALSE)</f>
        <v>#N/A</v>
      </c>
      <c r="D79" s="564" t="s">
        <v>448</v>
      </c>
      <c r="E79" s="564" t="s">
        <v>62</v>
      </c>
      <c r="F79" s="564" t="s">
        <v>176</v>
      </c>
      <c r="G79" s="564" t="s">
        <v>480</v>
      </c>
      <c r="H79" s="565">
        <v>44830</v>
      </c>
      <c r="I79" s="564" t="s">
        <v>477</v>
      </c>
      <c r="J79" s="586">
        <v>26729113.899999999</v>
      </c>
      <c r="K79" s="567" t="s">
        <v>369</v>
      </c>
      <c r="L79" s="568">
        <v>16037466</v>
      </c>
      <c r="M79" s="569">
        <v>0.1</v>
      </c>
      <c r="N79" s="570">
        <f t="shared" si="6"/>
        <v>1603746.6</v>
      </c>
      <c r="O79" s="570">
        <f t="shared" si="7"/>
        <v>14433719.4</v>
      </c>
      <c r="P79" s="575" t="s">
        <v>287</v>
      </c>
      <c r="Q79" s="572"/>
    </row>
    <row r="80" spans="2:17" ht="18" hidden="1" customHeight="1">
      <c r="B80" s="563">
        <v>75</v>
      </c>
      <c r="C80" s="564" t="str">
        <f>VLOOKUP(G:G,list!B:D,2,FALSE)</f>
        <v>원작료</v>
      </c>
      <c r="D80" s="564" t="s">
        <v>448</v>
      </c>
      <c r="E80" s="564" t="s">
        <v>62</v>
      </c>
      <c r="F80" s="564" t="s">
        <v>176</v>
      </c>
      <c r="G80" s="564" t="s">
        <v>481</v>
      </c>
      <c r="H80" s="565">
        <v>44831</v>
      </c>
      <c r="I80" s="564" t="s">
        <v>477</v>
      </c>
      <c r="J80" s="586">
        <v>8202150.2999999998</v>
      </c>
      <c r="K80" s="567" t="s">
        <v>369</v>
      </c>
      <c r="L80" s="568">
        <v>4921289</v>
      </c>
      <c r="M80" s="569">
        <v>0.1</v>
      </c>
      <c r="N80" s="570">
        <f t="shared" si="6"/>
        <v>492128.9</v>
      </c>
      <c r="O80" s="570">
        <f t="shared" si="7"/>
        <v>4429160.0999999996</v>
      </c>
      <c r="P80" s="575" t="s">
        <v>287</v>
      </c>
      <c r="Q80" s="572"/>
    </row>
    <row r="81" spans="2:17" ht="18" hidden="1" customHeight="1">
      <c r="B81" s="563">
        <v>76</v>
      </c>
      <c r="C81" s="564" t="e">
        <f>VLOOKUP(G:G,list!B:D,2,FALSE)</f>
        <v>#N/A</v>
      </c>
      <c r="D81" s="564" t="s">
        <v>78</v>
      </c>
      <c r="E81" s="564" t="s">
        <v>115</v>
      </c>
      <c r="F81" s="564" t="s">
        <v>176</v>
      </c>
      <c r="G81" s="564" t="s">
        <v>382</v>
      </c>
      <c r="H81" s="565">
        <v>44328</v>
      </c>
      <c r="I81" s="564" t="s">
        <v>477</v>
      </c>
      <c r="J81" s="586">
        <v>28741.599999999999</v>
      </c>
      <c r="K81" s="567" t="s">
        <v>208</v>
      </c>
      <c r="L81" s="568">
        <v>20119</v>
      </c>
      <c r="M81" s="569" t="s">
        <v>203</v>
      </c>
      <c r="N81" s="573">
        <v>0</v>
      </c>
      <c r="O81" s="570">
        <f t="shared" si="4"/>
        <v>20119</v>
      </c>
      <c r="P81" s="575"/>
      <c r="Q81" s="572" t="e">
        <f>VLOOKUP(G:G,list!B:D,3,FALSE)</f>
        <v>#N/A</v>
      </c>
    </row>
    <row r="82" spans="2:17" ht="18" hidden="1" customHeight="1">
      <c r="B82" s="563">
        <v>77</v>
      </c>
      <c r="C82" s="564" t="e">
        <f>VLOOKUP(G:G,list!B:D,2,FALSE)</f>
        <v>#N/A</v>
      </c>
      <c r="D82" s="564" t="s">
        <v>78</v>
      </c>
      <c r="E82" s="564" t="s">
        <v>115</v>
      </c>
      <c r="F82" s="564" t="s">
        <v>248</v>
      </c>
      <c r="G82" s="564" t="s">
        <v>256</v>
      </c>
      <c r="H82" s="565">
        <v>44327</v>
      </c>
      <c r="I82" s="564" t="s">
        <v>455</v>
      </c>
      <c r="J82" s="586">
        <v>48728</v>
      </c>
      <c r="K82" s="567" t="s">
        <v>370</v>
      </c>
      <c r="L82" s="568">
        <v>34109</v>
      </c>
      <c r="M82" s="569">
        <v>0.1</v>
      </c>
      <c r="N82" s="570">
        <f>L82*M82</f>
        <v>3410.9</v>
      </c>
      <c r="O82" s="570">
        <f t="shared" si="4"/>
        <v>30698.1</v>
      </c>
      <c r="P82" s="576"/>
      <c r="Q82" s="572" t="e">
        <f>VLOOKUP(G:G,list!B:D,3,FALSE)</f>
        <v>#N/A</v>
      </c>
    </row>
    <row r="83" spans="2:17" ht="18" hidden="1" customHeight="1">
      <c r="B83" s="563">
        <v>78</v>
      </c>
      <c r="C83" s="564" t="e">
        <f>VLOOKUP(G:G,list!B:D,2,FALSE)</f>
        <v>#N/A</v>
      </c>
      <c r="D83" s="564" t="s">
        <v>78</v>
      </c>
      <c r="E83" s="564" t="s">
        <v>115</v>
      </c>
      <c r="F83" s="564" t="s">
        <v>248</v>
      </c>
      <c r="G83" s="564" t="s">
        <v>204</v>
      </c>
      <c r="H83" s="565">
        <v>44328</v>
      </c>
      <c r="I83" s="564" t="s">
        <v>477</v>
      </c>
      <c r="J83" s="586">
        <v>64422.400000000001</v>
      </c>
      <c r="K83" s="567" t="s">
        <v>370</v>
      </c>
      <c r="L83" s="568">
        <v>45095</v>
      </c>
      <c r="M83" s="569">
        <v>0.1</v>
      </c>
      <c r="N83" s="573">
        <f>L83*M83</f>
        <v>4509.5</v>
      </c>
      <c r="O83" s="570">
        <f t="shared" si="4"/>
        <v>40585.5</v>
      </c>
      <c r="P83" s="576"/>
      <c r="Q83" s="572" t="e">
        <f>VLOOKUP(G:G,list!B:D,3,FALSE)</f>
        <v>#N/A</v>
      </c>
    </row>
    <row r="84" spans="2:17" ht="18" hidden="1" customHeight="1">
      <c r="B84" s="563">
        <v>79</v>
      </c>
      <c r="C84" s="564" t="e">
        <f>VLOOKUP(G:G,list!B:D,2,FALSE)</f>
        <v>#N/A</v>
      </c>
      <c r="D84" s="564" t="s">
        <v>78</v>
      </c>
      <c r="E84" s="564" t="s">
        <v>115</v>
      </c>
      <c r="F84" s="564" t="s">
        <v>248</v>
      </c>
      <c r="G84" s="564" t="s">
        <v>258</v>
      </c>
      <c r="H84" s="565">
        <v>44329</v>
      </c>
      <c r="I84" s="564" t="s">
        <v>477</v>
      </c>
      <c r="J84" s="586">
        <v>415609.4</v>
      </c>
      <c r="K84" s="567" t="s">
        <v>370</v>
      </c>
      <c r="L84" s="568">
        <v>290930</v>
      </c>
      <c r="M84" s="569">
        <v>0.1</v>
      </c>
      <c r="N84" s="573">
        <f>L84*M84</f>
        <v>29093</v>
      </c>
      <c r="O84" s="570">
        <f t="shared" si="4"/>
        <v>261837</v>
      </c>
      <c r="P84" s="576"/>
      <c r="Q84" s="572" t="e">
        <f>VLOOKUP(G:G,list!B:D,3,FALSE)</f>
        <v>#N/A</v>
      </c>
    </row>
    <row r="85" spans="2:17" ht="18" hidden="1" customHeight="1">
      <c r="B85" s="563">
        <v>80</v>
      </c>
      <c r="C85" s="564" t="str">
        <f>VLOOKUP(G:G,list!B:D,2,FALSE)</f>
        <v>외부제작</v>
      </c>
      <c r="D85" s="564" t="s">
        <v>78</v>
      </c>
      <c r="E85" s="564" t="s">
        <v>9</v>
      </c>
      <c r="F85" s="564" t="s">
        <v>248</v>
      </c>
      <c r="G85" s="564" t="s">
        <v>277</v>
      </c>
      <c r="H85" s="565">
        <v>44629</v>
      </c>
      <c r="I85" s="564" t="s">
        <v>477</v>
      </c>
      <c r="J85" s="586">
        <v>1963905</v>
      </c>
      <c r="K85" s="567" t="s">
        <v>207</v>
      </c>
      <c r="L85" s="568">
        <v>1178343</v>
      </c>
      <c r="M85" s="597">
        <f>-N85</f>
        <v>0</v>
      </c>
      <c r="N85" s="573">
        <v>0</v>
      </c>
      <c r="O85" s="570">
        <f t="shared" si="4"/>
        <v>1178343</v>
      </c>
      <c r="P85" s="575"/>
      <c r="Q85" s="572" t="str">
        <f>VLOOKUP(G:G,list!B:D,3,FALSE)</f>
        <v>N</v>
      </c>
    </row>
    <row r="86" spans="2:17" s="608" customFormat="1" ht="18" hidden="1" customHeight="1">
      <c r="B86" s="607">
        <v>81</v>
      </c>
      <c r="C86" s="587" t="e">
        <f>VLOOKUP(G:G,list!B:D,2,FALSE)</f>
        <v>#N/A</v>
      </c>
      <c r="D86" s="587" t="s">
        <v>78</v>
      </c>
      <c r="E86" s="587" t="s">
        <v>9</v>
      </c>
      <c r="F86" s="587" t="s">
        <v>371</v>
      </c>
      <c r="G86" s="587" t="s">
        <v>373</v>
      </c>
      <c r="H86" s="588">
        <v>44735</v>
      </c>
      <c r="I86" s="587" t="s">
        <v>477</v>
      </c>
      <c r="J86" s="589">
        <v>46847688.399999999</v>
      </c>
      <c r="K86" s="590" t="s">
        <v>207</v>
      </c>
      <c r="L86" s="591">
        <v>28108613</v>
      </c>
      <c r="M86" s="592">
        <v>0.1</v>
      </c>
      <c r="N86" s="598">
        <f t="shared" ref="N86:N93" si="8">L86*M86</f>
        <v>2810861.3000000003</v>
      </c>
      <c r="O86" s="593">
        <f t="shared" si="4"/>
        <v>25297751.699999999</v>
      </c>
      <c r="P86" s="594" t="s">
        <v>494</v>
      </c>
      <c r="Q86" s="595" t="e">
        <f>VLOOKUP(G:G,list!B:D,3,FALSE)</f>
        <v>#N/A</v>
      </c>
    </row>
    <row r="87" spans="2:17" ht="18" hidden="1" customHeight="1">
      <c r="B87" s="563">
        <v>82</v>
      </c>
      <c r="C87" s="564" t="e">
        <f>VLOOKUP(G:G,list!B:D,2,FALSE)</f>
        <v>#N/A</v>
      </c>
      <c r="D87" s="564" t="s">
        <v>78</v>
      </c>
      <c r="E87" s="564" t="s">
        <v>9</v>
      </c>
      <c r="F87" s="564" t="s">
        <v>175</v>
      </c>
      <c r="G87" s="564" t="s">
        <v>212</v>
      </c>
      <c r="H87" s="565">
        <v>44268</v>
      </c>
      <c r="I87" s="564" t="s">
        <v>477</v>
      </c>
      <c r="J87" s="586">
        <v>4094102.8</v>
      </c>
      <c r="K87" s="567" t="s">
        <v>369</v>
      </c>
      <c r="L87" s="568">
        <v>2456463</v>
      </c>
      <c r="M87" s="569">
        <v>0.1</v>
      </c>
      <c r="N87" s="573">
        <f t="shared" si="8"/>
        <v>245646.30000000002</v>
      </c>
      <c r="O87" s="570">
        <f t="shared" si="4"/>
        <v>2210816.7000000002</v>
      </c>
      <c r="P87" s="576"/>
      <c r="Q87" s="572" t="e">
        <f>VLOOKUP(G:G,list!B:D,3,FALSE)</f>
        <v>#N/A</v>
      </c>
    </row>
    <row r="88" spans="2:17" ht="18" hidden="1" customHeight="1">
      <c r="B88" s="563">
        <v>83</v>
      </c>
      <c r="C88" s="564" t="e">
        <f>VLOOKUP(G:G,list!B:D,2,FALSE)</f>
        <v>#N/A</v>
      </c>
      <c r="D88" s="564" t="s">
        <v>78</v>
      </c>
      <c r="E88" s="564" t="s">
        <v>115</v>
      </c>
      <c r="F88" s="564" t="s">
        <v>172</v>
      </c>
      <c r="G88" s="564" t="s">
        <v>204</v>
      </c>
      <c r="H88" s="565">
        <v>44379</v>
      </c>
      <c r="I88" s="564" t="s">
        <v>455</v>
      </c>
      <c r="J88" s="586">
        <v>752490</v>
      </c>
      <c r="K88" s="567">
        <v>0.6</v>
      </c>
      <c r="L88" s="568">
        <v>451494</v>
      </c>
      <c r="M88" s="569">
        <v>0.1</v>
      </c>
      <c r="N88" s="573">
        <f t="shared" si="8"/>
        <v>45149.4</v>
      </c>
      <c r="O88" s="570">
        <f t="shared" si="4"/>
        <v>406344.6</v>
      </c>
      <c r="P88" s="576"/>
      <c r="Q88" s="572" t="e">
        <f>VLOOKUP(G:G,list!B:D,3,FALSE)</f>
        <v>#N/A</v>
      </c>
    </row>
    <row r="89" spans="2:17" ht="18" hidden="1" customHeight="1">
      <c r="B89" s="563">
        <v>84</v>
      </c>
      <c r="C89" s="564" t="e">
        <f>VLOOKUP(G:G,list!B:D,2,FALSE)</f>
        <v>#N/A</v>
      </c>
      <c r="D89" s="564" t="s">
        <v>78</v>
      </c>
      <c r="E89" s="564" t="s">
        <v>115</v>
      </c>
      <c r="F89" s="564" t="s">
        <v>172</v>
      </c>
      <c r="G89" s="564" t="s">
        <v>256</v>
      </c>
      <c r="H89" s="565">
        <v>44385</v>
      </c>
      <c r="I89" s="564" t="s">
        <v>455</v>
      </c>
      <c r="J89" s="586">
        <v>11780</v>
      </c>
      <c r="K89" s="567">
        <v>0.6</v>
      </c>
      <c r="L89" s="568">
        <v>7068</v>
      </c>
      <c r="M89" s="569">
        <v>0.1</v>
      </c>
      <c r="N89" s="570">
        <f t="shared" si="8"/>
        <v>706.80000000000007</v>
      </c>
      <c r="O89" s="570">
        <f t="shared" si="4"/>
        <v>6361.2</v>
      </c>
      <c r="P89" s="576"/>
      <c r="Q89" s="572" t="e">
        <f>VLOOKUP(G:G,list!B:D,3,FALSE)</f>
        <v>#N/A</v>
      </c>
    </row>
    <row r="90" spans="2:17" ht="18" hidden="1" customHeight="1">
      <c r="B90" s="563">
        <v>85</v>
      </c>
      <c r="C90" s="564" t="e">
        <f>VLOOKUP(G:G,list!B:D,2,FALSE)</f>
        <v>#N/A</v>
      </c>
      <c r="D90" s="564" t="s">
        <v>78</v>
      </c>
      <c r="E90" s="564" t="s">
        <v>115</v>
      </c>
      <c r="F90" s="564" t="s">
        <v>172</v>
      </c>
      <c r="G90" s="564" t="s">
        <v>258</v>
      </c>
      <c r="H90" s="565">
        <v>44362</v>
      </c>
      <c r="I90" s="564" t="s">
        <v>455</v>
      </c>
      <c r="J90" s="599">
        <v>115885</v>
      </c>
      <c r="K90" s="567">
        <v>0.6</v>
      </c>
      <c r="L90" s="568">
        <v>69531</v>
      </c>
      <c r="M90" s="569">
        <v>0.1</v>
      </c>
      <c r="N90" s="573">
        <f t="shared" si="8"/>
        <v>6953.1</v>
      </c>
      <c r="O90" s="570">
        <f t="shared" si="4"/>
        <v>62577.9</v>
      </c>
      <c r="P90" s="575"/>
      <c r="Q90" s="572" t="e">
        <f>VLOOKUP(G:G,list!B:D,3,FALSE)</f>
        <v>#N/A</v>
      </c>
    </row>
    <row r="91" spans="2:17" ht="18" hidden="1" customHeight="1">
      <c r="B91" s="563">
        <v>86</v>
      </c>
      <c r="C91" s="564" t="e">
        <f>VLOOKUP(G:G,list!B:D,2,FALSE)</f>
        <v>#N/A</v>
      </c>
      <c r="D91" s="564" t="s">
        <v>78</v>
      </c>
      <c r="E91" s="564" t="s">
        <v>115</v>
      </c>
      <c r="F91" s="564" t="s">
        <v>269</v>
      </c>
      <c r="G91" s="564" t="s">
        <v>256</v>
      </c>
      <c r="H91" s="565">
        <v>44553</v>
      </c>
      <c r="I91" s="564" t="s">
        <v>455</v>
      </c>
      <c r="J91" s="586">
        <v>27900</v>
      </c>
      <c r="K91" s="567">
        <v>0.7</v>
      </c>
      <c r="L91" s="568">
        <v>19530</v>
      </c>
      <c r="M91" s="569">
        <v>0.1</v>
      </c>
      <c r="N91" s="570">
        <f t="shared" si="8"/>
        <v>1953</v>
      </c>
      <c r="O91" s="570">
        <f t="shared" si="4"/>
        <v>17577</v>
      </c>
      <c r="P91" s="574"/>
      <c r="Q91" s="572" t="e">
        <f>VLOOKUP(G:G,list!B:D,3,FALSE)</f>
        <v>#N/A</v>
      </c>
    </row>
    <row r="92" spans="2:17" ht="18" hidden="1" customHeight="1">
      <c r="B92" s="563">
        <v>87</v>
      </c>
      <c r="C92" s="564" t="e">
        <f>VLOOKUP(G:G,list!B:D,2,FALSE)</f>
        <v>#N/A</v>
      </c>
      <c r="D92" s="564" t="s">
        <v>78</v>
      </c>
      <c r="E92" s="564" t="s">
        <v>115</v>
      </c>
      <c r="F92" s="564" t="s">
        <v>269</v>
      </c>
      <c r="G92" s="564" t="s">
        <v>204</v>
      </c>
      <c r="H92" s="565">
        <v>44554</v>
      </c>
      <c r="I92" s="564" t="s">
        <v>455</v>
      </c>
      <c r="J92" s="586">
        <v>2000</v>
      </c>
      <c r="K92" s="567">
        <v>0.7</v>
      </c>
      <c r="L92" s="568">
        <v>1400</v>
      </c>
      <c r="M92" s="569">
        <v>0.1</v>
      </c>
      <c r="N92" s="573">
        <f t="shared" si="8"/>
        <v>140</v>
      </c>
      <c r="O92" s="570">
        <f t="shared" si="4"/>
        <v>1260</v>
      </c>
      <c r="P92" s="575"/>
      <c r="Q92" s="572" t="e">
        <f>VLOOKUP(G:G,list!B:D,3,FALSE)</f>
        <v>#N/A</v>
      </c>
    </row>
    <row r="93" spans="2:17" ht="18" hidden="1" customHeight="1">
      <c r="B93" s="563">
        <v>88</v>
      </c>
      <c r="C93" s="564" t="e">
        <f>VLOOKUP(G:G,list!B:D,2,FALSE)</f>
        <v>#N/A</v>
      </c>
      <c r="D93" s="564" t="s">
        <v>78</v>
      </c>
      <c r="E93" s="564" t="s">
        <v>115</v>
      </c>
      <c r="F93" s="564" t="s">
        <v>269</v>
      </c>
      <c r="G93" s="564" t="s">
        <v>258</v>
      </c>
      <c r="H93" s="565">
        <v>44554</v>
      </c>
      <c r="I93" s="564" t="s">
        <v>455</v>
      </c>
      <c r="J93" s="586">
        <v>9600</v>
      </c>
      <c r="K93" s="567">
        <v>0.7</v>
      </c>
      <c r="L93" s="568">
        <v>6720</v>
      </c>
      <c r="M93" s="569">
        <v>0.1</v>
      </c>
      <c r="N93" s="573">
        <f t="shared" si="8"/>
        <v>672</v>
      </c>
      <c r="O93" s="570">
        <f t="shared" si="4"/>
        <v>6048</v>
      </c>
      <c r="P93" s="574"/>
      <c r="Q93" s="572" t="e">
        <f>VLOOKUP(G:G,list!B:D,3,FALSE)</f>
        <v>#N/A</v>
      </c>
    </row>
    <row r="94" spans="2:17" ht="18" hidden="1" customHeight="1">
      <c r="B94" s="563">
        <v>89</v>
      </c>
      <c r="C94" s="564" t="e">
        <f>VLOOKUP(G:G,list!B:D,2,FALSE)</f>
        <v>#N/A</v>
      </c>
      <c r="D94" s="564" t="s">
        <v>78</v>
      </c>
      <c r="E94" s="564" t="s">
        <v>115</v>
      </c>
      <c r="F94" s="564" t="s">
        <v>269</v>
      </c>
      <c r="G94" s="564" t="s">
        <v>202</v>
      </c>
      <c r="H94" s="565">
        <v>44609</v>
      </c>
      <c r="I94" s="564" t="s">
        <v>455</v>
      </c>
      <c r="J94" s="586">
        <v>113500</v>
      </c>
      <c r="K94" s="567">
        <v>0.7</v>
      </c>
      <c r="L94" s="568">
        <v>79450</v>
      </c>
      <c r="M94" s="569" t="s">
        <v>203</v>
      </c>
      <c r="N94" s="570">
        <v>0</v>
      </c>
      <c r="O94" s="570">
        <f t="shared" si="4"/>
        <v>79450</v>
      </c>
      <c r="P94" s="574"/>
      <c r="Q94" s="572" t="e">
        <f>VLOOKUP(G:G,list!B:D,3,FALSE)</f>
        <v>#N/A</v>
      </c>
    </row>
    <row r="95" spans="2:17" ht="18" hidden="1" customHeight="1">
      <c r="B95" s="563">
        <v>90</v>
      </c>
      <c r="C95" s="564" t="str">
        <f>VLOOKUP(G:G,list!B:D,2,FALSE)</f>
        <v>작가기획</v>
      </c>
      <c r="D95" s="564" t="s">
        <v>78</v>
      </c>
      <c r="E95" s="564" t="s">
        <v>9</v>
      </c>
      <c r="F95" s="564" t="s">
        <v>131</v>
      </c>
      <c r="G95" s="564" t="s">
        <v>210</v>
      </c>
      <c r="H95" s="565">
        <v>44333</v>
      </c>
      <c r="I95" s="564" t="s">
        <v>455</v>
      </c>
      <c r="J95" s="586">
        <v>20520</v>
      </c>
      <c r="K95" s="567">
        <v>0.5</v>
      </c>
      <c r="L95" s="568">
        <v>10260</v>
      </c>
      <c r="M95" s="569" t="s">
        <v>203</v>
      </c>
      <c r="N95" s="570">
        <v>0</v>
      </c>
      <c r="O95" s="570">
        <f t="shared" si="4"/>
        <v>10260</v>
      </c>
      <c r="P95" s="576"/>
      <c r="Q95" s="572" t="str">
        <f>VLOOKUP(G:G,list!B:D,3,FALSE)</f>
        <v>N</v>
      </c>
    </row>
    <row r="96" spans="2:17" ht="18" hidden="1" customHeight="1">
      <c r="B96" s="563">
        <v>91</v>
      </c>
      <c r="C96" s="564" t="e">
        <f>VLOOKUP(G:G,list!B:D,2,FALSE)</f>
        <v>#N/A</v>
      </c>
      <c r="D96" s="564" t="s">
        <v>177</v>
      </c>
      <c r="E96" s="564" t="s">
        <v>9</v>
      </c>
      <c r="F96" s="564" t="s">
        <v>257</v>
      </c>
      <c r="G96" s="564" t="s">
        <v>179</v>
      </c>
      <c r="H96" s="565">
        <v>44419</v>
      </c>
      <c r="I96" s="564" t="s">
        <v>477</v>
      </c>
      <c r="J96" s="599">
        <v>8899853</v>
      </c>
      <c r="K96" s="600">
        <v>0.28000000000000003</v>
      </c>
      <c r="L96" s="568">
        <v>2491958</v>
      </c>
      <c r="M96" s="569">
        <v>0.1</v>
      </c>
      <c r="N96" s="573">
        <f t="shared" ref="N96:N109" si="9">L96*M96</f>
        <v>249195.80000000002</v>
      </c>
      <c r="O96" s="570">
        <f t="shared" si="4"/>
        <v>2242762.2000000002</v>
      </c>
      <c r="P96" s="575" t="s">
        <v>85</v>
      </c>
      <c r="Q96" s="572" t="e">
        <f>VLOOKUP(G:G,list!B:D,3,FALSE)</f>
        <v>#N/A</v>
      </c>
    </row>
    <row r="97" spans="2:17" ht="18" hidden="1" customHeight="1">
      <c r="B97" s="563">
        <v>92</v>
      </c>
      <c r="C97" s="564" t="e">
        <f>VLOOKUP(G:G,list!B:D,2,FALSE)</f>
        <v>#N/A</v>
      </c>
      <c r="D97" s="564" t="s">
        <v>177</v>
      </c>
      <c r="E97" s="564" t="s">
        <v>9</v>
      </c>
      <c r="F97" s="564" t="s">
        <v>257</v>
      </c>
      <c r="G97" s="564" t="s">
        <v>212</v>
      </c>
      <c r="H97" s="565">
        <v>44477</v>
      </c>
      <c r="I97" s="564" t="s">
        <v>477</v>
      </c>
      <c r="J97" s="599">
        <v>1004486</v>
      </c>
      <c r="K97" s="601">
        <v>0.245</v>
      </c>
      <c r="L97" s="568">
        <v>246099</v>
      </c>
      <c r="M97" s="569">
        <v>0.1</v>
      </c>
      <c r="N97" s="573">
        <f t="shared" si="9"/>
        <v>24609.9</v>
      </c>
      <c r="O97" s="570">
        <f t="shared" si="4"/>
        <v>221489.1</v>
      </c>
      <c r="P97" s="602"/>
      <c r="Q97" s="572" t="e">
        <f>VLOOKUP(G:G,list!B:D,3,FALSE)</f>
        <v>#N/A</v>
      </c>
    </row>
    <row r="98" spans="2:17" ht="18" hidden="1" customHeight="1">
      <c r="B98" s="563">
        <v>93</v>
      </c>
      <c r="C98" s="564" t="e">
        <f>VLOOKUP(G:G,list!B:D,2,FALSE)</f>
        <v>#N/A</v>
      </c>
      <c r="D98" s="564" t="s">
        <v>177</v>
      </c>
      <c r="E98" s="564" t="s">
        <v>9</v>
      </c>
      <c r="F98" s="564" t="s">
        <v>257</v>
      </c>
      <c r="G98" s="564" t="s">
        <v>335</v>
      </c>
      <c r="H98" s="565">
        <v>44636</v>
      </c>
      <c r="I98" s="564" t="s">
        <v>477</v>
      </c>
      <c r="J98" s="599">
        <v>285549</v>
      </c>
      <c r="K98" s="600">
        <v>0.35</v>
      </c>
      <c r="L98" s="568">
        <v>99942</v>
      </c>
      <c r="M98" s="569">
        <v>0.1</v>
      </c>
      <c r="N98" s="570">
        <f t="shared" si="9"/>
        <v>9994.2000000000007</v>
      </c>
      <c r="O98" s="570">
        <f t="shared" si="4"/>
        <v>89947.8</v>
      </c>
      <c r="P98" s="602"/>
      <c r="Q98" s="572" t="e">
        <f>VLOOKUP(G:G,list!B:D,3,FALSE)</f>
        <v>#N/A</v>
      </c>
    </row>
    <row r="99" spans="2:17" ht="18" hidden="1" customHeight="1">
      <c r="B99" s="563">
        <v>94</v>
      </c>
      <c r="C99" s="564" t="e">
        <f>VLOOKUP(G:G,list!B:D,2,FALSE)</f>
        <v>#N/A</v>
      </c>
      <c r="D99" s="564" t="s">
        <v>177</v>
      </c>
      <c r="E99" s="564" t="s">
        <v>9</v>
      </c>
      <c r="F99" s="564" t="s">
        <v>257</v>
      </c>
      <c r="G99" s="564" t="s">
        <v>336</v>
      </c>
      <c r="H99" s="565">
        <v>44676</v>
      </c>
      <c r="I99" s="564" t="s">
        <v>477</v>
      </c>
      <c r="J99" s="599">
        <v>321559</v>
      </c>
      <c r="K99" s="600">
        <v>0.28000000000000003</v>
      </c>
      <c r="L99" s="568">
        <v>90037</v>
      </c>
      <c r="M99" s="569">
        <v>0.1</v>
      </c>
      <c r="N99" s="570">
        <f t="shared" si="9"/>
        <v>9003.7000000000007</v>
      </c>
      <c r="O99" s="570">
        <f t="shared" si="4"/>
        <v>81033.3</v>
      </c>
      <c r="P99" s="575"/>
      <c r="Q99" s="572" t="e">
        <f>VLOOKUP(G:G,list!B:D,3,FALSE)</f>
        <v>#N/A</v>
      </c>
    </row>
    <row r="100" spans="2:17" ht="18" hidden="1" customHeight="1">
      <c r="B100" s="563">
        <v>95</v>
      </c>
      <c r="C100" s="564" t="e">
        <f>VLOOKUP(G:G,list!B:D,2,FALSE)</f>
        <v>#N/A</v>
      </c>
      <c r="D100" s="564" t="s">
        <v>177</v>
      </c>
      <c r="E100" s="564" t="s">
        <v>9</v>
      </c>
      <c r="F100" s="564" t="s">
        <v>257</v>
      </c>
      <c r="G100" s="564" t="s">
        <v>412</v>
      </c>
      <c r="H100" s="565">
        <v>44806</v>
      </c>
      <c r="I100" s="564" t="s">
        <v>477</v>
      </c>
      <c r="J100" s="599">
        <v>7514996</v>
      </c>
      <c r="K100" s="600">
        <v>0.35</v>
      </c>
      <c r="L100" s="568">
        <v>2630249</v>
      </c>
      <c r="M100" s="569">
        <v>0.1</v>
      </c>
      <c r="N100" s="573">
        <f t="shared" si="9"/>
        <v>263024.90000000002</v>
      </c>
      <c r="O100" s="570">
        <f t="shared" ref="O100" si="10">L100-N100</f>
        <v>2367224.1</v>
      </c>
      <c r="P100" s="575" t="s">
        <v>287</v>
      </c>
      <c r="Q100" s="572"/>
    </row>
    <row r="101" spans="2:17" ht="18" hidden="1" customHeight="1">
      <c r="B101" s="563">
        <v>96</v>
      </c>
      <c r="C101" s="564" t="e">
        <f>VLOOKUP(G:G,list!B:D,2,FALSE)</f>
        <v>#N/A</v>
      </c>
      <c r="D101" s="564" t="s">
        <v>23</v>
      </c>
      <c r="E101" s="564" t="s">
        <v>62</v>
      </c>
      <c r="F101" s="564" t="s">
        <v>213</v>
      </c>
      <c r="G101" s="564" t="s">
        <v>10</v>
      </c>
      <c r="H101" s="565">
        <v>44356</v>
      </c>
      <c r="I101" s="564" t="s">
        <v>455</v>
      </c>
      <c r="J101" s="599">
        <v>7613710</v>
      </c>
      <c r="K101" s="600">
        <v>0.3</v>
      </c>
      <c r="L101" s="568">
        <v>2284113</v>
      </c>
      <c r="M101" s="569">
        <v>0.1</v>
      </c>
      <c r="N101" s="570">
        <f>L101*M101</f>
        <v>228411.30000000002</v>
      </c>
      <c r="O101" s="570">
        <f t="shared" si="4"/>
        <v>2055701.7</v>
      </c>
      <c r="P101" s="575" t="s">
        <v>307</v>
      </c>
      <c r="Q101" s="572" t="e">
        <f>VLOOKUP(G:G,list!B:D,3,FALSE)</f>
        <v>#N/A</v>
      </c>
    </row>
    <row r="102" spans="2:17" ht="18" hidden="1" customHeight="1">
      <c r="B102" s="563">
        <v>97</v>
      </c>
      <c r="C102" s="564" t="e">
        <f>VLOOKUP(G:G,list!B:D,2,FALSE)</f>
        <v>#N/A</v>
      </c>
      <c r="D102" s="564" t="s">
        <v>23</v>
      </c>
      <c r="E102" s="564" t="s">
        <v>62</v>
      </c>
      <c r="F102" s="564" t="s">
        <v>213</v>
      </c>
      <c r="G102" s="564" t="s">
        <v>17</v>
      </c>
      <c r="H102" s="565">
        <v>44598</v>
      </c>
      <c r="I102" s="564" t="s">
        <v>455</v>
      </c>
      <c r="J102" s="599">
        <v>2074073</v>
      </c>
      <c r="K102" s="600">
        <v>0.3</v>
      </c>
      <c r="L102" s="568">
        <v>622222</v>
      </c>
      <c r="M102" s="569">
        <v>0.12</v>
      </c>
      <c r="N102" s="573">
        <f t="shared" si="9"/>
        <v>74666.64</v>
      </c>
      <c r="O102" s="570">
        <f t="shared" si="4"/>
        <v>547555.36</v>
      </c>
      <c r="P102" s="575" t="s">
        <v>307</v>
      </c>
      <c r="Q102" s="572" t="e">
        <f>VLOOKUP(G:G,list!B:D,3,FALSE)</f>
        <v>#N/A</v>
      </c>
    </row>
    <row r="103" spans="2:17" ht="18" hidden="1" customHeight="1">
      <c r="B103" s="563">
        <v>98</v>
      </c>
      <c r="C103" s="564" t="e">
        <f>VLOOKUP(G:G,list!B:D,2,FALSE)</f>
        <v>#N/A</v>
      </c>
      <c r="D103" s="564" t="s">
        <v>183</v>
      </c>
      <c r="E103" s="564" t="s">
        <v>62</v>
      </c>
      <c r="F103" s="564" t="s">
        <v>213</v>
      </c>
      <c r="G103" s="564" t="s">
        <v>10</v>
      </c>
      <c r="H103" s="565">
        <v>44456</v>
      </c>
      <c r="I103" s="564" t="s">
        <v>455</v>
      </c>
      <c r="J103" s="599">
        <v>655137</v>
      </c>
      <c r="K103" s="600">
        <v>0.3</v>
      </c>
      <c r="L103" s="568">
        <v>196541</v>
      </c>
      <c r="M103" s="569">
        <v>0.1</v>
      </c>
      <c r="N103" s="570">
        <f>L103*M103</f>
        <v>19654.100000000002</v>
      </c>
      <c r="O103" s="570">
        <f t="shared" si="4"/>
        <v>176886.9</v>
      </c>
      <c r="P103" s="575" t="s">
        <v>307</v>
      </c>
      <c r="Q103" s="572" t="e">
        <f>VLOOKUP(G:G,list!B:D,3,FALSE)</f>
        <v>#N/A</v>
      </c>
    </row>
    <row r="104" spans="2:17" ht="18" hidden="1" customHeight="1">
      <c r="B104" s="563">
        <v>99</v>
      </c>
      <c r="C104" s="564" t="e">
        <f>VLOOKUP(G:G,list!B:D,2,FALSE)</f>
        <v>#N/A</v>
      </c>
      <c r="D104" s="564" t="s">
        <v>183</v>
      </c>
      <c r="E104" s="564" t="s">
        <v>62</v>
      </c>
      <c r="F104" s="564" t="s">
        <v>213</v>
      </c>
      <c r="G104" s="564" t="s">
        <v>191</v>
      </c>
      <c r="H104" s="565">
        <v>44829</v>
      </c>
      <c r="I104" s="564" t="s">
        <v>477</v>
      </c>
      <c r="J104" s="599">
        <v>938857</v>
      </c>
      <c r="K104" s="600">
        <v>0.3</v>
      </c>
      <c r="L104" s="568">
        <v>281657</v>
      </c>
      <c r="M104" s="569">
        <v>0.1</v>
      </c>
      <c r="N104" s="573">
        <f>L104*M104</f>
        <v>28165.7</v>
      </c>
      <c r="O104" s="570">
        <f t="shared" ref="O104" si="11">L104-N104</f>
        <v>253491.3</v>
      </c>
      <c r="P104" s="575" t="s">
        <v>449</v>
      </c>
      <c r="Q104" s="572"/>
    </row>
    <row r="105" spans="2:17" ht="18" hidden="1" customHeight="1">
      <c r="B105" s="563">
        <v>100</v>
      </c>
      <c r="C105" s="564" t="e">
        <f>VLOOKUP(G:G,list!B:D,2,FALSE)</f>
        <v>#N/A</v>
      </c>
      <c r="D105" s="564" t="s">
        <v>183</v>
      </c>
      <c r="E105" s="564" t="s">
        <v>62</v>
      </c>
      <c r="F105" s="564" t="s">
        <v>213</v>
      </c>
      <c r="G105" s="564" t="s">
        <v>59</v>
      </c>
      <c r="H105" s="565">
        <v>44661</v>
      </c>
      <c r="I105" s="564" t="s">
        <v>455</v>
      </c>
      <c r="J105" s="599">
        <v>1655083</v>
      </c>
      <c r="K105" s="600">
        <v>0.3</v>
      </c>
      <c r="L105" s="568">
        <v>496525</v>
      </c>
      <c r="M105" s="569">
        <v>0.1</v>
      </c>
      <c r="N105" s="570">
        <f t="shared" si="9"/>
        <v>49652.5</v>
      </c>
      <c r="O105" s="570">
        <f t="shared" si="4"/>
        <v>446872.5</v>
      </c>
      <c r="P105" s="575" t="s">
        <v>307</v>
      </c>
      <c r="Q105" s="572" t="e">
        <f>VLOOKUP(G:G,list!B:D,3,FALSE)</f>
        <v>#N/A</v>
      </c>
    </row>
    <row r="106" spans="2:17" ht="18" hidden="1" customHeight="1">
      <c r="B106" s="563">
        <v>101</v>
      </c>
      <c r="C106" s="564" t="e">
        <f>VLOOKUP(G:G,list!B:D,2,FALSE)</f>
        <v>#N/A</v>
      </c>
      <c r="D106" s="564" t="s">
        <v>183</v>
      </c>
      <c r="E106" s="564" t="s">
        <v>62</v>
      </c>
      <c r="F106" s="564" t="s">
        <v>213</v>
      </c>
      <c r="G106" s="564" t="s">
        <v>57</v>
      </c>
      <c r="H106" s="565">
        <v>44691</v>
      </c>
      <c r="I106" s="564" t="s">
        <v>455</v>
      </c>
      <c r="J106" s="599">
        <v>250730</v>
      </c>
      <c r="K106" s="600">
        <v>0.3</v>
      </c>
      <c r="L106" s="568">
        <v>75219</v>
      </c>
      <c r="M106" s="569">
        <v>0.1</v>
      </c>
      <c r="N106" s="570">
        <f t="shared" si="9"/>
        <v>7521.9000000000005</v>
      </c>
      <c r="O106" s="570">
        <f t="shared" si="4"/>
        <v>67697.100000000006</v>
      </c>
      <c r="P106" s="575" t="s">
        <v>432</v>
      </c>
      <c r="Q106" s="572" t="e">
        <f>VLOOKUP(G:G,list!B:D,3,FALSE)</f>
        <v>#N/A</v>
      </c>
    </row>
    <row r="107" spans="2:17" ht="18" hidden="1" customHeight="1">
      <c r="B107" s="563">
        <v>102</v>
      </c>
      <c r="C107" s="564" t="e">
        <f>VLOOKUP(G:G,list!B:D,2,FALSE)</f>
        <v>#N/A</v>
      </c>
      <c r="D107" s="564" t="s">
        <v>183</v>
      </c>
      <c r="E107" s="564" t="s">
        <v>62</v>
      </c>
      <c r="F107" s="564" t="s">
        <v>213</v>
      </c>
      <c r="G107" s="564" t="s">
        <v>173</v>
      </c>
      <c r="H107" s="565">
        <v>44720</v>
      </c>
      <c r="I107" s="564" t="s">
        <v>455</v>
      </c>
      <c r="J107" s="599">
        <v>1514750</v>
      </c>
      <c r="K107" s="600">
        <v>0.3</v>
      </c>
      <c r="L107" s="568">
        <v>454425</v>
      </c>
      <c r="M107" s="569">
        <v>0.1</v>
      </c>
      <c r="N107" s="570">
        <f t="shared" si="9"/>
        <v>45442.5</v>
      </c>
      <c r="O107" s="570">
        <f t="shared" si="4"/>
        <v>408982.5</v>
      </c>
      <c r="P107" s="575" t="s">
        <v>361</v>
      </c>
      <c r="Q107" s="572" t="e">
        <f>VLOOKUP(G:G,list!B:D,3,FALSE)</f>
        <v>#N/A</v>
      </c>
    </row>
    <row r="108" spans="2:17" ht="18" hidden="1" customHeight="1">
      <c r="B108" s="563">
        <v>103</v>
      </c>
      <c r="C108" s="564" t="e">
        <f>VLOOKUP(G:G,list!B:D,2,FALSE)</f>
        <v>#N/A</v>
      </c>
      <c r="D108" s="564" t="s">
        <v>66</v>
      </c>
      <c r="E108" s="564" t="s">
        <v>64</v>
      </c>
      <c r="F108" s="564" t="s">
        <v>65</v>
      </c>
      <c r="G108" s="564" t="s">
        <v>152</v>
      </c>
      <c r="H108" s="565">
        <v>44235</v>
      </c>
      <c r="I108" s="564" t="s">
        <v>455</v>
      </c>
      <c r="J108" s="599">
        <v>1060090</v>
      </c>
      <c r="K108" s="603">
        <v>0.4</v>
      </c>
      <c r="L108" s="568">
        <v>424036</v>
      </c>
      <c r="M108" s="569">
        <v>0.12</v>
      </c>
      <c r="N108" s="573">
        <f t="shared" si="9"/>
        <v>50884.32</v>
      </c>
      <c r="O108" s="570">
        <f t="shared" si="4"/>
        <v>373151.68</v>
      </c>
      <c r="P108" s="576"/>
      <c r="Q108" s="572" t="e">
        <f>VLOOKUP(G:G,list!B:D,3,FALSE)</f>
        <v>#N/A</v>
      </c>
    </row>
    <row r="109" spans="2:17" ht="18" hidden="1" customHeight="1">
      <c r="B109" s="563">
        <v>104</v>
      </c>
      <c r="C109" s="564" t="e">
        <f>VLOOKUP(G:G,list!B:D,2,FALSE)</f>
        <v>#N/A</v>
      </c>
      <c r="D109" s="564" t="s">
        <v>66</v>
      </c>
      <c r="E109" s="564" t="s">
        <v>64</v>
      </c>
      <c r="F109" s="564" t="s">
        <v>65</v>
      </c>
      <c r="G109" s="564" t="s">
        <v>179</v>
      </c>
      <c r="H109" s="565">
        <v>44198</v>
      </c>
      <c r="I109" s="564" t="s">
        <v>455</v>
      </c>
      <c r="J109" s="599">
        <v>756670</v>
      </c>
      <c r="K109" s="603">
        <v>0.4</v>
      </c>
      <c r="L109" s="568">
        <v>302668</v>
      </c>
      <c r="M109" s="569">
        <v>0.1</v>
      </c>
      <c r="N109" s="573">
        <f t="shared" si="9"/>
        <v>30266.800000000003</v>
      </c>
      <c r="O109" s="570">
        <f t="shared" si="4"/>
        <v>272401.2</v>
      </c>
      <c r="P109" s="575" t="s">
        <v>85</v>
      </c>
      <c r="Q109" s="572" t="e">
        <f>VLOOKUP(G:G,list!B:D,3,FALSE)</f>
        <v>#N/A</v>
      </c>
    </row>
    <row r="110" spans="2:17" ht="18" hidden="1" customHeight="1">
      <c r="B110" s="563">
        <v>105</v>
      </c>
      <c r="C110" s="564" t="e">
        <f>VLOOKUP(G:G,list!B:D,2,FALSE)</f>
        <v>#N/A</v>
      </c>
      <c r="D110" s="564" t="s">
        <v>66</v>
      </c>
      <c r="E110" s="564" t="s">
        <v>64</v>
      </c>
      <c r="F110" s="564" t="s">
        <v>65</v>
      </c>
      <c r="G110" s="564" t="s">
        <v>147</v>
      </c>
      <c r="H110" s="565">
        <v>44288</v>
      </c>
      <c r="I110" s="564" t="s">
        <v>455</v>
      </c>
      <c r="J110" s="599">
        <v>119555</v>
      </c>
      <c r="K110" s="603">
        <v>0.4</v>
      </c>
      <c r="L110" s="568">
        <v>47822</v>
      </c>
      <c r="M110" s="569" t="s">
        <v>203</v>
      </c>
      <c r="N110" s="573">
        <v>0</v>
      </c>
      <c r="O110" s="570">
        <f t="shared" si="4"/>
        <v>47822</v>
      </c>
      <c r="P110" s="576"/>
      <c r="Q110" s="572" t="e">
        <f>VLOOKUP(G:G,list!B:D,3,FALSE)</f>
        <v>#N/A</v>
      </c>
    </row>
    <row r="111" spans="2:17" ht="18" hidden="1" customHeight="1">
      <c r="B111" s="563">
        <v>106</v>
      </c>
      <c r="C111" s="564" t="e">
        <f>VLOOKUP(G:G,list!B:D,2,FALSE)</f>
        <v>#N/A</v>
      </c>
      <c r="D111" s="564" t="s">
        <v>66</v>
      </c>
      <c r="E111" s="564" t="s">
        <v>64</v>
      </c>
      <c r="F111" s="564" t="s">
        <v>65</v>
      </c>
      <c r="G111" s="564" t="s">
        <v>74</v>
      </c>
      <c r="H111" s="565">
        <v>44246</v>
      </c>
      <c r="I111" s="564" t="s">
        <v>455</v>
      </c>
      <c r="J111" s="599">
        <v>138910</v>
      </c>
      <c r="K111" s="603">
        <v>0.4</v>
      </c>
      <c r="L111" s="568">
        <v>55564</v>
      </c>
      <c r="M111" s="569">
        <v>0.1</v>
      </c>
      <c r="N111" s="570">
        <f>L111*M111</f>
        <v>5556.4000000000005</v>
      </c>
      <c r="O111" s="570">
        <f t="shared" si="4"/>
        <v>50007.6</v>
      </c>
      <c r="P111" s="576"/>
      <c r="Q111" s="572" t="e">
        <f>VLOOKUP(G:G,list!B:D,3,FALSE)</f>
        <v>#N/A</v>
      </c>
    </row>
    <row r="112" spans="2:17" ht="18" hidden="1" customHeight="1">
      <c r="B112" s="563">
        <v>107</v>
      </c>
      <c r="C112" s="564" t="str">
        <f>VLOOKUP(G:G,list!B:D,2,FALSE)</f>
        <v>원작료</v>
      </c>
      <c r="D112" s="564" t="s">
        <v>66</v>
      </c>
      <c r="E112" s="564" t="s">
        <v>64</v>
      </c>
      <c r="F112" s="564" t="s">
        <v>65</v>
      </c>
      <c r="G112" s="564" t="s">
        <v>151</v>
      </c>
      <c r="H112" s="565">
        <v>44586</v>
      </c>
      <c r="I112" s="564" t="s">
        <v>455</v>
      </c>
      <c r="J112" s="599">
        <v>517840</v>
      </c>
      <c r="K112" s="603">
        <v>0.4</v>
      </c>
      <c r="L112" s="568">
        <v>207136</v>
      </c>
      <c r="M112" s="569">
        <v>0.1</v>
      </c>
      <c r="N112" s="570">
        <f>L112*M112</f>
        <v>20713.600000000002</v>
      </c>
      <c r="O112" s="570">
        <f>L112-N112</f>
        <v>186422.39999999999</v>
      </c>
      <c r="P112" s="576"/>
      <c r="Q112" s="572" t="str">
        <f>VLOOKUP(G:G,list!B:D,3,FALSE)</f>
        <v>Y</v>
      </c>
    </row>
    <row r="113" spans="2:17" ht="18" hidden="1" customHeight="1">
      <c r="B113" s="563">
        <v>108</v>
      </c>
      <c r="C113" s="564" t="e">
        <f>VLOOKUP(G:G,list!B:D,2,FALSE)</f>
        <v>#N/A</v>
      </c>
      <c r="D113" s="564" t="s">
        <v>66</v>
      </c>
      <c r="E113" s="564" t="s">
        <v>64</v>
      </c>
      <c r="F113" s="564" t="s">
        <v>65</v>
      </c>
      <c r="G113" s="564" t="s">
        <v>153</v>
      </c>
      <c r="H113" s="565">
        <v>44702</v>
      </c>
      <c r="I113" s="564" t="s">
        <v>455</v>
      </c>
      <c r="J113" s="599">
        <v>490113</v>
      </c>
      <c r="K113" s="603">
        <v>0.4</v>
      </c>
      <c r="L113" s="568">
        <v>196045</v>
      </c>
      <c r="M113" s="569">
        <v>0.1</v>
      </c>
      <c r="N113" s="570">
        <f t="shared" ref="N113" si="12">L113*M113</f>
        <v>19604.5</v>
      </c>
      <c r="O113" s="570">
        <f t="shared" si="4"/>
        <v>176440.5</v>
      </c>
      <c r="P113" s="575"/>
      <c r="Q113" s="572" t="e">
        <f>VLOOKUP(G:G,list!B:D,3,FALSE)</f>
        <v>#N/A</v>
      </c>
    </row>
    <row r="114" spans="2:17" ht="18" hidden="1" customHeight="1">
      <c r="B114" s="563">
        <v>109</v>
      </c>
      <c r="C114" s="564" t="e">
        <f>VLOOKUP(G:G,list!B:D,2,FALSE)</f>
        <v>#N/A</v>
      </c>
      <c r="D114" s="564" t="s">
        <v>27</v>
      </c>
      <c r="E114" s="564" t="s">
        <v>62</v>
      </c>
      <c r="F114" s="564" t="s">
        <v>213</v>
      </c>
      <c r="G114" s="564" t="s">
        <v>10</v>
      </c>
      <c r="H114" s="565">
        <v>44395</v>
      </c>
      <c r="I114" s="564" t="s">
        <v>455</v>
      </c>
      <c r="J114" s="599">
        <v>19939260</v>
      </c>
      <c r="K114" s="600">
        <v>0.3</v>
      </c>
      <c r="L114" s="568">
        <v>5981778</v>
      </c>
      <c r="M114" s="569">
        <v>0.1</v>
      </c>
      <c r="N114" s="570">
        <f>L114*M114</f>
        <v>598177.80000000005</v>
      </c>
      <c r="O114" s="570">
        <f t="shared" ref="O114:O155" si="13">L114-N114</f>
        <v>5383600.2000000002</v>
      </c>
      <c r="P114" s="575" t="s">
        <v>307</v>
      </c>
      <c r="Q114" s="572" t="e">
        <f>VLOOKUP(G:G,list!B:D,3,FALSE)</f>
        <v>#N/A</v>
      </c>
    </row>
    <row r="115" spans="2:17" ht="18" hidden="1" customHeight="1">
      <c r="B115" s="563">
        <v>110</v>
      </c>
      <c r="C115" s="564" t="e">
        <f>VLOOKUP(G:G,list!B:D,2,FALSE)</f>
        <v>#N/A</v>
      </c>
      <c r="D115" s="564" t="s">
        <v>27</v>
      </c>
      <c r="E115" s="564" t="s">
        <v>62</v>
      </c>
      <c r="F115" s="564" t="s">
        <v>213</v>
      </c>
      <c r="G115" s="564" t="s">
        <v>11</v>
      </c>
      <c r="H115" s="565">
        <v>44420</v>
      </c>
      <c r="I115" s="564" t="s">
        <v>455</v>
      </c>
      <c r="J115" s="599">
        <v>3213797</v>
      </c>
      <c r="K115" s="600">
        <v>0.3</v>
      </c>
      <c r="L115" s="568">
        <v>964139</v>
      </c>
      <c r="M115" s="569" t="s">
        <v>203</v>
      </c>
      <c r="N115" s="570">
        <v>0</v>
      </c>
      <c r="O115" s="570">
        <f t="shared" si="13"/>
        <v>964139</v>
      </c>
      <c r="P115" s="575" t="s">
        <v>307</v>
      </c>
      <c r="Q115" s="572" t="e">
        <f>VLOOKUP(G:G,list!B:D,3,FALSE)</f>
        <v>#N/A</v>
      </c>
    </row>
    <row r="116" spans="2:17" ht="18" hidden="1" customHeight="1">
      <c r="B116" s="563">
        <v>111</v>
      </c>
      <c r="C116" s="564" t="e">
        <f>VLOOKUP(G:G,list!B:D,2,FALSE)</f>
        <v>#N/A</v>
      </c>
      <c r="D116" s="564" t="s">
        <v>27</v>
      </c>
      <c r="E116" s="564" t="s">
        <v>62</v>
      </c>
      <c r="F116" s="564" t="s">
        <v>213</v>
      </c>
      <c r="G116" s="564" t="s">
        <v>17</v>
      </c>
      <c r="H116" s="565">
        <v>44486</v>
      </c>
      <c r="I116" s="564" t="s">
        <v>455</v>
      </c>
      <c r="J116" s="599">
        <v>12710817</v>
      </c>
      <c r="K116" s="600">
        <v>0.3</v>
      </c>
      <c r="L116" s="568">
        <v>3813245</v>
      </c>
      <c r="M116" s="569">
        <v>0.12</v>
      </c>
      <c r="N116" s="573">
        <f>L116*M116</f>
        <v>457589.39999999997</v>
      </c>
      <c r="O116" s="570">
        <f t="shared" si="13"/>
        <v>3355655.6</v>
      </c>
      <c r="P116" s="575" t="s">
        <v>307</v>
      </c>
      <c r="Q116" s="572" t="e">
        <f>VLOOKUP(G:G,list!B:D,3,FALSE)</f>
        <v>#N/A</v>
      </c>
    </row>
    <row r="117" spans="2:17" ht="18" hidden="1" customHeight="1">
      <c r="B117" s="563">
        <v>112</v>
      </c>
      <c r="C117" s="564" t="e">
        <f>VLOOKUP(G:G,list!B:D,2,FALSE)</f>
        <v>#N/A</v>
      </c>
      <c r="D117" s="564" t="s">
        <v>27</v>
      </c>
      <c r="E117" s="564" t="s">
        <v>62</v>
      </c>
      <c r="F117" s="564" t="s">
        <v>213</v>
      </c>
      <c r="G117" s="564" t="s">
        <v>306</v>
      </c>
      <c r="H117" s="565">
        <v>44748</v>
      </c>
      <c r="I117" s="564" t="s">
        <v>455</v>
      </c>
      <c r="J117" s="599">
        <v>759737</v>
      </c>
      <c r="K117" s="600">
        <v>0.3</v>
      </c>
      <c r="L117" s="568">
        <v>227921</v>
      </c>
      <c r="M117" s="569" t="s">
        <v>203</v>
      </c>
      <c r="N117" s="570">
        <v>0</v>
      </c>
      <c r="O117" s="570">
        <f t="shared" si="13"/>
        <v>227921</v>
      </c>
      <c r="P117" s="575" t="s">
        <v>307</v>
      </c>
      <c r="Q117" s="572" t="e">
        <f>VLOOKUP(G:G,list!B:D,3,FALSE)</f>
        <v>#N/A</v>
      </c>
    </row>
    <row r="118" spans="2:17" ht="18" hidden="1" customHeight="1">
      <c r="B118" s="563">
        <v>113</v>
      </c>
      <c r="C118" s="564" t="e">
        <f>VLOOKUP(G:G,list!B:D,2,FALSE)</f>
        <v>#N/A</v>
      </c>
      <c r="D118" s="564" t="s">
        <v>27</v>
      </c>
      <c r="E118" s="564" t="s">
        <v>62</v>
      </c>
      <c r="F118" s="564" t="s">
        <v>213</v>
      </c>
      <c r="G118" s="564" t="s">
        <v>11</v>
      </c>
      <c r="H118" s="565">
        <v>44637</v>
      </c>
      <c r="I118" s="564" t="s">
        <v>428</v>
      </c>
      <c r="J118" s="599">
        <v>50073</v>
      </c>
      <c r="K118" s="600">
        <v>0.3</v>
      </c>
      <c r="L118" s="568">
        <v>15022</v>
      </c>
      <c r="M118" s="569" t="s">
        <v>203</v>
      </c>
      <c r="N118" s="570">
        <v>0</v>
      </c>
      <c r="O118" s="570">
        <f t="shared" si="13"/>
        <v>15022</v>
      </c>
      <c r="P118" s="575" t="s">
        <v>283</v>
      </c>
      <c r="Q118" s="572" t="e">
        <f>VLOOKUP(G:G,list!B:D,3,FALSE)</f>
        <v>#N/A</v>
      </c>
    </row>
    <row r="119" spans="2:17" ht="18" hidden="1" customHeight="1">
      <c r="B119" s="563">
        <v>114</v>
      </c>
      <c r="C119" s="564" t="e">
        <f>VLOOKUP(G:G,list!B:D,2,FALSE)</f>
        <v>#N/A</v>
      </c>
      <c r="D119" s="564" t="s">
        <v>27</v>
      </c>
      <c r="E119" s="564" t="s">
        <v>62</v>
      </c>
      <c r="F119" s="564" t="s">
        <v>213</v>
      </c>
      <c r="G119" s="564" t="s">
        <v>17</v>
      </c>
      <c r="H119" s="565">
        <v>44486</v>
      </c>
      <c r="I119" s="564" t="s">
        <v>428</v>
      </c>
      <c r="J119" s="599">
        <v>336177</v>
      </c>
      <c r="K119" s="600">
        <v>0.3</v>
      </c>
      <c r="L119" s="568">
        <v>100853</v>
      </c>
      <c r="M119" s="569">
        <v>0.12</v>
      </c>
      <c r="N119" s="573">
        <f t="shared" ref="N119:N124" si="14">L119*M119</f>
        <v>12102.359999999999</v>
      </c>
      <c r="O119" s="570">
        <f t="shared" si="13"/>
        <v>88750.64</v>
      </c>
      <c r="P119" s="575" t="s">
        <v>283</v>
      </c>
      <c r="Q119" s="572" t="e">
        <f>VLOOKUP(G:G,list!B:D,3,FALSE)</f>
        <v>#N/A</v>
      </c>
    </row>
    <row r="120" spans="2:17" ht="18" hidden="1" customHeight="1">
      <c r="B120" s="563">
        <v>115</v>
      </c>
      <c r="C120" s="564" t="e">
        <f>VLOOKUP(G:G,list!B:D,2,FALSE)</f>
        <v>#N/A</v>
      </c>
      <c r="D120" s="564" t="s">
        <v>27</v>
      </c>
      <c r="E120" s="564" t="s">
        <v>62</v>
      </c>
      <c r="F120" s="564" t="s">
        <v>213</v>
      </c>
      <c r="G120" s="564" t="s">
        <v>12</v>
      </c>
      <c r="H120" s="565">
        <v>44544</v>
      </c>
      <c r="I120" s="564" t="s">
        <v>428</v>
      </c>
      <c r="J120" s="599">
        <v>120240</v>
      </c>
      <c r="K120" s="600">
        <v>0.3</v>
      </c>
      <c r="L120" s="568">
        <v>36072</v>
      </c>
      <c r="M120" s="569">
        <v>0.1</v>
      </c>
      <c r="N120" s="570">
        <f t="shared" si="14"/>
        <v>3607.2000000000003</v>
      </c>
      <c r="O120" s="570">
        <f t="shared" si="13"/>
        <v>32464.799999999999</v>
      </c>
      <c r="P120" s="575" t="s">
        <v>283</v>
      </c>
      <c r="Q120" s="572" t="e">
        <f>VLOOKUP(G:G,list!B:D,3,FALSE)</f>
        <v>#N/A</v>
      </c>
    </row>
    <row r="121" spans="2:17" ht="18" hidden="1" customHeight="1">
      <c r="B121" s="563">
        <v>116</v>
      </c>
      <c r="C121" s="564" t="e">
        <f>VLOOKUP(G:G,list!B:D,2,FALSE)</f>
        <v>#N/A</v>
      </c>
      <c r="D121" s="564" t="s">
        <v>182</v>
      </c>
      <c r="E121" s="564" t="s">
        <v>9</v>
      </c>
      <c r="F121" s="564" t="s">
        <v>384</v>
      </c>
      <c r="G121" s="564" t="s">
        <v>179</v>
      </c>
      <c r="H121" s="565">
        <v>44180</v>
      </c>
      <c r="I121" s="564" t="s">
        <v>428</v>
      </c>
      <c r="J121" s="599">
        <v>304184</v>
      </c>
      <c r="K121" s="600">
        <v>0.5</v>
      </c>
      <c r="L121" s="568">
        <v>152092</v>
      </c>
      <c r="M121" s="569">
        <v>0.1</v>
      </c>
      <c r="N121" s="573">
        <f t="shared" si="14"/>
        <v>15209.2</v>
      </c>
      <c r="O121" s="570">
        <f t="shared" si="13"/>
        <v>136882.79999999999</v>
      </c>
      <c r="P121" s="575" t="s">
        <v>85</v>
      </c>
      <c r="Q121" s="572" t="e">
        <f>VLOOKUP(G:G,list!B:D,3,FALSE)</f>
        <v>#N/A</v>
      </c>
    </row>
    <row r="122" spans="2:17" ht="18" hidden="1" customHeight="1">
      <c r="B122" s="563">
        <v>117</v>
      </c>
      <c r="C122" s="564" t="e">
        <f>VLOOKUP(G:G,list!B:D,2,FALSE)</f>
        <v>#N/A</v>
      </c>
      <c r="D122" s="564" t="s">
        <v>182</v>
      </c>
      <c r="E122" s="564" t="s">
        <v>9</v>
      </c>
      <c r="F122" s="564" t="s">
        <v>384</v>
      </c>
      <c r="G122" s="564" t="s">
        <v>152</v>
      </c>
      <c r="H122" s="565">
        <v>44180</v>
      </c>
      <c r="I122" s="564" t="s">
        <v>428</v>
      </c>
      <c r="J122" s="599">
        <v>93286</v>
      </c>
      <c r="K122" s="600">
        <v>0.5</v>
      </c>
      <c r="L122" s="568">
        <v>46643</v>
      </c>
      <c r="M122" s="569">
        <v>0.12</v>
      </c>
      <c r="N122" s="573">
        <f t="shared" si="14"/>
        <v>5597.16</v>
      </c>
      <c r="O122" s="570">
        <f t="shared" si="13"/>
        <v>41045.839999999997</v>
      </c>
      <c r="P122" s="573"/>
      <c r="Q122" s="572" t="e">
        <f>VLOOKUP(G:G,list!B:D,3,FALSE)</f>
        <v>#N/A</v>
      </c>
    </row>
    <row r="123" spans="2:17" ht="18" hidden="1" customHeight="1">
      <c r="B123" s="563">
        <v>118</v>
      </c>
      <c r="C123" s="564" t="e">
        <f>VLOOKUP(G:G,list!B:D,2,FALSE)</f>
        <v>#N/A</v>
      </c>
      <c r="D123" s="564" t="s">
        <v>182</v>
      </c>
      <c r="E123" s="564" t="s">
        <v>9</v>
      </c>
      <c r="F123" s="564" t="s">
        <v>384</v>
      </c>
      <c r="G123" s="564" t="s">
        <v>153</v>
      </c>
      <c r="H123" s="565">
        <v>44180</v>
      </c>
      <c r="I123" s="564" t="s">
        <v>428</v>
      </c>
      <c r="J123" s="599">
        <v>167408</v>
      </c>
      <c r="K123" s="600">
        <v>0.5</v>
      </c>
      <c r="L123" s="568">
        <v>83704</v>
      </c>
      <c r="M123" s="569">
        <v>0.1</v>
      </c>
      <c r="N123" s="570">
        <f t="shared" si="14"/>
        <v>8370.4</v>
      </c>
      <c r="O123" s="570">
        <f t="shared" si="13"/>
        <v>75333.600000000006</v>
      </c>
      <c r="P123" s="573"/>
      <c r="Q123" s="572" t="e">
        <f>VLOOKUP(G:G,list!B:D,3,FALSE)</f>
        <v>#N/A</v>
      </c>
    </row>
    <row r="124" spans="2:17" ht="18" hidden="1" customHeight="1">
      <c r="B124" s="563">
        <v>119</v>
      </c>
      <c r="C124" s="564" t="e">
        <f>VLOOKUP(G:G,list!B:D,2,FALSE)</f>
        <v>#N/A</v>
      </c>
      <c r="D124" s="564" t="s">
        <v>182</v>
      </c>
      <c r="E124" s="564" t="s">
        <v>9</v>
      </c>
      <c r="F124" s="564" t="s">
        <v>384</v>
      </c>
      <c r="G124" s="564" t="s">
        <v>74</v>
      </c>
      <c r="H124" s="565">
        <v>44180</v>
      </c>
      <c r="I124" s="564" t="s">
        <v>428</v>
      </c>
      <c r="J124" s="599">
        <v>41389</v>
      </c>
      <c r="K124" s="600">
        <v>0.5</v>
      </c>
      <c r="L124" s="568">
        <v>20694.5</v>
      </c>
      <c r="M124" s="569">
        <v>0.1</v>
      </c>
      <c r="N124" s="570">
        <f t="shared" si="14"/>
        <v>2069.4500000000003</v>
      </c>
      <c r="O124" s="570">
        <f t="shared" si="13"/>
        <v>18625.05</v>
      </c>
      <c r="P124" s="575"/>
      <c r="Q124" s="572" t="e">
        <f>VLOOKUP(G:G,list!B:D,3,FALSE)</f>
        <v>#N/A</v>
      </c>
    </row>
    <row r="125" spans="2:17" ht="18" hidden="1" customHeight="1">
      <c r="B125" s="563">
        <v>120</v>
      </c>
      <c r="C125" s="564" t="str">
        <f>VLOOKUP(G:G,list!B:D,2,FALSE)</f>
        <v>작가기획</v>
      </c>
      <c r="D125" s="564" t="s">
        <v>182</v>
      </c>
      <c r="E125" s="564" t="s">
        <v>9</v>
      </c>
      <c r="F125" s="564" t="s">
        <v>384</v>
      </c>
      <c r="G125" s="564" t="s">
        <v>180</v>
      </c>
      <c r="H125" s="565">
        <v>44180</v>
      </c>
      <c r="I125" s="564" t="s">
        <v>428</v>
      </c>
      <c r="J125" s="599">
        <v>459664</v>
      </c>
      <c r="K125" s="600">
        <v>0.5</v>
      </c>
      <c r="L125" s="568">
        <v>229832</v>
      </c>
      <c r="M125" s="569" t="s">
        <v>203</v>
      </c>
      <c r="N125" s="570">
        <v>0</v>
      </c>
      <c r="O125" s="570">
        <f t="shared" si="13"/>
        <v>229832</v>
      </c>
      <c r="P125" s="573"/>
      <c r="Q125" s="572" t="str">
        <f>VLOOKUP(G:G,list!B:D,3,FALSE)</f>
        <v>Y</v>
      </c>
    </row>
    <row r="126" spans="2:17" ht="18" hidden="1" customHeight="1">
      <c r="B126" s="563">
        <v>121</v>
      </c>
      <c r="C126" s="564" t="str">
        <f>VLOOKUP(G:G,list!B:D,2,FALSE)</f>
        <v>작가기획</v>
      </c>
      <c r="D126" s="564" t="s">
        <v>182</v>
      </c>
      <c r="E126" s="564" t="s">
        <v>9</v>
      </c>
      <c r="F126" s="564" t="s">
        <v>384</v>
      </c>
      <c r="G126" s="564" t="s">
        <v>139</v>
      </c>
      <c r="H126" s="565">
        <v>44180</v>
      </c>
      <c r="I126" s="564" t="s">
        <v>428</v>
      </c>
      <c r="J126" s="599">
        <v>29811</v>
      </c>
      <c r="K126" s="600">
        <v>0.5</v>
      </c>
      <c r="L126" s="568">
        <v>14905.5</v>
      </c>
      <c r="M126" s="569" t="s">
        <v>203</v>
      </c>
      <c r="N126" s="573">
        <v>0</v>
      </c>
      <c r="O126" s="570">
        <f>L126-N126</f>
        <v>14905.5</v>
      </c>
      <c r="P126" s="573"/>
      <c r="Q126" s="572" t="str">
        <f>VLOOKUP(G:G,list!B:D,3,FALSE)</f>
        <v>Y</v>
      </c>
    </row>
    <row r="127" spans="2:17" ht="18" hidden="1" customHeight="1">
      <c r="B127" s="563">
        <v>122</v>
      </c>
      <c r="C127" s="564" t="str">
        <f>VLOOKUP(G:G,list!B:D,2,FALSE)</f>
        <v>원작료</v>
      </c>
      <c r="D127" s="564" t="s">
        <v>182</v>
      </c>
      <c r="E127" s="564" t="s">
        <v>9</v>
      </c>
      <c r="F127" s="564" t="s">
        <v>384</v>
      </c>
      <c r="G127" s="564" t="s">
        <v>151</v>
      </c>
      <c r="H127" s="565">
        <v>44207</v>
      </c>
      <c r="I127" s="564" t="s">
        <v>428</v>
      </c>
      <c r="J127" s="599">
        <v>183301</v>
      </c>
      <c r="K127" s="600">
        <v>0.5</v>
      </c>
      <c r="L127" s="568">
        <v>91650.5</v>
      </c>
      <c r="M127" s="569">
        <v>0.1</v>
      </c>
      <c r="N127" s="570">
        <f>L127*M127</f>
        <v>9165.0500000000011</v>
      </c>
      <c r="O127" s="570">
        <f>L127-N127</f>
        <v>82485.45</v>
      </c>
      <c r="P127" s="541"/>
      <c r="Q127" s="572" t="str">
        <f>VLOOKUP(G:G,list!B:D,3,FALSE)</f>
        <v>Y</v>
      </c>
    </row>
    <row r="128" spans="2:17" ht="18" hidden="1" customHeight="1">
      <c r="B128" s="563">
        <v>123</v>
      </c>
      <c r="C128" s="564" t="e">
        <f>VLOOKUP(G:G,list!B:D,2,FALSE)</f>
        <v>#N/A</v>
      </c>
      <c r="D128" s="564" t="s">
        <v>182</v>
      </c>
      <c r="E128" s="564" t="s">
        <v>9</v>
      </c>
      <c r="F128" s="564" t="s">
        <v>384</v>
      </c>
      <c r="G128" s="564" t="s">
        <v>225</v>
      </c>
      <c r="H128" s="565">
        <v>44357</v>
      </c>
      <c r="I128" s="564" t="s">
        <v>428</v>
      </c>
      <c r="J128" s="599">
        <v>8420</v>
      </c>
      <c r="K128" s="600">
        <v>0.5</v>
      </c>
      <c r="L128" s="568">
        <v>4210</v>
      </c>
      <c r="M128" s="569">
        <v>0.1</v>
      </c>
      <c r="N128" s="570">
        <f>L128*M128</f>
        <v>421</v>
      </c>
      <c r="O128" s="570">
        <f t="shared" ref="O128:O140" si="15">L128-N128</f>
        <v>3789</v>
      </c>
      <c r="P128" s="575"/>
      <c r="Q128" s="572" t="e">
        <f>VLOOKUP(G:G,list!B:D,3,FALSE)</f>
        <v>#N/A</v>
      </c>
    </row>
    <row r="129" spans="2:17" ht="18" hidden="1" customHeight="1">
      <c r="B129" s="563">
        <v>124</v>
      </c>
      <c r="C129" s="564" t="e">
        <f>VLOOKUP(G:G,list!B:D,2,FALSE)</f>
        <v>#N/A</v>
      </c>
      <c r="D129" s="564" t="s">
        <v>182</v>
      </c>
      <c r="E129" s="564" t="s">
        <v>9</v>
      </c>
      <c r="F129" s="564" t="s">
        <v>384</v>
      </c>
      <c r="G129" s="564" t="s">
        <v>226</v>
      </c>
      <c r="H129" s="565">
        <v>44371</v>
      </c>
      <c r="I129" s="564" t="s">
        <v>428</v>
      </c>
      <c r="J129" s="599">
        <v>8420</v>
      </c>
      <c r="K129" s="600">
        <v>0.5</v>
      </c>
      <c r="L129" s="568">
        <v>4210</v>
      </c>
      <c r="M129" s="569">
        <v>0.1</v>
      </c>
      <c r="N129" s="570">
        <f>L129*M129</f>
        <v>421</v>
      </c>
      <c r="O129" s="570">
        <f>L129-N129</f>
        <v>3789</v>
      </c>
      <c r="P129" s="575"/>
      <c r="Q129" s="572" t="e">
        <f>VLOOKUP(G:G,list!B:D,3,FALSE)</f>
        <v>#N/A</v>
      </c>
    </row>
    <row r="130" spans="2:17" ht="18" hidden="1" customHeight="1">
      <c r="B130" s="563">
        <v>125</v>
      </c>
      <c r="C130" s="564" t="e">
        <f>VLOOKUP(G:G,list!B:D,2,FALSE)</f>
        <v>#N/A</v>
      </c>
      <c r="D130" s="564" t="s">
        <v>182</v>
      </c>
      <c r="E130" s="564" t="s">
        <v>9</v>
      </c>
      <c r="F130" s="564" t="s">
        <v>384</v>
      </c>
      <c r="G130" s="564" t="s">
        <v>191</v>
      </c>
      <c r="H130" s="565">
        <v>44372</v>
      </c>
      <c r="I130" s="564" t="s">
        <v>428</v>
      </c>
      <c r="J130" s="599">
        <v>595147</v>
      </c>
      <c r="K130" s="600">
        <v>0.5</v>
      </c>
      <c r="L130" s="568">
        <v>297573.5</v>
      </c>
      <c r="M130" s="569">
        <v>0.1</v>
      </c>
      <c r="N130" s="573">
        <f t="shared" ref="N130:N132" si="16">L130*M130</f>
        <v>29757.350000000002</v>
      </c>
      <c r="O130" s="570">
        <f t="shared" si="15"/>
        <v>267816.15000000002</v>
      </c>
      <c r="P130" s="573"/>
      <c r="Q130" s="572" t="e">
        <f>VLOOKUP(G:G,list!B:D,3,FALSE)</f>
        <v>#N/A</v>
      </c>
    </row>
    <row r="131" spans="2:17" ht="18" hidden="1" customHeight="1">
      <c r="B131" s="563">
        <v>126</v>
      </c>
      <c r="C131" s="564" t="e">
        <f>VLOOKUP(G:G,list!B:D,2,FALSE)</f>
        <v>#N/A</v>
      </c>
      <c r="D131" s="564" t="s">
        <v>182</v>
      </c>
      <c r="E131" s="564" t="s">
        <v>9</v>
      </c>
      <c r="F131" s="564" t="s">
        <v>384</v>
      </c>
      <c r="G131" s="564" t="s">
        <v>336</v>
      </c>
      <c r="H131" s="565">
        <v>44392</v>
      </c>
      <c r="I131" s="564" t="s">
        <v>428</v>
      </c>
      <c r="J131" s="599">
        <v>1351285</v>
      </c>
      <c r="K131" s="600">
        <v>0.5</v>
      </c>
      <c r="L131" s="568">
        <v>675642.5</v>
      </c>
      <c r="M131" s="569">
        <v>0.1</v>
      </c>
      <c r="N131" s="570">
        <f>L131*M131</f>
        <v>67564.25</v>
      </c>
      <c r="O131" s="570">
        <f t="shared" si="15"/>
        <v>608078.25</v>
      </c>
      <c r="P131" s="573"/>
      <c r="Q131" s="572" t="e">
        <f>VLOOKUP(G:G,list!B:D,3,FALSE)</f>
        <v>#N/A</v>
      </c>
    </row>
    <row r="132" spans="2:17" ht="18" hidden="1" customHeight="1">
      <c r="B132" s="563">
        <v>127</v>
      </c>
      <c r="C132" s="564" t="e">
        <f>VLOOKUP(G:G,list!B:D,2,FALSE)</f>
        <v>#N/A</v>
      </c>
      <c r="D132" s="564" t="s">
        <v>182</v>
      </c>
      <c r="E132" s="564" t="s">
        <v>9</v>
      </c>
      <c r="F132" s="564" t="s">
        <v>384</v>
      </c>
      <c r="G132" s="564" t="s">
        <v>385</v>
      </c>
      <c r="H132" s="565">
        <v>44439</v>
      </c>
      <c r="I132" s="564" t="s">
        <v>428</v>
      </c>
      <c r="J132" s="599">
        <v>0</v>
      </c>
      <c r="K132" s="600">
        <v>0.5</v>
      </c>
      <c r="L132" s="568">
        <v>0</v>
      </c>
      <c r="M132" s="569">
        <v>0.1</v>
      </c>
      <c r="N132" s="573">
        <f t="shared" si="16"/>
        <v>0</v>
      </c>
      <c r="O132" s="570">
        <f t="shared" si="15"/>
        <v>0</v>
      </c>
      <c r="P132" s="611" t="s">
        <v>366</v>
      </c>
      <c r="Q132" s="572" t="e">
        <f>VLOOKUP(G:G,list!B:D,3,FALSE)</f>
        <v>#N/A</v>
      </c>
    </row>
    <row r="133" spans="2:17" ht="18" hidden="1" customHeight="1">
      <c r="B133" s="563">
        <v>128</v>
      </c>
      <c r="C133" s="564" t="e">
        <f>VLOOKUP(G:G,list!B:D,2,FALSE)</f>
        <v>#N/A</v>
      </c>
      <c r="D133" s="564" t="s">
        <v>182</v>
      </c>
      <c r="E133" s="564" t="s">
        <v>9</v>
      </c>
      <c r="F133" s="564" t="s">
        <v>384</v>
      </c>
      <c r="G133" s="564" t="s">
        <v>335</v>
      </c>
      <c r="H133" s="565">
        <v>44674</v>
      </c>
      <c r="I133" s="564" t="s">
        <v>428</v>
      </c>
      <c r="J133" s="599">
        <v>1595611</v>
      </c>
      <c r="K133" s="600">
        <v>0.5</v>
      </c>
      <c r="L133" s="568">
        <v>797805.5</v>
      </c>
      <c r="M133" s="569">
        <v>0.1</v>
      </c>
      <c r="N133" s="570">
        <f>L133*M133</f>
        <v>79780.55</v>
      </c>
      <c r="O133" s="570">
        <f t="shared" si="15"/>
        <v>718024.95</v>
      </c>
      <c r="P133" s="575"/>
      <c r="Q133" s="572" t="e">
        <f>VLOOKUP(G:G,list!B:D,3,FALSE)</f>
        <v>#N/A</v>
      </c>
    </row>
    <row r="134" spans="2:17" ht="18" hidden="1" customHeight="1">
      <c r="B134" s="563">
        <v>129</v>
      </c>
      <c r="C134" s="564" t="str">
        <f>VLOOKUP(G:G,list!B:D,2,FALSE)</f>
        <v>작가기획</v>
      </c>
      <c r="D134" s="564" t="s">
        <v>182</v>
      </c>
      <c r="E134" s="564" t="s">
        <v>9</v>
      </c>
      <c r="F134" s="564" t="s">
        <v>384</v>
      </c>
      <c r="G134" s="564" t="s">
        <v>308</v>
      </c>
      <c r="H134" s="565">
        <v>44761</v>
      </c>
      <c r="I134" s="564" t="s">
        <v>428</v>
      </c>
      <c r="J134" s="599">
        <v>829314</v>
      </c>
      <c r="K134" s="600">
        <v>0.5</v>
      </c>
      <c r="L134" s="568">
        <v>414657</v>
      </c>
      <c r="M134" s="569" t="s">
        <v>203</v>
      </c>
      <c r="N134" s="573">
        <v>0</v>
      </c>
      <c r="O134" s="570">
        <f>L134-N134</f>
        <v>414657</v>
      </c>
      <c r="P134" s="575"/>
      <c r="Q134" s="572" t="str">
        <f>VLOOKUP(G:G,list!B:D,3,FALSE)</f>
        <v>Y</v>
      </c>
    </row>
    <row r="135" spans="2:17" ht="18" hidden="1" customHeight="1">
      <c r="B135" s="563">
        <v>130</v>
      </c>
      <c r="C135" s="564" t="str">
        <f>VLOOKUP(G:G,list!B:D,2,FALSE)</f>
        <v>원작료</v>
      </c>
      <c r="D135" s="564" t="s">
        <v>182</v>
      </c>
      <c r="E135" s="564" t="s">
        <v>9</v>
      </c>
      <c r="F135" s="564" t="s">
        <v>384</v>
      </c>
      <c r="G135" s="564" t="s">
        <v>316</v>
      </c>
      <c r="H135" s="565">
        <v>44771</v>
      </c>
      <c r="I135" s="564" t="s">
        <v>428</v>
      </c>
      <c r="J135" s="599">
        <v>1154415</v>
      </c>
      <c r="K135" s="600">
        <v>0.5</v>
      </c>
      <c r="L135" s="568">
        <v>577207.5</v>
      </c>
      <c r="M135" s="569">
        <v>0.1</v>
      </c>
      <c r="N135" s="573">
        <f t="shared" ref="N135" si="17">L135*M135</f>
        <v>57720.75</v>
      </c>
      <c r="O135" s="570">
        <f t="shared" ref="O135" si="18">L135-N135</f>
        <v>519486.75</v>
      </c>
      <c r="P135" s="575"/>
      <c r="Q135" s="572" t="str">
        <f>VLOOKUP(G:G,list!B:D,3,FALSE)</f>
        <v>Y</v>
      </c>
    </row>
    <row r="136" spans="2:17" ht="18" hidden="1" customHeight="1">
      <c r="B136" s="563">
        <v>131</v>
      </c>
      <c r="C136" s="564" t="e">
        <f>VLOOKUP(G:G,list!B:D,2,FALSE)</f>
        <v>#N/A</v>
      </c>
      <c r="D136" s="564" t="s">
        <v>182</v>
      </c>
      <c r="E136" s="564" t="s">
        <v>115</v>
      </c>
      <c r="F136" s="564" t="s">
        <v>384</v>
      </c>
      <c r="G136" s="564" t="s">
        <v>147</v>
      </c>
      <c r="H136" s="565">
        <v>44180</v>
      </c>
      <c r="I136" s="564" t="s">
        <v>428</v>
      </c>
      <c r="J136" s="599">
        <v>113869</v>
      </c>
      <c r="K136" s="600">
        <v>0.5</v>
      </c>
      <c r="L136" s="568">
        <v>56934.5</v>
      </c>
      <c r="M136" s="569" t="s">
        <v>203</v>
      </c>
      <c r="N136" s="573">
        <v>0</v>
      </c>
      <c r="O136" s="570">
        <f>L136-N136</f>
        <v>56934.5</v>
      </c>
      <c r="P136" s="573"/>
      <c r="Q136" s="572" t="e">
        <f>VLOOKUP(G:G,list!B:D,3,FALSE)</f>
        <v>#N/A</v>
      </c>
    </row>
    <row r="137" spans="2:17" ht="18" hidden="1" customHeight="1">
      <c r="B137" s="563">
        <v>132</v>
      </c>
      <c r="C137" s="564" t="e">
        <f>VLOOKUP(G:G,list!B:D,2,FALSE)</f>
        <v>#N/A</v>
      </c>
      <c r="D137" s="564" t="s">
        <v>182</v>
      </c>
      <c r="E137" s="564" t="s">
        <v>115</v>
      </c>
      <c r="F137" s="564" t="s">
        <v>384</v>
      </c>
      <c r="G137" s="564" t="s">
        <v>204</v>
      </c>
      <c r="H137" s="565">
        <v>44365</v>
      </c>
      <c r="I137" s="564" t="s">
        <v>428</v>
      </c>
      <c r="J137" s="599">
        <v>40443</v>
      </c>
      <c r="K137" s="600">
        <v>0.5</v>
      </c>
      <c r="L137" s="568">
        <v>20221.5</v>
      </c>
      <c r="M137" s="569">
        <v>0.1</v>
      </c>
      <c r="N137" s="573">
        <f t="shared" ref="N137" si="19">L137*M137</f>
        <v>2022.15</v>
      </c>
      <c r="O137" s="570">
        <f t="shared" si="15"/>
        <v>18199.349999999999</v>
      </c>
      <c r="P137" s="573"/>
      <c r="Q137" s="572" t="e">
        <f>VLOOKUP(G:G,list!B:D,3,FALSE)</f>
        <v>#N/A</v>
      </c>
    </row>
    <row r="138" spans="2:17" ht="18" hidden="1" customHeight="1">
      <c r="B138" s="563">
        <v>133</v>
      </c>
      <c r="C138" s="564" t="e">
        <f>VLOOKUP(G:G,list!B:D,2,FALSE)</f>
        <v>#N/A</v>
      </c>
      <c r="D138" s="564" t="s">
        <v>182</v>
      </c>
      <c r="E138" s="564" t="s">
        <v>115</v>
      </c>
      <c r="F138" s="564" t="s">
        <v>384</v>
      </c>
      <c r="G138" s="564" t="s">
        <v>202</v>
      </c>
      <c r="H138" s="565">
        <v>44463</v>
      </c>
      <c r="I138" s="564" t="s">
        <v>428</v>
      </c>
      <c r="J138" s="599">
        <v>30631</v>
      </c>
      <c r="K138" s="600">
        <v>0.5</v>
      </c>
      <c r="L138" s="568">
        <v>15315.5</v>
      </c>
      <c r="M138" s="569" t="s">
        <v>203</v>
      </c>
      <c r="N138" s="570">
        <v>0</v>
      </c>
      <c r="O138" s="570">
        <f t="shared" si="15"/>
        <v>15315.5</v>
      </c>
      <c r="P138" s="573"/>
      <c r="Q138" s="572" t="e">
        <f>VLOOKUP(G:G,list!B:D,3,FALSE)</f>
        <v>#N/A</v>
      </c>
    </row>
    <row r="139" spans="2:17" ht="18" hidden="1" customHeight="1">
      <c r="B139" s="563">
        <v>134</v>
      </c>
      <c r="C139" s="564" t="e">
        <f>VLOOKUP(G:G,list!B:D,2,FALSE)</f>
        <v>#N/A</v>
      </c>
      <c r="D139" s="564" t="s">
        <v>182</v>
      </c>
      <c r="E139" s="564" t="s">
        <v>115</v>
      </c>
      <c r="F139" s="564" t="s">
        <v>384</v>
      </c>
      <c r="G139" s="564" t="s">
        <v>258</v>
      </c>
      <c r="H139" s="565">
        <v>44491</v>
      </c>
      <c r="I139" s="564" t="s">
        <v>428</v>
      </c>
      <c r="J139" s="599">
        <v>62655</v>
      </c>
      <c r="K139" s="600">
        <v>0.5</v>
      </c>
      <c r="L139" s="568">
        <v>31327.5</v>
      </c>
      <c r="M139" s="569">
        <v>0.1</v>
      </c>
      <c r="N139" s="573">
        <f>L139*M139</f>
        <v>3132.75</v>
      </c>
      <c r="O139" s="570">
        <f t="shared" si="15"/>
        <v>28194.75</v>
      </c>
      <c r="P139" s="575"/>
      <c r="Q139" s="572" t="e">
        <f>VLOOKUP(G:G,list!B:D,3,FALSE)</f>
        <v>#N/A</v>
      </c>
    </row>
    <row r="140" spans="2:17" ht="18" hidden="1" customHeight="1">
      <c r="B140" s="563">
        <v>135</v>
      </c>
      <c r="C140" s="564" t="e">
        <f>VLOOKUP(G:G,list!B:D,2,FALSE)</f>
        <v>#N/A</v>
      </c>
      <c r="D140" s="564" t="s">
        <v>182</v>
      </c>
      <c r="E140" s="564" t="s">
        <v>115</v>
      </c>
      <c r="F140" s="564" t="s">
        <v>384</v>
      </c>
      <c r="G140" s="564" t="s">
        <v>256</v>
      </c>
      <c r="H140" s="565">
        <v>44693</v>
      </c>
      <c r="I140" s="564" t="s">
        <v>428</v>
      </c>
      <c r="J140" s="599">
        <v>36713</v>
      </c>
      <c r="K140" s="600">
        <v>0.5</v>
      </c>
      <c r="L140" s="568">
        <v>18356.5</v>
      </c>
      <c r="M140" s="569">
        <v>0.1</v>
      </c>
      <c r="N140" s="573">
        <f>L140*M140</f>
        <v>1835.65</v>
      </c>
      <c r="O140" s="570">
        <f t="shared" si="15"/>
        <v>16520.849999999999</v>
      </c>
      <c r="P140" s="575"/>
      <c r="Q140" s="572" t="e">
        <f>VLOOKUP(G:G,list!B:D,3,FALSE)</f>
        <v>#N/A</v>
      </c>
    </row>
    <row r="141" spans="2:17" ht="18" hidden="1" customHeight="1">
      <c r="B141" s="563">
        <v>136</v>
      </c>
      <c r="C141" s="564" t="e">
        <f>VLOOKUP(G:G,list!B:D,2,FALSE)</f>
        <v>#N/A</v>
      </c>
      <c r="D141" s="564" t="s">
        <v>182</v>
      </c>
      <c r="E141" s="564" t="s">
        <v>115</v>
      </c>
      <c r="F141" s="564" t="s">
        <v>283</v>
      </c>
      <c r="G141" s="564" t="s">
        <v>54</v>
      </c>
      <c r="H141" s="565">
        <v>44276</v>
      </c>
      <c r="I141" s="564" t="s">
        <v>368</v>
      </c>
      <c r="J141" s="599">
        <v>436860</v>
      </c>
      <c r="K141" s="600">
        <v>0.5</v>
      </c>
      <c r="L141" s="568">
        <v>218430</v>
      </c>
      <c r="M141" s="569">
        <v>0.1</v>
      </c>
      <c r="N141" s="570">
        <f t="shared" ref="N141:N144" si="20">L141*M141</f>
        <v>21843</v>
      </c>
      <c r="O141" s="570">
        <f t="shared" si="13"/>
        <v>196587</v>
      </c>
      <c r="P141" s="575"/>
      <c r="Q141" s="572" t="e">
        <f>VLOOKUP(G:G,list!B:D,3,FALSE)</f>
        <v>#N/A</v>
      </c>
    </row>
    <row r="142" spans="2:17" ht="18" hidden="1" customHeight="1">
      <c r="B142" s="563">
        <v>137</v>
      </c>
      <c r="C142" s="564" t="e">
        <f>VLOOKUP(G:G,list!B:D,2,FALSE)</f>
        <v>#N/A</v>
      </c>
      <c r="D142" s="564" t="s">
        <v>182</v>
      </c>
      <c r="E142" s="564" t="s">
        <v>115</v>
      </c>
      <c r="F142" s="564" t="s">
        <v>283</v>
      </c>
      <c r="G142" s="564" t="s">
        <v>29</v>
      </c>
      <c r="H142" s="565">
        <v>44277</v>
      </c>
      <c r="I142" s="564" t="s">
        <v>368</v>
      </c>
      <c r="J142" s="599">
        <v>873900</v>
      </c>
      <c r="K142" s="600">
        <v>0.5</v>
      </c>
      <c r="L142" s="568">
        <v>436950</v>
      </c>
      <c r="M142" s="569">
        <v>0.1</v>
      </c>
      <c r="N142" s="570">
        <f t="shared" si="20"/>
        <v>43695</v>
      </c>
      <c r="O142" s="570">
        <f t="shared" si="13"/>
        <v>393255</v>
      </c>
      <c r="P142" s="575"/>
      <c r="Q142" s="572" t="e">
        <f>VLOOKUP(G:G,list!B:D,3,FALSE)</f>
        <v>#N/A</v>
      </c>
    </row>
    <row r="143" spans="2:17" ht="18" hidden="1" customHeight="1">
      <c r="B143" s="563">
        <v>138</v>
      </c>
      <c r="C143" s="564" t="e">
        <f>VLOOKUP(G:G,list!B:D,2,FALSE)</f>
        <v>#N/A</v>
      </c>
      <c r="D143" s="564" t="s">
        <v>182</v>
      </c>
      <c r="E143" s="564" t="s">
        <v>115</v>
      </c>
      <c r="F143" s="564" t="s">
        <v>283</v>
      </c>
      <c r="G143" s="564" t="s">
        <v>28</v>
      </c>
      <c r="H143" s="565">
        <v>44280</v>
      </c>
      <c r="I143" s="564" t="s">
        <v>368</v>
      </c>
      <c r="J143" s="599">
        <v>1382760</v>
      </c>
      <c r="K143" s="600">
        <v>0.5</v>
      </c>
      <c r="L143" s="568">
        <v>691380</v>
      </c>
      <c r="M143" s="569">
        <v>0.12</v>
      </c>
      <c r="N143" s="573">
        <f t="shared" si="20"/>
        <v>82965.599999999991</v>
      </c>
      <c r="O143" s="570">
        <f t="shared" si="13"/>
        <v>608414.4</v>
      </c>
      <c r="P143" s="575"/>
      <c r="Q143" s="572" t="e">
        <f>VLOOKUP(G:G,list!B:D,3,FALSE)</f>
        <v>#N/A</v>
      </c>
    </row>
    <row r="144" spans="2:17" ht="18" hidden="1" customHeight="1">
      <c r="B144" s="563">
        <v>139</v>
      </c>
      <c r="C144" s="564" t="e">
        <f>VLOOKUP(G:G,list!B:D,2,FALSE)</f>
        <v>#N/A</v>
      </c>
      <c r="D144" s="564" t="s">
        <v>182</v>
      </c>
      <c r="E144" s="564" t="s">
        <v>115</v>
      </c>
      <c r="F144" s="564" t="s">
        <v>283</v>
      </c>
      <c r="G144" s="564" t="s">
        <v>42</v>
      </c>
      <c r="H144" s="565">
        <v>44290</v>
      </c>
      <c r="I144" s="564" t="s">
        <v>368</v>
      </c>
      <c r="J144" s="599">
        <v>6585060</v>
      </c>
      <c r="K144" s="600">
        <v>0.5</v>
      </c>
      <c r="L144" s="568">
        <v>3292530</v>
      </c>
      <c r="M144" s="569">
        <v>0.1</v>
      </c>
      <c r="N144" s="573">
        <f t="shared" si="20"/>
        <v>329253</v>
      </c>
      <c r="O144" s="570">
        <f t="shared" si="13"/>
        <v>2963277</v>
      </c>
      <c r="P144" s="575" t="s">
        <v>85</v>
      </c>
      <c r="Q144" s="572" t="e">
        <f>VLOOKUP(G:G,list!B:D,3,FALSE)</f>
        <v>#N/A</v>
      </c>
    </row>
    <row r="145" spans="2:17" ht="18" hidden="1" customHeight="1">
      <c r="B145" s="563">
        <v>140</v>
      </c>
      <c r="C145" s="564" t="str">
        <f>VLOOKUP(G:G,list!B:D,2,FALSE)</f>
        <v>원작료</v>
      </c>
      <c r="D145" s="564" t="s">
        <v>182</v>
      </c>
      <c r="E145" s="564" t="s">
        <v>115</v>
      </c>
      <c r="F145" s="564" t="s">
        <v>283</v>
      </c>
      <c r="G145" s="564" t="s">
        <v>30</v>
      </c>
      <c r="H145" s="565">
        <v>44358</v>
      </c>
      <c r="I145" s="564" t="s">
        <v>368</v>
      </c>
      <c r="J145" s="599">
        <v>4863780</v>
      </c>
      <c r="K145" s="600">
        <v>0.5</v>
      </c>
      <c r="L145" s="568">
        <v>2431890</v>
      </c>
      <c r="M145" s="569">
        <v>0.1</v>
      </c>
      <c r="N145" s="570">
        <f>L145*M145</f>
        <v>243189</v>
      </c>
      <c r="O145" s="570">
        <f>L145-N145</f>
        <v>2188701</v>
      </c>
      <c r="P145" s="575"/>
      <c r="Q145" s="572" t="str">
        <f>VLOOKUP(G:G,list!B:D,3,FALSE)</f>
        <v>Y</v>
      </c>
    </row>
    <row r="146" spans="2:17" ht="18" hidden="1" customHeight="1">
      <c r="B146" s="563">
        <v>141</v>
      </c>
      <c r="C146" s="564" t="e">
        <f>VLOOKUP(G:G,list!B:D,2,FALSE)</f>
        <v>#N/A</v>
      </c>
      <c r="D146" s="564" t="s">
        <v>182</v>
      </c>
      <c r="E146" s="564" t="s">
        <v>115</v>
      </c>
      <c r="F146" s="564" t="s">
        <v>283</v>
      </c>
      <c r="G146" s="564" t="s">
        <v>55</v>
      </c>
      <c r="H146" s="565">
        <v>44668</v>
      </c>
      <c r="I146" s="564" t="s">
        <v>368</v>
      </c>
      <c r="J146" s="599">
        <v>92520</v>
      </c>
      <c r="K146" s="600">
        <v>0.5</v>
      </c>
      <c r="L146" s="568">
        <v>46260</v>
      </c>
      <c r="M146" s="569">
        <v>0.1</v>
      </c>
      <c r="N146" s="570">
        <f>L146*M146</f>
        <v>4626</v>
      </c>
      <c r="O146" s="570">
        <f>L146-N146</f>
        <v>41634</v>
      </c>
      <c r="P146" s="575"/>
      <c r="Q146" s="572" t="e">
        <f>VLOOKUP(G:G,list!B:D,3,FALSE)</f>
        <v>#N/A</v>
      </c>
    </row>
    <row r="147" spans="2:17" ht="18" hidden="1" customHeight="1">
      <c r="B147" s="563">
        <v>142</v>
      </c>
      <c r="C147" s="564" t="e">
        <f>VLOOKUP(G:G,list!B:D,2,FALSE)</f>
        <v>#N/A</v>
      </c>
      <c r="D147" s="564" t="s">
        <v>182</v>
      </c>
      <c r="E147" s="564" t="s">
        <v>115</v>
      </c>
      <c r="F147" s="564" t="s">
        <v>283</v>
      </c>
      <c r="G147" s="564" t="s">
        <v>53</v>
      </c>
      <c r="H147" s="565">
        <v>44271</v>
      </c>
      <c r="I147" s="564" t="s">
        <v>368</v>
      </c>
      <c r="J147" s="599">
        <v>2039400</v>
      </c>
      <c r="K147" s="600">
        <v>0.5</v>
      </c>
      <c r="L147" s="568">
        <v>1019700</v>
      </c>
      <c r="M147" s="569" t="s">
        <v>203</v>
      </c>
      <c r="N147" s="573">
        <v>0</v>
      </c>
      <c r="O147" s="570">
        <f t="shared" si="13"/>
        <v>1019700</v>
      </c>
      <c r="P147" s="575"/>
      <c r="Q147" s="572" t="e">
        <f>VLOOKUP(G:G,list!B:D,3,FALSE)</f>
        <v>#N/A</v>
      </c>
    </row>
    <row r="148" spans="2:17" ht="18" hidden="1" customHeight="1">
      <c r="B148" s="563">
        <v>143</v>
      </c>
      <c r="C148" s="564" t="e">
        <f>VLOOKUP(G:G,list!B:D,2,FALSE)</f>
        <v>#N/A</v>
      </c>
      <c r="D148" s="564" t="s">
        <v>182</v>
      </c>
      <c r="E148" s="564" t="s">
        <v>115</v>
      </c>
      <c r="F148" s="564" t="s">
        <v>283</v>
      </c>
      <c r="G148" s="564" t="s">
        <v>57</v>
      </c>
      <c r="H148" s="565">
        <v>44384</v>
      </c>
      <c r="I148" s="564" t="s">
        <v>368</v>
      </c>
      <c r="J148" s="599">
        <v>180180</v>
      </c>
      <c r="K148" s="600">
        <v>0.5</v>
      </c>
      <c r="L148" s="568">
        <v>90090</v>
      </c>
      <c r="M148" s="569">
        <v>0.1</v>
      </c>
      <c r="N148" s="570">
        <f t="shared" ref="N148:N153" si="21">L148*M148</f>
        <v>9009</v>
      </c>
      <c r="O148" s="570">
        <f t="shared" si="13"/>
        <v>81081</v>
      </c>
      <c r="P148" s="575"/>
      <c r="Q148" s="572" t="e">
        <f>VLOOKUP(G:G,list!B:D,3,FALSE)</f>
        <v>#N/A</v>
      </c>
    </row>
    <row r="149" spans="2:17" ht="18" hidden="1" customHeight="1">
      <c r="B149" s="563">
        <v>144</v>
      </c>
      <c r="C149" s="564" t="e">
        <f>VLOOKUP(G:G,list!B:D,2,FALSE)</f>
        <v>#N/A</v>
      </c>
      <c r="D149" s="564" t="s">
        <v>182</v>
      </c>
      <c r="E149" s="564" t="s">
        <v>115</v>
      </c>
      <c r="F149" s="564" t="s">
        <v>283</v>
      </c>
      <c r="G149" s="564" t="s">
        <v>191</v>
      </c>
      <c r="H149" s="565">
        <v>44391</v>
      </c>
      <c r="I149" s="564" t="s">
        <v>368</v>
      </c>
      <c r="J149" s="599">
        <v>1845540</v>
      </c>
      <c r="K149" s="600">
        <v>0.5</v>
      </c>
      <c r="L149" s="568">
        <v>922770</v>
      </c>
      <c r="M149" s="569">
        <v>0.1</v>
      </c>
      <c r="N149" s="573">
        <f t="shared" si="21"/>
        <v>92277</v>
      </c>
      <c r="O149" s="570">
        <f t="shared" si="13"/>
        <v>830493</v>
      </c>
      <c r="P149" s="575"/>
      <c r="Q149" s="572" t="e">
        <f>VLOOKUP(G:G,list!B:D,3,FALSE)</f>
        <v>#N/A</v>
      </c>
    </row>
    <row r="150" spans="2:17" ht="18" hidden="1" customHeight="1">
      <c r="B150" s="563">
        <v>145</v>
      </c>
      <c r="C150" s="564" t="e">
        <f>VLOOKUP(G:G,list!B:D,2,FALSE)</f>
        <v>#N/A</v>
      </c>
      <c r="D150" s="564" t="s">
        <v>182</v>
      </c>
      <c r="E150" s="564" t="s">
        <v>115</v>
      </c>
      <c r="F150" s="564" t="s">
        <v>386</v>
      </c>
      <c r="G150" s="564" t="s">
        <v>74</v>
      </c>
      <c r="H150" s="565">
        <v>44612</v>
      </c>
      <c r="I150" s="564" t="s">
        <v>368</v>
      </c>
      <c r="J150" s="599">
        <v>10319</v>
      </c>
      <c r="K150" s="600">
        <v>0.5</v>
      </c>
      <c r="L150" s="568">
        <v>5159.5</v>
      </c>
      <c r="M150" s="569">
        <v>0.1</v>
      </c>
      <c r="N150" s="570">
        <f t="shared" si="21"/>
        <v>515.95000000000005</v>
      </c>
      <c r="O150" s="570">
        <f t="shared" si="13"/>
        <v>4643.55</v>
      </c>
      <c r="P150" s="575"/>
      <c r="Q150" s="572" t="e">
        <f>VLOOKUP(G:G,list!B:D,3,FALSE)</f>
        <v>#N/A</v>
      </c>
    </row>
    <row r="151" spans="2:17" ht="18" hidden="1" customHeight="1">
      <c r="B151" s="563">
        <v>146</v>
      </c>
      <c r="C151" s="564" t="e">
        <f>VLOOKUP(G:G,list!B:D,2,FALSE)</f>
        <v>#N/A</v>
      </c>
      <c r="D151" s="564" t="s">
        <v>182</v>
      </c>
      <c r="E151" s="564" t="s">
        <v>115</v>
      </c>
      <c r="F151" s="564" t="s">
        <v>386</v>
      </c>
      <c r="G151" s="564" t="s">
        <v>153</v>
      </c>
      <c r="H151" s="565">
        <v>44604</v>
      </c>
      <c r="I151" s="564" t="s">
        <v>368</v>
      </c>
      <c r="J151" s="599">
        <v>1626836</v>
      </c>
      <c r="K151" s="600">
        <v>0.5</v>
      </c>
      <c r="L151" s="568">
        <v>813418</v>
      </c>
      <c r="M151" s="569">
        <v>0.1</v>
      </c>
      <c r="N151" s="570">
        <f t="shared" si="21"/>
        <v>81341.8</v>
      </c>
      <c r="O151" s="570">
        <f t="shared" si="13"/>
        <v>732076.2</v>
      </c>
      <c r="P151" s="575"/>
      <c r="Q151" s="572" t="e">
        <f>VLOOKUP(G:G,list!B:D,3,FALSE)</f>
        <v>#N/A</v>
      </c>
    </row>
    <row r="152" spans="2:17" ht="18" hidden="1" customHeight="1">
      <c r="B152" s="563">
        <v>147</v>
      </c>
      <c r="C152" s="564" t="e">
        <f>VLOOKUP(G:G,list!B:D,2,FALSE)</f>
        <v>#N/A</v>
      </c>
      <c r="D152" s="564" t="s">
        <v>182</v>
      </c>
      <c r="E152" s="564" t="s">
        <v>115</v>
      </c>
      <c r="F152" s="564" t="s">
        <v>386</v>
      </c>
      <c r="G152" s="564" t="s">
        <v>152</v>
      </c>
      <c r="H152" s="565">
        <v>44621</v>
      </c>
      <c r="I152" s="564" t="s">
        <v>368</v>
      </c>
      <c r="J152" s="599">
        <v>500476</v>
      </c>
      <c r="K152" s="600">
        <v>0.5</v>
      </c>
      <c r="L152" s="568">
        <v>250238</v>
      </c>
      <c r="M152" s="569">
        <v>0.12</v>
      </c>
      <c r="N152" s="573">
        <f t="shared" si="21"/>
        <v>30028.559999999998</v>
      </c>
      <c r="O152" s="570">
        <f t="shared" si="13"/>
        <v>220209.44</v>
      </c>
      <c r="P152" s="575"/>
      <c r="Q152" s="572" t="e">
        <f>VLOOKUP(G:G,list!B:D,3,FALSE)</f>
        <v>#N/A</v>
      </c>
    </row>
    <row r="153" spans="2:17" ht="18" hidden="1" customHeight="1">
      <c r="B153" s="563">
        <v>148</v>
      </c>
      <c r="C153" s="564" t="e">
        <f>VLOOKUP(G:G,list!B:D,2,FALSE)</f>
        <v>#N/A</v>
      </c>
      <c r="D153" s="564" t="s">
        <v>182</v>
      </c>
      <c r="E153" s="564" t="s">
        <v>115</v>
      </c>
      <c r="F153" s="564" t="s">
        <v>386</v>
      </c>
      <c r="G153" s="564" t="s">
        <v>179</v>
      </c>
      <c r="H153" s="565">
        <v>44596</v>
      </c>
      <c r="I153" s="564" t="s">
        <v>368</v>
      </c>
      <c r="J153" s="599">
        <v>587105</v>
      </c>
      <c r="K153" s="600">
        <v>0.5</v>
      </c>
      <c r="L153" s="568">
        <v>293552.5</v>
      </c>
      <c r="M153" s="569">
        <v>0.1</v>
      </c>
      <c r="N153" s="573">
        <f t="shared" si="21"/>
        <v>29355.25</v>
      </c>
      <c r="O153" s="570">
        <f t="shared" si="13"/>
        <v>264197.25</v>
      </c>
      <c r="P153" s="575" t="s">
        <v>367</v>
      </c>
      <c r="Q153" s="572" t="e">
        <f>VLOOKUP(G:G,list!B:D,3,FALSE)</f>
        <v>#N/A</v>
      </c>
    </row>
    <row r="154" spans="2:17" ht="18" hidden="1" customHeight="1">
      <c r="B154" s="563">
        <v>149</v>
      </c>
      <c r="C154" s="564" t="str">
        <f>VLOOKUP(G:G,list!B:D,2,FALSE)</f>
        <v>원작료</v>
      </c>
      <c r="D154" s="564" t="s">
        <v>182</v>
      </c>
      <c r="E154" s="564" t="s">
        <v>115</v>
      </c>
      <c r="F154" s="564" t="s">
        <v>386</v>
      </c>
      <c r="G154" s="564" t="s">
        <v>151</v>
      </c>
      <c r="H154" s="565">
        <v>44591</v>
      </c>
      <c r="I154" s="564" t="s">
        <v>368</v>
      </c>
      <c r="J154" s="599">
        <v>132451</v>
      </c>
      <c r="K154" s="600">
        <v>0.5</v>
      </c>
      <c r="L154" s="568">
        <v>66225.5</v>
      </c>
      <c r="M154" s="569">
        <v>0.1</v>
      </c>
      <c r="N154" s="570">
        <f>L154*M154</f>
        <v>6622.55</v>
      </c>
      <c r="O154" s="570">
        <f>L154-N154</f>
        <v>59602.95</v>
      </c>
      <c r="P154" s="575"/>
      <c r="Q154" s="572" t="str">
        <f>VLOOKUP(G:G,list!B:D,3,FALSE)</f>
        <v>Y</v>
      </c>
    </row>
    <row r="155" spans="2:17" ht="18" hidden="1" customHeight="1">
      <c r="B155" s="563">
        <v>150</v>
      </c>
      <c r="C155" s="564" t="str">
        <f>VLOOKUP(G:G,list!B:D,2,FALSE)</f>
        <v>작가기획</v>
      </c>
      <c r="D155" s="564" t="s">
        <v>182</v>
      </c>
      <c r="E155" s="564" t="s">
        <v>115</v>
      </c>
      <c r="F155" s="564" t="s">
        <v>386</v>
      </c>
      <c r="G155" s="564" t="s">
        <v>180</v>
      </c>
      <c r="H155" s="565">
        <v>44643</v>
      </c>
      <c r="I155" s="564" t="s">
        <v>368</v>
      </c>
      <c r="J155" s="599">
        <v>3168790</v>
      </c>
      <c r="K155" s="600">
        <v>0.5</v>
      </c>
      <c r="L155" s="568">
        <v>1584395</v>
      </c>
      <c r="M155" s="569" t="s">
        <v>203</v>
      </c>
      <c r="N155" s="570">
        <v>0</v>
      </c>
      <c r="O155" s="570">
        <f t="shared" si="13"/>
        <v>1584395</v>
      </c>
      <c r="P155" s="575"/>
      <c r="Q155" s="572" t="str">
        <f>VLOOKUP(G:G,list!B:D,3,FALSE)</f>
        <v>Y</v>
      </c>
    </row>
    <row r="156" spans="2:17" ht="18" hidden="1" customHeight="1">
      <c r="B156" s="563">
        <v>151</v>
      </c>
      <c r="C156" s="564" t="e">
        <f>VLOOKUP(G:G,list!B:D,2,FALSE)</f>
        <v>#N/A</v>
      </c>
      <c r="D156" s="564" t="s">
        <v>182</v>
      </c>
      <c r="E156" s="564" t="s">
        <v>115</v>
      </c>
      <c r="F156" s="564" t="s">
        <v>386</v>
      </c>
      <c r="G156" s="564" t="s">
        <v>226</v>
      </c>
      <c r="H156" s="565">
        <v>44633</v>
      </c>
      <c r="I156" s="564" t="s">
        <v>368</v>
      </c>
      <c r="J156" s="599">
        <v>10919</v>
      </c>
      <c r="K156" s="600">
        <v>0.5</v>
      </c>
      <c r="L156" s="568">
        <v>5459.5</v>
      </c>
      <c r="M156" s="569">
        <v>0.1</v>
      </c>
      <c r="N156" s="570">
        <f>L156*M156</f>
        <v>545.95000000000005</v>
      </c>
      <c r="O156" s="570">
        <f>L156-N156</f>
        <v>4913.55</v>
      </c>
      <c r="P156" s="575"/>
      <c r="Q156" s="572" t="e">
        <f>VLOOKUP(G:G,list!B:D,3,FALSE)</f>
        <v>#N/A</v>
      </c>
    </row>
    <row r="157" spans="2:17" ht="18" hidden="1" customHeight="1">
      <c r="B157" s="563">
        <v>152</v>
      </c>
      <c r="C157" s="564" t="e">
        <f>VLOOKUP(G:G,list!B:D,2,FALSE)</f>
        <v>#N/A</v>
      </c>
      <c r="D157" s="564" t="s">
        <v>182</v>
      </c>
      <c r="E157" s="564" t="s">
        <v>115</v>
      </c>
      <c r="F157" s="564" t="s">
        <v>386</v>
      </c>
      <c r="G157" s="564" t="s">
        <v>204</v>
      </c>
      <c r="H157" s="565">
        <v>44615</v>
      </c>
      <c r="I157" s="564" t="s">
        <v>368</v>
      </c>
      <c r="J157" s="599">
        <v>215390</v>
      </c>
      <c r="K157" s="600">
        <v>0.5</v>
      </c>
      <c r="L157" s="568">
        <v>107695</v>
      </c>
      <c r="M157" s="569">
        <v>0.1</v>
      </c>
      <c r="N157" s="573">
        <f>L157*M157</f>
        <v>10769.5</v>
      </c>
      <c r="O157" s="570">
        <f t="shared" ref="O157:O183" si="22">L157-N157</f>
        <v>96925.5</v>
      </c>
      <c r="P157" s="575"/>
      <c r="Q157" s="572" t="e">
        <f>VLOOKUP(G:G,list!B:D,3,FALSE)</f>
        <v>#N/A</v>
      </c>
    </row>
    <row r="158" spans="2:17" ht="18" hidden="1" customHeight="1">
      <c r="B158" s="563">
        <v>153</v>
      </c>
      <c r="C158" s="564" t="str">
        <f>VLOOKUP(G:G,list!B:D,2,FALSE)</f>
        <v>작가기획</v>
      </c>
      <c r="D158" s="564" t="s">
        <v>182</v>
      </c>
      <c r="E158" s="564" t="s">
        <v>115</v>
      </c>
      <c r="F158" s="564" t="s">
        <v>386</v>
      </c>
      <c r="G158" s="564" t="s">
        <v>139</v>
      </c>
      <c r="H158" s="565">
        <v>44643</v>
      </c>
      <c r="I158" s="564" t="s">
        <v>368</v>
      </c>
      <c r="J158" s="599">
        <v>36424</v>
      </c>
      <c r="K158" s="600">
        <v>0.5</v>
      </c>
      <c r="L158" s="568">
        <v>18212</v>
      </c>
      <c r="M158" s="569" t="s">
        <v>203</v>
      </c>
      <c r="N158" s="573">
        <v>0</v>
      </c>
      <c r="O158" s="570">
        <f>L158-N158</f>
        <v>18212</v>
      </c>
      <c r="P158" s="575"/>
      <c r="Q158" s="572" t="str">
        <f>VLOOKUP(G:G,list!B:D,3,FALSE)</f>
        <v>Y</v>
      </c>
    </row>
    <row r="159" spans="2:17" ht="18" hidden="1" customHeight="1">
      <c r="B159" s="563">
        <v>154</v>
      </c>
      <c r="C159" s="564" t="e">
        <f>VLOOKUP(G:G,list!B:D,2,FALSE)</f>
        <v>#N/A</v>
      </c>
      <c r="D159" s="564" t="s">
        <v>182</v>
      </c>
      <c r="E159" s="564" t="s">
        <v>115</v>
      </c>
      <c r="F159" s="564" t="s">
        <v>386</v>
      </c>
      <c r="G159" s="564" t="s">
        <v>147</v>
      </c>
      <c r="H159" s="565">
        <v>44593</v>
      </c>
      <c r="I159" s="564" t="s">
        <v>368</v>
      </c>
      <c r="J159" s="599">
        <v>310598</v>
      </c>
      <c r="K159" s="600">
        <v>0.5</v>
      </c>
      <c r="L159" s="568">
        <v>155299</v>
      </c>
      <c r="M159" s="569" t="s">
        <v>203</v>
      </c>
      <c r="N159" s="573">
        <v>0</v>
      </c>
      <c r="O159" s="570">
        <f t="shared" si="22"/>
        <v>155299</v>
      </c>
      <c r="P159" s="575"/>
      <c r="Q159" s="572" t="e">
        <f>VLOOKUP(G:G,list!B:D,3,FALSE)</f>
        <v>#N/A</v>
      </c>
    </row>
    <row r="160" spans="2:17" ht="18" hidden="1" customHeight="1">
      <c r="B160" s="563">
        <v>155</v>
      </c>
      <c r="C160" s="564" t="e">
        <f>VLOOKUP(G:G,list!B:D,2,FALSE)</f>
        <v>#N/A</v>
      </c>
      <c r="D160" s="564" t="s">
        <v>182</v>
      </c>
      <c r="E160" s="564" t="s">
        <v>115</v>
      </c>
      <c r="F160" s="564" t="s">
        <v>386</v>
      </c>
      <c r="G160" s="564" t="s">
        <v>191</v>
      </c>
      <c r="H160" s="565">
        <v>44599</v>
      </c>
      <c r="I160" s="564" t="s">
        <v>368</v>
      </c>
      <c r="J160" s="599">
        <v>1107454</v>
      </c>
      <c r="K160" s="600">
        <v>0.5</v>
      </c>
      <c r="L160" s="568">
        <v>553727</v>
      </c>
      <c r="M160" s="569">
        <v>0.1</v>
      </c>
      <c r="N160" s="573">
        <f t="shared" ref="N160:N196" si="23">L160*M160</f>
        <v>55372.700000000004</v>
      </c>
      <c r="O160" s="570">
        <f t="shared" si="22"/>
        <v>498354.3</v>
      </c>
      <c r="P160" s="575"/>
      <c r="Q160" s="572" t="e">
        <f>VLOOKUP(G:G,list!B:D,3,FALSE)</f>
        <v>#N/A</v>
      </c>
    </row>
    <row r="161" spans="2:17" ht="18" customHeight="1">
      <c r="B161" s="563">
        <v>156</v>
      </c>
      <c r="C161" s="564" t="str">
        <f>VLOOKUP(G:G,list!B:D,2,FALSE)</f>
        <v>원작료</v>
      </c>
      <c r="D161" s="564" t="s">
        <v>132</v>
      </c>
      <c r="E161" s="564" t="s">
        <v>33</v>
      </c>
      <c r="F161" s="564" t="s">
        <v>486</v>
      </c>
      <c r="G161" s="564" t="s">
        <v>30</v>
      </c>
      <c r="H161" s="565">
        <v>44610</v>
      </c>
      <c r="I161" s="564" t="s">
        <v>323</v>
      </c>
      <c r="J161" s="599">
        <v>35582.207499999997</v>
      </c>
      <c r="K161" s="600">
        <v>0.5</v>
      </c>
      <c r="L161" s="568">
        <v>17791.099999999999</v>
      </c>
      <c r="M161" s="496">
        <v>0.1</v>
      </c>
      <c r="N161" s="497">
        <f t="shared" si="23"/>
        <v>1779.11</v>
      </c>
      <c r="O161" s="497">
        <f t="shared" si="22"/>
        <v>16011.989999999998</v>
      </c>
      <c r="P161" s="474"/>
      <c r="Q161" s="499" t="str">
        <f>VLOOKUP(G:G,list!B:D,3,FALSE)</f>
        <v>Y</v>
      </c>
    </row>
    <row r="162" spans="2:17" ht="18" customHeight="1">
      <c r="B162" s="563">
        <v>157</v>
      </c>
      <c r="C162" s="564" t="e">
        <f>VLOOKUP(G:G,list!B:D,2,FALSE)</f>
        <v>#N/A</v>
      </c>
      <c r="D162" s="564" t="s">
        <v>132</v>
      </c>
      <c r="E162" s="564" t="s">
        <v>33</v>
      </c>
      <c r="F162" s="564" t="s">
        <v>486</v>
      </c>
      <c r="G162" s="564" t="s">
        <v>55</v>
      </c>
      <c r="H162" s="565">
        <v>44610</v>
      </c>
      <c r="I162" s="564" t="s">
        <v>323</v>
      </c>
      <c r="J162" s="599">
        <v>205.67749999999998</v>
      </c>
      <c r="K162" s="600">
        <v>0.5</v>
      </c>
      <c r="L162" s="568">
        <v>102.8</v>
      </c>
      <c r="M162" s="496">
        <v>0.1</v>
      </c>
      <c r="N162" s="497">
        <f>L162*M162</f>
        <v>10.280000000000001</v>
      </c>
      <c r="O162" s="497">
        <f>L162-N162</f>
        <v>92.52</v>
      </c>
      <c r="P162" s="474"/>
      <c r="Q162" s="499" t="e">
        <f>VLOOKUP(G:G,list!B:D,3,FALSE)</f>
        <v>#N/A</v>
      </c>
    </row>
    <row r="163" spans="2:17" ht="18" customHeight="1">
      <c r="B163" s="563">
        <v>158</v>
      </c>
      <c r="C163" s="564" t="e">
        <f>VLOOKUP(G:G,list!B:D,2,FALSE)</f>
        <v>#N/A</v>
      </c>
      <c r="D163" s="564" t="s">
        <v>132</v>
      </c>
      <c r="E163" s="564" t="s">
        <v>33</v>
      </c>
      <c r="F163" s="564" t="s">
        <v>486</v>
      </c>
      <c r="G163" s="564" t="s">
        <v>42</v>
      </c>
      <c r="H163" s="565">
        <v>44610</v>
      </c>
      <c r="I163" s="564" t="s">
        <v>323</v>
      </c>
      <c r="J163" s="599">
        <v>103867.1375</v>
      </c>
      <c r="K163" s="600">
        <v>0.5</v>
      </c>
      <c r="L163" s="568">
        <v>51933.599999999999</v>
      </c>
      <c r="M163" s="496">
        <v>0.1</v>
      </c>
      <c r="N163" s="500">
        <f>L163*M163</f>
        <v>5193.3600000000006</v>
      </c>
      <c r="O163" s="497">
        <f t="shared" ref="O163:O168" si="24">L163-N163</f>
        <v>46740.24</v>
      </c>
      <c r="P163" s="474" t="s">
        <v>85</v>
      </c>
      <c r="Q163" s="499" t="e">
        <f>VLOOKUP(G:G,list!B:D,3,FALSE)</f>
        <v>#N/A</v>
      </c>
    </row>
    <row r="164" spans="2:17" ht="18" customHeight="1">
      <c r="B164" s="563">
        <v>159</v>
      </c>
      <c r="C164" s="564" t="e">
        <f>VLOOKUP(G:G,list!B:D,2,FALSE)</f>
        <v>#N/A</v>
      </c>
      <c r="D164" s="564" t="s">
        <v>132</v>
      </c>
      <c r="E164" s="564" t="s">
        <v>33</v>
      </c>
      <c r="F164" s="564" t="s">
        <v>486</v>
      </c>
      <c r="G164" s="564" t="s">
        <v>28</v>
      </c>
      <c r="H164" s="565">
        <v>44610</v>
      </c>
      <c r="I164" s="564" t="s">
        <v>323</v>
      </c>
      <c r="J164" s="599">
        <v>83299.387499999997</v>
      </c>
      <c r="K164" s="600">
        <v>0.5</v>
      </c>
      <c r="L164" s="568">
        <v>41649.699999999997</v>
      </c>
      <c r="M164" s="496">
        <v>0.12</v>
      </c>
      <c r="N164" s="573">
        <f t="shared" ref="N164:N165" si="25">L164*M164</f>
        <v>4997.963999999999</v>
      </c>
      <c r="O164" s="570">
        <f t="shared" si="24"/>
        <v>36651.735999999997</v>
      </c>
      <c r="P164" s="474"/>
      <c r="Q164" s="499" t="e">
        <f>VLOOKUP(G:G,list!B:D,3,FALSE)</f>
        <v>#N/A</v>
      </c>
    </row>
    <row r="165" spans="2:17" ht="18" customHeight="1">
      <c r="B165" s="563">
        <v>160</v>
      </c>
      <c r="C165" s="564" t="e">
        <f>VLOOKUP(G:G,list!B:D,2,FALSE)</f>
        <v>#N/A</v>
      </c>
      <c r="D165" s="564" t="s">
        <v>132</v>
      </c>
      <c r="E165" s="564" t="s">
        <v>33</v>
      </c>
      <c r="F165" s="564" t="s">
        <v>486</v>
      </c>
      <c r="G165" s="564" t="s">
        <v>29</v>
      </c>
      <c r="H165" s="565">
        <v>44610</v>
      </c>
      <c r="I165" s="564" t="s">
        <v>323</v>
      </c>
      <c r="J165" s="599">
        <v>17688.264999999999</v>
      </c>
      <c r="K165" s="600">
        <v>0.5</v>
      </c>
      <c r="L165" s="568">
        <v>8844.1</v>
      </c>
      <c r="M165" s="496">
        <v>0.1</v>
      </c>
      <c r="N165" s="497">
        <f t="shared" si="25"/>
        <v>884.41000000000008</v>
      </c>
      <c r="O165" s="497">
        <f t="shared" si="24"/>
        <v>7959.6900000000005</v>
      </c>
      <c r="P165" s="474"/>
      <c r="Q165" s="499" t="e">
        <f>VLOOKUP(G:G,list!B:D,3,FALSE)</f>
        <v>#N/A</v>
      </c>
    </row>
    <row r="166" spans="2:17" ht="18" customHeight="1">
      <c r="B166" s="563">
        <v>161</v>
      </c>
      <c r="C166" s="564" t="e">
        <f>VLOOKUP(G:G,list!B:D,2,FALSE)</f>
        <v>#N/A</v>
      </c>
      <c r="D166" s="564" t="s">
        <v>132</v>
      </c>
      <c r="E166" s="564" t="s">
        <v>33</v>
      </c>
      <c r="F166" s="564" t="s">
        <v>486</v>
      </c>
      <c r="G166" s="564" t="s">
        <v>53</v>
      </c>
      <c r="H166" s="565">
        <v>44610</v>
      </c>
      <c r="I166" s="564" t="s">
        <v>323</v>
      </c>
      <c r="J166" s="599">
        <v>43397.952499999992</v>
      </c>
      <c r="K166" s="600">
        <v>0.5</v>
      </c>
      <c r="L166" s="568">
        <v>21699</v>
      </c>
      <c r="M166" s="496" t="s">
        <v>203</v>
      </c>
      <c r="N166" s="500">
        <v>0</v>
      </c>
      <c r="O166" s="497">
        <f t="shared" si="24"/>
        <v>21699</v>
      </c>
      <c r="P166" s="474"/>
      <c r="Q166" s="499" t="e">
        <f>VLOOKUP(G:G,list!B:D,3,FALSE)</f>
        <v>#N/A</v>
      </c>
    </row>
    <row r="167" spans="2:17" ht="18" customHeight="1">
      <c r="B167" s="563">
        <v>162</v>
      </c>
      <c r="C167" s="564" t="e">
        <f>VLOOKUP(G:G,list!B:D,2,FALSE)</f>
        <v>#N/A</v>
      </c>
      <c r="D167" s="564" t="s">
        <v>132</v>
      </c>
      <c r="E167" s="564" t="s">
        <v>33</v>
      </c>
      <c r="F167" s="564" t="s">
        <v>486</v>
      </c>
      <c r="G167" s="564" t="s">
        <v>54</v>
      </c>
      <c r="H167" s="565">
        <v>44610</v>
      </c>
      <c r="I167" s="564" t="s">
        <v>323</v>
      </c>
      <c r="J167" s="599">
        <v>15425.812499999998</v>
      </c>
      <c r="K167" s="600">
        <v>0.5</v>
      </c>
      <c r="L167" s="568">
        <v>7712.9</v>
      </c>
      <c r="M167" s="496">
        <v>0.1</v>
      </c>
      <c r="N167" s="497">
        <f t="shared" ref="N167:N168" si="26">L167*M167</f>
        <v>771.29</v>
      </c>
      <c r="O167" s="497">
        <f t="shared" si="24"/>
        <v>6941.61</v>
      </c>
      <c r="P167" s="474"/>
      <c r="Q167" s="499" t="e">
        <f>VLOOKUP(G:G,list!B:D,3,FALSE)</f>
        <v>#N/A</v>
      </c>
    </row>
    <row r="168" spans="2:17" ht="18" customHeight="1">
      <c r="B168" s="563">
        <v>163</v>
      </c>
      <c r="C168" s="564" t="str">
        <f>VLOOKUP(G:G,list!B:D,2,FALSE)</f>
        <v>원작료</v>
      </c>
      <c r="D168" s="564" t="s">
        <v>132</v>
      </c>
      <c r="E168" s="564" t="s">
        <v>33</v>
      </c>
      <c r="F168" s="564" t="s">
        <v>486</v>
      </c>
      <c r="G168" s="564" t="s">
        <v>30</v>
      </c>
      <c r="H168" s="565">
        <v>44610</v>
      </c>
      <c r="I168" s="564" t="s">
        <v>351</v>
      </c>
      <c r="J168" s="599">
        <v>61703.249999999993</v>
      </c>
      <c r="K168" s="600">
        <v>0.5</v>
      </c>
      <c r="L168" s="568">
        <v>30851.599999999999</v>
      </c>
      <c r="M168" s="496">
        <v>0.1</v>
      </c>
      <c r="N168" s="497">
        <f t="shared" si="26"/>
        <v>3085.16</v>
      </c>
      <c r="O168" s="497">
        <f t="shared" si="24"/>
        <v>27766.44</v>
      </c>
      <c r="P168" s="474"/>
      <c r="Q168" s="499" t="str">
        <f>VLOOKUP(G:G,list!B:D,3,FALSE)</f>
        <v>Y</v>
      </c>
    </row>
    <row r="169" spans="2:17" ht="18" customHeight="1">
      <c r="B169" s="563">
        <v>164</v>
      </c>
      <c r="C169" s="564" t="e">
        <f>VLOOKUP(G:G,list!B:D,2,FALSE)</f>
        <v>#N/A</v>
      </c>
      <c r="D169" s="564" t="s">
        <v>132</v>
      </c>
      <c r="E169" s="564" t="s">
        <v>33</v>
      </c>
      <c r="F169" s="564" t="s">
        <v>486</v>
      </c>
      <c r="G169" s="564" t="s">
        <v>55</v>
      </c>
      <c r="H169" s="565">
        <v>44610</v>
      </c>
      <c r="I169" s="564" t="s">
        <v>351</v>
      </c>
      <c r="J169" s="599">
        <v>4936.2599999999993</v>
      </c>
      <c r="K169" s="600">
        <v>0.5</v>
      </c>
      <c r="L169" s="568">
        <v>2468.1</v>
      </c>
      <c r="M169" s="496">
        <v>0.1</v>
      </c>
      <c r="N169" s="497">
        <f>L169*M169</f>
        <v>246.81</v>
      </c>
      <c r="O169" s="497">
        <f>L169-N169</f>
        <v>2221.29</v>
      </c>
      <c r="P169" s="474"/>
      <c r="Q169" s="499" t="e">
        <f>VLOOKUP(G:G,list!B:D,3,FALSE)</f>
        <v>#N/A</v>
      </c>
    </row>
    <row r="170" spans="2:17" ht="18" customHeight="1">
      <c r="B170" s="563">
        <v>165</v>
      </c>
      <c r="C170" s="564" t="e">
        <f>VLOOKUP(G:G,list!B:D,2,FALSE)</f>
        <v>#N/A</v>
      </c>
      <c r="D170" s="564" t="s">
        <v>132</v>
      </c>
      <c r="E170" s="564" t="s">
        <v>33</v>
      </c>
      <c r="F170" s="564" t="s">
        <v>486</v>
      </c>
      <c r="G170" s="564" t="s">
        <v>42</v>
      </c>
      <c r="H170" s="565">
        <v>44610</v>
      </c>
      <c r="I170" s="564" t="s">
        <v>351</v>
      </c>
      <c r="J170" s="599">
        <v>196422.01249999998</v>
      </c>
      <c r="K170" s="600">
        <v>0.5</v>
      </c>
      <c r="L170" s="568">
        <v>98211</v>
      </c>
      <c r="M170" s="496">
        <v>0.1</v>
      </c>
      <c r="N170" s="500">
        <f>L170*M170</f>
        <v>9821.1</v>
      </c>
      <c r="O170" s="497">
        <f t="shared" ref="O170:O175" si="27">L170-N170</f>
        <v>88389.9</v>
      </c>
      <c r="P170" s="474" t="s">
        <v>85</v>
      </c>
      <c r="Q170" s="499" t="e">
        <f>VLOOKUP(G:G,list!B:D,3,FALSE)</f>
        <v>#N/A</v>
      </c>
    </row>
    <row r="171" spans="2:17" ht="18" customHeight="1">
      <c r="B171" s="563">
        <v>166</v>
      </c>
      <c r="C171" s="564" t="e">
        <f>VLOOKUP(G:G,list!B:D,2,FALSE)</f>
        <v>#N/A</v>
      </c>
      <c r="D171" s="564" t="s">
        <v>132</v>
      </c>
      <c r="E171" s="564" t="s">
        <v>33</v>
      </c>
      <c r="F171" s="564" t="s">
        <v>486</v>
      </c>
      <c r="G171" s="564" t="s">
        <v>28</v>
      </c>
      <c r="H171" s="565">
        <v>44610</v>
      </c>
      <c r="I171" s="564" t="s">
        <v>351</v>
      </c>
      <c r="J171" s="599">
        <v>83505.064999999988</v>
      </c>
      <c r="K171" s="600">
        <v>0.5</v>
      </c>
      <c r="L171" s="568">
        <v>41752.5</v>
      </c>
      <c r="M171" s="496">
        <v>0.12</v>
      </c>
      <c r="N171" s="573">
        <f t="shared" ref="N171:N172" si="28">L171*M171</f>
        <v>5010.3</v>
      </c>
      <c r="O171" s="570">
        <f t="shared" si="27"/>
        <v>36742.199999999997</v>
      </c>
      <c r="P171" s="474"/>
      <c r="Q171" s="499" t="e">
        <f>VLOOKUP(G:G,list!B:D,3,FALSE)</f>
        <v>#N/A</v>
      </c>
    </row>
    <row r="172" spans="2:17" ht="18" customHeight="1">
      <c r="B172" s="563">
        <v>167</v>
      </c>
      <c r="C172" s="564" t="e">
        <f>VLOOKUP(G:G,list!B:D,2,FALSE)</f>
        <v>#N/A</v>
      </c>
      <c r="D172" s="564" t="s">
        <v>132</v>
      </c>
      <c r="E172" s="564" t="s">
        <v>33</v>
      </c>
      <c r="F172" s="564" t="s">
        <v>486</v>
      </c>
      <c r="G172" s="564" t="s">
        <v>29</v>
      </c>
      <c r="H172" s="565">
        <v>44610</v>
      </c>
      <c r="I172" s="564" t="s">
        <v>351</v>
      </c>
      <c r="J172" s="599">
        <v>33525.432499999995</v>
      </c>
      <c r="K172" s="600">
        <v>0.5</v>
      </c>
      <c r="L172" s="568">
        <v>16762.7</v>
      </c>
      <c r="M172" s="496">
        <v>0.1</v>
      </c>
      <c r="N172" s="497">
        <f t="shared" si="28"/>
        <v>1676.2700000000002</v>
      </c>
      <c r="O172" s="497">
        <f t="shared" si="27"/>
        <v>15086.43</v>
      </c>
      <c r="P172" s="474"/>
      <c r="Q172" s="499" t="e">
        <f>VLOOKUP(G:G,list!B:D,3,FALSE)</f>
        <v>#N/A</v>
      </c>
    </row>
    <row r="173" spans="2:17" ht="18" customHeight="1">
      <c r="B173" s="563">
        <v>168</v>
      </c>
      <c r="C173" s="564" t="e">
        <f>VLOOKUP(G:G,list!B:D,2,FALSE)</f>
        <v>#N/A</v>
      </c>
      <c r="D173" s="564" t="s">
        <v>132</v>
      </c>
      <c r="E173" s="564" t="s">
        <v>33</v>
      </c>
      <c r="F173" s="564" t="s">
        <v>486</v>
      </c>
      <c r="G173" s="564" t="s">
        <v>53</v>
      </c>
      <c r="H173" s="565">
        <v>44610</v>
      </c>
      <c r="I173" s="564" t="s">
        <v>351</v>
      </c>
      <c r="J173" s="599">
        <v>70341.704999999987</v>
      </c>
      <c r="K173" s="600">
        <v>0.5</v>
      </c>
      <c r="L173" s="568">
        <v>35170.9</v>
      </c>
      <c r="M173" s="496" t="s">
        <v>203</v>
      </c>
      <c r="N173" s="500">
        <v>0</v>
      </c>
      <c r="O173" s="497">
        <f t="shared" si="27"/>
        <v>35170.9</v>
      </c>
      <c r="P173" s="474"/>
      <c r="Q173" s="499" t="e">
        <f>VLOOKUP(G:G,list!B:D,3,FALSE)</f>
        <v>#N/A</v>
      </c>
    </row>
    <row r="174" spans="2:17" ht="18" customHeight="1">
      <c r="B174" s="563">
        <v>169</v>
      </c>
      <c r="C174" s="564" t="e">
        <f>VLOOKUP(G:G,list!B:D,2,FALSE)</f>
        <v>#N/A</v>
      </c>
      <c r="D174" s="564" t="s">
        <v>132</v>
      </c>
      <c r="E174" s="564" t="s">
        <v>33</v>
      </c>
      <c r="F174" s="564" t="s">
        <v>486</v>
      </c>
      <c r="G174" s="564" t="s">
        <v>54</v>
      </c>
      <c r="H174" s="565">
        <v>44610</v>
      </c>
      <c r="I174" s="564" t="s">
        <v>351</v>
      </c>
      <c r="J174" s="599">
        <v>36816.272499999992</v>
      </c>
      <c r="K174" s="600">
        <v>0.5</v>
      </c>
      <c r="L174" s="568">
        <v>18408.099999999999</v>
      </c>
      <c r="M174" s="496">
        <v>0.1</v>
      </c>
      <c r="N174" s="497">
        <f t="shared" ref="N174:N175" si="29">L174*M174</f>
        <v>1840.81</v>
      </c>
      <c r="O174" s="497">
        <f t="shared" si="27"/>
        <v>16567.289999999997</v>
      </c>
      <c r="P174" s="474"/>
      <c r="Q174" s="499" t="e">
        <f>VLOOKUP(G:G,list!B:D,3,FALSE)</f>
        <v>#N/A</v>
      </c>
    </row>
    <row r="175" spans="2:17" ht="18" customHeight="1">
      <c r="B175" s="563">
        <v>170</v>
      </c>
      <c r="C175" s="564" t="str">
        <f>VLOOKUP(G:G,list!B:D,2,FALSE)</f>
        <v>원작료</v>
      </c>
      <c r="D175" s="564" t="s">
        <v>132</v>
      </c>
      <c r="E175" s="564" t="s">
        <v>33</v>
      </c>
      <c r="F175" s="564" t="s">
        <v>486</v>
      </c>
      <c r="G175" s="564" t="s">
        <v>30</v>
      </c>
      <c r="H175" s="565">
        <v>44610</v>
      </c>
      <c r="I175" s="564" t="s">
        <v>368</v>
      </c>
      <c r="J175" s="599">
        <v>114356.68999999999</v>
      </c>
      <c r="K175" s="600">
        <v>0.5</v>
      </c>
      <c r="L175" s="568">
        <v>57178.3</v>
      </c>
      <c r="M175" s="496">
        <v>0.1</v>
      </c>
      <c r="N175" s="497">
        <f t="shared" si="29"/>
        <v>5717.8300000000008</v>
      </c>
      <c r="O175" s="497">
        <f t="shared" si="27"/>
        <v>51460.47</v>
      </c>
      <c r="P175" s="474"/>
      <c r="Q175" s="499" t="str">
        <f>VLOOKUP(G:G,list!B:D,3,FALSE)</f>
        <v>Y</v>
      </c>
    </row>
    <row r="176" spans="2:17" ht="18" customHeight="1">
      <c r="B176" s="563">
        <v>171</v>
      </c>
      <c r="C176" s="564" t="e">
        <f>VLOOKUP(G:G,list!B:D,2,FALSE)</f>
        <v>#N/A</v>
      </c>
      <c r="D176" s="564" t="s">
        <v>132</v>
      </c>
      <c r="E176" s="564" t="s">
        <v>33</v>
      </c>
      <c r="F176" s="564" t="s">
        <v>486</v>
      </c>
      <c r="G176" s="564" t="s">
        <v>55</v>
      </c>
      <c r="H176" s="565">
        <v>44610</v>
      </c>
      <c r="I176" s="564" t="s">
        <v>368</v>
      </c>
      <c r="J176" s="599">
        <v>3085.1624999999999</v>
      </c>
      <c r="K176" s="600">
        <v>0.5</v>
      </c>
      <c r="L176" s="568">
        <v>1542.6</v>
      </c>
      <c r="M176" s="496">
        <v>0.1</v>
      </c>
      <c r="N176" s="497">
        <f>L176*M176</f>
        <v>154.26</v>
      </c>
      <c r="O176" s="497">
        <f>L176-N176</f>
        <v>1388.34</v>
      </c>
      <c r="P176" s="474"/>
      <c r="Q176" s="499" t="e">
        <f>VLOOKUP(G:G,list!B:D,3,FALSE)</f>
        <v>#N/A</v>
      </c>
    </row>
    <row r="177" spans="2:17" ht="18" customHeight="1">
      <c r="B177" s="563">
        <v>172</v>
      </c>
      <c r="C177" s="564" t="e">
        <f>VLOOKUP(G:G,list!B:D,2,FALSE)</f>
        <v>#N/A</v>
      </c>
      <c r="D177" s="564" t="s">
        <v>132</v>
      </c>
      <c r="E177" s="564" t="s">
        <v>33</v>
      </c>
      <c r="F177" s="564" t="s">
        <v>486</v>
      </c>
      <c r="G177" s="564" t="s">
        <v>42</v>
      </c>
      <c r="H177" s="565">
        <v>44610</v>
      </c>
      <c r="I177" s="564" t="s">
        <v>368</v>
      </c>
      <c r="J177" s="599">
        <v>276430.56</v>
      </c>
      <c r="K177" s="600">
        <v>0.5</v>
      </c>
      <c r="L177" s="568">
        <v>138215.29999999999</v>
      </c>
      <c r="M177" s="496">
        <v>0.1</v>
      </c>
      <c r="N177" s="500">
        <f>L177*M177</f>
        <v>13821.529999999999</v>
      </c>
      <c r="O177" s="497">
        <f t="shared" ref="O177:O181" si="30">L177-N177</f>
        <v>124393.76999999999</v>
      </c>
      <c r="P177" s="474" t="s">
        <v>85</v>
      </c>
      <c r="Q177" s="499" t="e">
        <f>VLOOKUP(G:G,list!B:D,3,FALSE)</f>
        <v>#N/A</v>
      </c>
    </row>
    <row r="178" spans="2:17" ht="18" customHeight="1">
      <c r="B178" s="563">
        <v>173</v>
      </c>
      <c r="C178" s="564" t="e">
        <f>VLOOKUP(G:G,list!B:D,2,FALSE)</f>
        <v>#N/A</v>
      </c>
      <c r="D178" s="564" t="s">
        <v>132</v>
      </c>
      <c r="E178" s="564" t="s">
        <v>33</v>
      </c>
      <c r="F178" s="564" t="s">
        <v>486</v>
      </c>
      <c r="G178" s="564" t="s">
        <v>28</v>
      </c>
      <c r="H178" s="565">
        <v>44610</v>
      </c>
      <c r="I178" s="564" t="s">
        <v>368</v>
      </c>
      <c r="J178" s="599">
        <v>157960.31999999998</v>
      </c>
      <c r="K178" s="600">
        <v>0.5</v>
      </c>
      <c r="L178" s="568">
        <v>78980.2</v>
      </c>
      <c r="M178" s="496">
        <v>0.12</v>
      </c>
      <c r="N178" s="573">
        <f t="shared" ref="N178:N179" si="31">L178*M178</f>
        <v>9477.6239999999998</v>
      </c>
      <c r="O178" s="570">
        <f t="shared" si="30"/>
        <v>69502.576000000001</v>
      </c>
      <c r="P178" s="474"/>
      <c r="Q178" s="499" t="e">
        <f>VLOOKUP(G:G,list!B:D,3,FALSE)</f>
        <v>#N/A</v>
      </c>
    </row>
    <row r="179" spans="2:17" ht="18" customHeight="1">
      <c r="B179" s="563">
        <v>174</v>
      </c>
      <c r="C179" s="564" t="e">
        <f>VLOOKUP(G:G,list!B:D,2,FALSE)</f>
        <v>#N/A</v>
      </c>
      <c r="D179" s="564" t="s">
        <v>132</v>
      </c>
      <c r="E179" s="564" t="s">
        <v>33</v>
      </c>
      <c r="F179" s="564" t="s">
        <v>486</v>
      </c>
      <c r="G179" s="564" t="s">
        <v>29</v>
      </c>
      <c r="H179" s="565">
        <v>44610</v>
      </c>
      <c r="I179" s="564" t="s">
        <v>368</v>
      </c>
      <c r="J179" s="599">
        <v>52036.407499999994</v>
      </c>
      <c r="K179" s="600">
        <v>0.5</v>
      </c>
      <c r="L179" s="568">
        <v>26018.2</v>
      </c>
      <c r="M179" s="496">
        <v>0.1</v>
      </c>
      <c r="N179" s="497">
        <f t="shared" si="31"/>
        <v>2601.8200000000002</v>
      </c>
      <c r="O179" s="497">
        <f t="shared" si="30"/>
        <v>23416.38</v>
      </c>
      <c r="P179" s="474"/>
      <c r="Q179" s="499" t="e">
        <f>VLOOKUP(G:G,list!B:D,3,FALSE)</f>
        <v>#N/A</v>
      </c>
    </row>
    <row r="180" spans="2:17" ht="18" customHeight="1">
      <c r="B180" s="563">
        <v>175</v>
      </c>
      <c r="C180" s="564" t="e">
        <f>VLOOKUP(G:G,list!B:D,2,FALSE)</f>
        <v>#N/A</v>
      </c>
      <c r="D180" s="564" t="s">
        <v>132</v>
      </c>
      <c r="E180" s="564" t="s">
        <v>33</v>
      </c>
      <c r="F180" s="564" t="s">
        <v>486</v>
      </c>
      <c r="G180" s="564" t="s">
        <v>53</v>
      </c>
      <c r="H180" s="565">
        <v>44610</v>
      </c>
      <c r="I180" s="564" t="s">
        <v>368</v>
      </c>
      <c r="J180" s="599">
        <v>143974.25</v>
      </c>
      <c r="K180" s="600">
        <v>0.5</v>
      </c>
      <c r="L180" s="568">
        <v>71987.100000000006</v>
      </c>
      <c r="M180" s="496" t="s">
        <v>203</v>
      </c>
      <c r="N180" s="500">
        <v>0</v>
      </c>
      <c r="O180" s="497">
        <f t="shared" si="30"/>
        <v>71987.100000000006</v>
      </c>
      <c r="P180" s="474"/>
      <c r="Q180" s="499" t="e">
        <f>VLOOKUP(G:G,list!B:D,3,FALSE)</f>
        <v>#N/A</v>
      </c>
    </row>
    <row r="181" spans="2:17" ht="18" customHeight="1">
      <c r="B181" s="563">
        <v>176</v>
      </c>
      <c r="C181" s="564" t="e">
        <f>VLOOKUP(G:G,list!B:D,2,FALSE)</f>
        <v>#N/A</v>
      </c>
      <c r="D181" s="564" t="s">
        <v>132</v>
      </c>
      <c r="E181" s="564" t="s">
        <v>33</v>
      </c>
      <c r="F181" s="564" t="s">
        <v>486</v>
      </c>
      <c r="G181" s="564" t="s">
        <v>54</v>
      </c>
      <c r="H181" s="565">
        <v>44610</v>
      </c>
      <c r="I181" s="564" t="s">
        <v>368</v>
      </c>
      <c r="J181" s="599">
        <v>73015.512499999997</v>
      </c>
      <c r="K181" s="600">
        <v>0.5</v>
      </c>
      <c r="L181" s="568">
        <v>36507.800000000003</v>
      </c>
      <c r="M181" s="496">
        <v>0.1</v>
      </c>
      <c r="N181" s="497">
        <f t="shared" ref="N181" si="32">L181*M181</f>
        <v>3650.7800000000007</v>
      </c>
      <c r="O181" s="497">
        <f t="shared" si="30"/>
        <v>32857.020000000004</v>
      </c>
      <c r="P181" s="474"/>
      <c r="Q181" s="499" t="e">
        <f>VLOOKUP(G:G,list!B:D,3,FALSE)</f>
        <v>#N/A</v>
      </c>
    </row>
    <row r="182" spans="2:17" ht="18" hidden="1" customHeight="1">
      <c r="B182" s="563">
        <v>177</v>
      </c>
      <c r="C182" s="564" t="e">
        <f>VLOOKUP(G:G,list!B:D,2,FALSE)</f>
        <v>#N/A</v>
      </c>
      <c r="D182" s="564" t="s">
        <v>313</v>
      </c>
      <c r="E182" s="564" t="s">
        <v>9</v>
      </c>
      <c r="F182" s="564" t="s">
        <v>213</v>
      </c>
      <c r="G182" s="564" t="s">
        <v>10</v>
      </c>
      <c r="H182" s="565">
        <v>44653</v>
      </c>
      <c r="I182" s="564" t="s">
        <v>477</v>
      </c>
      <c r="J182" s="599">
        <v>1106923</v>
      </c>
      <c r="K182" s="600">
        <v>0.3</v>
      </c>
      <c r="L182" s="568">
        <v>332077</v>
      </c>
      <c r="M182" s="569">
        <v>0.1</v>
      </c>
      <c r="N182" s="570">
        <f t="shared" si="23"/>
        <v>33207.700000000004</v>
      </c>
      <c r="O182" s="570">
        <f t="shared" si="22"/>
        <v>298869.3</v>
      </c>
      <c r="P182" s="575" t="s">
        <v>307</v>
      </c>
      <c r="Q182" s="572" t="e">
        <f>VLOOKUP(G:G,list!B:D,3,FALSE)</f>
        <v>#N/A</v>
      </c>
    </row>
    <row r="183" spans="2:17" ht="18" hidden="1" customHeight="1">
      <c r="B183" s="563">
        <v>178</v>
      </c>
      <c r="C183" s="564" t="e">
        <f>VLOOKUP(G:G,list!B:D,2,FALSE)</f>
        <v>#N/A</v>
      </c>
      <c r="D183" s="564" t="s">
        <v>313</v>
      </c>
      <c r="E183" s="564" t="s">
        <v>9</v>
      </c>
      <c r="F183" s="564" t="s">
        <v>213</v>
      </c>
      <c r="G183" s="564" t="s">
        <v>17</v>
      </c>
      <c r="H183" s="565">
        <v>44642</v>
      </c>
      <c r="I183" s="564" t="s">
        <v>477</v>
      </c>
      <c r="J183" s="599">
        <v>1495267</v>
      </c>
      <c r="K183" s="600">
        <v>0.3</v>
      </c>
      <c r="L183" s="568">
        <v>448580</v>
      </c>
      <c r="M183" s="569">
        <v>0.12</v>
      </c>
      <c r="N183" s="573">
        <f t="shared" si="23"/>
        <v>53829.599999999999</v>
      </c>
      <c r="O183" s="570">
        <f t="shared" si="22"/>
        <v>394750.4</v>
      </c>
      <c r="P183" s="575" t="s">
        <v>307</v>
      </c>
      <c r="Q183" s="572" t="e">
        <f>VLOOKUP(G:G,list!B:D,3,FALSE)</f>
        <v>#N/A</v>
      </c>
    </row>
    <row r="184" spans="2:17" ht="18" hidden="1" customHeight="1">
      <c r="B184" s="563">
        <v>179</v>
      </c>
      <c r="C184" s="564" t="e">
        <f>VLOOKUP(G:G,list!B:D,2,FALSE)</f>
        <v>#N/A</v>
      </c>
      <c r="D184" s="564" t="s">
        <v>313</v>
      </c>
      <c r="E184" s="564" t="s">
        <v>9</v>
      </c>
      <c r="F184" s="564" t="s">
        <v>213</v>
      </c>
      <c r="G184" s="564" t="s">
        <v>55</v>
      </c>
      <c r="H184" s="565">
        <v>44666</v>
      </c>
      <c r="I184" s="564" t="s">
        <v>477</v>
      </c>
      <c r="J184" s="599">
        <v>41587</v>
      </c>
      <c r="K184" s="600">
        <v>0.3</v>
      </c>
      <c r="L184" s="568">
        <v>12476</v>
      </c>
      <c r="M184" s="569">
        <v>0.1</v>
      </c>
      <c r="N184" s="570">
        <f t="shared" si="23"/>
        <v>1247.6000000000001</v>
      </c>
      <c r="O184" s="570">
        <f>L184-N184</f>
        <v>11228.4</v>
      </c>
      <c r="P184" s="575" t="s">
        <v>307</v>
      </c>
      <c r="Q184" s="572" t="e">
        <f>VLOOKUP(G:G,list!B:D,3,FALSE)</f>
        <v>#N/A</v>
      </c>
    </row>
    <row r="185" spans="2:17" ht="18" hidden="1" customHeight="1">
      <c r="B185" s="563">
        <v>180</v>
      </c>
      <c r="C185" s="564" t="e">
        <f>VLOOKUP(G:G,list!B:D,2,FALSE)</f>
        <v>#N/A</v>
      </c>
      <c r="D185" s="564" t="s">
        <v>189</v>
      </c>
      <c r="E185" s="564" t="s">
        <v>9</v>
      </c>
      <c r="F185" s="564" t="s">
        <v>213</v>
      </c>
      <c r="G185" s="564" t="s">
        <v>10</v>
      </c>
      <c r="H185" s="565">
        <v>44366</v>
      </c>
      <c r="I185" s="564" t="s">
        <v>477</v>
      </c>
      <c r="J185" s="599">
        <v>12324960</v>
      </c>
      <c r="K185" s="600">
        <v>0.3</v>
      </c>
      <c r="L185" s="568">
        <v>3697488</v>
      </c>
      <c r="M185" s="569">
        <v>0.1</v>
      </c>
      <c r="N185" s="570">
        <f t="shared" si="23"/>
        <v>369748.80000000005</v>
      </c>
      <c r="O185" s="570">
        <f t="shared" ref="O185:O186" si="33">L185-N185</f>
        <v>3327739.2</v>
      </c>
      <c r="P185" s="575" t="s">
        <v>307</v>
      </c>
      <c r="Q185" s="572" t="e">
        <f>VLOOKUP(G:G,list!B:D,3,FALSE)</f>
        <v>#N/A</v>
      </c>
    </row>
    <row r="186" spans="2:17" ht="18" hidden="1" customHeight="1">
      <c r="B186" s="563">
        <v>181</v>
      </c>
      <c r="C186" s="564" t="e">
        <f>VLOOKUP(G:G,list!B:D,2,FALSE)</f>
        <v>#N/A</v>
      </c>
      <c r="D186" s="564" t="s">
        <v>189</v>
      </c>
      <c r="E186" s="564" t="s">
        <v>9</v>
      </c>
      <c r="F186" s="564" t="s">
        <v>213</v>
      </c>
      <c r="G186" s="564" t="s">
        <v>17</v>
      </c>
      <c r="H186" s="565">
        <v>44466</v>
      </c>
      <c r="I186" s="564" t="s">
        <v>477</v>
      </c>
      <c r="J186" s="599">
        <v>5666740</v>
      </c>
      <c r="K186" s="600">
        <v>0.3</v>
      </c>
      <c r="L186" s="568">
        <v>1700022</v>
      </c>
      <c r="M186" s="569">
        <v>0.12</v>
      </c>
      <c r="N186" s="573">
        <f t="shared" si="23"/>
        <v>204002.63999999998</v>
      </c>
      <c r="O186" s="570">
        <f t="shared" si="33"/>
        <v>1496019.36</v>
      </c>
      <c r="P186" s="575" t="s">
        <v>307</v>
      </c>
      <c r="Q186" s="572" t="e">
        <f>VLOOKUP(G:G,list!B:D,3,FALSE)</f>
        <v>#N/A</v>
      </c>
    </row>
    <row r="187" spans="2:17" ht="18" hidden="1" customHeight="1">
      <c r="B187" s="563">
        <v>182</v>
      </c>
      <c r="C187" s="564" t="e">
        <f>VLOOKUP(G:G,list!B:D,2,FALSE)</f>
        <v>#N/A</v>
      </c>
      <c r="D187" s="564" t="s">
        <v>189</v>
      </c>
      <c r="E187" s="564" t="s">
        <v>9</v>
      </c>
      <c r="F187" s="564" t="s">
        <v>213</v>
      </c>
      <c r="G187" s="564" t="s">
        <v>357</v>
      </c>
      <c r="H187" s="565">
        <v>44806</v>
      </c>
      <c r="I187" s="564" t="s">
        <v>477</v>
      </c>
      <c r="J187" s="599">
        <v>3164963</v>
      </c>
      <c r="K187" s="600">
        <v>0.3</v>
      </c>
      <c r="L187" s="568">
        <v>949489</v>
      </c>
      <c r="M187" s="569">
        <v>0.1</v>
      </c>
      <c r="N187" s="573">
        <f>L187*M187</f>
        <v>94948.900000000009</v>
      </c>
      <c r="O187" s="570">
        <f>L187-N187</f>
        <v>854540.1</v>
      </c>
      <c r="P187" s="575" t="s">
        <v>449</v>
      </c>
      <c r="Q187" s="572"/>
    </row>
    <row r="188" spans="2:17" ht="18" hidden="1" customHeight="1">
      <c r="B188" s="563">
        <v>183</v>
      </c>
      <c r="C188" s="564" t="e">
        <f>VLOOKUP(G:G,list!B:D,2,FALSE)</f>
        <v>#N/A</v>
      </c>
      <c r="D188" s="564" t="s">
        <v>189</v>
      </c>
      <c r="E188" s="564" t="s">
        <v>9</v>
      </c>
      <c r="F188" s="564" t="s">
        <v>257</v>
      </c>
      <c r="G188" s="564" t="s">
        <v>179</v>
      </c>
      <c r="H188" s="565">
        <v>44678</v>
      </c>
      <c r="I188" s="564" t="s">
        <v>455</v>
      </c>
      <c r="J188" s="586">
        <v>534108</v>
      </c>
      <c r="K188" s="567">
        <v>0.35</v>
      </c>
      <c r="L188" s="568">
        <v>186936</v>
      </c>
      <c r="M188" s="569">
        <v>0.1</v>
      </c>
      <c r="N188" s="573">
        <f t="shared" si="23"/>
        <v>18693.600000000002</v>
      </c>
      <c r="O188" s="570">
        <f>L188-N188</f>
        <v>168242.4</v>
      </c>
      <c r="P188" s="575" t="s">
        <v>356</v>
      </c>
      <c r="Q188" s="572" t="e">
        <f>VLOOKUP(G:G,list!B:D,3,FALSE)</f>
        <v>#N/A</v>
      </c>
    </row>
    <row r="189" spans="2:17" ht="18" hidden="1" customHeight="1">
      <c r="B189" s="563">
        <v>184</v>
      </c>
      <c r="C189" s="564" t="e">
        <f>VLOOKUP(G:G,list!B:D,2,FALSE)</f>
        <v>#N/A</v>
      </c>
      <c r="D189" s="564" t="s">
        <v>189</v>
      </c>
      <c r="E189" s="564" t="s">
        <v>9</v>
      </c>
      <c r="F189" s="564" t="s">
        <v>257</v>
      </c>
      <c r="G189" s="564" t="s">
        <v>43</v>
      </c>
      <c r="H189" s="565">
        <v>44742</v>
      </c>
      <c r="I189" s="564" t="s">
        <v>477</v>
      </c>
      <c r="J189" s="586">
        <v>690613</v>
      </c>
      <c r="K189" s="567">
        <v>0.28000000000000003</v>
      </c>
      <c r="L189" s="568">
        <v>193372</v>
      </c>
      <c r="M189" s="569">
        <v>0.1</v>
      </c>
      <c r="N189" s="573">
        <f t="shared" si="23"/>
        <v>19337.2</v>
      </c>
      <c r="O189" s="570">
        <f t="shared" ref="O189:O221" si="34">L189-N189</f>
        <v>174034.8</v>
      </c>
      <c r="P189" s="575"/>
      <c r="Q189" s="572" t="e">
        <f>VLOOKUP(G:G,list!B:D,3,FALSE)</f>
        <v>#N/A</v>
      </c>
    </row>
    <row r="190" spans="2:17" ht="18" hidden="1" customHeight="1">
      <c r="B190" s="563">
        <v>185</v>
      </c>
      <c r="C190" s="564" t="e">
        <f>VLOOKUP(G:G,list!B:D,2,FALSE)</f>
        <v>#N/A</v>
      </c>
      <c r="D190" s="564" t="s">
        <v>189</v>
      </c>
      <c r="E190" s="564" t="s">
        <v>9</v>
      </c>
      <c r="F190" s="564" t="s">
        <v>257</v>
      </c>
      <c r="G190" s="564" t="s">
        <v>335</v>
      </c>
      <c r="H190" s="565">
        <v>44678</v>
      </c>
      <c r="I190" s="564" t="s">
        <v>477</v>
      </c>
      <c r="J190" s="586">
        <v>231336</v>
      </c>
      <c r="K190" s="567">
        <v>0.35</v>
      </c>
      <c r="L190" s="568">
        <v>80967</v>
      </c>
      <c r="M190" s="569">
        <v>0.1</v>
      </c>
      <c r="N190" s="570">
        <f t="shared" si="23"/>
        <v>8096.7000000000007</v>
      </c>
      <c r="O190" s="570">
        <f t="shared" si="34"/>
        <v>72870.3</v>
      </c>
      <c r="P190" s="575"/>
      <c r="Q190" s="572" t="e">
        <f>VLOOKUP(G:G,list!B:D,3,FALSE)</f>
        <v>#N/A</v>
      </c>
    </row>
    <row r="191" spans="2:17" ht="18" hidden="1" customHeight="1">
      <c r="B191" s="563">
        <v>186</v>
      </c>
      <c r="C191" s="564" t="e">
        <f>VLOOKUP(G:G,list!B:D,2,FALSE)</f>
        <v>#N/A</v>
      </c>
      <c r="D191" s="564" t="s">
        <v>189</v>
      </c>
      <c r="E191" s="564" t="s">
        <v>9</v>
      </c>
      <c r="F191" s="564" t="s">
        <v>257</v>
      </c>
      <c r="G191" s="564" t="s">
        <v>336</v>
      </c>
      <c r="H191" s="565">
        <v>44685</v>
      </c>
      <c r="I191" s="564" t="s">
        <v>477</v>
      </c>
      <c r="J191" s="586">
        <v>1572844</v>
      </c>
      <c r="K191" s="567">
        <v>0.35</v>
      </c>
      <c r="L191" s="568">
        <v>550495</v>
      </c>
      <c r="M191" s="569">
        <v>0.1</v>
      </c>
      <c r="N191" s="570">
        <f t="shared" si="23"/>
        <v>55049.5</v>
      </c>
      <c r="O191" s="570">
        <f t="shared" si="34"/>
        <v>495445.5</v>
      </c>
      <c r="P191" s="575"/>
      <c r="Q191" s="572" t="e">
        <f>VLOOKUP(G:G,list!B:D,3,FALSE)</f>
        <v>#N/A</v>
      </c>
    </row>
    <row r="192" spans="2:17" ht="18" hidden="1" customHeight="1">
      <c r="B192" s="563">
        <v>187</v>
      </c>
      <c r="C192" s="564" t="str">
        <f>VLOOKUP(G:G,list!B:D,2,FALSE)</f>
        <v>원작료</v>
      </c>
      <c r="D192" s="564" t="s">
        <v>189</v>
      </c>
      <c r="E192" s="564" t="s">
        <v>9</v>
      </c>
      <c r="F192" s="564" t="s">
        <v>257</v>
      </c>
      <c r="G192" s="564" t="s">
        <v>30</v>
      </c>
      <c r="H192" s="565">
        <v>44742</v>
      </c>
      <c r="I192" s="564" t="s">
        <v>477</v>
      </c>
      <c r="J192" s="586">
        <v>60338</v>
      </c>
      <c r="K192" s="567">
        <v>0.35</v>
      </c>
      <c r="L192" s="568">
        <v>21118</v>
      </c>
      <c r="M192" s="569">
        <v>0.1</v>
      </c>
      <c r="N192" s="570">
        <f>L192*M192</f>
        <v>2111.8000000000002</v>
      </c>
      <c r="O192" s="570">
        <f>L192-N192</f>
        <v>19006.2</v>
      </c>
      <c r="P192" s="575"/>
      <c r="Q192" s="572" t="str">
        <f>VLOOKUP(G:G,list!B:D,3,FALSE)</f>
        <v>Y</v>
      </c>
    </row>
    <row r="193" spans="2:17" ht="18" hidden="1" customHeight="1">
      <c r="B193" s="563">
        <v>188</v>
      </c>
      <c r="C193" s="564" t="e">
        <f>VLOOKUP(G:G,list!B:D,2,FALSE)</f>
        <v>#N/A</v>
      </c>
      <c r="D193" s="564" t="s">
        <v>189</v>
      </c>
      <c r="E193" s="564" t="s">
        <v>9</v>
      </c>
      <c r="F193" s="564" t="s">
        <v>257</v>
      </c>
      <c r="G193" s="564" t="s">
        <v>28</v>
      </c>
      <c r="H193" s="565">
        <v>44742</v>
      </c>
      <c r="I193" s="564" t="s">
        <v>477</v>
      </c>
      <c r="J193" s="586">
        <v>238191</v>
      </c>
      <c r="K193" s="567">
        <v>0.35</v>
      </c>
      <c r="L193" s="568">
        <v>83366</v>
      </c>
      <c r="M193" s="569">
        <v>0.12</v>
      </c>
      <c r="N193" s="570">
        <f t="shared" si="23"/>
        <v>10003.92</v>
      </c>
      <c r="O193" s="570">
        <f t="shared" si="34"/>
        <v>73362.080000000002</v>
      </c>
      <c r="P193" s="575"/>
      <c r="Q193" s="572" t="e">
        <f>VLOOKUP(G:G,list!B:D,3,FALSE)</f>
        <v>#N/A</v>
      </c>
    </row>
    <row r="194" spans="2:17" ht="18" hidden="1" customHeight="1">
      <c r="B194" s="563">
        <v>189</v>
      </c>
      <c r="C194" s="564" t="e">
        <f>VLOOKUP(G:G,list!B:D,2,FALSE)</f>
        <v>#N/A</v>
      </c>
      <c r="D194" s="564" t="s">
        <v>189</v>
      </c>
      <c r="E194" s="564" t="s">
        <v>9</v>
      </c>
      <c r="F194" s="564" t="s">
        <v>257</v>
      </c>
      <c r="G194" s="564" t="s">
        <v>29</v>
      </c>
      <c r="H194" s="565">
        <v>44742</v>
      </c>
      <c r="I194" s="564" t="s">
        <v>477</v>
      </c>
      <c r="J194" s="586">
        <v>37966</v>
      </c>
      <c r="K194" s="567">
        <v>0.35</v>
      </c>
      <c r="L194" s="568">
        <v>13289</v>
      </c>
      <c r="M194" s="569">
        <v>0.1</v>
      </c>
      <c r="N194" s="570">
        <f t="shared" si="23"/>
        <v>1328.9</v>
      </c>
      <c r="O194" s="570">
        <f t="shared" si="34"/>
        <v>11960.1</v>
      </c>
      <c r="P194" s="575"/>
      <c r="Q194" s="572" t="e">
        <f>VLOOKUP(G:G,list!B:D,3,FALSE)</f>
        <v>#N/A</v>
      </c>
    </row>
    <row r="195" spans="2:17" ht="18" hidden="1" customHeight="1">
      <c r="B195" s="563">
        <v>190</v>
      </c>
      <c r="C195" s="564" t="str">
        <f>VLOOKUP(G:G,list!B:D,2,FALSE)</f>
        <v>원작료</v>
      </c>
      <c r="D195" s="564" t="s">
        <v>189</v>
      </c>
      <c r="E195" s="564" t="s">
        <v>9</v>
      </c>
      <c r="F195" s="564" t="s">
        <v>257</v>
      </c>
      <c r="G195" s="564" t="s">
        <v>316</v>
      </c>
      <c r="H195" s="565">
        <v>44782</v>
      </c>
      <c r="I195" s="564" t="s">
        <v>477</v>
      </c>
      <c r="J195" s="586">
        <v>1508049</v>
      </c>
      <c r="K195" s="567">
        <v>0.35</v>
      </c>
      <c r="L195" s="568">
        <v>527816</v>
      </c>
      <c r="M195" s="569">
        <v>0.1</v>
      </c>
      <c r="N195" s="573">
        <f t="shared" si="23"/>
        <v>52781.600000000006</v>
      </c>
      <c r="O195" s="570">
        <f t="shared" si="34"/>
        <v>475034.4</v>
      </c>
      <c r="P195" s="575"/>
      <c r="Q195" s="572" t="str">
        <f>VLOOKUP(G:G,list!B:D,3,FALSE)</f>
        <v>Y</v>
      </c>
    </row>
    <row r="196" spans="2:17" ht="18" hidden="1" customHeight="1">
      <c r="B196" s="563">
        <v>191</v>
      </c>
      <c r="C196" s="564" t="e">
        <f>VLOOKUP(G:G,list!B:D,2,FALSE)</f>
        <v>#N/A</v>
      </c>
      <c r="D196" s="564" t="s">
        <v>189</v>
      </c>
      <c r="E196" s="564" t="s">
        <v>9</v>
      </c>
      <c r="F196" s="564" t="s">
        <v>257</v>
      </c>
      <c r="G196" s="564" t="s">
        <v>412</v>
      </c>
      <c r="H196" s="565">
        <v>44820</v>
      </c>
      <c r="I196" s="564" t="s">
        <v>477</v>
      </c>
      <c r="J196" s="586">
        <v>4573235</v>
      </c>
      <c r="K196" s="567">
        <v>0.35</v>
      </c>
      <c r="L196" s="568">
        <v>1600633</v>
      </c>
      <c r="M196" s="569">
        <v>0.1</v>
      </c>
      <c r="N196" s="573">
        <f t="shared" si="23"/>
        <v>160063.30000000002</v>
      </c>
      <c r="O196" s="570">
        <f t="shared" si="34"/>
        <v>1440569.7</v>
      </c>
      <c r="P196" s="575" t="s">
        <v>287</v>
      </c>
      <c r="Q196" s="572"/>
    </row>
    <row r="197" spans="2:17" ht="18" hidden="1" customHeight="1">
      <c r="B197" s="563">
        <v>192</v>
      </c>
      <c r="C197" s="564" t="e">
        <f>VLOOKUP(G:G,list!B:D,2,FALSE)</f>
        <v>#N/A</v>
      </c>
      <c r="D197" s="564" t="s">
        <v>72</v>
      </c>
      <c r="E197" s="564" t="s">
        <v>9</v>
      </c>
      <c r="F197" s="564" t="s">
        <v>184</v>
      </c>
      <c r="G197" s="564" t="s">
        <v>10</v>
      </c>
      <c r="H197" s="565">
        <v>44466</v>
      </c>
      <c r="I197" s="564" t="s">
        <v>428</v>
      </c>
      <c r="J197" s="586">
        <v>253243623</v>
      </c>
      <c r="K197" s="567">
        <v>0.3</v>
      </c>
      <c r="L197" s="568">
        <v>75973087</v>
      </c>
      <c r="M197" s="569">
        <v>0.1</v>
      </c>
      <c r="N197" s="570">
        <f>L197*M197</f>
        <v>7597308.7000000002</v>
      </c>
      <c r="O197" s="570">
        <f t="shared" si="34"/>
        <v>68375778.299999997</v>
      </c>
      <c r="P197" s="575" t="s">
        <v>282</v>
      </c>
      <c r="Q197" s="572" t="e">
        <f>VLOOKUP(G:G,list!B:D,3,FALSE)</f>
        <v>#N/A</v>
      </c>
    </row>
    <row r="198" spans="2:17" ht="18" hidden="1" customHeight="1">
      <c r="B198" s="563">
        <v>193</v>
      </c>
      <c r="C198" s="564" t="e">
        <f>VLOOKUP(G:G,list!B:D,2,FALSE)</f>
        <v>#N/A</v>
      </c>
      <c r="D198" s="564" t="s">
        <v>72</v>
      </c>
      <c r="E198" s="564" t="s">
        <v>9</v>
      </c>
      <c r="F198" s="564" t="s">
        <v>184</v>
      </c>
      <c r="G198" s="564" t="s">
        <v>11</v>
      </c>
      <c r="H198" s="565">
        <v>44468</v>
      </c>
      <c r="I198" s="564" t="s">
        <v>428</v>
      </c>
      <c r="J198" s="586">
        <v>263173</v>
      </c>
      <c r="K198" s="567">
        <v>0.3</v>
      </c>
      <c r="L198" s="568">
        <v>78952</v>
      </c>
      <c r="M198" s="569" t="s">
        <v>203</v>
      </c>
      <c r="N198" s="570">
        <v>0</v>
      </c>
      <c r="O198" s="570">
        <f t="shared" si="34"/>
        <v>78952</v>
      </c>
      <c r="P198" s="575" t="s">
        <v>282</v>
      </c>
      <c r="Q198" s="572" t="e">
        <f>VLOOKUP(G:G,list!B:D,3,FALSE)</f>
        <v>#N/A</v>
      </c>
    </row>
    <row r="199" spans="2:17" ht="18" hidden="1" customHeight="1">
      <c r="B199" s="563">
        <v>194</v>
      </c>
      <c r="C199" s="564" t="e">
        <f>VLOOKUP(G:G,list!B:D,2,FALSE)</f>
        <v>#N/A</v>
      </c>
      <c r="D199" s="564" t="s">
        <v>72</v>
      </c>
      <c r="E199" s="564" t="s">
        <v>9</v>
      </c>
      <c r="F199" s="564" t="s">
        <v>184</v>
      </c>
      <c r="G199" s="564" t="s">
        <v>17</v>
      </c>
      <c r="H199" s="565">
        <v>44498</v>
      </c>
      <c r="I199" s="564" t="s">
        <v>428</v>
      </c>
      <c r="J199" s="586">
        <v>156620083</v>
      </c>
      <c r="K199" s="567">
        <v>0.3</v>
      </c>
      <c r="L199" s="568">
        <v>46986025</v>
      </c>
      <c r="M199" s="569">
        <v>0.12</v>
      </c>
      <c r="N199" s="573">
        <f t="shared" ref="N199:N206" si="35">L199*M199</f>
        <v>5638323</v>
      </c>
      <c r="O199" s="570">
        <f t="shared" si="34"/>
        <v>41347702</v>
      </c>
      <c r="P199" s="575" t="s">
        <v>282</v>
      </c>
      <c r="Q199" s="572" t="e">
        <f>VLOOKUP(G:G,list!B:D,3,FALSE)</f>
        <v>#N/A</v>
      </c>
    </row>
    <row r="200" spans="2:17" ht="18" hidden="1" customHeight="1">
      <c r="B200" s="563">
        <v>195</v>
      </c>
      <c r="C200" s="564" t="e">
        <f>VLOOKUP(G:G,list!B:D,2,FALSE)</f>
        <v>#N/A</v>
      </c>
      <c r="D200" s="564" t="s">
        <v>72</v>
      </c>
      <c r="E200" s="564" t="s">
        <v>9</v>
      </c>
      <c r="F200" s="564" t="s">
        <v>184</v>
      </c>
      <c r="G200" s="564" t="s">
        <v>12</v>
      </c>
      <c r="H200" s="565">
        <v>44552</v>
      </c>
      <c r="I200" s="564" t="s">
        <v>428</v>
      </c>
      <c r="J200" s="586">
        <v>894197</v>
      </c>
      <c r="K200" s="567">
        <v>0.3</v>
      </c>
      <c r="L200" s="568">
        <v>268259</v>
      </c>
      <c r="M200" s="569">
        <v>0.1</v>
      </c>
      <c r="N200" s="570">
        <f t="shared" si="35"/>
        <v>26825.9</v>
      </c>
      <c r="O200" s="570">
        <f t="shared" si="34"/>
        <v>241433.1</v>
      </c>
      <c r="P200" s="575" t="s">
        <v>282</v>
      </c>
      <c r="Q200" s="572" t="e">
        <f>VLOOKUP(G:G,list!B:D,3,FALSE)</f>
        <v>#N/A</v>
      </c>
    </row>
    <row r="201" spans="2:17" ht="18" hidden="1" customHeight="1">
      <c r="B201" s="563">
        <v>196</v>
      </c>
      <c r="C201" s="564" t="e">
        <f>VLOOKUP(G:G,list!B:D,2,FALSE)</f>
        <v>#N/A</v>
      </c>
      <c r="D201" s="564" t="s">
        <v>72</v>
      </c>
      <c r="E201" s="564" t="s">
        <v>9</v>
      </c>
      <c r="F201" s="564" t="s">
        <v>184</v>
      </c>
      <c r="G201" s="564" t="s">
        <v>306</v>
      </c>
      <c r="H201" s="565">
        <v>44758</v>
      </c>
      <c r="I201" s="564" t="s">
        <v>428</v>
      </c>
      <c r="J201" s="586">
        <v>1072230</v>
      </c>
      <c r="K201" s="567">
        <v>0.3</v>
      </c>
      <c r="L201" s="568">
        <v>321669</v>
      </c>
      <c r="M201" s="569" t="s">
        <v>203</v>
      </c>
      <c r="N201" s="570">
        <v>0</v>
      </c>
      <c r="O201" s="570">
        <f t="shared" si="34"/>
        <v>321669</v>
      </c>
      <c r="P201" s="575" t="s">
        <v>282</v>
      </c>
      <c r="Q201" s="572" t="e">
        <f>VLOOKUP(G:G,list!B:D,3,FALSE)</f>
        <v>#N/A</v>
      </c>
    </row>
    <row r="202" spans="2:17" ht="18" hidden="1" customHeight="1">
      <c r="B202" s="563">
        <v>197</v>
      </c>
      <c r="C202" s="564" t="e">
        <f>VLOOKUP(G:G,list!B:D,2,FALSE)</f>
        <v>#N/A</v>
      </c>
      <c r="D202" s="564" t="s">
        <v>72</v>
      </c>
      <c r="E202" s="564" t="s">
        <v>9</v>
      </c>
      <c r="F202" s="564" t="s">
        <v>73</v>
      </c>
      <c r="G202" s="564" t="s">
        <v>179</v>
      </c>
      <c r="H202" s="565">
        <v>44198</v>
      </c>
      <c r="I202" s="564" t="s">
        <v>428</v>
      </c>
      <c r="J202" s="599">
        <v>79939658</v>
      </c>
      <c r="K202" s="605">
        <v>0.224</v>
      </c>
      <c r="L202" s="568">
        <v>16115837</v>
      </c>
      <c r="M202" s="569">
        <v>0.1</v>
      </c>
      <c r="N202" s="573">
        <f t="shared" si="35"/>
        <v>1611583.7000000002</v>
      </c>
      <c r="O202" s="570">
        <f t="shared" si="34"/>
        <v>14504253.300000001</v>
      </c>
      <c r="P202" s="575" t="s">
        <v>85</v>
      </c>
      <c r="Q202" s="572" t="e">
        <f>VLOOKUP(G:G,list!B:D,3,FALSE)</f>
        <v>#N/A</v>
      </c>
    </row>
    <row r="203" spans="2:17" ht="18" hidden="1" customHeight="1">
      <c r="B203" s="563">
        <v>198</v>
      </c>
      <c r="C203" s="564" t="e">
        <f>VLOOKUP(G:G,list!B:D,2,FALSE)</f>
        <v>#N/A</v>
      </c>
      <c r="D203" s="564" t="s">
        <v>72</v>
      </c>
      <c r="E203" s="564" t="s">
        <v>9</v>
      </c>
      <c r="F203" s="564" t="s">
        <v>73</v>
      </c>
      <c r="G203" s="564" t="s">
        <v>152</v>
      </c>
      <c r="H203" s="565">
        <v>44228</v>
      </c>
      <c r="I203" s="564" t="s">
        <v>428</v>
      </c>
      <c r="J203" s="599">
        <v>33664272</v>
      </c>
      <c r="K203" s="605">
        <v>0.224</v>
      </c>
      <c r="L203" s="568">
        <v>6786717</v>
      </c>
      <c r="M203" s="569">
        <v>0.12</v>
      </c>
      <c r="N203" s="573">
        <f t="shared" si="35"/>
        <v>814406.03999999992</v>
      </c>
      <c r="O203" s="570">
        <f t="shared" si="34"/>
        <v>5972310.96</v>
      </c>
      <c r="P203" s="573"/>
      <c r="Q203" s="572" t="e">
        <f>VLOOKUP(G:G,list!B:D,3,FALSE)</f>
        <v>#N/A</v>
      </c>
    </row>
    <row r="204" spans="2:17" ht="18" hidden="1" customHeight="1">
      <c r="B204" s="563">
        <v>199</v>
      </c>
      <c r="C204" s="564" t="e">
        <f>VLOOKUP(G:G,list!B:D,2,FALSE)</f>
        <v>#N/A</v>
      </c>
      <c r="D204" s="564" t="s">
        <v>72</v>
      </c>
      <c r="E204" s="564" t="s">
        <v>9</v>
      </c>
      <c r="F204" s="564" t="s">
        <v>73</v>
      </c>
      <c r="G204" s="564" t="s">
        <v>74</v>
      </c>
      <c r="H204" s="565">
        <v>44265</v>
      </c>
      <c r="I204" s="564" t="s">
        <v>428</v>
      </c>
      <c r="J204" s="599">
        <v>650389</v>
      </c>
      <c r="K204" s="605">
        <v>0.224</v>
      </c>
      <c r="L204" s="568">
        <v>131127</v>
      </c>
      <c r="M204" s="569">
        <v>0.1</v>
      </c>
      <c r="N204" s="570">
        <f t="shared" si="35"/>
        <v>13112.7</v>
      </c>
      <c r="O204" s="570">
        <f t="shared" si="34"/>
        <v>118014.3</v>
      </c>
      <c r="P204" s="573"/>
      <c r="Q204" s="572" t="e">
        <f>VLOOKUP(G:G,list!B:D,3,FALSE)</f>
        <v>#N/A</v>
      </c>
    </row>
    <row r="205" spans="2:17" ht="18" hidden="1" customHeight="1">
      <c r="B205" s="563">
        <v>200</v>
      </c>
      <c r="C205" s="564" t="e">
        <f>VLOOKUP(G:G,list!B:D,2,FALSE)</f>
        <v>#N/A</v>
      </c>
      <c r="D205" s="564" t="s">
        <v>72</v>
      </c>
      <c r="E205" s="564" t="s">
        <v>9</v>
      </c>
      <c r="F205" s="564" t="s">
        <v>73</v>
      </c>
      <c r="G205" s="564" t="s">
        <v>153</v>
      </c>
      <c r="H205" s="565">
        <v>44315</v>
      </c>
      <c r="I205" s="564" t="s">
        <v>428</v>
      </c>
      <c r="J205" s="599">
        <v>7980537</v>
      </c>
      <c r="K205" s="605">
        <v>0.224</v>
      </c>
      <c r="L205" s="568">
        <v>1608882</v>
      </c>
      <c r="M205" s="569">
        <v>0.1</v>
      </c>
      <c r="N205" s="570">
        <f t="shared" si="35"/>
        <v>160888.20000000001</v>
      </c>
      <c r="O205" s="570">
        <f t="shared" si="34"/>
        <v>1447993.8</v>
      </c>
      <c r="P205" s="575"/>
      <c r="Q205" s="572" t="e">
        <f>VLOOKUP(G:G,list!B:D,3,FALSE)</f>
        <v>#N/A</v>
      </c>
    </row>
    <row r="206" spans="2:17" ht="18" hidden="1" customHeight="1">
      <c r="B206" s="563">
        <v>201</v>
      </c>
      <c r="C206" s="564" t="str">
        <f>VLOOKUP(G:G,list!B:D,2,FALSE)</f>
        <v>원작료</v>
      </c>
      <c r="D206" s="564" t="s">
        <v>72</v>
      </c>
      <c r="E206" s="564" t="s">
        <v>9</v>
      </c>
      <c r="F206" s="564" t="s">
        <v>73</v>
      </c>
      <c r="G206" s="564" t="s">
        <v>151</v>
      </c>
      <c r="H206" s="565">
        <v>44359</v>
      </c>
      <c r="I206" s="564" t="s">
        <v>428</v>
      </c>
      <c r="J206" s="599">
        <v>9270638</v>
      </c>
      <c r="K206" s="605">
        <v>0.224</v>
      </c>
      <c r="L206" s="568">
        <v>1868970</v>
      </c>
      <c r="M206" s="569">
        <v>0.1</v>
      </c>
      <c r="N206" s="570">
        <f t="shared" si="35"/>
        <v>186897</v>
      </c>
      <c r="O206" s="570">
        <f>L206-N206</f>
        <v>1682073</v>
      </c>
      <c r="P206" s="576"/>
      <c r="Q206" s="572" t="str">
        <f>VLOOKUP(G:G,list!B:D,3,FALSE)</f>
        <v>Y</v>
      </c>
    </row>
    <row r="207" spans="2:17" ht="18" hidden="1" customHeight="1">
      <c r="B207" s="563">
        <v>202</v>
      </c>
      <c r="C207" s="564" t="e">
        <f>VLOOKUP(G:G,list!B:D,2,FALSE)</f>
        <v>#N/A</v>
      </c>
      <c r="D207" s="564" t="s">
        <v>72</v>
      </c>
      <c r="E207" s="564" t="s">
        <v>9</v>
      </c>
      <c r="F207" s="564" t="s">
        <v>73</v>
      </c>
      <c r="G207" s="564" t="s">
        <v>212</v>
      </c>
      <c r="H207" s="565">
        <v>44378</v>
      </c>
      <c r="I207" s="564" t="s">
        <v>428</v>
      </c>
      <c r="J207" s="599">
        <v>32694329</v>
      </c>
      <c r="K207" s="605">
        <v>0.24</v>
      </c>
      <c r="L207" s="568">
        <v>7061978</v>
      </c>
      <c r="M207" s="569">
        <v>0.1</v>
      </c>
      <c r="N207" s="573">
        <f>L207*M207</f>
        <v>706197.8</v>
      </c>
      <c r="O207" s="570">
        <f t="shared" si="34"/>
        <v>6355780.2000000002</v>
      </c>
      <c r="P207" s="573"/>
      <c r="Q207" s="572" t="e">
        <f>VLOOKUP(G:G,list!B:D,3,FALSE)</f>
        <v>#N/A</v>
      </c>
    </row>
    <row r="208" spans="2:17" ht="18" hidden="1" customHeight="1">
      <c r="B208" s="563">
        <v>203</v>
      </c>
      <c r="C208" s="564" t="e">
        <f>VLOOKUP(G:G,list!B:D,2,FALSE)</f>
        <v>#N/A</v>
      </c>
      <c r="D208" s="564" t="s">
        <v>72</v>
      </c>
      <c r="E208" s="564" t="s">
        <v>9</v>
      </c>
      <c r="F208" s="564" t="s">
        <v>73</v>
      </c>
      <c r="G208" s="564" t="s">
        <v>147</v>
      </c>
      <c r="H208" s="565">
        <v>44435</v>
      </c>
      <c r="I208" s="564" t="s">
        <v>428</v>
      </c>
      <c r="J208" s="599">
        <v>2922906</v>
      </c>
      <c r="K208" s="605">
        <v>0.224</v>
      </c>
      <c r="L208" s="568">
        <v>589258</v>
      </c>
      <c r="M208" s="569" t="s">
        <v>203</v>
      </c>
      <c r="N208" s="573">
        <v>0</v>
      </c>
      <c r="O208" s="570">
        <f>L208-N208</f>
        <v>589258</v>
      </c>
      <c r="P208" s="573"/>
      <c r="Q208" s="572" t="e">
        <f>VLOOKUP(G:G,list!B:D,3,FALSE)</f>
        <v>#N/A</v>
      </c>
    </row>
    <row r="209" spans="2:17" ht="18" hidden="1" customHeight="1">
      <c r="B209" s="563">
        <v>204</v>
      </c>
      <c r="C209" s="564" t="e">
        <f>VLOOKUP(G:G,list!B:D,2,FALSE)</f>
        <v>#N/A</v>
      </c>
      <c r="D209" s="564" t="s">
        <v>72</v>
      </c>
      <c r="E209" s="564" t="s">
        <v>9</v>
      </c>
      <c r="F209" s="564" t="s">
        <v>73</v>
      </c>
      <c r="G209" s="564" t="s">
        <v>225</v>
      </c>
      <c r="H209" s="565">
        <v>44479</v>
      </c>
      <c r="I209" s="564" t="s">
        <v>428</v>
      </c>
      <c r="J209" s="599">
        <v>727008</v>
      </c>
      <c r="K209" s="605">
        <v>0.224</v>
      </c>
      <c r="L209" s="568">
        <v>146574</v>
      </c>
      <c r="M209" s="569">
        <v>0.1</v>
      </c>
      <c r="N209" s="570">
        <f>L209*M209</f>
        <v>14657.400000000001</v>
      </c>
      <c r="O209" s="570">
        <f>L209-N209</f>
        <v>131916.6</v>
      </c>
      <c r="P209" s="573"/>
      <c r="Q209" s="572" t="e">
        <f>VLOOKUP(G:G,list!B:D,3,FALSE)</f>
        <v>#N/A</v>
      </c>
    </row>
    <row r="210" spans="2:17" ht="18" hidden="1" customHeight="1">
      <c r="B210" s="563">
        <v>205</v>
      </c>
      <c r="C210" s="564" t="e">
        <f>VLOOKUP(G:G,list!B:D,2,FALSE)</f>
        <v>#N/A</v>
      </c>
      <c r="D210" s="564" t="s">
        <v>72</v>
      </c>
      <c r="E210" s="564" t="s">
        <v>9</v>
      </c>
      <c r="F210" s="564" t="s">
        <v>73</v>
      </c>
      <c r="G210" s="564" t="s">
        <v>336</v>
      </c>
      <c r="H210" s="565">
        <v>44597</v>
      </c>
      <c r="I210" s="564" t="s">
        <v>428</v>
      </c>
      <c r="J210" s="599">
        <v>96055181</v>
      </c>
      <c r="K210" s="605">
        <v>0.224</v>
      </c>
      <c r="L210" s="568">
        <v>19364725</v>
      </c>
      <c r="M210" s="569">
        <v>0.1</v>
      </c>
      <c r="N210" s="570">
        <f>L210*M210</f>
        <v>1936472.5</v>
      </c>
      <c r="O210" s="570">
        <f t="shared" si="34"/>
        <v>17428252.5</v>
      </c>
      <c r="P210" s="571"/>
      <c r="Q210" s="572" t="e">
        <f>VLOOKUP(G:G,list!B:D,3,FALSE)</f>
        <v>#N/A</v>
      </c>
    </row>
    <row r="211" spans="2:17" ht="18" hidden="1" customHeight="1">
      <c r="B211" s="563">
        <v>206</v>
      </c>
      <c r="C211" s="564" t="e">
        <f>VLOOKUP(G:G,list!B:D,2,FALSE)</f>
        <v>#N/A</v>
      </c>
      <c r="D211" s="564" t="s">
        <v>72</v>
      </c>
      <c r="E211" s="564" t="s">
        <v>9</v>
      </c>
      <c r="F211" s="564" t="s">
        <v>73</v>
      </c>
      <c r="G211" s="564" t="s">
        <v>191</v>
      </c>
      <c r="H211" s="565">
        <v>44629</v>
      </c>
      <c r="I211" s="564" t="s">
        <v>428</v>
      </c>
      <c r="J211" s="599">
        <v>66839126</v>
      </c>
      <c r="K211" s="605">
        <v>0.224</v>
      </c>
      <c r="L211" s="568">
        <v>13474776</v>
      </c>
      <c r="M211" s="569">
        <v>0.1</v>
      </c>
      <c r="N211" s="573">
        <f t="shared" ref="N211:N216" si="36">L211*M211</f>
        <v>1347477.6</v>
      </c>
      <c r="O211" s="570">
        <f t="shared" si="34"/>
        <v>12127298.4</v>
      </c>
      <c r="P211" s="575"/>
      <c r="Q211" s="572" t="e">
        <f>VLOOKUP(G:G,list!B:D,3,FALSE)</f>
        <v>#N/A</v>
      </c>
    </row>
    <row r="212" spans="2:17" ht="18" hidden="1" customHeight="1">
      <c r="B212" s="563">
        <v>207</v>
      </c>
      <c r="C212" s="564" t="e">
        <f>VLOOKUP(G:G,list!B:D,2,FALSE)</f>
        <v>#N/A</v>
      </c>
      <c r="D212" s="564" t="s">
        <v>72</v>
      </c>
      <c r="E212" s="564" t="s">
        <v>9</v>
      </c>
      <c r="F212" s="564" t="s">
        <v>73</v>
      </c>
      <c r="G212" s="564" t="s">
        <v>335</v>
      </c>
      <c r="H212" s="565">
        <v>44694</v>
      </c>
      <c r="I212" s="564" t="s">
        <v>428</v>
      </c>
      <c r="J212" s="599">
        <v>31237328</v>
      </c>
      <c r="K212" s="605">
        <v>0.224</v>
      </c>
      <c r="L212" s="568">
        <v>6297447</v>
      </c>
      <c r="M212" s="569">
        <v>0.1</v>
      </c>
      <c r="N212" s="570">
        <f t="shared" si="36"/>
        <v>629744.70000000007</v>
      </c>
      <c r="O212" s="570">
        <f t="shared" si="34"/>
        <v>5667702.2999999998</v>
      </c>
      <c r="P212" s="575"/>
      <c r="Q212" s="572" t="e">
        <f>VLOOKUP(G:G,list!B:D,3,FALSE)</f>
        <v>#N/A</v>
      </c>
    </row>
    <row r="213" spans="2:17" ht="18" hidden="1" customHeight="1">
      <c r="B213" s="563">
        <v>208</v>
      </c>
      <c r="C213" s="564" t="str">
        <f>VLOOKUP(G:G,list!B:D,2,FALSE)</f>
        <v>작가기획</v>
      </c>
      <c r="D213" s="564" t="s">
        <v>72</v>
      </c>
      <c r="E213" s="564" t="s">
        <v>9</v>
      </c>
      <c r="F213" s="564" t="s">
        <v>73</v>
      </c>
      <c r="G213" s="564" t="s">
        <v>308</v>
      </c>
      <c r="H213" s="565">
        <v>44773</v>
      </c>
      <c r="I213" s="564" t="s">
        <v>428</v>
      </c>
      <c r="J213" s="599">
        <v>735921</v>
      </c>
      <c r="K213" s="605">
        <v>0.224</v>
      </c>
      <c r="L213" s="568">
        <v>145629</v>
      </c>
      <c r="M213" s="569" t="s">
        <v>203</v>
      </c>
      <c r="N213" s="570">
        <v>0</v>
      </c>
      <c r="O213" s="570">
        <f t="shared" si="34"/>
        <v>145629</v>
      </c>
      <c r="P213" s="575"/>
      <c r="Q213" s="572" t="str">
        <f>VLOOKUP(G:G,list!B:D,3,FALSE)</f>
        <v>Y</v>
      </c>
    </row>
    <row r="214" spans="2:17" ht="18" hidden="1" customHeight="1">
      <c r="B214" s="563">
        <v>209</v>
      </c>
      <c r="C214" s="564" t="str">
        <f>VLOOKUP(G:G,list!B:D,2,FALSE)</f>
        <v>원작료</v>
      </c>
      <c r="D214" s="564" t="s">
        <v>72</v>
      </c>
      <c r="E214" s="564" t="s">
        <v>9</v>
      </c>
      <c r="F214" s="564" t="s">
        <v>73</v>
      </c>
      <c r="G214" s="564" t="s">
        <v>316</v>
      </c>
      <c r="H214" s="565">
        <v>44784</v>
      </c>
      <c r="I214" s="564" t="s">
        <v>428</v>
      </c>
      <c r="J214" s="599">
        <v>18380901</v>
      </c>
      <c r="K214" s="605">
        <v>0.224</v>
      </c>
      <c r="L214" s="568">
        <v>3703089</v>
      </c>
      <c r="M214" s="569">
        <v>0.1</v>
      </c>
      <c r="N214" s="573">
        <f t="shared" ref="N214" si="37">L214*M214</f>
        <v>370308.9</v>
      </c>
      <c r="O214" s="570">
        <f t="shared" ref="O214" si="38">L214-N214</f>
        <v>3332780.1</v>
      </c>
      <c r="P214" s="575" t="s">
        <v>287</v>
      </c>
      <c r="Q214" s="572"/>
    </row>
    <row r="215" spans="2:17" ht="18" hidden="1" customHeight="1">
      <c r="B215" s="563">
        <v>210</v>
      </c>
      <c r="C215" s="564" t="e">
        <f>VLOOKUP(G:G,list!B:D,2,FALSE)</f>
        <v>#N/A</v>
      </c>
      <c r="D215" s="564" t="s">
        <v>72</v>
      </c>
      <c r="E215" s="564" t="s">
        <v>9</v>
      </c>
      <c r="F215" s="564" t="s">
        <v>73</v>
      </c>
      <c r="G215" s="564" t="s">
        <v>412</v>
      </c>
      <c r="H215" s="565">
        <v>44789</v>
      </c>
      <c r="I215" s="564" t="s">
        <v>428</v>
      </c>
      <c r="J215" s="599">
        <v>190278573</v>
      </c>
      <c r="K215" s="605">
        <v>0.224</v>
      </c>
      <c r="L215" s="568">
        <v>38357660</v>
      </c>
      <c r="M215" s="569">
        <v>0.1</v>
      </c>
      <c r="N215" s="573">
        <f t="shared" ref="N215" si="39">L215*M215</f>
        <v>3835766</v>
      </c>
      <c r="O215" s="570">
        <f t="shared" ref="O215" si="40">L215-N215</f>
        <v>34521894</v>
      </c>
      <c r="P215" s="575" t="s">
        <v>287</v>
      </c>
      <c r="Q215" s="572"/>
    </row>
    <row r="216" spans="2:17" ht="18" hidden="1" customHeight="1">
      <c r="B216" s="563">
        <v>211</v>
      </c>
      <c r="C216" s="564" t="e">
        <f>VLOOKUP(G:G,list!B:D,2,FALSE)</f>
        <v>#N/A</v>
      </c>
      <c r="D216" s="564" t="s">
        <v>79</v>
      </c>
      <c r="E216" s="564" t="s">
        <v>9</v>
      </c>
      <c r="F216" s="564" t="s">
        <v>260</v>
      </c>
      <c r="G216" s="564" t="s">
        <v>258</v>
      </c>
      <c r="H216" s="565">
        <v>44492</v>
      </c>
      <c r="I216" s="564" t="s">
        <v>428</v>
      </c>
      <c r="J216" s="599">
        <v>105206</v>
      </c>
      <c r="K216" s="603">
        <v>0.5</v>
      </c>
      <c r="L216" s="568">
        <v>44305</v>
      </c>
      <c r="M216" s="569">
        <v>0.1</v>
      </c>
      <c r="N216" s="573">
        <f t="shared" si="36"/>
        <v>4430.5</v>
      </c>
      <c r="O216" s="570">
        <f t="shared" si="34"/>
        <v>39874.5</v>
      </c>
      <c r="P216" s="602"/>
      <c r="Q216" s="572" t="e">
        <f>VLOOKUP(G:G,list!B:D,3,FALSE)</f>
        <v>#N/A</v>
      </c>
    </row>
    <row r="217" spans="2:17" ht="18" hidden="1" customHeight="1">
      <c r="B217" s="563">
        <v>212</v>
      </c>
      <c r="C217" s="564" t="e">
        <f>VLOOKUP(G:G,list!B:D,2,FALSE)</f>
        <v>#N/A</v>
      </c>
      <c r="D217" s="564" t="s">
        <v>22</v>
      </c>
      <c r="E217" s="564" t="s">
        <v>62</v>
      </c>
      <c r="F217" s="564" t="s">
        <v>213</v>
      </c>
      <c r="G217" s="564" t="s">
        <v>10</v>
      </c>
      <c r="H217" s="565">
        <v>44356</v>
      </c>
      <c r="I217" s="564" t="s">
        <v>455</v>
      </c>
      <c r="J217" s="599">
        <v>480417</v>
      </c>
      <c r="K217" s="603">
        <v>0.3</v>
      </c>
      <c r="L217" s="568">
        <v>144125</v>
      </c>
      <c r="M217" s="569">
        <v>0.1</v>
      </c>
      <c r="N217" s="570">
        <f>L217*M217</f>
        <v>14412.5</v>
      </c>
      <c r="O217" s="570">
        <f t="shared" si="34"/>
        <v>129712.5</v>
      </c>
      <c r="P217" s="602" t="s">
        <v>425</v>
      </c>
      <c r="Q217" s="572" t="e">
        <f>VLOOKUP(G:G,list!B:D,3,FALSE)</f>
        <v>#N/A</v>
      </c>
    </row>
    <row r="218" spans="2:17" ht="18" hidden="1" customHeight="1">
      <c r="B218" s="563">
        <v>213</v>
      </c>
      <c r="C218" s="564" t="e">
        <f>VLOOKUP(G:G,list!B:D,2,FALSE)</f>
        <v>#N/A</v>
      </c>
      <c r="D218" s="564" t="s">
        <v>22</v>
      </c>
      <c r="E218" s="564" t="s">
        <v>62</v>
      </c>
      <c r="F218" s="564" t="s">
        <v>213</v>
      </c>
      <c r="G218" s="564" t="s">
        <v>11</v>
      </c>
      <c r="H218" s="565">
        <v>44381</v>
      </c>
      <c r="I218" s="564" t="s">
        <v>455</v>
      </c>
      <c r="J218" s="599">
        <v>23787</v>
      </c>
      <c r="K218" s="603">
        <v>0.3</v>
      </c>
      <c r="L218" s="568">
        <v>7136</v>
      </c>
      <c r="M218" s="569" t="s">
        <v>203</v>
      </c>
      <c r="N218" s="573">
        <v>0</v>
      </c>
      <c r="O218" s="570">
        <f t="shared" si="34"/>
        <v>7136</v>
      </c>
      <c r="P218" s="602" t="s">
        <v>425</v>
      </c>
      <c r="Q218" s="572" t="e">
        <f>VLOOKUP(G:G,list!B:D,3,FALSE)</f>
        <v>#N/A</v>
      </c>
    </row>
    <row r="219" spans="2:17" ht="18" hidden="1" customHeight="1">
      <c r="B219" s="563">
        <v>214</v>
      </c>
      <c r="C219" s="564" t="e">
        <f>VLOOKUP(G:G,list!B:D,2,FALSE)</f>
        <v>#N/A</v>
      </c>
      <c r="D219" s="564" t="s">
        <v>22</v>
      </c>
      <c r="E219" s="564" t="s">
        <v>62</v>
      </c>
      <c r="F219" s="564" t="s">
        <v>213</v>
      </c>
      <c r="G219" s="564" t="s">
        <v>12</v>
      </c>
      <c r="H219" s="565">
        <v>44364</v>
      </c>
      <c r="I219" s="564" t="s">
        <v>455</v>
      </c>
      <c r="J219" s="599">
        <v>5327</v>
      </c>
      <c r="K219" s="603">
        <v>0.3</v>
      </c>
      <c r="L219" s="568">
        <v>1598</v>
      </c>
      <c r="M219" s="569">
        <v>0.1</v>
      </c>
      <c r="N219" s="570">
        <f>L219*M219</f>
        <v>159.80000000000001</v>
      </c>
      <c r="O219" s="570">
        <f t="shared" si="34"/>
        <v>1438.2</v>
      </c>
      <c r="P219" s="602" t="s">
        <v>425</v>
      </c>
      <c r="Q219" s="572" t="e">
        <f>VLOOKUP(G:G,list!B:D,3,FALSE)</f>
        <v>#N/A</v>
      </c>
    </row>
    <row r="220" spans="2:17" ht="18" hidden="1" customHeight="1">
      <c r="B220" s="563">
        <v>215</v>
      </c>
      <c r="C220" s="564" t="e">
        <f>VLOOKUP(G:G,list!B:D,2,FALSE)</f>
        <v>#N/A</v>
      </c>
      <c r="D220" s="564" t="s">
        <v>22</v>
      </c>
      <c r="E220" s="564" t="s">
        <v>62</v>
      </c>
      <c r="F220" s="564" t="s">
        <v>213</v>
      </c>
      <c r="G220" s="564" t="s">
        <v>17</v>
      </c>
      <c r="H220" s="565">
        <v>44477</v>
      </c>
      <c r="I220" s="564" t="s">
        <v>455</v>
      </c>
      <c r="J220" s="599">
        <v>66310</v>
      </c>
      <c r="K220" s="603">
        <v>0.3</v>
      </c>
      <c r="L220" s="568">
        <v>19893</v>
      </c>
      <c r="M220" s="569">
        <v>0.12</v>
      </c>
      <c r="N220" s="573">
        <f>L220*M220</f>
        <v>2387.16</v>
      </c>
      <c r="O220" s="570">
        <f t="shared" si="34"/>
        <v>17505.84</v>
      </c>
      <c r="P220" s="602" t="s">
        <v>425</v>
      </c>
      <c r="Q220" s="572" t="e">
        <f>VLOOKUP(G:G,list!B:D,3,FALSE)</f>
        <v>#N/A</v>
      </c>
    </row>
    <row r="221" spans="2:17" ht="18" hidden="1" customHeight="1">
      <c r="B221" s="563">
        <v>216</v>
      </c>
      <c r="C221" s="564" t="e">
        <f>VLOOKUP(G:G,list!B:D,2,FALSE)</f>
        <v>#N/A</v>
      </c>
      <c r="D221" s="564" t="s">
        <v>22</v>
      </c>
      <c r="E221" s="564" t="s">
        <v>62</v>
      </c>
      <c r="F221" s="564" t="s">
        <v>213</v>
      </c>
      <c r="G221" s="564" t="s">
        <v>306</v>
      </c>
      <c r="H221" s="565">
        <v>44755</v>
      </c>
      <c r="I221" s="564" t="s">
        <v>455</v>
      </c>
      <c r="J221" s="599">
        <v>10977</v>
      </c>
      <c r="K221" s="603">
        <v>0.3</v>
      </c>
      <c r="L221" s="568">
        <v>3293</v>
      </c>
      <c r="M221" s="569" t="s">
        <v>203</v>
      </c>
      <c r="N221" s="573">
        <v>0</v>
      </c>
      <c r="O221" s="570">
        <f t="shared" si="34"/>
        <v>3293</v>
      </c>
      <c r="P221" s="602" t="s">
        <v>425</v>
      </c>
      <c r="Q221" s="572" t="e">
        <f>VLOOKUP(G:G,list!B:D,3,FALSE)</f>
        <v>#N/A</v>
      </c>
    </row>
    <row r="222" spans="2:17" ht="18" hidden="1" customHeight="1">
      <c r="B222" s="563">
        <v>217</v>
      </c>
      <c r="C222" s="564" t="e">
        <f>VLOOKUP(G:G,list!B:D,2,FALSE)</f>
        <v>#N/A</v>
      </c>
      <c r="D222" s="564" t="s">
        <v>22</v>
      </c>
      <c r="E222" s="564" t="s">
        <v>62</v>
      </c>
      <c r="F222" s="564" t="s">
        <v>213</v>
      </c>
      <c r="G222" s="564" t="s">
        <v>357</v>
      </c>
      <c r="H222" s="565">
        <v>44829</v>
      </c>
      <c r="I222" s="564" t="s">
        <v>455</v>
      </c>
      <c r="J222" s="599">
        <v>158570</v>
      </c>
      <c r="K222" s="603">
        <v>0.3</v>
      </c>
      <c r="L222" s="568">
        <v>47571</v>
      </c>
      <c r="M222" s="569">
        <v>0.1</v>
      </c>
      <c r="N222" s="573">
        <f>L222*M222</f>
        <v>4757.1000000000004</v>
      </c>
      <c r="O222" s="570">
        <f>L222-N222</f>
        <v>42813.9</v>
      </c>
      <c r="P222" s="602" t="s">
        <v>425</v>
      </c>
      <c r="Q222" s="572"/>
    </row>
    <row r="223" spans="2:17" ht="18" hidden="1" customHeight="1">
      <c r="B223" s="563">
        <v>218</v>
      </c>
      <c r="C223" s="564" t="e">
        <f>VLOOKUP(G:G,list!B:D,2,FALSE)</f>
        <v>#N/A</v>
      </c>
      <c r="D223" s="564" t="s">
        <v>32</v>
      </c>
      <c r="E223" s="564" t="s">
        <v>62</v>
      </c>
      <c r="F223" s="564" t="s">
        <v>213</v>
      </c>
      <c r="G223" s="564" t="s">
        <v>10</v>
      </c>
      <c r="H223" s="565">
        <v>44396</v>
      </c>
      <c r="I223" s="564" t="s">
        <v>455</v>
      </c>
      <c r="J223" s="599">
        <v>6901987</v>
      </c>
      <c r="K223" s="603">
        <v>0.3</v>
      </c>
      <c r="L223" s="568">
        <v>2070596</v>
      </c>
      <c r="M223" s="569">
        <v>0.1</v>
      </c>
      <c r="N223" s="570">
        <f>L223*M223</f>
        <v>207059.6</v>
      </c>
      <c r="O223" s="570">
        <f t="shared" ref="O223" si="41">L223-N223</f>
        <v>1863536.4</v>
      </c>
      <c r="P223" s="575" t="s">
        <v>307</v>
      </c>
      <c r="Q223" s="572" t="e">
        <f>VLOOKUP(G:G,list!B:D,3,FALSE)</f>
        <v>#N/A</v>
      </c>
    </row>
    <row r="224" spans="2:17" ht="18" hidden="1" customHeight="1">
      <c r="B224" s="563">
        <v>219</v>
      </c>
      <c r="C224" s="564" t="e">
        <f>VLOOKUP(G:G,list!B:D,2,FALSE)</f>
        <v>#N/A</v>
      </c>
      <c r="D224" s="564" t="s">
        <v>32</v>
      </c>
      <c r="E224" s="564" t="s">
        <v>62</v>
      </c>
      <c r="F224" s="564" t="s">
        <v>213</v>
      </c>
      <c r="G224" s="564" t="s">
        <v>11</v>
      </c>
      <c r="H224" s="565">
        <v>44370</v>
      </c>
      <c r="I224" s="564" t="s">
        <v>455</v>
      </c>
      <c r="J224" s="599">
        <v>147313</v>
      </c>
      <c r="K224" s="603">
        <v>0.3</v>
      </c>
      <c r="L224" s="568">
        <v>44194</v>
      </c>
      <c r="M224" s="569" t="s">
        <v>203</v>
      </c>
      <c r="N224" s="573">
        <v>0</v>
      </c>
      <c r="O224" s="570">
        <f>L224-N224</f>
        <v>44194</v>
      </c>
      <c r="P224" s="575" t="s">
        <v>307</v>
      </c>
      <c r="Q224" s="572" t="e">
        <f>VLOOKUP(G:G,list!B:D,3,FALSE)</f>
        <v>#N/A</v>
      </c>
    </row>
    <row r="225" spans="2:17" ht="18" hidden="1" customHeight="1">
      <c r="B225" s="563">
        <v>220</v>
      </c>
      <c r="C225" s="564" t="e">
        <f>VLOOKUP(G:G,list!B:D,2,FALSE)</f>
        <v>#N/A</v>
      </c>
      <c r="D225" s="564" t="s">
        <v>32</v>
      </c>
      <c r="E225" s="564" t="s">
        <v>62</v>
      </c>
      <c r="F225" s="564" t="s">
        <v>213</v>
      </c>
      <c r="G225" s="564" t="s">
        <v>17</v>
      </c>
      <c r="H225" s="565">
        <v>44497</v>
      </c>
      <c r="I225" s="564" t="s">
        <v>455</v>
      </c>
      <c r="J225" s="599">
        <v>2709213</v>
      </c>
      <c r="K225" s="603">
        <v>0.3</v>
      </c>
      <c r="L225" s="568">
        <v>812764</v>
      </c>
      <c r="M225" s="569">
        <v>0.12</v>
      </c>
      <c r="N225" s="573">
        <f>L225*M225</f>
        <v>97531.68</v>
      </c>
      <c r="O225" s="570">
        <f t="shared" ref="O225:O239" si="42">L225-N225</f>
        <v>715232.32000000007</v>
      </c>
      <c r="P225" s="575" t="s">
        <v>307</v>
      </c>
      <c r="Q225" s="572" t="e">
        <f>VLOOKUP(G:G,list!B:D,3,FALSE)</f>
        <v>#N/A</v>
      </c>
    </row>
    <row r="226" spans="2:17" ht="18" hidden="1" customHeight="1">
      <c r="B226" s="563">
        <v>221</v>
      </c>
      <c r="C226" s="564" t="e">
        <f>VLOOKUP(G:G,list!B:D,2,FALSE)</f>
        <v>#N/A</v>
      </c>
      <c r="D226" s="564" t="s">
        <v>32</v>
      </c>
      <c r="E226" s="564" t="s">
        <v>62</v>
      </c>
      <c r="F226" s="564" t="s">
        <v>213</v>
      </c>
      <c r="G226" s="564" t="s">
        <v>357</v>
      </c>
      <c r="H226" s="565">
        <v>44773</v>
      </c>
      <c r="I226" s="564" t="s">
        <v>455</v>
      </c>
      <c r="J226" s="599">
        <v>475803</v>
      </c>
      <c r="K226" s="603">
        <v>0.3</v>
      </c>
      <c r="L226" s="568">
        <v>142741</v>
      </c>
      <c r="M226" s="569">
        <v>0.1</v>
      </c>
      <c r="N226" s="573">
        <f t="shared" ref="N226:N234" si="43">L226*M226</f>
        <v>14274.1</v>
      </c>
      <c r="O226" s="570">
        <f t="shared" si="42"/>
        <v>128466.9</v>
      </c>
      <c r="P226" s="575" t="s">
        <v>307</v>
      </c>
      <c r="Q226" s="572" t="e">
        <f>VLOOKUP(G:G,list!B:D,3,FALSE)</f>
        <v>#N/A</v>
      </c>
    </row>
    <row r="227" spans="2:17" ht="18" hidden="1" customHeight="1">
      <c r="B227" s="563">
        <v>222</v>
      </c>
      <c r="C227" s="564" t="e">
        <f>VLOOKUP(G:G,list!B:D,2,FALSE)</f>
        <v>#N/A</v>
      </c>
      <c r="D227" s="564" t="s">
        <v>32</v>
      </c>
      <c r="E227" s="564" t="s">
        <v>115</v>
      </c>
      <c r="F227" s="564" t="s">
        <v>31</v>
      </c>
      <c r="G227" s="564" t="s">
        <v>152</v>
      </c>
      <c r="H227" s="565">
        <v>44096</v>
      </c>
      <c r="I227" s="564" t="s">
        <v>428</v>
      </c>
      <c r="J227" s="599">
        <v>451869</v>
      </c>
      <c r="K227" s="603">
        <v>0.4</v>
      </c>
      <c r="L227" s="568">
        <v>171714</v>
      </c>
      <c r="M227" s="569">
        <v>0.12</v>
      </c>
      <c r="N227" s="573">
        <f t="shared" si="43"/>
        <v>20605.68</v>
      </c>
      <c r="O227" s="570">
        <f t="shared" si="42"/>
        <v>151108.32</v>
      </c>
      <c r="P227" s="576"/>
      <c r="Q227" s="572" t="e">
        <f>VLOOKUP(G:G,list!B:D,3,FALSE)</f>
        <v>#N/A</v>
      </c>
    </row>
    <row r="228" spans="2:17" ht="18" hidden="1" customHeight="1">
      <c r="B228" s="563">
        <v>223</v>
      </c>
      <c r="C228" s="564" t="e">
        <f>VLOOKUP(G:G,list!B:D,2,FALSE)</f>
        <v>#N/A</v>
      </c>
      <c r="D228" s="564" t="s">
        <v>32</v>
      </c>
      <c r="E228" s="564" t="s">
        <v>115</v>
      </c>
      <c r="F228" s="564" t="s">
        <v>31</v>
      </c>
      <c r="G228" s="564" t="s">
        <v>153</v>
      </c>
      <c r="H228" s="565">
        <v>44137</v>
      </c>
      <c r="I228" s="564" t="s">
        <v>428</v>
      </c>
      <c r="J228" s="599">
        <v>159676</v>
      </c>
      <c r="K228" s="603">
        <v>0.4</v>
      </c>
      <c r="L228" s="568">
        <v>60688</v>
      </c>
      <c r="M228" s="569">
        <v>0.1</v>
      </c>
      <c r="N228" s="570">
        <f t="shared" si="43"/>
        <v>6068.8</v>
      </c>
      <c r="O228" s="570">
        <f t="shared" si="42"/>
        <v>54619.199999999997</v>
      </c>
      <c r="P228" s="576"/>
      <c r="Q228" s="572" t="e">
        <f>VLOOKUP(G:G,list!B:D,3,FALSE)</f>
        <v>#N/A</v>
      </c>
    </row>
    <row r="229" spans="2:17" ht="18" hidden="1" customHeight="1">
      <c r="B229" s="563">
        <v>224</v>
      </c>
      <c r="C229" s="564" t="str">
        <f>VLOOKUP(G:G,list!B:D,2,FALSE)</f>
        <v>원작료</v>
      </c>
      <c r="D229" s="564" t="s">
        <v>32</v>
      </c>
      <c r="E229" s="564" t="s">
        <v>115</v>
      </c>
      <c r="F229" s="564" t="s">
        <v>31</v>
      </c>
      <c r="G229" s="564" t="s">
        <v>151</v>
      </c>
      <c r="H229" s="565">
        <v>44239</v>
      </c>
      <c r="I229" s="564" t="s">
        <v>428</v>
      </c>
      <c r="J229" s="599">
        <v>580127</v>
      </c>
      <c r="K229" s="603">
        <v>0.4</v>
      </c>
      <c r="L229" s="568">
        <v>220443</v>
      </c>
      <c r="M229" s="569">
        <v>0.1</v>
      </c>
      <c r="N229" s="570">
        <f>L229*M229</f>
        <v>22044.300000000003</v>
      </c>
      <c r="O229" s="570">
        <f>L229-N229</f>
        <v>198398.7</v>
      </c>
      <c r="P229" s="575"/>
      <c r="Q229" s="572" t="str">
        <f>VLOOKUP(G:G,list!B:D,3,FALSE)</f>
        <v>Y</v>
      </c>
    </row>
    <row r="230" spans="2:17" ht="18" hidden="1" customHeight="1">
      <c r="B230" s="563">
        <v>225</v>
      </c>
      <c r="C230" s="564" t="e">
        <f>VLOOKUP(G:G,list!B:D,2,FALSE)</f>
        <v>#N/A</v>
      </c>
      <c r="D230" s="564" t="s">
        <v>32</v>
      </c>
      <c r="E230" s="564" t="s">
        <v>115</v>
      </c>
      <c r="F230" s="564" t="s">
        <v>31</v>
      </c>
      <c r="G230" s="564" t="s">
        <v>256</v>
      </c>
      <c r="H230" s="565">
        <v>44487</v>
      </c>
      <c r="I230" s="564" t="s">
        <v>428</v>
      </c>
      <c r="J230" s="599">
        <v>37892</v>
      </c>
      <c r="K230" s="603">
        <v>0.4</v>
      </c>
      <c r="L230" s="568">
        <v>14397</v>
      </c>
      <c r="M230" s="569">
        <v>0.1</v>
      </c>
      <c r="N230" s="570">
        <f t="shared" si="43"/>
        <v>1439.7</v>
      </c>
      <c r="O230" s="570">
        <f t="shared" si="42"/>
        <v>12957.3</v>
      </c>
      <c r="P230" s="573"/>
      <c r="Q230" s="572" t="e">
        <f>VLOOKUP(G:G,list!B:D,3,FALSE)</f>
        <v>#N/A</v>
      </c>
    </row>
    <row r="231" spans="2:17" ht="18" hidden="1" customHeight="1">
      <c r="B231" s="563">
        <v>226</v>
      </c>
      <c r="C231" s="564" t="e">
        <f>VLOOKUP(G:G,list!B:D,2,FALSE)</f>
        <v>#N/A</v>
      </c>
      <c r="D231" s="564" t="s">
        <v>32</v>
      </c>
      <c r="E231" s="564" t="s">
        <v>115</v>
      </c>
      <c r="F231" s="564" t="s">
        <v>31</v>
      </c>
      <c r="G231" s="564" t="s">
        <v>204</v>
      </c>
      <c r="H231" s="565">
        <v>44453</v>
      </c>
      <c r="I231" s="564" t="s">
        <v>428</v>
      </c>
      <c r="J231" s="599">
        <v>26224</v>
      </c>
      <c r="K231" s="603">
        <v>0.4</v>
      </c>
      <c r="L231" s="568">
        <v>9967</v>
      </c>
      <c r="M231" s="569">
        <v>0.1</v>
      </c>
      <c r="N231" s="573">
        <f t="shared" si="43"/>
        <v>996.7</v>
      </c>
      <c r="O231" s="570">
        <f t="shared" si="42"/>
        <v>8970.2999999999993</v>
      </c>
      <c r="P231" s="602"/>
      <c r="Q231" s="572" t="e">
        <f>VLOOKUP(G:G,list!B:D,3,FALSE)</f>
        <v>#N/A</v>
      </c>
    </row>
    <row r="232" spans="2:17" ht="18" hidden="1" customHeight="1">
      <c r="B232" s="563">
        <v>227</v>
      </c>
      <c r="C232" s="564" t="e">
        <f>VLOOKUP(G:G,list!B:D,2,FALSE)</f>
        <v>#N/A</v>
      </c>
      <c r="D232" s="564" t="s">
        <v>32</v>
      </c>
      <c r="E232" s="564" t="s">
        <v>115</v>
      </c>
      <c r="F232" s="564" t="s">
        <v>31</v>
      </c>
      <c r="G232" s="564" t="s">
        <v>258</v>
      </c>
      <c r="H232" s="565">
        <v>44470</v>
      </c>
      <c r="I232" s="564" t="s">
        <v>428</v>
      </c>
      <c r="J232" s="599">
        <v>63061</v>
      </c>
      <c r="K232" s="603">
        <v>0.4</v>
      </c>
      <c r="L232" s="568">
        <v>23956</v>
      </c>
      <c r="M232" s="569">
        <v>0.1</v>
      </c>
      <c r="N232" s="573">
        <f t="shared" si="43"/>
        <v>2395.6</v>
      </c>
      <c r="O232" s="570">
        <f t="shared" si="42"/>
        <v>21560.400000000001</v>
      </c>
      <c r="P232" s="571"/>
      <c r="Q232" s="572" t="e">
        <f>VLOOKUP(G:G,list!B:D,3,FALSE)</f>
        <v>#N/A</v>
      </c>
    </row>
    <row r="233" spans="2:17" ht="18" hidden="1" customHeight="1">
      <c r="B233" s="563">
        <v>228</v>
      </c>
      <c r="C233" s="564" t="e">
        <f>VLOOKUP(G:G,list!B:D,2,FALSE)</f>
        <v>#N/A</v>
      </c>
      <c r="D233" s="564" t="s">
        <v>32</v>
      </c>
      <c r="E233" s="564" t="s">
        <v>115</v>
      </c>
      <c r="F233" s="564" t="s">
        <v>31</v>
      </c>
      <c r="G233" s="564" t="s">
        <v>19</v>
      </c>
      <c r="H233" s="565">
        <v>44714</v>
      </c>
      <c r="I233" s="564" t="s">
        <v>428</v>
      </c>
      <c r="J233" s="599">
        <v>95837</v>
      </c>
      <c r="K233" s="603">
        <v>0.45</v>
      </c>
      <c r="L233" s="568">
        <v>40964</v>
      </c>
      <c r="M233" s="569" t="s">
        <v>203</v>
      </c>
      <c r="N233" s="573">
        <v>0</v>
      </c>
      <c r="O233" s="570">
        <f t="shared" si="42"/>
        <v>40964</v>
      </c>
      <c r="P233" s="571"/>
      <c r="Q233" s="572" t="e">
        <f>VLOOKUP(G:G,list!B:D,3,FALSE)</f>
        <v>#N/A</v>
      </c>
    </row>
    <row r="234" spans="2:17" ht="18" hidden="1" customHeight="1">
      <c r="B234" s="563">
        <v>229</v>
      </c>
      <c r="C234" s="564" t="e">
        <f>VLOOKUP(G:G,list!B:D,2,FALSE)</f>
        <v>#N/A</v>
      </c>
      <c r="D234" s="564" t="s">
        <v>32</v>
      </c>
      <c r="E234" s="564" t="s">
        <v>9</v>
      </c>
      <c r="F234" s="564" t="s">
        <v>257</v>
      </c>
      <c r="G234" s="564" t="s">
        <v>179</v>
      </c>
      <c r="H234" s="565">
        <v>44354</v>
      </c>
      <c r="I234" s="564" t="s">
        <v>477</v>
      </c>
      <c r="J234" s="599">
        <v>13547615</v>
      </c>
      <c r="K234" s="600">
        <v>0.28000000000000003</v>
      </c>
      <c r="L234" s="568">
        <v>3793332</v>
      </c>
      <c r="M234" s="569">
        <v>0.1</v>
      </c>
      <c r="N234" s="573">
        <f t="shared" si="43"/>
        <v>379333.2</v>
      </c>
      <c r="O234" s="570">
        <f t="shared" si="42"/>
        <v>3413998.8</v>
      </c>
      <c r="P234" s="575" t="s">
        <v>85</v>
      </c>
      <c r="Q234" s="572" t="e">
        <f>VLOOKUP(G:G,list!B:D,3,FALSE)</f>
        <v>#N/A</v>
      </c>
    </row>
    <row r="235" spans="2:17" ht="18" hidden="1" customHeight="1">
      <c r="B235" s="563">
        <v>230</v>
      </c>
      <c r="C235" s="564" t="e">
        <f>VLOOKUP(G:G,list!B:D,2,FALSE)</f>
        <v>#N/A</v>
      </c>
      <c r="D235" s="564" t="s">
        <v>32</v>
      </c>
      <c r="E235" s="564" t="s">
        <v>9</v>
      </c>
      <c r="F235" s="564" t="s">
        <v>257</v>
      </c>
      <c r="G235" s="564" t="s">
        <v>212</v>
      </c>
      <c r="H235" s="565">
        <v>44507</v>
      </c>
      <c r="I235" s="564" t="s">
        <v>477</v>
      </c>
      <c r="J235" s="599">
        <v>6802281</v>
      </c>
      <c r="K235" s="601">
        <v>0.245</v>
      </c>
      <c r="L235" s="568">
        <v>1666559</v>
      </c>
      <c r="M235" s="569">
        <v>0.1</v>
      </c>
      <c r="N235" s="573">
        <f>L235*M235</f>
        <v>166655.90000000002</v>
      </c>
      <c r="O235" s="570">
        <f t="shared" si="42"/>
        <v>1499903.1</v>
      </c>
      <c r="P235" s="602"/>
      <c r="Q235" s="572" t="e">
        <f>VLOOKUP(G:G,list!B:D,3,FALSE)</f>
        <v>#N/A</v>
      </c>
    </row>
    <row r="236" spans="2:17" ht="18" hidden="1" customHeight="1">
      <c r="B236" s="563">
        <v>231</v>
      </c>
      <c r="C236" s="564" t="e">
        <f>VLOOKUP(G:G,list!B:D,2,FALSE)</f>
        <v>#N/A</v>
      </c>
      <c r="D236" s="564" t="s">
        <v>32</v>
      </c>
      <c r="E236" s="564" t="s">
        <v>9</v>
      </c>
      <c r="F236" s="564" t="s">
        <v>257</v>
      </c>
      <c r="G236" s="564" t="s">
        <v>335</v>
      </c>
      <c r="H236" s="565">
        <v>44698</v>
      </c>
      <c r="I236" s="564" t="s">
        <v>477</v>
      </c>
      <c r="J236" s="599">
        <v>371668</v>
      </c>
      <c r="K236" s="600">
        <v>0.35</v>
      </c>
      <c r="L236" s="568">
        <v>130084</v>
      </c>
      <c r="M236" s="569">
        <v>0.1</v>
      </c>
      <c r="N236" s="570">
        <f>L236*M236</f>
        <v>13008.400000000001</v>
      </c>
      <c r="O236" s="570">
        <f t="shared" si="42"/>
        <v>117075.6</v>
      </c>
      <c r="P236" s="575"/>
      <c r="Q236" s="572" t="e">
        <f>VLOOKUP(G:G,list!B:D,3,FALSE)</f>
        <v>#N/A</v>
      </c>
    </row>
    <row r="237" spans="2:17" ht="18" hidden="1" customHeight="1">
      <c r="B237" s="563">
        <v>232</v>
      </c>
      <c r="C237" s="564" t="e">
        <f>VLOOKUP(G:G,list!B:D,2,FALSE)</f>
        <v>#N/A</v>
      </c>
      <c r="D237" s="564" t="s">
        <v>32</v>
      </c>
      <c r="E237" s="564" t="s">
        <v>9</v>
      </c>
      <c r="F237" s="564" t="s">
        <v>257</v>
      </c>
      <c r="G237" s="564" t="s">
        <v>336</v>
      </c>
      <c r="H237" s="565">
        <v>44692</v>
      </c>
      <c r="I237" s="564" t="s">
        <v>477</v>
      </c>
      <c r="J237" s="599">
        <v>5411776</v>
      </c>
      <c r="K237" s="600">
        <v>0.35</v>
      </c>
      <c r="L237" s="568">
        <v>1894121</v>
      </c>
      <c r="M237" s="569">
        <v>0.1</v>
      </c>
      <c r="N237" s="570">
        <f>L237*M237</f>
        <v>189412.1</v>
      </c>
      <c r="O237" s="570">
        <f t="shared" si="42"/>
        <v>1704708.9</v>
      </c>
      <c r="P237" s="575"/>
      <c r="Q237" s="572" t="e">
        <f>VLOOKUP(G:G,list!B:D,3,FALSE)</f>
        <v>#N/A</v>
      </c>
    </row>
    <row r="238" spans="2:17" ht="18" hidden="1" customHeight="1">
      <c r="B238" s="563">
        <v>233</v>
      </c>
      <c r="C238" s="564" t="e">
        <f>VLOOKUP(G:G,list!B:D,2,FALSE)</f>
        <v>#N/A</v>
      </c>
      <c r="D238" s="564" t="s">
        <v>32</v>
      </c>
      <c r="E238" s="564" t="s">
        <v>9</v>
      </c>
      <c r="F238" s="564" t="s">
        <v>257</v>
      </c>
      <c r="G238" s="564" t="s">
        <v>54</v>
      </c>
      <c r="H238" s="565">
        <v>44753</v>
      </c>
      <c r="I238" s="564" t="s">
        <v>477</v>
      </c>
      <c r="J238" s="599">
        <v>349116</v>
      </c>
      <c r="K238" s="600">
        <v>0.28000000000000003</v>
      </c>
      <c r="L238" s="568">
        <v>97753</v>
      </c>
      <c r="M238" s="569">
        <v>0.1</v>
      </c>
      <c r="N238" s="570">
        <f>L238*M238</f>
        <v>9775.3000000000011</v>
      </c>
      <c r="O238" s="570">
        <f t="shared" si="42"/>
        <v>87977.7</v>
      </c>
      <c r="P238" s="575"/>
      <c r="Q238" s="572" t="e">
        <f>VLOOKUP(G:G,list!B:D,3,FALSE)</f>
        <v>#N/A</v>
      </c>
    </row>
    <row r="239" spans="2:17" ht="18" hidden="1" customHeight="1">
      <c r="B239" s="563">
        <v>234</v>
      </c>
      <c r="C239" s="564" t="e">
        <f>VLOOKUP(G:G,list!B:D,2,FALSE)</f>
        <v>#N/A</v>
      </c>
      <c r="D239" s="564" t="s">
        <v>32</v>
      </c>
      <c r="E239" s="564" t="s">
        <v>9</v>
      </c>
      <c r="F239" s="564" t="s">
        <v>257</v>
      </c>
      <c r="G239" s="564" t="s">
        <v>412</v>
      </c>
      <c r="H239" s="565">
        <v>44806</v>
      </c>
      <c r="I239" s="564" t="s">
        <v>477</v>
      </c>
      <c r="J239" s="599">
        <v>14716504</v>
      </c>
      <c r="K239" s="600">
        <v>0.35</v>
      </c>
      <c r="L239" s="568">
        <v>5150776</v>
      </c>
      <c r="M239" s="569">
        <v>0.1</v>
      </c>
      <c r="N239" s="573">
        <f t="shared" ref="N239" si="44">L239*M239</f>
        <v>515077.60000000003</v>
      </c>
      <c r="O239" s="570">
        <f t="shared" si="42"/>
        <v>4635698.4000000004</v>
      </c>
      <c r="P239" s="575"/>
      <c r="Q239" s="572" t="e">
        <f>VLOOKUP(G:G,list!B:D,3,FALSE)</f>
        <v>#N/A</v>
      </c>
    </row>
    <row r="240" spans="2:17" ht="18" hidden="1" customHeight="1">
      <c r="B240" s="563">
        <v>235</v>
      </c>
      <c r="C240" s="564" t="str">
        <f>VLOOKUP(G:G,list!B:D,2,FALSE)</f>
        <v>작가기획</v>
      </c>
      <c r="D240" s="564" t="s">
        <v>32</v>
      </c>
      <c r="E240" s="564" t="s">
        <v>9</v>
      </c>
      <c r="F240" s="564" t="s">
        <v>154</v>
      </c>
      <c r="G240" s="564" t="s">
        <v>180</v>
      </c>
      <c r="H240" s="565">
        <v>44106</v>
      </c>
      <c r="I240" s="564" t="s">
        <v>428</v>
      </c>
      <c r="J240" s="599">
        <v>962699</v>
      </c>
      <c r="K240" s="606">
        <v>0.4</v>
      </c>
      <c r="L240" s="568">
        <v>365826</v>
      </c>
      <c r="M240" s="569" t="s">
        <v>203</v>
      </c>
      <c r="N240" s="570">
        <v>0</v>
      </c>
      <c r="O240" s="570">
        <f>L240-N240</f>
        <v>365826</v>
      </c>
      <c r="P240" s="602"/>
      <c r="Q240" s="572" t="str">
        <f>VLOOKUP(G:G,list!B:D,3,FALSE)</f>
        <v>Y</v>
      </c>
    </row>
    <row r="241" spans="2:17" ht="18" hidden="1" customHeight="1">
      <c r="B241" s="563">
        <v>236</v>
      </c>
      <c r="C241" s="564" t="str">
        <f>VLOOKUP(G:G,list!B:D,2,FALSE)</f>
        <v>작가기획</v>
      </c>
      <c r="D241" s="564" t="s">
        <v>32</v>
      </c>
      <c r="E241" s="564" t="s">
        <v>9</v>
      </c>
      <c r="F241" s="564" t="s">
        <v>154</v>
      </c>
      <c r="G241" s="564" t="s">
        <v>139</v>
      </c>
      <c r="H241" s="565">
        <v>44113</v>
      </c>
      <c r="I241" s="564" t="s">
        <v>428</v>
      </c>
      <c r="J241" s="599">
        <v>9328</v>
      </c>
      <c r="K241" s="606">
        <v>0.4</v>
      </c>
      <c r="L241" s="568">
        <v>3544</v>
      </c>
      <c r="M241" s="569" t="s">
        <v>203</v>
      </c>
      <c r="N241" s="570">
        <v>0</v>
      </c>
      <c r="O241" s="570">
        <f>L241-N241</f>
        <v>3544</v>
      </c>
      <c r="P241" s="602"/>
      <c r="Q241" s="572" t="str">
        <f>VLOOKUP(G:G,list!B:D,3,FALSE)</f>
        <v>Y</v>
      </c>
    </row>
    <row r="242" spans="2:17" ht="18" hidden="1" customHeight="1">
      <c r="B242" s="563">
        <v>237</v>
      </c>
      <c r="C242" s="564" t="e">
        <f>VLOOKUP(G:G,list!B:D,2,FALSE)</f>
        <v>#N/A</v>
      </c>
      <c r="D242" s="564" t="s">
        <v>32</v>
      </c>
      <c r="E242" s="564" t="s">
        <v>115</v>
      </c>
      <c r="F242" s="564" t="s">
        <v>154</v>
      </c>
      <c r="G242" s="564" t="s">
        <v>258</v>
      </c>
      <c r="H242" s="565">
        <v>44386</v>
      </c>
      <c r="I242" s="564" t="s">
        <v>428</v>
      </c>
      <c r="J242" s="599">
        <v>319710</v>
      </c>
      <c r="K242" s="606">
        <v>0.4</v>
      </c>
      <c r="L242" s="568">
        <v>121490</v>
      </c>
      <c r="M242" s="569">
        <v>0.1</v>
      </c>
      <c r="N242" s="573">
        <f>L242*M242</f>
        <v>12149</v>
      </c>
      <c r="O242" s="570">
        <f>L242-N242</f>
        <v>109341</v>
      </c>
      <c r="P242" s="602"/>
      <c r="Q242" s="572" t="e">
        <f>VLOOKUP(G:G,list!B:D,3,FALSE)</f>
        <v>#N/A</v>
      </c>
    </row>
    <row r="243" spans="2:17" ht="18" hidden="1" customHeight="1">
      <c r="B243" s="563">
        <v>238</v>
      </c>
      <c r="C243" s="564" t="e">
        <f>VLOOKUP(G:G,list!B:D,2,FALSE)</f>
        <v>#N/A</v>
      </c>
      <c r="D243" s="564" t="s">
        <v>67</v>
      </c>
      <c r="E243" s="564" t="s">
        <v>9</v>
      </c>
      <c r="F243" s="564" t="s">
        <v>73</v>
      </c>
      <c r="G243" s="564" t="s">
        <v>43</v>
      </c>
      <c r="H243" s="565">
        <v>44747</v>
      </c>
      <c r="I243" s="564" t="s">
        <v>428</v>
      </c>
      <c r="J243" s="599">
        <v>4787746</v>
      </c>
      <c r="K243" s="606">
        <v>0.28000000000000003</v>
      </c>
      <c r="L243" s="568">
        <v>1231229</v>
      </c>
      <c r="M243" s="569">
        <v>0.1</v>
      </c>
      <c r="N243" s="573">
        <f>L243*M243</f>
        <v>123122.90000000001</v>
      </c>
      <c r="O243" s="570">
        <f t="shared" ref="O243:O246" si="45">L243-N243</f>
        <v>1108106.1000000001</v>
      </c>
      <c r="P243" s="602"/>
      <c r="Q243" s="572" t="e">
        <f>VLOOKUP(G:G,list!B:D,3,FALSE)</f>
        <v>#N/A</v>
      </c>
    </row>
    <row r="244" spans="2:17" ht="18" hidden="1" customHeight="1">
      <c r="B244" s="563">
        <v>239</v>
      </c>
      <c r="C244" s="564" t="e">
        <f>VLOOKUP(G:G,list!B:D,2,FALSE)</f>
        <v>#N/A</v>
      </c>
      <c r="D244" s="564" t="s">
        <v>67</v>
      </c>
      <c r="E244" s="564" t="s">
        <v>9</v>
      </c>
      <c r="F244" s="564" t="s">
        <v>213</v>
      </c>
      <c r="G244" s="564" t="s">
        <v>10</v>
      </c>
      <c r="H244" s="565">
        <v>44516</v>
      </c>
      <c r="I244" s="564" t="s">
        <v>455</v>
      </c>
      <c r="J244" s="599">
        <v>6423173</v>
      </c>
      <c r="K244" s="606">
        <v>0.3</v>
      </c>
      <c r="L244" s="568">
        <v>1926952</v>
      </c>
      <c r="M244" s="569">
        <v>0.1</v>
      </c>
      <c r="N244" s="570">
        <f>L244*M244</f>
        <v>192695.2</v>
      </c>
      <c r="O244" s="570">
        <f t="shared" si="45"/>
        <v>1734256.8</v>
      </c>
      <c r="P244" s="575" t="s">
        <v>307</v>
      </c>
      <c r="Q244" s="572" t="e">
        <f>VLOOKUP(G:G,list!B:D,3,FALSE)</f>
        <v>#N/A</v>
      </c>
    </row>
    <row r="245" spans="2:17" ht="18" hidden="1" customHeight="1">
      <c r="B245" s="563">
        <v>240</v>
      </c>
      <c r="C245" s="564" t="e">
        <f>VLOOKUP(G:G,list!B:D,2,FALSE)</f>
        <v>#N/A</v>
      </c>
      <c r="D245" s="564" t="s">
        <v>67</v>
      </c>
      <c r="E245" s="564" t="s">
        <v>9</v>
      </c>
      <c r="F245" s="564" t="s">
        <v>213</v>
      </c>
      <c r="G245" s="564" t="s">
        <v>191</v>
      </c>
      <c r="H245" s="565">
        <v>44581</v>
      </c>
      <c r="I245" s="564" t="s">
        <v>455</v>
      </c>
      <c r="J245" s="599">
        <v>3561087</v>
      </c>
      <c r="K245" s="606">
        <v>0.3</v>
      </c>
      <c r="L245" s="568">
        <v>1068326</v>
      </c>
      <c r="M245" s="569">
        <v>0.1</v>
      </c>
      <c r="N245" s="573">
        <f t="shared" ref="N245:N250" si="46">L245*M245</f>
        <v>106832.6</v>
      </c>
      <c r="O245" s="570">
        <f t="shared" si="45"/>
        <v>961493.4</v>
      </c>
      <c r="P245" s="575" t="s">
        <v>307</v>
      </c>
      <c r="Q245" s="572" t="e">
        <f>VLOOKUP(G:G,list!B:D,3,FALSE)</f>
        <v>#N/A</v>
      </c>
    </row>
    <row r="246" spans="2:17" ht="18" hidden="1" customHeight="1">
      <c r="B246" s="563">
        <v>241</v>
      </c>
      <c r="C246" s="564" t="e">
        <f>VLOOKUP(G:G,list!B:D,2,FALSE)</f>
        <v>#N/A</v>
      </c>
      <c r="D246" s="564" t="s">
        <v>67</v>
      </c>
      <c r="E246" s="564" t="s">
        <v>9</v>
      </c>
      <c r="F246" s="564" t="s">
        <v>213</v>
      </c>
      <c r="G246" s="564" t="s">
        <v>59</v>
      </c>
      <c r="H246" s="565">
        <v>44582</v>
      </c>
      <c r="I246" s="564" t="s">
        <v>455</v>
      </c>
      <c r="J246" s="599">
        <v>3263853</v>
      </c>
      <c r="K246" s="606">
        <v>0.3</v>
      </c>
      <c r="L246" s="568">
        <v>979156</v>
      </c>
      <c r="M246" s="569">
        <v>0.1</v>
      </c>
      <c r="N246" s="570">
        <f t="shared" si="46"/>
        <v>97915.6</v>
      </c>
      <c r="O246" s="570">
        <f t="shared" si="45"/>
        <v>881240.4</v>
      </c>
      <c r="P246" s="575" t="s">
        <v>307</v>
      </c>
      <c r="Q246" s="572" t="e">
        <f>VLOOKUP(G:G,list!B:D,3,FALSE)</f>
        <v>#N/A</v>
      </c>
    </row>
    <row r="247" spans="2:17" ht="18" hidden="1" customHeight="1">
      <c r="B247" s="563">
        <v>242</v>
      </c>
      <c r="C247" s="564" t="e">
        <f>VLOOKUP(G:G,list!B:D,2,FALSE)</f>
        <v>#N/A</v>
      </c>
      <c r="D247" s="564" t="s">
        <v>67</v>
      </c>
      <c r="E247" s="564" t="s">
        <v>9</v>
      </c>
      <c r="F247" s="564" t="s">
        <v>213</v>
      </c>
      <c r="G247" s="564" t="s">
        <v>57</v>
      </c>
      <c r="H247" s="565">
        <v>44627</v>
      </c>
      <c r="I247" s="564" t="s">
        <v>455</v>
      </c>
      <c r="J247" s="599">
        <v>418190</v>
      </c>
      <c r="K247" s="606">
        <v>0.3</v>
      </c>
      <c r="L247" s="568">
        <v>125457</v>
      </c>
      <c r="M247" s="569">
        <v>0.1</v>
      </c>
      <c r="N247" s="570">
        <f t="shared" si="46"/>
        <v>12545.7</v>
      </c>
      <c r="O247" s="570">
        <f>L247-N247</f>
        <v>112911.3</v>
      </c>
      <c r="P247" s="575" t="s">
        <v>490</v>
      </c>
      <c r="Q247" s="572" t="e">
        <f>VLOOKUP(G:G,list!B:D,3,FALSE)</f>
        <v>#N/A</v>
      </c>
    </row>
    <row r="248" spans="2:17" ht="18" hidden="1" customHeight="1">
      <c r="B248" s="563">
        <v>243</v>
      </c>
      <c r="C248" s="564" t="e">
        <f>VLOOKUP(G:G,list!B:D,2,FALSE)</f>
        <v>#N/A</v>
      </c>
      <c r="D248" s="564" t="s">
        <v>67</v>
      </c>
      <c r="E248" s="564" t="s">
        <v>9</v>
      </c>
      <c r="F248" s="564" t="s">
        <v>213</v>
      </c>
      <c r="G248" s="564" t="s">
        <v>357</v>
      </c>
      <c r="H248" s="565">
        <v>44789</v>
      </c>
      <c r="I248" s="564" t="s">
        <v>455</v>
      </c>
      <c r="J248" s="599">
        <v>3096097</v>
      </c>
      <c r="K248" s="606">
        <v>0.3</v>
      </c>
      <c r="L248" s="568">
        <v>928829</v>
      </c>
      <c r="M248" s="569">
        <v>0.1</v>
      </c>
      <c r="N248" s="573">
        <f t="shared" si="46"/>
        <v>92882.900000000009</v>
      </c>
      <c r="O248" s="570">
        <f>L248-N248</f>
        <v>835946.1</v>
      </c>
      <c r="P248" s="575" t="s">
        <v>307</v>
      </c>
      <c r="Q248" s="572" t="e">
        <f>VLOOKUP(G:G,list!B:D,3,FALSE)</f>
        <v>#N/A</v>
      </c>
    </row>
    <row r="249" spans="2:17" ht="18" hidden="1" customHeight="1">
      <c r="B249" s="563">
        <v>244</v>
      </c>
      <c r="C249" s="564" t="e">
        <f>VLOOKUP(G:G,list!B:D,2,FALSE)</f>
        <v>#N/A</v>
      </c>
      <c r="D249" s="564" t="s">
        <v>67</v>
      </c>
      <c r="E249" s="564" t="s">
        <v>9</v>
      </c>
      <c r="F249" s="564" t="s">
        <v>65</v>
      </c>
      <c r="G249" s="564" t="s">
        <v>152</v>
      </c>
      <c r="H249" s="565">
        <v>44105</v>
      </c>
      <c r="I249" s="564" t="s">
        <v>455</v>
      </c>
      <c r="J249" s="599">
        <v>1159593</v>
      </c>
      <c r="K249" s="603">
        <v>0.4</v>
      </c>
      <c r="L249" s="568">
        <v>463837</v>
      </c>
      <c r="M249" s="569">
        <v>0.12</v>
      </c>
      <c r="N249" s="573">
        <f t="shared" si="46"/>
        <v>55660.439999999995</v>
      </c>
      <c r="O249" s="570">
        <f t="shared" ref="O249:O257" si="47">L249-N249</f>
        <v>408176.56</v>
      </c>
      <c r="P249" s="576"/>
      <c r="Q249" s="572" t="e">
        <f>VLOOKUP(G:G,list!B:D,3,FALSE)</f>
        <v>#N/A</v>
      </c>
    </row>
    <row r="250" spans="2:17" ht="18" hidden="1" customHeight="1">
      <c r="B250" s="563">
        <v>245</v>
      </c>
      <c r="C250" s="564" t="e">
        <f>VLOOKUP(G:G,list!B:D,2,FALSE)</f>
        <v>#N/A</v>
      </c>
      <c r="D250" s="564" t="s">
        <v>67</v>
      </c>
      <c r="E250" s="564" t="s">
        <v>9</v>
      </c>
      <c r="F250" s="564" t="s">
        <v>65</v>
      </c>
      <c r="G250" s="564" t="s">
        <v>153</v>
      </c>
      <c r="H250" s="565">
        <v>44111</v>
      </c>
      <c r="I250" s="564" t="s">
        <v>455</v>
      </c>
      <c r="J250" s="599">
        <v>930318</v>
      </c>
      <c r="K250" s="603">
        <v>0.4</v>
      </c>
      <c r="L250" s="568">
        <v>372127</v>
      </c>
      <c r="M250" s="569">
        <v>0.1</v>
      </c>
      <c r="N250" s="570">
        <f t="shared" si="46"/>
        <v>37212.700000000004</v>
      </c>
      <c r="O250" s="570">
        <f t="shared" si="47"/>
        <v>334914.3</v>
      </c>
      <c r="P250" s="576"/>
      <c r="Q250" s="572" t="e">
        <f>VLOOKUP(G:G,list!B:D,3,FALSE)</f>
        <v>#N/A</v>
      </c>
    </row>
    <row r="251" spans="2:17" ht="18" hidden="1" customHeight="1">
      <c r="B251" s="563">
        <v>246</v>
      </c>
      <c r="C251" s="564" t="str">
        <f>VLOOKUP(G:G,list!B:D,2,FALSE)</f>
        <v>작가기획</v>
      </c>
      <c r="D251" s="564" t="s">
        <v>67</v>
      </c>
      <c r="E251" s="564" t="s">
        <v>9</v>
      </c>
      <c r="F251" s="564" t="s">
        <v>65</v>
      </c>
      <c r="G251" s="564" t="s">
        <v>139</v>
      </c>
      <c r="H251" s="565">
        <v>43921</v>
      </c>
      <c r="I251" s="564" t="s">
        <v>455</v>
      </c>
      <c r="J251" s="599">
        <v>40318</v>
      </c>
      <c r="K251" s="603">
        <v>0.4</v>
      </c>
      <c r="L251" s="568">
        <v>16127</v>
      </c>
      <c r="M251" s="569" t="s">
        <v>203</v>
      </c>
      <c r="N251" s="573">
        <v>0</v>
      </c>
      <c r="O251" s="570">
        <f>L251-N251</f>
        <v>16127</v>
      </c>
      <c r="P251" s="575"/>
      <c r="Q251" s="572" t="str">
        <f>VLOOKUP(G:G,list!B:D,3,FALSE)</f>
        <v>Y</v>
      </c>
    </row>
    <row r="252" spans="2:17" ht="18" hidden="1" customHeight="1">
      <c r="B252" s="563">
        <v>247</v>
      </c>
      <c r="C252" s="564" t="str">
        <f>VLOOKUP(G:G,list!B:D,2,FALSE)</f>
        <v>작가기획</v>
      </c>
      <c r="D252" s="564" t="s">
        <v>67</v>
      </c>
      <c r="E252" s="564" t="s">
        <v>9</v>
      </c>
      <c r="F252" s="564" t="s">
        <v>65</v>
      </c>
      <c r="G252" s="564" t="s">
        <v>180</v>
      </c>
      <c r="H252" s="565">
        <v>43941</v>
      </c>
      <c r="I252" s="564" t="s">
        <v>455</v>
      </c>
      <c r="J252" s="599">
        <v>905520</v>
      </c>
      <c r="K252" s="603">
        <v>0.4</v>
      </c>
      <c r="L252" s="568">
        <v>362208</v>
      </c>
      <c r="M252" s="569" t="s">
        <v>203</v>
      </c>
      <c r="N252" s="570">
        <v>0</v>
      </c>
      <c r="O252" s="570">
        <f t="shared" si="47"/>
        <v>362208</v>
      </c>
      <c r="P252" s="575"/>
      <c r="Q252" s="572" t="str">
        <f>VLOOKUP(G:G,list!B:D,3,FALSE)</f>
        <v>Y</v>
      </c>
    </row>
    <row r="253" spans="2:17" ht="18" hidden="1" customHeight="1">
      <c r="B253" s="563">
        <v>248</v>
      </c>
      <c r="C253" s="564" t="str">
        <f>VLOOKUP(G:G,list!B:D,2,FALSE)</f>
        <v>원작료</v>
      </c>
      <c r="D253" s="564" t="s">
        <v>67</v>
      </c>
      <c r="E253" s="564" t="s">
        <v>64</v>
      </c>
      <c r="F253" s="564" t="s">
        <v>65</v>
      </c>
      <c r="G253" s="564" t="s">
        <v>151</v>
      </c>
      <c r="H253" s="565">
        <v>44258</v>
      </c>
      <c r="I253" s="564" t="s">
        <v>455</v>
      </c>
      <c r="J253" s="599">
        <v>526698</v>
      </c>
      <c r="K253" s="603">
        <v>0.4</v>
      </c>
      <c r="L253" s="568">
        <v>210679</v>
      </c>
      <c r="M253" s="569">
        <v>0.1</v>
      </c>
      <c r="N253" s="570">
        <f>L253*M253</f>
        <v>21067.9</v>
      </c>
      <c r="O253" s="570">
        <f t="shared" si="47"/>
        <v>189611.1</v>
      </c>
      <c r="P253" s="576"/>
      <c r="Q253" s="572" t="str">
        <f>VLOOKUP(G:G,list!B:D,3,FALSE)</f>
        <v>Y</v>
      </c>
    </row>
    <row r="254" spans="2:17" ht="18" hidden="1" customHeight="1">
      <c r="B254" s="563">
        <v>249</v>
      </c>
      <c r="C254" s="564" t="e">
        <f>VLOOKUP(G:G,list!B:D,2,FALSE)</f>
        <v>#N/A</v>
      </c>
      <c r="D254" s="564" t="s">
        <v>67</v>
      </c>
      <c r="E254" s="564" t="s">
        <v>64</v>
      </c>
      <c r="F254" s="564" t="s">
        <v>65</v>
      </c>
      <c r="G254" s="564" t="s">
        <v>179</v>
      </c>
      <c r="H254" s="565">
        <v>44233</v>
      </c>
      <c r="I254" s="564" t="s">
        <v>455</v>
      </c>
      <c r="J254" s="599">
        <v>1015973</v>
      </c>
      <c r="K254" s="603">
        <v>0.4</v>
      </c>
      <c r="L254" s="568">
        <v>406389</v>
      </c>
      <c r="M254" s="569">
        <v>0.1</v>
      </c>
      <c r="N254" s="573">
        <f>L254*M254</f>
        <v>40638.9</v>
      </c>
      <c r="O254" s="570">
        <f t="shared" si="47"/>
        <v>365750.1</v>
      </c>
      <c r="P254" s="575" t="s">
        <v>85</v>
      </c>
      <c r="Q254" s="572" t="e">
        <f>VLOOKUP(G:G,list!B:D,3,FALSE)</f>
        <v>#N/A</v>
      </c>
    </row>
    <row r="255" spans="2:17" ht="18" hidden="1" customHeight="1">
      <c r="B255" s="563">
        <v>250</v>
      </c>
      <c r="C255" s="564" t="e">
        <f>VLOOKUP(G:G,list!B:D,2,FALSE)</f>
        <v>#N/A</v>
      </c>
      <c r="D255" s="564" t="s">
        <v>67</v>
      </c>
      <c r="E255" s="564" t="s">
        <v>64</v>
      </c>
      <c r="F255" s="564" t="s">
        <v>65</v>
      </c>
      <c r="G255" s="564" t="s">
        <v>74</v>
      </c>
      <c r="H255" s="565">
        <v>44254</v>
      </c>
      <c r="I255" s="564" t="s">
        <v>455</v>
      </c>
      <c r="J255" s="599">
        <v>438880</v>
      </c>
      <c r="K255" s="603">
        <v>0.4</v>
      </c>
      <c r="L255" s="568">
        <v>175552</v>
      </c>
      <c r="M255" s="569">
        <v>0.1</v>
      </c>
      <c r="N255" s="570">
        <f>L255*M255</f>
        <v>17555.2</v>
      </c>
      <c r="O255" s="570">
        <f t="shared" si="47"/>
        <v>157996.79999999999</v>
      </c>
      <c r="P255" s="576"/>
      <c r="Q255" s="572" t="e">
        <f>VLOOKUP(G:G,list!B:D,3,FALSE)</f>
        <v>#N/A</v>
      </c>
    </row>
    <row r="256" spans="2:17" ht="18" hidden="1" customHeight="1">
      <c r="B256" s="563">
        <v>251</v>
      </c>
      <c r="C256" s="564" t="e">
        <f>VLOOKUP(G:G,list!B:D,2,FALSE)</f>
        <v>#N/A</v>
      </c>
      <c r="D256" s="564" t="s">
        <v>67</v>
      </c>
      <c r="E256" s="564" t="s">
        <v>64</v>
      </c>
      <c r="F256" s="564" t="s">
        <v>65</v>
      </c>
      <c r="G256" s="564" t="s">
        <v>147</v>
      </c>
      <c r="H256" s="565">
        <v>44260</v>
      </c>
      <c r="I256" s="564" t="s">
        <v>455</v>
      </c>
      <c r="J256" s="599">
        <v>290098</v>
      </c>
      <c r="K256" s="603">
        <v>0.4</v>
      </c>
      <c r="L256" s="568">
        <v>116039</v>
      </c>
      <c r="M256" s="569" t="s">
        <v>203</v>
      </c>
      <c r="N256" s="573">
        <v>0</v>
      </c>
      <c r="O256" s="570">
        <f t="shared" si="47"/>
        <v>116039</v>
      </c>
      <c r="P256" s="576"/>
      <c r="Q256" s="572" t="e">
        <f>VLOOKUP(G:G,list!B:D,3,FALSE)</f>
        <v>#N/A</v>
      </c>
    </row>
    <row r="257" spans="2:17" ht="18" hidden="1" customHeight="1">
      <c r="B257" s="563">
        <v>252</v>
      </c>
      <c r="C257" s="564" t="e">
        <f>VLOOKUP(G:G,list!B:D,2,FALSE)</f>
        <v>#N/A</v>
      </c>
      <c r="D257" s="564" t="s">
        <v>182</v>
      </c>
      <c r="E257" s="564" t="s">
        <v>9</v>
      </c>
      <c r="F257" s="564" t="s">
        <v>264</v>
      </c>
      <c r="G257" s="564" t="s">
        <v>279</v>
      </c>
      <c r="H257" s="565">
        <v>44772</v>
      </c>
      <c r="I257" s="564" t="s">
        <v>482</v>
      </c>
      <c r="J257" s="599">
        <v>2250000</v>
      </c>
      <c r="K257" s="603" t="s">
        <v>203</v>
      </c>
      <c r="L257" s="568">
        <v>2250000</v>
      </c>
      <c r="M257" s="569">
        <v>0.1</v>
      </c>
      <c r="N257" s="573">
        <f>L257*M257</f>
        <v>225000</v>
      </c>
      <c r="O257" s="570">
        <f t="shared" si="47"/>
        <v>2025000</v>
      </c>
      <c r="P257" s="575" t="s">
        <v>483</v>
      </c>
      <c r="Q257" s="572" t="e">
        <f>VLOOKUP(G:G,list!B:D,3,FALSE)</f>
        <v>#N/A</v>
      </c>
    </row>
    <row r="258" spans="2:17" ht="18" hidden="1" customHeight="1">
      <c r="B258" s="563">
        <v>253</v>
      </c>
      <c r="C258" s="564" t="e">
        <f>VLOOKUP(G:G,list!B:D,2,FALSE)</f>
        <v>#N/A</v>
      </c>
      <c r="D258" s="564" t="s">
        <v>72</v>
      </c>
      <c r="E258" s="564" t="s">
        <v>9</v>
      </c>
      <c r="F258" s="564" t="s">
        <v>73</v>
      </c>
      <c r="G258" s="564" t="s">
        <v>38</v>
      </c>
      <c r="H258" s="565">
        <v>44570</v>
      </c>
      <c r="I258" s="564" t="s">
        <v>368</v>
      </c>
      <c r="J258" s="599">
        <v>2177892</v>
      </c>
      <c r="K258" s="603">
        <v>0.8</v>
      </c>
      <c r="L258" s="568">
        <v>1742314</v>
      </c>
      <c r="M258" s="569">
        <v>0.1</v>
      </c>
      <c r="N258" s="573">
        <f>L258*M258</f>
        <v>174231.40000000002</v>
      </c>
      <c r="O258" s="570">
        <f>L258-N258</f>
        <v>1568082.6</v>
      </c>
      <c r="P258" s="575" t="s">
        <v>492</v>
      </c>
      <c r="Q258" s="572"/>
    </row>
    <row r="259" spans="2:17">
      <c r="B259" s="52"/>
      <c r="C259" s="430"/>
      <c r="D259" s="430"/>
      <c r="E259" s="431"/>
      <c r="F259" s="430"/>
      <c r="G259" s="432"/>
      <c r="H259" s="433"/>
      <c r="I259" s="434"/>
      <c r="J259" s="435"/>
      <c r="K259" s="436"/>
      <c r="M259" s="438"/>
      <c r="N259" s="439"/>
      <c r="O259" s="440"/>
      <c r="P259" s="441"/>
      <c r="Q259" s="486"/>
    </row>
    <row r="260" spans="2:17" s="7" customFormat="1">
      <c r="B260" s="534" t="s">
        <v>387</v>
      </c>
      <c r="C260" s="535"/>
      <c r="D260" s="535"/>
      <c r="E260" s="536"/>
      <c r="F260" s="535"/>
      <c r="G260" s="535"/>
      <c r="H260" s="311"/>
      <c r="I260" s="311"/>
      <c r="J260" s="311"/>
      <c r="K260" s="311"/>
      <c r="M260" s="424"/>
      <c r="N260"/>
      <c r="O260" s="333"/>
      <c r="P260" s="18"/>
      <c r="Q260" s="484"/>
    </row>
    <row r="261" spans="2:17" s="7" customFormat="1">
      <c r="B261" s="537" t="s">
        <v>299</v>
      </c>
      <c r="C261" s="535"/>
      <c r="D261" s="535"/>
      <c r="E261" s="536"/>
      <c r="F261" s="535"/>
      <c r="G261" s="535"/>
      <c r="H261" s="311"/>
      <c r="I261" s="311"/>
      <c r="K261" s="311"/>
      <c r="L261" s="311"/>
      <c r="M261" s="424"/>
      <c r="N261"/>
      <c r="O261" s="333"/>
      <c r="P261" s="18"/>
      <c r="Q261" s="484"/>
    </row>
    <row r="262" spans="2:17" s="7" customFormat="1">
      <c r="B262" s="537" t="s">
        <v>302</v>
      </c>
      <c r="C262" s="535"/>
      <c r="D262" s="535"/>
      <c r="E262" s="536"/>
      <c r="F262" s="535"/>
      <c r="G262" s="535"/>
      <c r="H262" s="311"/>
      <c r="I262" s="311"/>
      <c r="J262" s="311"/>
      <c r="K262" s="311"/>
      <c r="L262" s="311"/>
      <c r="M262" s="424"/>
      <c r="N262"/>
      <c r="O262" s="333"/>
      <c r="P262" s="18"/>
      <c r="Q262" s="484"/>
    </row>
    <row r="263" spans="2:17" s="7" customFormat="1">
      <c r="B263" s="538" t="s">
        <v>303</v>
      </c>
      <c r="C263" s="535"/>
      <c r="D263" s="535"/>
      <c r="E263" s="536"/>
      <c r="F263" s="535"/>
      <c r="G263" s="535"/>
      <c r="H263" s="311"/>
      <c r="I263" s="311"/>
      <c r="J263" s="311"/>
      <c r="K263" s="311"/>
      <c r="L263" s="311"/>
      <c r="M263" s="424"/>
      <c r="N263"/>
      <c r="O263" s="333"/>
      <c r="P263" s="18"/>
      <c r="Q263" s="484"/>
    </row>
    <row r="264" spans="2:17">
      <c r="B264" s="537" t="s">
        <v>340</v>
      </c>
      <c r="C264" s="535"/>
      <c r="D264" s="535"/>
      <c r="E264" s="536"/>
      <c r="F264" s="535"/>
      <c r="G264" s="535"/>
      <c r="H264" s="311"/>
      <c r="I264" s="311"/>
      <c r="J264" s="311"/>
      <c r="K264" s="311"/>
    </row>
    <row r="265" spans="2:17">
      <c r="B265" s="537" t="s">
        <v>493</v>
      </c>
      <c r="C265" s="535"/>
      <c r="D265" s="535"/>
      <c r="E265" s="536"/>
      <c r="F265" s="535"/>
      <c r="G265" s="535"/>
      <c r="H265" s="311"/>
      <c r="I265" s="311"/>
      <c r="J265" s="311"/>
      <c r="K265" s="311"/>
    </row>
    <row r="266" spans="2:17">
      <c r="B266" s="537" t="s">
        <v>491</v>
      </c>
      <c r="C266" s="535"/>
      <c r="D266" s="535"/>
      <c r="E266" s="536"/>
      <c r="F266" s="535"/>
      <c r="G266" s="535"/>
      <c r="H266" s="311"/>
      <c r="I266" s="311"/>
      <c r="J266" s="311"/>
      <c r="K266" s="311"/>
    </row>
    <row r="267" spans="2:17">
      <c r="J267" s="7"/>
    </row>
    <row r="268" spans="2:17">
      <c r="J268" s="7"/>
    </row>
    <row r="269" spans="2:17">
      <c r="J269" s="7"/>
    </row>
    <row r="270" spans="2:17" s="7" customFormat="1">
      <c r="E270" s="186"/>
      <c r="H270"/>
      <c r="I270"/>
      <c r="L270" s="311"/>
      <c r="M270" s="424"/>
      <c r="N270"/>
      <c r="O270" s="333"/>
      <c r="P270" s="18"/>
      <c r="Q270" s="484"/>
    </row>
    <row r="271" spans="2:17" s="7" customFormat="1">
      <c r="E271" s="186"/>
      <c r="H271"/>
      <c r="I271"/>
      <c r="L271" s="311"/>
      <c r="M271" s="424"/>
      <c r="N271"/>
      <c r="O271" s="333"/>
      <c r="P271" s="18"/>
      <c r="Q271" s="484"/>
    </row>
    <row r="272" spans="2:17" s="7" customFormat="1">
      <c r="E272" s="186"/>
      <c r="H272"/>
      <c r="I272"/>
      <c r="L272" s="311"/>
      <c r="M272" s="424"/>
      <c r="N272"/>
      <c r="O272" s="333"/>
      <c r="P272" s="18"/>
      <c r="Q272" s="484"/>
    </row>
    <row r="273" spans="5:17" s="7" customFormat="1">
      <c r="E273" s="186"/>
      <c r="H273"/>
      <c r="I273"/>
      <c r="L273" s="311"/>
      <c r="M273" s="424"/>
      <c r="N273"/>
      <c r="O273" s="333"/>
      <c r="P273" s="18"/>
      <c r="Q273" s="484"/>
    </row>
    <row r="274" spans="5:17" s="7" customFormat="1">
      <c r="E274" s="186"/>
      <c r="H274"/>
      <c r="I274"/>
      <c r="L274" s="311"/>
      <c r="M274" s="424"/>
      <c r="N274"/>
      <c r="O274" s="333"/>
      <c r="P274" s="18"/>
      <c r="Q274" s="484"/>
    </row>
    <row r="275" spans="5:17" s="7" customFormat="1">
      <c r="E275" s="186"/>
      <c r="H275"/>
      <c r="I275"/>
      <c r="L275" s="311"/>
      <c r="M275" s="424"/>
      <c r="N275"/>
      <c r="O275" s="333"/>
      <c r="P275" s="18"/>
      <c r="Q275" s="484"/>
    </row>
    <row r="276" spans="5:17" s="7" customFormat="1">
      <c r="E276" s="186"/>
      <c r="H276"/>
      <c r="I276"/>
      <c r="L276" s="311"/>
      <c r="M276" s="424"/>
      <c r="N276"/>
      <c r="O276" s="333"/>
      <c r="P276" s="18"/>
      <c r="Q276" s="484"/>
    </row>
    <row r="277" spans="5:17" s="7" customFormat="1">
      <c r="E277" s="186"/>
      <c r="H277"/>
      <c r="I277"/>
      <c r="L277" s="311"/>
      <c r="M277" s="424"/>
      <c r="N277"/>
      <c r="O277" s="333"/>
      <c r="P277" s="18"/>
      <c r="Q277" s="484"/>
    </row>
    <row r="278" spans="5:17" s="7" customFormat="1">
      <c r="E278" s="186"/>
      <c r="H278"/>
      <c r="I278"/>
      <c r="L278" s="311"/>
      <c r="M278" s="424"/>
      <c r="N278"/>
      <c r="O278" s="333"/>
      <c r="P278" s="18"/>
      <c r="Q278" s="484"/>
    </row>
    <row r="279" spans="5:17" s="7" customFormat="1">
      <c r="E279" s="186"/>
      <c r="H279"/>
      <c r="I279"/>
      <c r="L279" s="311"/>
      <c r="M279" s="424"/>
      <c r="N279"/>
      <c r="O279" s="333"/>
      <c r="P279" s="18"/>
      <c r="Q279" s="484"/>
    </row>
    <row r="280" spans="5:17" s="7" customFormat="1">
      <c r="E280" s="186"/>
      <c r="H280"/>
      <c r="I280"/>
      <c r="L280" s="311"/>
      <c r="M280" s="424"/>
      <c r="N280"/>
      <c r="O280" s="333"/>
      <c r="P280" s="18"/>
      <c r="Q280" s="484"/>
    </row>
    <row r="281" spans="5:17" s="7" customFormat="1">
      <c r="E281" s="186"/>
      <c r="H281"/>
      <c r="I281"/>
      <c r="L281" s="311"/>
      <c r="M281" s="424"/>
      <c r="N281"/>
      <c r="O281" s="333"/>
      <c r="P281" s="18"/>
      <c r="Q281" s="484"/>
    </row>
    <row r="282" spans="5:17" s="7" customFormat="1">
      <c r="E282" s="186"/>
      <c r="H282"/>
      <c r="I282"/>
      <c r="L282" s="311"/>
      <c r="M282" s="424"/>
      <c r="N282"/>
      <c r="O282" s="333"/>
      <c r="P282" s="18"/>
      <c r="Q282" s="484"/>
    </row>
    <row r="283" spans="5:17" s="7" customFormat="1">
      <c r="E283" s="186"/>
      <c r="H283"/>
      <c r="I283"/>
      <c r="L283" s="311"/>
      <c r="M283" s="424"/>
      <c r="N283"/>
      <c r="O283" s="333"/>
      <c r="P283" s="18"/>
      <c r="Q283" s="484"/>
    </row>
    <row r="284" spans="5:17" s="7" customFormat="1">
      <c r="E284" s="186"/>
      <c r="H284"/>
      <c r="I284"/>
      <c r="L284" s="311"/>
      <c r="M284" s="424"/>
      <c r="N284"/>
      <c r="O284" s="333"/>
      <c r="P284" s="18"/>
      <c r="Q284" s="484"/>
    </row>
  </sheetData>
  <autoFilter ref="B5:Q258" xr:uid="{54089479-EBFF-4B88-8995-A2422E37444D}">
    <filterColumn colId="4">
      <filters>
        <filter val="빌리빌리코믹스"/>
      </filters>
    </filterColumn>
    <sortState xmlns:xlrd2="http://schemas.microsoft.com/office/spreadsheetml/2017/richdata2" ref="B66:Q66">
      <sortCondition ref="G5:G258"/>
    </sortState>
  </autoFilter>
  <mergeCells count="1">
    <mergeCell ref="P2:Q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E607-7353-4F1E-AFE2-488F3F11328C}">
  <dimension ref="B1:Q328"/>
  <sheetViews>
    <sheetView showGridLines="0" zoomScaleNormal="100" workbookViewId="0">
      <pane xSplit="7" ySplit="5" topLeftCell="H6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4.3984375" style="7" customWidth="1"/>
    <col min="3" max="3" width="13" style="7" customWidth="1"/>
    <col min="4" max="4" width="7.59765625" style="7" customWidth="1"/>
    <col min="5" max="5" width="7.3984375" style="186" customWidth="1"/>
    <col min="6" max="6" width="16.19921875" style="7" customWidth="1"/>
    <col min="7" max="7" width="28" style="7" customWidth="1"/>
    <col min="8" max="8" width="10.59765625" customWidth="1"/>
    <col min="9" max="9" width="13" bestFit="1" customWidth="1"/>
    <col min="10" max="10" width="17.09765625" customWidth="1"/>
    <col min="11" max="11" width="9" style="7" customWidth="1"/>
    <col min="12" max="12" width="13.59765625" style="311" customWidth="1"/>
    <col min="13" max="13" width="8.5" style="424" customWidth="1"/>
    <col min="14" max="14" width="13.59765625" customWidth="1"/>
    <col min="15" max="15" width="13.59765625" style="333" customWidth="1"/>
    <col min="16" max="16" width="57" style="18" customWidth="1"/>
    <col min="17" max="17" width="30.59765625" style="484" bestFit="1" customWidth="1"/>
  </cols>
  <sheetData>
    <row r="1" spans="2:17" ht="7.5" customHeight="1"/>
    <row r="2" spans="2:17" ht="30" customHeight="1">
      <c r="B2" s="461" t="s">
        <v>441</v>
      </c>
      <c r="C2" s="539"/>
      <c r="D2" s="539"/>
      <c r="E2" s="539"/>
      <c r="F2" s="539"/>
      <c r="G2" s="540"/>
      <c r="H2" s="541"/>
      <c r="I2" s="541"/>
      <c r="J2" s="52"/>
      <c r="K2" s="52"/>
      <c r="L2" s="542"/>
      <c r="M2" s="543"/>
      <c r="N2" s="543"/>
      <c r="O2" s="544"/>
      <c r="P2" s="681"/>
      <c r="Q2" s="682"/>
    </row>
    <row r="3" spans="2:17" ht="16.5" customHeight="1">
      <c r="B3" s="545" t="s">
        <v>471</v>
      </c>
      <c r="C3" s="52"/>
      <c r="D3" s="52"/>
      <c r="E3" s="52"/>
      <c r="F3" s="52"/>
      <c r="G3" s="52"/>
      <c r="H3" s="541"/>
      <c r="I3" s="541"/>
      <c r="J3" s="541"/>
      <c r="K3" s="52"/>
      <c r="L3" s="546"/>
      <c r="M3" s="547"/>
      <c r="N3" s="547"/>
      <c r="O3" s="548"/>
      <c r="P3" s="549"/>
      <c r="Q3" s="550"/>
    </row>
    <row r="4" spans="2:17" ht="18" customHeight="1">
      <c r="B4" s="52"/>
      <c r="C4" s="52"/>
      <c r="D4" s="52"/>
      <c r="E4" s="52"/>
      <c r="F4" s="52"/>
      <c r="G4" s="52"/>
      <c r="H4" s="52"/>
      <c r="I4" s="482" t="s">
        <v>391</v>
      </c>
      <c r="J4" s="480">
        <f>SUBTOTAL(109,J6:J1048576)</f>
        <v>2029611659.8700001</v>
      </c>
      <c r="K4" s="481"/>
      <c r="L4" s="480">
        <f>SUBTOTAL(109,L6:L1048576)</f>
        <v>870928630.72727275</v>
      </c>
      <c r="M4" s="481"/>
      <c r="N4" s="483">
        <f>SUBTOTAL(109,N6:N1048576)</f>
        <v>86931332.552727267</v>
      </c>
      <c r="O4" s="482">
        <f>SUBTOTAL(109,O6:O1048576)</f>
        <v>783997298.17454553</v>
      </c>
      <c r="P4" s="549"/>
      <c r="Q4" s="551"/>
    </row>
    <row r="5" spans="2:17" s="9" customFormat="1" ht="32.25" customHeight="1">
      <c r="B5" s="552" t="s">
        <v>7</v>
      </c>
      <c r="C5" s="552" t="s">
        <v>345</v>
      </c>
      <c r="D5" s="553" t="s">
        <v>388</v>
      </c>
      <c r="E5" s="554" t="s">
        <v>389</v>
      </c>
      <c r="F5" s="555" t="s">
        <v>0</v>
      </c>
      <c r="G5" s="555" t="s">
        <v>4</v>
      </c>
      <c r="H5" s="556" t="s">
        <v>5</v>
      </c>
      <c r="I5" s="557" t="s">
        <v>390</v>
      </c>
      <c r="J5" s="557" t="s">
        <v>434</v>
      </c>
      <c r="K5" s="557" t="s">
        <v>435</v>
      </c>
      <c r="L5" s="558" t="s">
        <v>436</v>
      </c>
      <c r="M5" s="559" t="s">
        <v>437</v>
      </c>
      <c r="N5" s="560" t="s">
        <v>438</v>
      </c>
      <c r="O5" s="561" t="s">
        <v>439</v>
      </c>
      <c r="P5" s="562" t="s">
        <v>82</v>
      </c>
      <c r="Q5" s="610" t="s">
        <v>474</v>
      </c>
    </row>
    <row r="6" spans="2:17" ht="18" customHeight="1">
      <c r="B6" s="563">
        <v>1</v>
      </c>
      <c r="C6" s="564" t="e">
        <f>VLOOKUP(G:G,list!B:D,2,FALSE)</f>
        <v>#N/A</v>
      </c>
      <c r="D6" s="564" t="s">
        <v>78</v>
      </c>
      <c r="E6" s="564" t="s">
        <v>115</v>
      </c>
      <c r="F6" s="564" t="s">
        <v>268</v>
      </c>
      <c r="G6" s="564" t="s">
        <v>256</v>
      </c>
      <c r="H6" s="565">
        <v>44553</v>
      </c>
      <c r="I6" s="564" t="s">
        <v>428</v>
      </c>
      <c r="J6" s="566">
        <v>9800</v>
      </c>
      <c r="K6" s="567" t="s">
        <v>271</v>
      </c>
      <c r="L6" s="568">
        <v>5260</v>
      </c>
      <c r="M6" s="569">
        <v>0.1</v>
      </c>
      <c r="N6" s="570">
        <f>L6*M6</f>
        <v>526</v>
      </c>
      <c r="O6" s="570">
        <f t="shared" ref="O6:O44" si="0">L6-N6</f>
        <v>4734</v>
      </c>
      <c r="P6" s="571"/>
      <c r="Q6" s="572" t="e">
        <f>VLOOKUP(G:G,list!B:D,3,FALSE)</f>
        <v>#N/A</v>
      </c>
    </row>
    <row r="7" spans="2:17" ht="18" customHeight="1">
      <c r="B7" s="563">
        <v>2</v>
      </c>
      <c r="C7" s="564" t="e">
        <f>VLOOKUP(G:G,list!B:D,2,FALSE)</f>
        <v>#N/A</v>
      </c>
      <c r="D7" s="564" t="s">
        <v>78</v>
      </c>
      <c r="E7" s="564" t="s">
        <v>115</v>
      </c>
      <c r="F7" s="564" t="s">
        <v>268</v>
      </c>
      <c r="G7" s="564" t="s">
        <v>204</v>
      </c>
      <c r="H7" s="565">
        <v>44554</v>
      </c>
      <c r="I7" s="564" t="s">
        <v>428</v>
      </c>
      <c r="J7" s="566">
        <v>4000</v>
      </c>
      <c r="K7" s="567" t="s">
        <v>271</v>
      </c>
      <c r="L7" s="568">
        <v>2800</v>
      </c>
      <c r="M7" s="569">
        <v>0.1</v>
      </c>
      <c r="N7" s="573">
        <f>L7*M7</f>
        <v>280</v>
      </c>
      <c r="O7" s="570">
        <f t="shared" si="0"/>
        <v>2520</v>
      </c>
      <c r="P7" s="571"/>
      <c r="Q7" s="572" t="e">
        <f>VLOOKUP(G:G,list!B:D,3,FALSE)</f>
        <v>#N/A</v>
      </c>
    </row>
    <row r="8" spans="2:17" ht="18" customHeight="1">
      <c r="B8" s="563">
        <v>3</v>
      </c>
      <c r="C8" s="564" t="e">
        <f>VLOOKUP(G:G,list!B:D,2,FALSE)</f>
        <v>#N/A</v>
      </c>
      <c r="D8" s="564" t="s">
        <v>78</v>
      </c>
      <c r="E8" s="564" t="s">
        <v>115</v>
      </c>
      <c r="F8" s="564" t="s">
        <v>268</v>
      </c>
      <c r="G8" s="564" t="s">
        <v>202</v>
      </c>
      <c r="H8" s="565">
        <v>44609</v>
      </c>
      <c r="I8" s="564" t="s">
        <v>428</v>
      </c>
      <c r="J8" s="566">
        <v>25800</v>
      </c>
      <c r="K8" s="567" t="s">
        <v>271</v>
      </c>
      <c r="L8" s="568">
        <v>16620</v>
      </c>
      <c r="M8" s="569" t="s">
        <v>203</v>
      </c>
      <c r="N8" s="573">
        <v>0</v>
      </c>
      <c r="O8" s="570">
        <f t="shared" si="0"/>
        <v>16620</v>
      </c>
      <c r="P8" s="574"/>
      <c r="Q8" s="572" t="e">
        <f>VLOOKUP(G:G,list!B:D,3,FALSE)</f>
        <v>#N/A</v>
      </c>
    </row>
    <row r="9" spans="2:17" ht="18" customHeight="1">
      <c r="B9" s="563">
        <v>4</v>
      </c>
      <c r="C9" s="564" t="e">
        <f>VLOOKUP(G:G,list!B:D,2,FALSE)</f>
        <v>#N/A</v>
      </c>
      <c r="D9" s="564" t="s">
        <v>78</v>
      </c>
      <c r="E9" s="564" t="s">
        <v>9</v>
      </c>
      <c r="F9" s="564" t="s">
        <v>242</v>
      </c>
      <c r="G9" s="564" t="s">
        <v>135</v>
      </c>
      <c r="H9" s="565">
        <v>44308</v>
      </c>
      <c r="I9" s="564" t="s">
        <v>428</v>
      </c>
      <c r="J9" s="566">
        <v>20342</v>
      </c>
      <c r="K9" s="567">
        <v>0.6</v>
      </c>
      <c r="L9" s="568">
        <v>12206</v>
      </c>
      <c r="M9" s="569" t="s">
        <v>203</v>
      </c>
      <c r="N9" s="570">
        <v>0</v>
      </c>
      <c r="O9" s="570">
        <f t="shared" si="0"/>
        <v>12206</v>
      </c>
      <c r="P9" s="575"/>
      <c r="Q9" s="572" t="e">
        <f>VLOOKUP(G:G,list!B:D,3,FALSE)</f>
        <v>#N/A</v>
      </c>
    </row>
    <row r="10" spans="2:17" ht="18" customHeight="1">
      <c r="B10" s="563">
        <v>5</v>
      </c>
      <c r="C10" s="564" t="e">
        <f>VLOOKUP(G:G,list!B:D,2,FALSE)</f>
        <v>#N/A</v>
      </c>
      <c r="D10" s="564" t="s">
        <v>78</v>
      </c>
      <c r="E10" s="564" t="s">
        <v>9</v>
      </c>
      <c r="F10" s="564" t="s">
        <v>242</v>
      </c>
      <c r="G10" s="564" t="s">
        <v>218</v>
      </c>
      <c r="H10" s="565">
        <v>44309</v>
      </c>
      <c r="I10" s="564" t="s">
        <v>428</v>
      </c>
      <c r="J10" s="566">
        <v>92872508</v>
      </c>
      <c r="K10" s="567">
        <v>0.6</v>
      </c>
      <c r="L10" s="568">
        <v>55723506</v>
      </c>
      <c r="M10" s="569">
        <v>0.1</v>
      </c>
      <c r="N10" s="570">
        <f>L10*M10</f>
        <v>5572350.6000000006</v>
      </c>
      <c r="O10" s="570">
        <f>L10-N10</f>
        <v>50151155.399999999</v>
      </c>
      <c r="P10" s="576"/>
      <c r="Q10" s="572" t="e">
        <f>VLOOKUP(G:G,list!B:D,3,FALSE)</f>
        <v>#N/A</v>
      </c>
    </row>
    <row r="11" spans="2:17" ht="18" customHeight="1">
      <c r="B11" s="563">
        <v>6</v>
      </c>
      <c r="C11" s="564" t="e">
        <f>VLOOKUP(G:G,list!B:D,2,FALSE)</f>
        <v>#N/A</v>
      </c>
      <c r="D11" s="564" t="s">
        <v>78</v>
      </c>
      <c r="E11" s="564" t="s">
        <v>9</v>
      </c>
      <c r="F11" s="564" t="s">
        <v>242</v>
      </c>
      <c r="G11" s="564" t="s">
        <v>136</v>
      </c>
      <c r="H11" s="565">
        <v>44240</v>
      </c>
      <c r="I11" s="564" t="s">
        <v>428</v>
      </c>
      <c r="J11" s="577">
        <v>744062</v>
      </c>
      <c r="K11" s="567">
        <v>0.6</v>
      </c>
      <c r="L11" s="568">
        <v>446437</v>
      </c>
      <c r="M11" s="569">
        <v>0.1</v>
      </c>
      <c r="N11" s="570">
        <f>L11*M11</f>
        <v>44643.700000000004</v>
      </c>
      <c r="O11" s="570">
        <f t="shared" si="0"/>
        <v>401793.3</v>
      </c>
      <c r="P11" s="578"/>
      <c r="Q11" s="572" t="e">
        <f>VLOOKUP(G:G,list!B:D,3,FALSE)</f>
        <v>#N/A</v>
      </c>
    </row>
    <row r="12" spans="2:17" ht="18" customHeight="1">
      <c r="B12" s="563">
        <v>7</v>
      </c>
      <c r="C12" s="564" t="e">
        <f>VLOOKUP(G:G,list!B:D,2,FALSE)</f>
        <v>#N/A</v>
      </c>
      <c r="D12" s="564" t="s">
        <v>78</v>
      </c>
      <c r="E12" s="564" t="s">
        <v>9</v>
      </c>
      <c r="F12" s="564" t="s">
        <v>242</v>
      </c>
      <c r="G12" s="564" t="s">
        <v>190</v>
      </c>
      <c r="H12" s="565">
        <v>44391</v>
      </c>
      <c r="I12" s="564" t="s">
        <v>428</v>
      </c>
      <c r="J12" s="579">
        <v>31287663</v>
      </c>
      <c r="K12" s="580">
        <v>0.6</v>
      </c>
      <c r="L12" s="568">
        <v>18772598</v>
      </c>
      <c r="M12" s="569">
        <v>0.12</v>
      </c>
      <c r="N12" s="573">
        <f>L12*M12</f>
        <v>2252711.7599999998</v>
      </c>
      <c r="O12" s="570">
        <f t="shared" si="0"/>
        <v>16519886.24</v>
      </c>
      <c r="P12" s="576"/>
      <c r="Q12" s="572" t="e">
        <f>VLOOKUP(G:G,list!B:D,3,FALSE)</f>
        <v>#N/A</v>
      </c>
    </row>
    <row r="13" spans="2:17" ht="18" customHeight="1">
      <c r="B13" s="563">
        <v>8</v>
      </c>
      <c r="C13" s="564" t="e">
        <f>VLOOKUP(G:G,list!B:D,2,FALSE)</f>
        <v>#N/A</v>
      </c>
      <c r="D13" s="564" t="s">
        <v>78</v>
      </c>
      <c r="E13" s="564" t="s">
        <v>9</v>
      </c>
      <c r="F13" s="564" t="s">
        <v>242</v>
      </c>
      <c r="G13" s="564" t="s">
        <v>276</v>
      </c>
      <c r="H13" s="565">
        <v>44603</v>
      </c>
      <c r="I13" s="564" t="s">
        <v>428</v>
      </c>
      <c r="J13" s="579">
        <v>2713563</v>
      </c>
      <c r="K13" s="580">
        <v>0.6</v>
      </c>
      <c r="L13" s="568">
        <v>1628138</v>
      </c>
      <c r="M13" s="569" t="s">
        <v>203</v>
      </c>
      <c r="N13" s="573">
        <v>0</v>
      </c>
      <c r="O13" s="570">
        <f t="shared" si="0"/>
        <v>1628138</v>
      </c>
      <c r="P13" s="578"/>
      <c r="Q13" s="572" t="e">
        <f>VLOOKUP(G:G,list!B:D,3,FALSE)</f>
        <v>#N/A</v>
      </c>
    </row>
    <row r="14" spans="2:17" ht="18" customHeight="1">
      <c r="B14" s="563">
        <v>9</v>
      </c>
      <c r="C14" s="564" t="e">
        <f>VLOOKUP(G:G,list!B:D,2,FALSE)</f>
        <v>#N/A</v>
      </c>
      <c r="D14" s="564" t="s">
        <v>78</v>
      </c>
      <c r="E14" s="564" t="s">
        <v>9</v>
      </c>
      <c r="F14" s="564" t="s">
        <v>242</v>
      </c>
      <c r="G14" s="564" t="s">
        <v>362</v>
      </c>
      <c r="H14" s="565">
        <v>44703</v>
      </c>
      <c r="I14" s="564" t="s">
        <v>428</v>
      </c>
      <c r="J14" s="579">
        <v>6743794</v>
      </c>
      <c r="K14" s="580">
        <v>0.6</v>
      </c>
      <c r="L14" s="568">
        <v>4046277</v>
      </c>
      <c r="M14" s="569">
        <v>0.1</v>
      </c>
      <c r="N14" s="573">
        <f>L14*M14</f>
        <v>404627.7</v>
      </c>
      <c r="O14" s="570">
        <f>L14-N14</f>
        <v>3641649.3</v>
      </c>
      <c r="P14" s="578"/>
      <c r="Q14" s="572" t="e">
        <f>VLOOKUP(G:G,list!B:D,3,FALSE)</f>
        <v>#N/A</v>
      </c>
    </row>
    <row r="15" spans="2:17" ht="18" customHeight="1">
      <c r="B15" s="563">
        <v>10</v>
      </c>
      <c r="C15" s="564" t="e">
        <f>VLOOKUP(G:G,list!B:D,2,FALSE)</f>
        <v>#N/A</v>
      </c>
      <c r="D15" s="564" t="s">
        <v>78</v>
      </c>
      <c r="E15" s="564" t="s">
        <v>9</v>
      </c>
      <c r="F15" s="564" t="s">
        <v>242</v>
      </c>
      <c r="G15" s="564" t="s">
        <v>423</v>
      </c>
      <c r="H15" s="565">
        <v>44740</v>
      </c>
      <c r="I15" s="564" t="s">
        <v>428</v>
      </c>
      <c r="J15" s="579">
        <v>20544869</v>
      </c>
      <c r="K15" s="580">
        <v>0.6</v>
      </c>
      <c r="L15" s="568">
        <v>12326923</v>
      </c>
      <c r="M15" s="569">
        <v>0.1</v>
      </c>
      <c r="N15" s="573">
        <f>L15*M15</f>
        <v>1232692.3</v>
      </c>
      <c r="O15" s="570">
        <f t="shared" si="0"/>
        <v>11094230.699999999</v>
      </c>
      <c r="P15" s="578"/>
      <c r="Q15" s="572" t="e">
        <f>VLOOKUP(G:G,list!B:D,3,FALSE)</f>
        <v>#N/A</v>
      </c>
    </row>
    <row r="16" spans="2:17" ht="18" customHeight="1">
      <c r="B16" s="563">
        <v>11</v>
      </c>
      <c r="C16" s="564" t="e">
        <f>VLOOKUP(G:G,list!B:D,2,FALSE)</f>
        <v>#N/A</v>
      </c>
      <c r="D16" s="564" t="s">
        <v>78</v>
      </c>
      <c r="E16" s="564" t="s">
        <v>9</v>
      </c>
      <c r="F16" s="564" t="s">
        <v>242</v>
      </c>
      <c r="G16" s="564" t="s">
        <v>424</v>
      </c>
      <c r="H16" s="565">
        <v>44753</v>
      </c>
      <c r="I16" s="564" t="s">
        <v>428</v>
      </c>
      <c r="J16" s="579">
        <v>16002316</v>
      </c>
      <c r="K16" s="580">
        <v>0.6</v>
      </c>
      <c r="L16" s="568">
        <v>9601389</v>
      </c>
      <c r="M16" s="569">
        <v>0.1</v>
      </c>
      <c r="N16" s="573">
        <f>L16*M16</f>
        <v>960138.9</v>
      </c>
      <c r="O16" s="570">
        <f t="shared" si="0"/>
        <v>8641250.0999999996</v>
      </c>
      <c r="P16" s="578"/>
      <c r="Q16" s="572" t="e">
        <f>VLOOKUP(G:G,list!B:D,3,FALSE)</f>
        <v>#N/A</v>
      </c>
    </row>
    <row r="17" spans="2:17" ht="18" customHeight="1">
      <c r="B17" s="563">
        <v>12</v>
      </c>
      <c r="C17" s="564" t="e">
        <f>VLOOKUP(G:G,list!B:D,2,FALSE)</f>
        <v>#N/A</v>
      </c>
      <c r="D17" s="564" t="s">
        <v>78</v>
      </c>
      <c r="E17" s="564" t="s">
        <v>115</v>
      </c>
      <c r="F17" s="564" t="s">
        <v>242</v>
      </c>
      <c r="G17" s="564" t="s">
        <v>204</v>
      </c>
      <c r="H17" s="565">
        <v>44428</v>
      </c>
      <c r="I17" s="564" t="s">
        <v>428</v>
      </c>
      <c r="J17" s="581">
        <v>189233</v>
      </c>
      <c r="K17" s="582">
        <v>0.7</v>
      </c>
      <c r="L17" s="568">
        <v>132463</v>
      </c>
      <c r="M17" s="569">
        <v>0.1</v>
      </c>
      <c r="N17" s="573">
        <f>L17*M17</f>
        <v>13246.300000000001</v>
      </c>
      <c r="O17" s="570">
        <f t="shared" si="0"/>
        <v>119216.7</v>
      </c>
      <c r="P17" s="583"/>
      <c r="Q17" s="572" t="e">
        <f>VLOOKUP(G:G,list!B:D,3,FALSE)</f>
        <v>#N/A</v>
      </c>
    </row>
    <row r="18" spans="2:17" ht="18" customHeight="1">
      <c r="B18" s="563">
        <v>13</v>
      </c>
      <c r="C18" s="564" t="e">
        <f>VLOOKUP(G:G,list!B:D,2,FALSE)</f>
        <v>#N/A</v>
      </c>
      <c r="D18" s="564" t="s">
        <v>78</v>
      </c>
      <c r="E18" s="564" t="s">
        <v>115</v>
      </c>
      <c r="F18" s="564" t="s">
        <v>242</v>
      </c>
      <c r="G18" s="564" t="s">
        <v>202</v>
      </c>
      <c r="H18" s="565">
        <v>44525</v>
      </c>
      <c r="I18" s="564" t="s">
        <v>428</v>
      </c>
      <c r="J18" s="577">
        <v>3300</v>
      </c>
      <c r="K18" s="567">
        <v>0.7</v>
      </c>
      <c r="L18" s="568">
        <v>2310</v>
      </c>
      <c r="M18" s="569" t="s">
        <v>203</v>
      </c>
      <c r="N18" s="570">
        <v>0</v>
      </c>
      <c r="O18" s="570">
        <f t="shared" si="0"/>
        <v>2310</v>
      </c>
      <c r="P18" s="583"/>
      <c r="Q18" s="572" t="e">
        <f>VLOOKUP(G:G,list!B:D,3,FALSE)</f>
        <v>#N/A</v>
      </c>
    </row>
    <row r="19" spans="2:17" ht="18" customHeight="1">
      <c r="B19" s="563">
        <v>14</v>
      </c>
      <c r="C19" s="564" t="str">
        <f>VLOOKUP(G:G,list!B:D,2,FALSE)</f>
        <v>작가기획</v>
      </c>
      <c r="D19" s="564" t="s">
        <v>78</v>
      </c>
      <c r="E19" s="564" t="s">
        <v>9</v>
      </c>
      <c r="F19" s="564" t="s">
        <v>272</v>
      </c>
      <c r="G19" s="564" t="s">
        <v>139</v>
      </c>
      <c r="H19" s="565">
        <v>44513</v>
      </c>
      <c r="I19" s="564" t="s">
        <v>377</v>
      </c>
      <c r="J19" s="577">
        <v>15680</v>
      </c>
      <c r="K19" s="567">
        <v>0.5</v>
      </c>
      <c r="L19" s="568">
        <v>7840</v>
      </c>
      <c r="M19" s="569" t="s">
        <v>203</v>
      </c>
      <c r="N19" s="570">
        <v>0</v>
      </c>
      <c r="O19" s="570">
        <f>L19-N19</f>
        <v>7840</v>
      </c>
      <c r="P19" s="584"/>
      <c r="Q19" s="572" t="str">
        <f>VLOOKUP(G:G,list!B:D,3,FALSE)</f>
        <v>Y</v>
      </c>
    </row>
    <row r="20" spans="2:17" ht="18" customHeight="1">
      <c r="B20" s="563">
        <v>15</v>
      </c>
      <c r="C20" s="564" t="e">
        <f>VLOOKUP(G:G,list!B:D,2,FALSE)</f>
        <v>#N/A</v>
      </c>
      <c r="D20" s="564" t="s">
        <v>78</v>
      </c>
      <c r="E20" s="564" t="s">
        <v>115</v>
      </c>
      <c r="F20" s="564" t="s">
        <v>245</v>
      </c>
      <c r="G20" s="564" t="s">
        <v>202</v>
      </c>
      <c r="H20" s="565">
        <v>44441</v>
      </c>
      <c r="I20" s="564" t="s">
        <v>428</v>
      </c>
      <c r="J20" s="577">
        <v>0</v>
      </c>
      <c r="K20" s="567" t="s">
        <v>203</v>
      </c>
      <c r="L20" s="568">
        <v>54200</v>
      </c>
      <c r="M20" s="569" t="s">
        <v>203</v>
      </c>
      <c r="N20" s="570">
        <v>0</v>
      </c>
      <c r="O20" s="570">
        <f t="shared" si="0"/>
        <v>54200</v>
      </c>
      <c r="P20" s="583"/>
      <c r="Q20" s="572" t="e">
        <f>VLOOKUP(G:G,list!B:D,3,FALSE)</f>
        <v>#N/A</v>
      </c>
    </row>
    <row r="21" spans="2:17" ht="18" customHeight="1">
      <c r="B21" s="563">
        <v>16</v>
      </c>
      <c r="C21" s="564" t="e">
        <f>VLOOKUP(G:G,list!B:D,2,FALSE)</f>
        <v>#N/A</v>
      </c>
      <c r="D21" s="564" t="s">
        <v>78</v>
      </c>
      <c r="E21" s="564" t="s">
        <v>115</v>
      </c>
      <c r="F21" s="564" t="s">
        <v>201</v>
      </c>
      <c r="G21" s="564" t="s">
        <v>202</v>
      </c>
      <c r="H21" s="565">
        <v>44300</v>
      </c>
      <c r="I21" s="564" t="s">
        <v>377</v>
      </c>
      <c r="J21" s="579">
        <v>289920</v>
      </c>
      <c r="K21" s="567">
        <v>0.7</v>
      </c>
      <c r="L21" s="568">
        <v>202944</v>
      </c>
      <c r="M21" s="569" t="s">
        <v>203</v>
      </c>
      <c r="N21" s="570">
        <v>0</v>
      </c>
      <c r="O21" s="570">
        <f t="shared" si="0"/>
        <v>202944</v>
      </c>
      <c r="P21" s="583"/>
      <c r="Q21" s="572" t="e">
        <f>VLOOKUP(G:G,list!B:D,3,FALSE)</f>
        <v>#N/A</v>
      </c>
    </row>
    <row r="22" spans="2:17" ht="18" customHeight="1">
      <c r="B22" s="563">
        <v>17</v>
      </c>
      <c r="C22" s="564" t="e">
        <f>VLOOKUP(G:G,list!B:D,2,FALSE)</f>
        <v>#N/A</v>
      </c>
      <c r="D22" s="564" t="s">
        <v>78</v>
      </c>
      <c r="E22" s="564" t="s">
        <v>9</v>
      </c>
      <c r="F22" s="564" t="s">
        <v>201</v>
      </c>
      <c r="G22" s="564" t="s">
        <v>279</v>
      </c>
      <c r="H22" s="565">
        <v>44644</v>
      </c>
      <c r="I22" s="564" t="s">
        <v>377</v>
      </c>
      <c r="J22" s="579">
        <v>1411793</v>
      </c>
      <c r="K22" s="567">
        <v>0.6</v>
      </c>
      <c r="L22" s="568">
        <v>847076</v>
      </c>
      <c r="M22" s="569">
        <v>0.1</v>
      </c>
      <c r="N22" s="573">
        <f>L22*M22</f>
        <v>84707.6</v>
      </c>
      <c r="O22" s="570">
        <f t="shared" ref="O22" si="1">L22-N22</f>
        <v>762368.4</v>
      </c>
      <c r="P22" s="585"/>
      <c r="Q22" s="572" t="e">
        <f>VLOOKUP(G:G,list!B:D,3,FALSE)</f>
        <v>#N/A</v>
      </c>
    </row>
    <row r="23" spans="2:17" ht="18" customHeight="1">
      <c r="B23" s="563">
        <v>18</v>
      </c>
      <c r="C23" s="564" t="str">
        <f>VLOOKUP(G:G,list!B:D,2,FALSE)</f>
        <v>원작료</v>
      </c>
      <c r="D23" s="564" t="s">
        <v>78</v>
      </c>
      <c r="E23" s="564" t="s">
        <v>9</v>
      </c>
      <c r="F23" s="564" t="s">
        <v>201</v>
      </c>
      <c r="G23" s="564" t="s">
        <v>454</v>
      </c>
      <c r="H23" s="565">
        <v>44750</v>
      </c>
      <c r="I23" s="564" t="s">
        <v>377</v>
      </c>
      <c r="J23" s="579">
        <v>29288829</v>
      </c>
      <c r="K23" s="567">
        <v>0.6</v>
      </c>
      <c r="L23" s="568">
        <v>17573301</v>
      </c>
      <c r="M23" s="569">
        <v>0.1</v>
      </c>
      <c r="N23" s="573">
        <f>L23*M23</f>
        <v>1757330.1</v>
      </c>
      <c r="O23" s="570">
        <f t="shared" si="0"/>
        <v>15815970.9</v>
      </c>
      <c r="P23" s="585" t="s">
        <v>287</v>
      </c>
      <c r="Q23" s="572" t="str">
        <f>VLOOKUP(G:G,list!B:D,3,FALSE)</f>
        <v>Y</v>
      </c>
    </row>
    <row r="24" spans="2:17" ht="18" customHeight="1">
      <c r="B24" s="563">
        <v>19</v>
      </c>
      <c r="C24" s="564" t="str">
        <f>VLOOKUP(G:G,list!B:D,2,FALSE)</f>
        <v>작가기획</v>
      </c>
      <c r="D24" s="564" t="s">
        <v>78</v>
      </c>
      <c r="E24" s="564" t="s">
        <v>9</v>
      </c>
      <c r="F24" s="564" t="s">
        <v>246</v>
      </c>
      <c r="G24" s="564" t="s">
        <v>180</v>
      </c>
      <c r="H24" s="565">
        <v>43810</v>
      </c>
      <c r="I24" s="564" t="s">
        <v>428</v>
      </c>
      <c r="J24" s="579">
        <v>2325780</v>
      </c>
      <c r="K24" s="567" t="s">
        <v>165</v>
      </c>
      <c r="L24" s="568">
        <v>924507</v>
      </c>
      <c r="M24" s="569" t="s">
        <v>203</v>
      </c>
      <c r="N24" s="570">
        <v>0</v>
      </c>
      <c r="O24" s="570">
        <f t="shared" si="0"/>
        <v>924507</v>
      </c>
      <c r="P24" s="583"/>
      <c r="Q24" s="572" t="str">
        <f>VLOOKUP(G:G,list!B:D,3,FALSE)</f>
        <v>Y</v>
      </c>
    </row>
    <row r="25" spans="2:17" ht="18" customHeight="1">
      <c r="B25" s="563">
        <v>20</v>
      </c>
      <c r="C25" s="564" t="str">
        <f>VLOOKUP(G:G,list!B:D,2,FALSE)</f>
        <v>작가기획</v>
      </c>
      <c r="D25" s="564" t="s">
        <v>78</v>
      </c>
      <c r="E25" s="564" t="s">
        <v>9</v>
      </c>
      <c r="F25" s="564" t="s">
        <v>246</v>
      </c>
      <c r="G25" s="564" t="s">
        <v>139</v>
      </c>
      <c r="H25" s="565">
        <v>43852</v>
      </c>
      <c r="I25" s="564" t="s">
        <v>428</v>
      </c>
      <c r="J25" s="579">
        <v>17820</v>
      </c>
      <c r="K25" s="567" t="s">
        <v>165</v>
      </c>
      <c r="L25" s="568">
        <v>7317</v>
      </c>
      <c r="M25" s="569" t="s">
        <v>203</v>
      </c>
      <c r="N25" s="570">
        <v>0</v>
      </c>
      <c r="O25" s="570">
        <f>L25-N25</f>
        <v>7317</v>
      </c>
      <c r="P25" s="584"/>
      <c r="Q25" s="572" t="str">
        <f>VLOOKUP(G:G,list!B:D,3,FALSE)</f>
        <v>Y</v>
      </c>
    </row>
    <row r="26" spans="2:17" ht="18" customHeight="1">
      <c r="B26" s="563">
        <v>21</v>
      </c>
      <c r="C26" s="564" t="e">
        <f>VLOOKUP(G:G,list!B:D,2,FALSE)</f>
        <v>#N/A</v>
      </c>
      <c r="D26" s="564" t="s">
        <v>78</v>
      </c>
      <c r="E26" s="564" t="s">
        <v>115</v>
      </c>
      <c r="F26" s="564" t="s">
        <v>246</v>
      </c>
      <c r="G26" s="564" t="s">
        <v>202</v>
      </c>
      <c r="H26" s="565">
        <v>44328</v>
      </c>
      <c r="I26" s="564" t="s">
        <v>428</v>
      </c>
      <c r="J26" s="579">
        <v>303480</v>
      </c>
      <c r="K26" s="567" t="s">
        <v>120</v>
      </c>
      <c r="L26" s="568">
        <v>145390</v>
      </c>
      <c r="M26" s="569" t="s">
        <v>203</v>
      </c>
      <c r="N26" s="570">
        <v>0</v>
      </c>
      <c r="O26" s="570">
        <f t="shared" si="0"/>
        <v>145390</v>
      </c>
      <c r="P26" s="576"/>
      <c r="Q26" s="572" t="e">
        <f>VLOOKUP(G:G,list!B:D,3,FALSE)</f>
        <v>#N/A</v>
      </c>
    </row>
    <row r="27" spans="2:17" ht="18" customHeight="1">
      <c r="B27" s="563">
        <v>22</v>
      </c>
      <c r="C27" s="564" t="e">
        <f>VLOOKUP(G:G,list!B:D,2,FALSE)</f>
        <v>#N/A</v>
      </c>
      <c r="D27" s="564" t="s">
        <v>78</v>
      </c>
      <c r="E27" s="564" t="s">
        <v>115</v>
      </c>
      <c r="F27" s="564" t="s">
        <v>197</v>
      </c>
      <c r="G27" s="564" t="s">
        <v>202</v>
      </c>
      <c r="H27" s="565">
        <v>44328</v>
      </c>
      <c r="I27" s="564" t="s">
        <v>428</v>
      </c>
      <c r="J27" s="586">
        <v>4200</v>
      </c>
      <c r="K27" s="567">
        <v>0.7</v>
      </c>
      <c r="L27" s="568">
        <v>2940</v>
      </c>
      <c r="M27" s="569" t="s">
        <v>203</v>
      </c>
      <c r="N27" s="570">
        <v>0</v>
      </c>
      <c r="O27" s="570">
        <f t="shared" si="0"/>
        <v>2940</v>
      </c>
      <c r="P27" s="575"/>
      <c r="Q27" s="572" t="e">
        <f>VLOOKUP(G:G,list!B:D,3,FALSE)</f>
        <v>#N/A</v>
      </c>
    </row>
    <row r="28" spans="2:17" ht="18" customHeight="1">
      <c r="B28" s="563">
        <v>23</v>
      </c>
      <c r="C28" s="564" t="e">
        <f>VLOOKUP(G:G,list!B:D,2,FALSE)</f>
        <v>#N/A</v>
      </c>
      <c r="D28" s="564" t="s">
        <v>78</v>
      </c>
      <c r="E28" s="564" t="s">
        <v>115</v>
      </c>
      <c r="F28" s="564" t="s">
        <v>309</v>
      </c>
      <c r="G28" s="564" t="s">
        <v>256</v>
      </c>
      <c r="H28" s="565">
        <v>44602</v>
      </c>
      <c r="I28" s="564" t="s">
        <v>428</v>
      </c>
      <c r="J28" s="586">
        <v>0</v>
      </c>
      <c r="K28" s="567">
        <v>0.7</v>
      </c>
      <c r="L28" s="568">
        <v>0</v>
      </c>
      <c r="M28" s="569">
        <v>0.1</v>
      </c>
      <c r="N28" s="570">
        <f t="shared" ref="N28:N34" si="2">L28*M28</f>
        <v>0</v>
      </c>
      <c r="O28" s="570">
        <f t="shared" si="0"/>
        <v>0</v>
      </c>
      <c r="P28" s="575" t="s">
        <v>366</v>
      </c>
      <c r="Q28" s="572" t="e">
        <f>VLOOKUP(G:G,list!B:D,3,FALSE)</f>
        <v>#N/A</v>
      </c>
    </row>
    <row r="29" spans="2:17" ht="18" customHeight="1">
      <c r="B29" s="563">
        <v>24</v>
      </c>
      <c r="C29" s="564" t="e">
        <f>VLOOKUP(G:G,list!B:D,2,FALSE)</f>
        <v>#N/A</v>
      </c>
      <c r="D29" s="564" t="s">
        <v>78</v>
      </c>
      <c r="E29" s="564" t="s">
        <v>115</v>
      </c>
      <c r="F29" s="564" t="s">
        <v>309</v>
      </c>
      <c r="G29" s="564" t="s">
        <v>204</v>
      </c>
      <c r="H29" s="565">
        <v>44603</v>
      </c>
      <c r="I29" s="564" t="s">
        <v>428</v>
      </c>
      <c r="J29" s="586">
        <v>0</v>
      </c>
      <c r="K29" s="567">
        <v>0.7</v>
      </c>
      <c r="L29" s="568">
        <v>0</v>
      </c>
      <c r="M29" s="569">
        <v>0.1</v>
      </c>
      <c r="N29" s="573">
        <f t="shared" si="2"/>
        <v>0</v>
      </c>
      <c r="O29" s="570">
        <f t="shared" si="0"/>
        <v>0</v>
      </c>
      <c r="P29" s="575" t="s">
        <v>366</v>
      </c>
      <c r="Q29" s="572" t="e">
        <f>VLOOKUP(G:G,list!B:D,3,FALSE)</f>
        <v>#N/A</v>
      </c>
    </row>
    <row r="30" spans="2:17" ht="18" customHeight="1">
      <c r="B30" s="563">
        <v>25</v>
      </c>
      <c r="C30" s="564" t="e">
        <f>VLOOKUP(G:G,list!B:D,2,FALSE)</f>
        <v>#N/A</v>
      </c>
      <c r="D30" s="564" t="s">
        <v>78</v>
      </c>
      <c r="E30" s="564" t="s">
        <v>115</v>
      </c>
      <c r="F30" s="564" t="s">
        <v>309</v>
      </c>
      <c r="G30" s="564" t="s">
        <v>258</v>
      </c>
      <c r="H30" s="565">
        <v>44603</v>
      </c>
      <c r="I30" s="564" t="s">
        <v>428</v>
      </c>
      <c r="J30" s="586">
        <v>0</v>
      </c>
      <c r="K30" s="567">
        <v>0.7</v>
      </c>
      <c r="L30" s="568">
        <v>0</v>
      </c>
      <c r="M30" s="569">
        <v>0.1</v>
      </c>
      <c r="N30" s="573">
        <f t="shared" si="2"/>
        <v>0</v>
      </c>
      <c r="O30" s="570">
        <f t="shared" si="0"/>
        <v>0</v>
      </c>
      <c r="P30" s="575" t="s">
        <v>366</v>
      </c>
      <c r="Q30" s="572" t="e">
        <f>VLOOKUP(G:G,list!B:D,3,FALSE)</f>
        <v>#N/A</v>
      </c>
    </row>
    <row r="31" spans="2:17" ht="18" customHeight="1">
      <c r="B31" s="563">
        <v>26</v>
      </c>
      <c r="C31" s="564" t="e">
        <f>VLOOKUP(G:G,list!B:D,2,FALSE)</f>
        <v>#N/A</v>
      </c>
      <c r="D31" s="564" t="s">
        <v>78</v>
      </c>
      <c r="E31" s="564" t="s">
        <v>9</v>
      </c>
      <c r="F31" s="564" t="s">
        <v>209</v>
      </c>
      <c r="G31" s="564" t="s">
        <v>152</v>
      </c>
      <c r="H31" s="565">
        <v>44409</v>
      </c>
      <c r="I31" s="564" t="s">
        <v>442</v>
      </c>
      <c r="J31" s="586">
        <v>1134118</v>
      </c>
      <c r="K31" s="567">
        <v>0.6</v>
      </c>
      <c r="L31" s="568">
        <v>680471</v>
      </c>
      <c r="M31" s="569">
        <v>0.12</v>
      </c>
      <c r="N31" s="573">
        <f t="shared" si="2"/>
        <v>81656.52</v>
      </c>
      <c r="O31" s="570">
        <f t="shared" si="0"/>
        <v>598814.48</v>
      </c>
      <c r="P31" s="576"/>
      <c r="Q31" s="572" t="e">
        <f>VLOOKUP(G:G,list!B:D,3,FALSE)</f>
        <v>#N/A</v>
      </c>
    </row>
    <row r="32" spans="2:17" ht="18" customHeight="1">
      <c r="B32" s="563">
        <v>27</v>
      </c>
      <c r="C32" s="564" t="e">
        <f>VLOOKUP(G:G,list!B:D,2,FALSE)</f>
        <v>#N/A</v>
      </c>
      <c r="D32" s="564" t="s">
        <v>78</v>
      </c>
      <c r="E32" s="564" t="s">
        <v>9</v>
      </c>
      <c r="F32" s="564" t="s">
        <v>209</v>
      </c>
      <c r="G32" s="564" t="s">
        <v>179</v>
      </c>
      <c r="H32" s="565">
        <v>44409</v>
      </c>
      <c r="I32" s="564" t="s">
        <v>442</v>
      </c>
      <c r="J32" s="586">
        <v>11413512</v>
      </c>
      <c r="K32" s="567">
        <v>0.6</v>
      </c>
      <c r="L32" s="568">
        <v>6848107</v>
      </c>
      <c r="M32" s="569">
        <v>0.1</v>
      </c>
      <c r="N32" s="573">
        <f t="shared" si="2"/>
        <v>684810.70000000007</v>
      </c>
      <c r="O32" s="570">
        <f t="shared" si="0"/>
        <v>6163296.2999999998</v>
      </c>
      <c r="P32" s="575" t="s">
        <v>440</v>
      </c>
      <c r="Q32" s="572" t="e">
        <f>VLOOKUP(G:G,list!B:D,3,FALSE)</f>
        <v>#N/A</v>
      </c>
    </row>
    <row r="33" spans="2:17" ht="18" customHeight="1">
      <c r="B33" s="563">
        <v>28</v>
      </c>
      <c r="C33" s="564" t="e">
        <f>VLOOKUP(G:G,list!B:D,2,FALSE)</f>
        <v>#N/A</v>
      </c>
      <c r="D33" s="564" t="s">
        <v>78</v>
      </c>
      <c r="E33" s="564" t="s">
        <v>9</v>
      </c>
      <c r="F33" s="564" t="s">
        <v>209</v>
      </c>
      <c r="G33" s="564" t="s">
        <v>74</v>
      </c>
      <c r="H33" s="565">
        <v>44409</v>
      </c>
      <c r="I33" s="564" t="s">
        <v>442</v>
      </c>
      <c r="J33" s="586">
        <v>267434</v>
      </c>
      <c r="K33" s="567">
        <v>0.6</v>
      </c>
      <c r="L33" s="568">
        <v>160461</v>
      </c>
      <c r="M33" s="569">
        <v>0.1</v>
      </c>
      <c r="N33" s="570">
        <f t="shared" si="2"/>
        <v>16046.1</v>
      </c>
      <c r="O33" s="570">
        <f t="shared" si="0"/>
        <v>144414.9</v>
      </c>
      <c r="P33" s="576"/>
      <c r="Q33" s="572" t="e">
        <f>VLOOKUP(G:G,list!B:D,3,FALSE)</f>
        <v>#N/A</v>
      </c>
    </row>
    <row r="34" spans="2:17" ht="18" customHeight="1">
      <c r="B34" s="563">
        <v>29</v>
      </c>
      <c r="C34" s="564" t="e">
        <f>VLOOKUP(G:G,list!B:D,2,FALSE)</f>
        <v>#N/A</v>
      </c>
      <c r="D34" s="564" t="s">
        <v>78</v>
      </c>
      <c r="E34" s="564" t="s">
        <v>9</v>
      </c>
      <c r="F34" s="564" t="s">
        <v>209</v>
      </c>
      <c r="G34" s="564" t="s">
        <v>381</v>
      </c>
      <c r="H34" s="565">
        <v>44409</v>
      </c>
      <c r="I34" s="564" t="s">
        <v>442</v>
      </c>
      <c r="J34" s="586">
        <v>371003</v>
      </c>
      <c r="K34" s="567">
        <v>0.6</v>
      </c>
      <c r="L34" s="568">
        <v>222602</v>
      </c>
      <c r="M34" s="569">
        <v>0.1</v>
      </c>
      <c r="N34" s="573">
        <f t="shared" si="2"/>
        <v>22260.2</v>
      </c>
      <c r="O34" s="570">
        <f t="shared" si="0"/>
        <v>200341.8</v>
      </c>
      <c r="P34" s="575"/>
      <c r="Q34" s="572" t="e">
        <f>VLOOKUP(G:G,list!B:D,3,FALSE)</f>
        <v>#N/A</v>
      </c>
    </row>
    <row r="35" spans="2:17" ht="18" customHeight="1">
      <c r="B35" s="563">
        <v>30</v>
      </c>
      <c r="C35" s="564" t="str">
        <f>VLOOKUP(G:G,list!B:D,2,FALSE)</f>
        <v>원작료</v>
      </c>
      <c r="D35" s="564" t="s">
        <v>78</v>
      </c>
      <c r="E35" s="564" t="s">
        <v>9</v>
      </c>
      <c r="F35" s="564" t="s">
        <v>209</v>
      </c>
      <c r="G35" s="564" t="s">
        <v>151</v>
      </c>
      <c r="H35" s="565">
        <v>44409</v>
      </c>
      <c r="I35" s="564" t="s">
        <v>442</v>
      </c>
      <c r="J35" s="586">
        <v>475883</v>
      </c>
      <c r="K35" s="567">
        <v>0.6</v>
      </c>
      <c r="L35" s="568">
        <v>285530</v>
      </c>
      <c r="M35" s="569">
        <v>0.1</v>
      </c>
      <c r="N35" s="570">
        <f>L35*M35</f>
        <v>28553</v>
      </c>
      <c r="O35" s="570">
        <f>L35-N35</f>
        <v>256977</v>
      </c>
      <c r="P35" s="576"/>
      <c r="Q35" s="572" t="str">
        <f>VLOOKUP(G:G,list!B:D,3,FALSE)</f>
        <v>Y</v>
      </c>
    </row>
    <row r="36" spans="2:17" ht="18" customHeight="1">
      <c r="B36" s="563">
        <v>31</v>
      </c>
      <c r="C36" s="564" t="e">
        <f>VLOOKUP(G:G,list!B:D,2,FALSE)</f>
        <v>#N/A</v>
      </c>
      <c r="D36" s="564" t="s">
        <v>78</v>
      </c>
      <c r="E36" s="564" t="s">
        <v>9</v>
      </c>
      <c r="F36" s="564" t="s">
        <v>209</v>
      </c>
      <c r="G36" s="564" t="s">
        <v>147</v>
      </c>
      <c r="H36" s="565">
        <v>44409</v>
      </c>
      <c r="I36" s="564" t="s">
        <v>442</v>
      </c>
      <c r="J36" s="586">
        <v>1085568</v>
      </c>
      <c r="K36" s="567">
        <v>0.6</v>
      </c>
      <c r="L36" s="568">
        <v>651341</v>
      </c>
      <c r="M36" s="569" t="s">
        <v>203</v>
      </c>
      <c r="N36" s="570">
        <v>0</v>
      </c>
      <c r="O36" s="570">
        <f t="shared" si="0"/>
        <v>651341</v>
      </c>
      <c r="P36" s="575"/>
      <c r="Q36" s="572" t="e">
        <f>VLOOKUP(G:G,list!B:D,3,FALSE)</f>
        <v>#N/A</v>
      </c>
    </row>
    <row r="37" spans="2:17" ht="18" customHeight="1">
      <c r="B37" s="563">
        <v>32</v>
      </c>
      <c r="C37" s="564" t="e">
        <f>VLOOKUP(G:G,list!B:D,2,FALSE)</f>
        <v>#N/A</v>
      </c>
      <c r="D37" s="564" t="s">
        <v>78</v>
      </c>
      <c r="E37" s="564" t="s">
        <v>9</v>
      </c>
      <c r="F37" s="564" t="s">
        <v>209</v>
      </c>
      <c r="G37" s="564" t="s">
        <v>212</v>
      </c>
      <c r="H37" s="565">
        <v>44465</v>
      </c>
      <c r="I37" s="564" t="s">
        <v>442</v>
      </c>
      <c r="J37" s="586">
        <v>3373202</v>
      </c>
      <c r="K37" s="567">
        <v>0.6</v>
      </c>
      <c r="L37" s="568">
        <v>2023921</v>
      </c>
      <c r="M37" s="569">
        <v>0.1</v>
      </c>
      <c r="N37" s="573">
        <f>L37*M37</f>
        <v>202392.1</v>
      </c>
      <c r="O37" s="570">
        <f t="shared" si="0"/>
        <v>1821528.9</v>
      </c>
      <c r="P37" s="576"/>
      <c r="Q37" s="572" t="e">
        <f>VLOOKUP(G:G,list!B:D,3,FALSE)</f>
        <v>#N/A</v>
      </c>
    </row>
    <row r="38" spans="2:17" ht="18" customHeight="1">
      <c r="B38" s="563">
        <v>33</v>
      </c>
      <c r="C38" s="564" t="e">
        <f>VLOOKUP(G:G,list!B:D,2,FALSE)</f>
        <v>#N/A</v>
      </c>
      <c r="D38" s="564" t="s">
        <v>78</v>
      </c>
      <c r="E38" s="564" t="s">
        <v>9</v>
      </c>
      <c r="F38" s="564" t="s">
        <v>209</v>
      </c>
      <c r="G38" s="564" t="s">
        <v>225</v>
      </c>
      <c r="H38" s="565">
        <v>44484</v>
      </c>
      <c r="I38" s="564" t="s">
        <v>442</v>
      </c>
      <c r="J38" s="586">
        <v>169617</v>
      </c>
      <c r="K38" s="567">
        <v>0.6</v>
      </c>
      <c r="L38" s="568">
        <v>101770</v>
      </c>
      <c r="M38" s="569">
        <v>0.1</v>
      </c>
      <c r="N38" s="570">
        <f>L38*M38</f>
        <v>10177</v>
      </c>
      <c r="O38" s="570">
        <f>L38-N38</f>
        <v>91593</v>
      </c>
      <c r="P38" s="576"/>
      <c r="Q38" s="572" t="e">
        <f>VLOOKUP(G:G,list!B:D,3,FALSE)</f>
        <v>#N/A</v>
      </c>
    </row>
    <row r="39" spans="2:17" ht="18" customHeight="1">
      <c r="B39" s="563">
        <v>34</v>
      </c>
      <c r="C39" s="564" t="e">
        <f>VLOOKUP(G:G,list!B:D,2,FALSE)</f>
        <v>#N/A</v>
      </c>
      <c r="D39" s="564" t="s">
        <v>78</v>
      </c>
      <c r="E39" s="564" t="s">
        <v>9</v>
      </c>
      <c r="F39" s="564" t="s">
        <v>209</v>
      </c>
      <c r="G39" s="564" t="s">
        <v>153</v>
      </c>
      <c r="H39" s="565">
        <v>44510</v>
      </c>
      <c r="I39" s="564" t="s">
        <v>442</v>
      </c>
      <c r="J39" s="586">
        <v>639552</v>
      </c>
      <c r="K39" s="567">
        <v>0.6</v>
      </c>
      <c r="L39" s="568">
        <v>383731</v>
      </c>
      <c r="M39" s="569">
        <v>0.1</v>
      </c>
      <c r="N39" s="570">
        <f>L39*M39</f>
        <v>38373.1</v>
      </c>
      <c r="O39" s="570">
        <f t="shared" si="0"/>
        <v>345357.9</v>
      </c>
      <c r="P39" s="576"/>
      <c r="Q39" s="572" t="e">
        <f>VLOOKUP(G:G,list!B:D,3,FALSE)</f>
        <v>#N/A</v>
      </c>
    </row>
    <row r="40" spans="2:17" ht="18" customHeight="1">
      <c r="B40" s="563">
        <v>35</v>
      </c>
      <c r="C40" s="564" t="e">
        <f>VLOOKUP(G:G,list!B:D,2,FALSE)</f>
        <v>#N/A</v>
      </c>
      <c r="D40" s="564" t="s">
        <v>78</v>
      </c>
      <c r="E40" s="564" t="s">
        <v>9</v>
      </c>
      <c r="F40" s="564" t="s">
        <v>209</v>
      </c>
      <c r="G40" s="564" t="s">
        <v>336</v>
      </c>
      <c r="H40" s="565">
        <v>44595</v>
      </c>
      <c r="I40" s="564" t="s">
        <v>442</v>
      </c>
      <c r="J40" s="586">
        <v>2176049</v>
      </c>
      <c r="K40" s="567">
        <v>0.6</v>
      </c>
      <c r="L40" s="568">
        <v>1305630</v>
      </c>
      <c r="M40" s="569">
        <v>0.1</v>
      </c>
      <c r="N40" s="570">
        <f>L40*M40</f>
        <v>130563</v>
      </c>
      <c r="O40" s="570">
        <f t="shared" si="0"/>
        <v>1175067</v>
      </c>
      <c r="P40" s="578"/>
      <c r="Q40" s="572" t="e">
        <f>VLOOKUP(G:G,list!B:D,3,FALSE)</f>
        <v>#N/A</v>
      </c>
    </row>
    <row r="41" spans="2:17" ht="18" customHeight="1">
      <c r="B41" s="563">
        <v>36</v>
      </c>
      <c r="C41" s="564" t="e">
        <f>VLOOKUP(G:G,list!B:D,2,FALSE)</f>
        <v>#N/A</v>
      </c>
      <c r="D41" s="564" t="s">
        <v>78</v>
      </c>
      <c r="E41" s="564" t="s">
        <v>9</v>
      </c>
      <c r="F41" s="564" t="s">
        <v>209</v>
      </c>
      <c r="G41" s="564" t="s">
        <v>335</v>
      </c>
      <c r="H41" s="565">
        <v>44624</v>
      </c>
      <c r="I41" s="564" t="s">
        <v>442</v>
      </c>
      <c r="J41" s="586">
        <v>1794226</v>
      </c>
      <c r="K41" s="567">
        <v>0.60000003881483055</v>
      </c>
      <c r="L41" s="568">
        <v>1076535</v>
      </c>
      <c r="M41" s="569">
        <v>0.1</v>
      </c>
      <c r="N41" s="570">
        <f>L41*M41</f>
        <v>107653.5</v>
      </c>
      <c r="O41" s="570">
        <f t="shared" si="0"/>
        <v>968881.5</v>
      </c>
      <c r="P41" s="578"/>
      <c r="Q41" s="572" t="e">
        <f>VLOOKUP(G:G,list!B:D,3,FALSE)</f>
        <v>#N/A</v>
      </c>
    </row>
    <row r="42" spans="2:17" ht="18" customHeight="1">
      <c r="B42" s="563">
        <v>37</v>
      </c>
      <c r="C42" s="564" t="e">
        <f>VLOOKUP(G:G,list!B:D,2,FALSE)</f>
        <v>#N/A</v>
      </c>
      <c r="D42" s="564" t="s">
        <v>78</v>
      </c>
      <c r="E42" s="564" t="s">
        <v>9</v>
      </c>
      <c r="F42" s="564" t="s">
        <v>209</v>
      </c>
      <c r="G42" s="564" t="s">
        <v>324</v>
      </c>
      <c r="H42" s="565">
        <v>44672</v>
      </c>
      <c r="I42" s="564" t="s">
        <v>442</v>
      </c>
      <c r="J42" s="586">
        <v>242118</v>
      </c>
      <c r="K42" s="567">
        <v>0.6</v>
      </c>
      <c r="L42" s="568">
        <v>145271</v>
      </c>
      <c r="M42" s="569" t="s">
        <v>203</v>
      </c>
      <c r="N42" s="570">
        <v>0</v>
      </c>
      <c r="O42" s="570">
        <f t="shared" si="0"/>
        <v>145271</v>
      </c>
      <c r="P42" s="575"/>
      <c r="Q42" s="572" t="e">
        <f>VLOOKUP(G:G,list!B:D,3,FALSE)</f>
        <v>#N/A</v>
      </c>
    </row>
    <row r="43" spans="2:17" ht="18" customHeight="1">
      <c r="B43" s="563">
        <v>38</v>
      </c>
      <c r="C43" s="564" t="e">
        <f>VLOOKUP(G:G,list!B:D,2,FALSE)</f>
        <v>#N/A</v>
      </c>
      <c r="D43" s="564" t="s">
        <v>78</v>
      </c>
      <c r="E43" s="564" t="s">
        <v>9</v>
      </c>
      <c r="F43" s="564" t="s">
        <v>209</v>
      </c>
      <c r="G43" s="564" t="s">
        <v>412</v>
      </c>
      <c r="H43" s="565">
        <v>44747</v>
      </c>
      <c r="I43" s="564" t="s">
        <v>442</v>
      </c>
      <c r="J43" s="586">
        <v>2510654</v>
      </c>
      <c r="K43" s="567">
        <v>0.6</v>
      </c>
      <c r="L43" s="568">
        <v>1506391</v>
      </c>
      <c r="M43" s="569">
        <v>0.1</v>
      </c>
      <c r="N43" s="573">
        <f>L43*M43</f>
        <v>150639.1</v>
      </c>
      <c r="O43" s="570">
        <f t="shared" si="0"/>
        <v>1355751.9</v>
      </c>
      <c r="P43" s="578"/>
      <c r="Q43" s="572" t="e">
        <f>VLOOKUP(G:G,list!B:D,3,FALSE)</f>
        <v>#N/A</v>
      </c>
    </row>
    <row r="44" spans="2:17" s="608" customFormat="1" ht="18" customHeight="1">
      <c r="B44" s="607">
        <v>39</v>
      </c>
      <c r="C44" s="587" t="e">
        <f>VLOOKUP(G:G,list!B:D,2,FALSE)</f>
        <v>#N/A</v>
      </c>
      <c r="D44" s="587" t="s">
        <v>78</v>
      </c>
      <c r="E44" s="587" t="s">
        <v>9</v>
      </c>
      <c r="F44" s="587" t="s">
        <v>209</v>
      </c>
      <c r="G44" s="587" t="s">
        <v>413</v>
      </c>
      <c r="H44" s="588">
        <v>44755</v>
      </c>
      <c r="I44" s="587" t="s">
        <v>442</v>
      </c>
      <c r="J44" s="589">
        <v>11696391</v>
      </c>
      <c r="K44" s="590">
        <v>0.6</v>
      </c>
      <c r="L44" s="591">
        <v>7017835</v>
      </c>
      <c r="M44" s="592">
        <v>0.1</v>
      </c>
      <c r="N44" s="593">
        <f>L44*M44</f>
        <v>701783.5</v>
      </c>
      <c r="O44" s="593">
        <f t="shared" si="0"/>
        <v>6316051.5</v>
      </c>
      <c r="P44" s="594" t="s">
        <v>494</v>
      </c>
      <c r="Q44" s="595" t="e">
        <f>VLOOKUP(G:G,list!B:D,3,FALSE)</f>
        <v>#N/A</v>
      </c>
    </row>
    <row r="45" spans="2:17" ht="18" customHeight="1">
      <c r="B45" s="563">
        <v>40</v>
      </c>
      <c r="C45" s="564" t="e">
        <f>VLOOKUP(G:G,list!B:D,2,FALSE)</f>
        <v>#N/A</v>
      </c>
      <c r="D45" s="564" t="s">
        <v>78</v>
      </c>
      <c r="E45" s="564" t="s">
        <v>9</v>
      </c>
      <c r="F45" s="564" t="s">
        <v>209</v>
      </c>
      <c r="G45" s="564" t="s">
        <v>414</v>
      </c>
      <c r="H45" s="565">
        <v>44762</v>
      </c>
      <c r="I45" s="564" t="s">
        <v>442</v>
      </c>
      <c r="J45" s="586">
        <v>1102027</v>
      </c>
      <c r="K45" s="567">
        <v>0.6</v>
      </c>
      <c r="L45" s="568">
        <v>661217</v>
      </c>
      <c r="M45" s="569">
        <v>0.12</v>
      </c>
      <c r="N45" s="573">
        <f>L45*M45</f>
        <v>79346.039999999994</v>
      </c>
      <c r="O45" s="570">
        <f>L45-N45</f>
        <v>581870.96</v>
      </c>
      <c r="P45" s="578"/>
      <c r="Q45" s="572" t="e">
        <f>VLOOKUP(G:G,list!B:D,3,FALSE)</f>
        <v>#N/A</v>
      </c>
    </row>
    <row r="46" spans="2:17" s="608" customFormat="1" ht="18" customHeight="1">
      <c r="B46" s="607">
        <v>41</v>
      </c>
      <c r="C46" s="587" t="e">
        <f>VLOOKUP(G:G,list!B:D,2,FALSE)</f>
        <v>#N/A</v>
      </c>
      <c r="D46" s="587" t="s">
        <v>78</v>
      </c>
      <c r="E46" s="587" t="s">
        <v>9</v>
      </c>
      <c r="F46" s="587" t="s">
        <v>209</v>
      </c>
      <c r="G46" s="587" t="s">
        <v>446</v>
      </c>
      <c r="H46" s="588">
        <v>44800</v>
      </c>
      <c r="I46" s="587" t="s">
        <v>428</v>
      </c>
      <c r="J46" s="589">
        <v>188727</v>
      </c>
      <c r="K46" s="590">
        <v>0.6</v>
      </c>
      <c r="L46" s="591">
        <v>113237</v>
      </c>
      <c r="M46" s="592">
        <v>0.1</v>
      </c>
      <c r="N46" s="598">
        <f>L46*M46</f>
        <v>11323.7</v>
      </c>
      <c r="O46" s="593">
        <f>L46-N46</f>
        <v>101913.3</v>
      </c>
      <c r="P46" s="594" t="s">
        <v>495</v>
      </c>
      <c r="Q46" s="595" t="e">
        <f>VLOOKUP(G:G,list!B:D,3,FALSE)</f>
        <v>#N/A</v>
      </c>
    </row>
    <row r="47" spans="2:17" ht="18" customHeight="1">
      <c r="B47" s="563">
        <v>42</v>
      </c>
      <c r="C47" s="564" t="e">
        <f>VLOOKUP(G:G,list!B:D,2,FALSE)</f>
        <v>#N/A</v>
      </c>
      <c r="D47" s="564" t="s">
        <v>78</v>
      </c>
      <c r="E47" s="564" t="s">
        <v>9</v>
      </c>
      <c r="F47" s="564" t="s">
        <v>126</v>
      </c>
      <c r="G47" s="564" t="s">
        <v>152</v>
      </c>
      <c r="H47" s="565">
        <v>43994</v>
      </c>
      <c r="I47" s="564" t="s">
        <v>428</v>
      </c>
      <c r="J47" s="586">
        <v>10224217.800000001</v>
      </c>
      <c r="K47" s="567" t="s">
        <v>207</v>
      </c>
      <c r="L47" s="568">
        <v>6134531</v>
      </c>
      <c r="M47" s="569">
        <v>0.12</v>
      </c>
      <c r="N47" s="573">
        <f>(L47-4000000)*M47</f>
        <v>256143.72</v>
      </c>
      <c r="O47" s="570">
        <f t="shared" ref="O47:O114" si="3">L47-N47</f>
        <v>5878387.2800000003</v>
      </c>
      <c r="P47" s="576" t="s">
        <v>343</v>
      </c>
      <c r="Q47" s="572" t="e">
        <f>VLOOKUP(G:G,list!B:D,3,FALSE)</f>
        <v>#N/A</v>
      </c>
    </row>
    <row r="48" spans="2:17" ht="18" customHeight="1">
      <c r="B48" s="563">
        <v>43</v>
      </c>
      <c r="C48" s="564" t="e">
        <f>VLOOKUP(G:G,list!B:D,2,FALSE)</f>
        <v>#N/A</v>
      </c>
      <c r="D48" s="564" t="s">
        <v>78</v>
      </c>
      <c r="E48" s="564" t="s">
        <v>9</v>
      </c>
      <c r="F48" s="564" t="s">
        <v>126</v>
      </c>
      <c r="G48" s="564" t="s">
        <v>153</v>
      </c>
      <c r="H48" s="565">
        <v>44040</v>
      </c>
      <c r="I48" s="564" t="s">
        <v>428</v>
      </c>
      <c r="J48" s="586">
        <v>765682.2</v>
      </c>
      <c r="K48" s="567" t="s">
        <v>207</v>
      </c>
      <c r="L48" s="568">
        <v>459409</v>
      </c>
      <c r="M48" s="569">
        <v>0.1</v>
      </c>
      <c r="N48" s="570">
        <f>L48*M48</f>
        <v>45940.9</v>
      </c>
      <c r="O48" s="570">
        <f t="shared" si="3"/>
        <v>413468.1</v>
      </c>
      <c r="P48" s="575"/>
      <c r="Q48" s="572" t="e">
        <f>VLOOKUP(G:G,list!B:D,3,FALSE)</f>
        <v>#N/A</v>
      </c>
    </row>
    <row r="49" spans="2:17" ht="18" customHeight="1">
      <c r="B49" s="563">
        <v>44</v>
      </c>
      <c r="C49" s="564" t="e">
        <f>VLOOKUP(G:G,list!B:D,2,FALSE)</f>
        <v>#N/A</v>
      </c>
      <c r="D49" s="564" t="s">
        <v>78</v>
      </c>
      <c r="E49" s="564" t="s">
        <v>9</v>
      </c>
      <c r="F49" s="564" t="s">
        <v>126</v>
      </c>
      <c r="G49" s="564" t="s">
        <v>179</v>
      </c>
      <c r="H49" s="565">
        <v>44074</v>
      </c>
      <c r="I49" s="564" t="s">
        <v>428</v>
      </c>
      <c r="J49" s="586">
        <v>38093522.299999997</v>
      </c>
      <c r="K49" s="567" t="s">
        <v>207</v>
      </c>
      <c r="L49" s="568">
        <v>22856110</v>
      </c>
      <c r="M49" s="569">
        <v>0.1</v>
      </c>
      <c r="N49" s="573">
        <f>L49*M49</f>
        <v>2285611</v>
      </c>
      <c r="O49" s="570">
        <f t="shared" si="3"/>
        <v>20570499</v>
      </c>
      <c r="P49" s="575" t="s">
        <v>440</v>
      </c>
      <c r="Q49" s="572" t="e">
        <f>VLOOKUP(G:G,list!B:D,3,FALSE)</f>
        <v>#N/A</v>
      </c>
    </row>
    <row r="50" spans="2:17" ht="18" customHeight="1">
      <c r="B50" s="563">
        <v>45</v>
      </c>
      <c r="C50" s="564" t="e">
        <f>VLOOKUP(G:G,list!B:D,2,FALSE)</f>
        <v>#N/A</v>
      </c>
      <c r="D50" s="564" t="s">
        <v>78</v>
      </c>
      <c r="E50" s="564" t="s">
        <v>9</v>
      </c>
      <c r="F50" s="564" t="s">
        <v>126</v>
      </c>
      <c r="G50" s="564" t="s">
        <v>74</v>
      </c>
      <c r="H50" s="565">
        <v>44098</v>
      </c>
      <c r="I50" s="564" t="s">
        <v>428</v>
      </c>
      <c r="J50" s="586">
        <v>1110727.3999999999</v>
      </c>
      <c r="K50" s="567" t="s">
        <v>207</v>
      </c>
      <c r="L50" s="568">
        <v>666438</v>
      </c>
      <c r="M50" s="569">
        <v>0.1</v>
      </c>
      <c r="N50" s="570">
        <f>L50*M50</f>
        <v>66643.8</v>
      </c>
      <c r="O50" s="570">
        <f t="shared" si="3"/>
        <v>599794.19999999995</v>
      </c>
      <c r="P50" s="576"/>
      <c r="Q50" s="572" t="e">
        <f>VLOOKUP(G:G,list!B:D,3,FALSE)</f>
        <v>#N/A</v>
      </c>
    </row>
    <row r="51" spans="2:17" ht="18" customHeight="1">
      <c r="B51" s="563">
        <v>46</v>
      </c>
      <c r="C51" s="564" t="str">
        <f>VLOOKUP(G:G,list!B:D,2,FALSE)</f>
        <v>원작료</v>
      </c>
      <c r="D51" s="564" t="s">
        <v>78</v>
      </c>
      <c r="E51" s="564" t="s">
        <v>9</v>
      </c>
      <c r="F51" s="564" t="s">
        <v>126</v>
      </c>
      <c r="G51" s="564" t="s">
        <v>151</v>
      </c>
      <c r="H51" s="565">
        <v>44199</v>
      </c>
      <c r="I51" s="564" t="s">
        <v>428</v>
      </c>
      <c r="J51" s="586">
        <v>1070619.2</v>
      </c>
      <c r="K51" s="567" t="s">
        <v>207</v>
      </c>
      <c r="L51" s="568">
        <v>642372</v>
      </c>
      <c r="M51" s="569">
        <v>0.1</v>
      </c>
      <c r="N51" s="570">
        <f>L51*10%</f>
        <v>64237.200000000004</v>
      </c>
      <c r="O51" s="570">
        <f>L51-N51</f>
        <v>578134.80000000005</v>
      </c>
      <c r="P51" s="576" t="s">
        <v>472</v>
      </c>
      <c r="Q51" s="572" t="str">
        <f>VLOOKUP(G:G,list!B:D,3,FALSE)</f>
        <v>Y</v>
      </c>
    </row>
    <row r="52" spans="2:17" ht="18" customHeight="1">
      <c r="B52" s="563">
        <v>47</v>
      </c>
      <c r="C52" s="564" t="e">
        <f>VLOOKUP(G:G,list!B:D,2,FALSE)</f>
        <v>#N/A</v>
      </c>
      <c r="D52" s="564" t="s">
        <v>78</v>
      </c>
      <c r="E52" s="564" t="s">
        <v>9</v>
      </c>
      <c r="F52" s="564" t="s">
        <v>126</v>
      </c>
      <c r="G52" s="564" t="s">
        <v>147</v>
      </c>
      <c r="H52" s="565">
        <v>44224</v>
      </c>
      <c r="I52" s="564" t="s">
        <v>428</v>
      </c>
      <c r="J52" s="586">
        <v>2088499</v>
      </c>
      <c r="K52" s="567" t="s">
        <v>369</v>
      </c>
      <c r="L52" s="568">
        <v>1253099</v>
      </c>
      <c r="M52" s="569" t="s">
        <v>203</v>
      </c>
      <c r="N52" s="573">
        <v>0</v>
      </c>
      <c r="O52" s="570">
        <f t="shared" si="3"/>
        <v>1253099</v>
      </c>
      <c r="P52" s="576"/>
      <c r="Q52" s="572" t="e">
        <f>VLOOKUP(G:G,list!B:D,3,FALSE)</f>
        <v>#N/A</v>
      </c>
    </row>
    <row r="53" spans="2:17" ht="18" customHeight="1">
      <c r="B53" s="563">
        <v>48</v>
      </c>
      <c r="C53" s="564" t="e">
        <f>VLOOKUP(G:G,list!B:D,2,FALSE)</f>
        <v>#N/A</v>
      </c>
      <c r="D53" s="564" t="s">
        <v>78</v>
      </c>
      <c r="E53" s="564" t="s">
        <v>9</v>
      </c>
      <c r="F53" s="564" t="s">
        <v>126</v>
      </c>
      <c r="G53" s="564" t="s">
        <v>226</v>
      </c>
      <c r="H53" s="565">
        <v>44320</v>
      </c>
      <c r="I53" s="564" t="s">
        <v>428</v>
      </c>
      <c r="J53" s="586">
        <v>292132.59999999998</v>
      </c>
      <c r="K53" s="567" t="s">
        <v>207</v>
      </c>
      <c r="L53" s="568">
        <v>175279</v>
      </c>
      <c r="M53" s="569">
        <v>0.1</v>
      </c>
      <c r="N53" s="570">
        <f>L53*M53</f>
        <v>17527.900000000001</v>
      </c>
      <c r="O53" s="570">
        <f>L53-N53</f>
        <v>157751.1</v>
      </c>
      <c r="P53" s="576"/>
      <c r="Q53" s="572" t="e">
        <f>VLOOKUP(G:G,list!B:D,3,FALSE)</f>
        <v>#N/A</v>
      </c>
    </row>
    <row r="54" spans="2:17" ht="18" customHeight="1">
      <c r="B54" s="563">
        <v>49</v>
      </c>
      <c r="C54" s="564" t="e">
        <f>VLOOKUP(G:G,list!B:D,2,FALSE)</f>
        <v>#N/A</v>
      </c>
      <c r="D54" s="564" t="s">
        <v>78</v>
      </c>
      <c r="E54" s="564" t="s">
        <v>9</v>
      </c>
      <c r="F54" s="564" t="s">
        <v>126</v>
      </c>
      <c r="G54" s="564" t="s">
        <v>225</v>
      </c>
      <c r="H54" s="565">
        <v>44331</v>
      </c>
      <c r="I54" s="564" t="s">
        <v>428</v>
      </c>
      <c r="J54" s="586">
        <v>237989</v>
      </c>
      <c r="K54" s="567" t="s">
        <v>207</v>
      </c>
      <c r="L54" s="568">
        <v>142795</v>
      </c>
      <c r="M54" s="569">
        <v>0.1</v>
      </c>
      <c r="N54" s="570">
        <f>L54*M54</f>
        <v>14279.5</v>
      </c>
      <c r="O54" s="570">
        <f>L54-N54</f>
        <v>128515.5</v>
      </c>
      <c r="P54" s="576"/>
      <c r="Q54" s="572" t="e">
        <f>VLOOKUP(G:G,list!B:D,3,FALSE)</f>
        <v>#N/A</v>
      </c>
    </row>
    <row r="55" spans="2:17" ht="17.25" customHeight="1">
      <c r="B55" s="563">
        <v>50</v>
      </c>
      <c r="C55" s="564" t="e">
        <f>VLOOKUP(G:G,list!B:D,2,FALSE)</f>
        <v>#N/A</v>
      </c>
      <c r="D55" s="564" t="s">
        <v>78</v>
      </c>
      <c r="E55" s="564" t="s">
        <v>9</v>
      </c>
      <c r="F55" s="564" t="s">
        <v>126</v>
      </c>
      <c r="G55" s="564" t="s">
        <v>191</v>
      </c>
      <c r="H55" s="565">
        <v>44372</v>
      </c>
      <c r="I55" s="564" t="s">
        <v>428</v>
      </c>
      <c r="J55" s="586">
        <v>6854622.2999999998</v>
      </c>
      <c r="K55" s="567" t="s">
        <v>207</v>
      </c>
      <c r="L55" s="568">
        <v>4112775</v>
      </c>
      <c r="M55" s="569">
        <v>0.1</v>
      </c>
      <c r="N55" s="573">
        <f>L55*M55</f>
        <v>411277.5</v>
      </c>
      <c r="O55" s="570">
        <f t="shared" si="3"/>
        <v>3701497.5</v>
      </c>
      <c r="P55" s="576"/>
      <c r="Q55" s="572" t="e">
        <f>VLOOKUP(G:G,list!B:D,3,FALSE)</f>
        <v>#N/A</v>
      </c>
    </row>
    <row r="56" spans="2:17" ht="18" customHeight="1">
      <c r="B56" s="563">
        <v>51</v>
      </c>
      <c r="C56" s="564" t="e">
        <f>VLOOKUP(G:G,list!B:D,2,FALSE)</f>
        <v>#N/A</v>
      </c>
      <c r="D56" s="564" t="s">
        <v>78</v>
      </c>
      <c r="E56" s="564" t="s">
        <v>9</v>
      </c>
      <c r="F56" s="564" t="s">
        <v>126</v>
      </c>
      <c r="G56" s="564" t="s">
        <v>336</v>
      </c>
      <c r="H56" s="565">
        <v>44392</v>
      </c>
      <c r="I56" s="564" t="s">
        <v>428</v>
      </c>
      <c r="J56" s="586">
        <v>10835803.1</v>
      </c>
      <c r="K56" s="567" t="s">
        <v>207</v>
      </c>
      <c r="L56" s="568">
        <v>6501482</v>
      </c>
      <c r="M56" s="569">
        <v>0.1</v>
      </c>
      <c r="N56" s="570">
        <f>L56*M56</f>
        <v>650148.20000000007</v>
      </c>
      <c r="O56" s="570">
        <f t="shared" si="3"/>
        <v>5851333.7999999998</v>
      </c>
      <c r="P56" s="576"/>
      <c r="Q56" s="572" t="e">
        <f>VLOOKUP(G:G,list!B:D,3,FALSE)</f>
        <v>#N/A</v>
      </c>
    </row>
    <row r="57" spans="2:17" ht="18" customHeight="1">
      <c r="B57" s="563">
        <v>52</v>
      </c>
      <c r="C57" s="564" t="e">
        <f>VLOOKUP(G:G,list!B:D,2,FALSE)</f>
        <v>#N/A</v>
      </c>
      <c r="D57" s="564" t="s">
        <v>78</v>
      </c>
      <c r="E57" s="564" t="s">
        <v>9</v>
      </c>
      <c r="F57" s="564" t="s">
        <v>126</v>
      </c>
      <c r="G57" s="564" t="s">
        <v>335</v>
      </c>
      <c r="H57" s="565">
        <v>44457</v>
      </c>
      <c r="I57" s="564" t="s">
        <v>428</v>
      </c>
      <c r="J57" s="586">
        <v>5495049.0999999996</v>
      </c>
      <c r="K57" s="567" t="s">
        <v>207</v>
      </c>
      <c r="L57" s="568">
        <v>3297030</v>
      </c>
      <c r="M57" s="569">
        <v>0.1</v>
      </c>
      <c r="N57" s="570">
        <f>L57*M57</f>
        <v>329703</v>
      </c>
      <c r="O57" s="570">
        <f t="shared" si="3"/>
        <v>2967327</v>
      </c>
      <c r="P57" s="576"/>
      <c r="Q57" s="572" t="e">
        <f>VLOOKUP(G:G,list!B:D,3,FALSE)</f>
        <v>#N/A</v>
      </c>
    </row>
    <row r="58" spans="2:17" ht="18" customHeight="1">
      <c r="B58" s="563">
        <v>53</v>
      </c>
      <c r="C58" s="564" t="e">
        <f>VLOOKUP(G:G,list!B:D,2,FALSE)</f>
        <v>#N/A</v>
      </c>
      <c r="D58" s="564" t="s">
        <v>78</v>
      </c>
      <c r="E58" s="564" t="s">
        <v>9</v>
      </c>
      <c r="F58" s="564" t="s">
        <v>126</v>
      </c>
      <c r="G58" s="564" t="s">
        <v>324</v>
      </c>
      <c r="H58" s="565">
        <v>44469</v>
      </c>
      <c r="I58" s="564" t="s">
        <v>428</v>
      </c>
      <c r="J58" s="586">
        <v>836591.3</v>
      </c>
      <c r="K58" s="567" t="s">
        <v>207</v>
      </c>
      <c r="L58" s="568">
        <v>501955</v>
      </c>
      <c r="M58" s="569" t="s">
        <v>203</v>
      </c>
      <c r="N58" s="573">
        <v>0</v>
      </c>
      <c r="O58" s="570">
        <f t="shared" si="3"/>
        <v>501955</v>
      </c>
      <c r="P58" s="576"/>
      <c r="Q58" s="572" t="e">
        <f>VLOOKUP(G:G,list!B:D,3,FALSE)</f>
        <v>#N/A</v>
      </c>
    </row>
    <row r="59" spans="2:17" ht="18" customHeight="1">
      <c r="B59" s="563">
        <v>54</v>
      </c>
      <c r="C59" s="564" t="str">
        <f>VLOOKUP(G:G,list!B:D,2,FALSE)</f>
        <v>작가기획</v>
      </c>
      <c r="D59" s="564" t="s">
        <v>78</v>
      </c>
      <c r="E59" s="564" t="s">
        <v>9</v>
      </c>
      <c r="F59" s="564" t="s">
        <v>126</v>
      </c>
      <c r="G59" s="564" t="s">
        <v>275</v>
      </c>
      <c r="H59" s="565">
        <v>44607</v>
      </c>
      <c r="I59" s="564" t="s">
        <v>428</v>
      </c>
      <c r="J59" s="586">
        <v>714585.59999999998</v>
      </c>
      <c r="K59" s="567" t="s">
        <v>207</v>
      </c>
      <c r="L59" s="568">
        <v>428751</v>
      </c>
      <c r="M59" s="569" t="s">
        <v>203</v>
      </c>
      <c r="N59" s="573">
        <v>0</v>
      </c>
      <c r="O59" s="570">
        <f>L59-N59</f>
        <v>428751</v>
      </c>
      <c r="P59" s="575"/>
      <c r="Q59" s="572" t="str">
        <f>VLOOKUP(G:G,list!B:D,3,FALSE)</f>
        <v>Y</v>
      </c>
    </row>
    <row r="60" spans="2:17" ht="18" customHeight="1">
      <c r="B60" s="563">
        <v>55</v>
      </c>
      <c r="C60" s="564" t="str">
        <f>VLOOKUP(G:G,list!B:D,2,FALSE)</f>
        <v>원작료</v>
      </c>
      <c r="D60" s="564" t="s">
        <v>78</v>
      </c>
      <c r="E60" s="564" t="s">
        <v>9</v>
      </c>
      <c r="F60" s="564" t="s">
        <v>126</v>
      </c>
      <c r="G60" s="564" t="s">
        <v>278</v>
      </c>
      <c r="H60" s="565">
        <v>44639</v>
      </c>
      <c r="I60" s="564" t="s">
        <v>428</v>
      </c>
      <c r="J60" s="586">
        <v>8916204.5999999996</v>
      </c>
      <c r="K60" s="567" t="s">
        <v>207</v>
      </c>
      <c r="L60" s="568">
        <v>5349724</v>
      </c>
      <c r="M60" s="569">
        <v>0.1</v>
      </c>
      <c r="N60" s="573">
        <f t="shared" ref="N60:N70" si="4">L60*M60</f>
        <v>534972.4</v>
      </c>
      <c r="O60" s="570">
        <f t="shared" si="3"/>
        <v>4814751.5999999996</v>
      </c>
      <c r="P60" s="575"/>
      <c r="Q60" s="572" t="str">
        <f>VLOOKUP(G:G,list!B:D,3,FALSE)</f>
        <v>Y</v>
      </c>
    </row>
    <row r="61" spans="2:17" ht="18" customHeight="1">
      <c r="B61" s="563">
        <v>56</v>
      </c>
      <c r="C61" s="564" t="e">
        <f>VLOOKUP(G:G,list!B:D,2,FALSE)</f>
        <v>#N/A</v>
      </c>
      <c r="D61" s="564" t="s">
        <v>78</v>
      </c>
      <c r="E61" s="564" t="s">
        <v>9</v>
      </c>
      <c r="F61" s="564" t="s">
        <v>126</v>
      </c>
      <c r="G61" s="564" t="s">
        <v>321</v>
      </c>
      <c r="H61" s="565">
        <v>44669</v>
      </c>
      <c r="I61" s="564" t="s">
        <v>428</v>
      </c>
      <c r="J61" s="586">
        <v>11664678.300000001</v>
      </c>
      <c r="K61" s="567" t="s">
        <v>207</v>
      </c>
      <c r="L61" s="568">
        <v>6998807</v>
      </c>
      <c r="M61" s="569">
        <v>0.1</v>
      </c>
      <c r="N61" s="573">
        <f t="shared" si="4"/>
        <v>699880.70000000007</v>
      </c>
      <c r="O61" s="570">
        <f t="shared" si="3"/>
        <v>6298926.2999999998</v>
      </c>
      <c r="P61" s="575"/>
      <c r="Q61" s="572" t="e">
        <f>VLOOKUP(G:G,list!B:D,3,FALSE)</f>
        <v>#N/A</v>
      </c>
    </row>
    <row r="62" spans="2:17" ht="18" customHeight="1">
      <c r="B62" s="563">
        <v>57</v>
      </c>
      <c r="C62" s="564" t="e">
        <f>VLOOKUP(G:G,list!B:D,2,FALSE)</f>
        <v>#N/A</v>
      </c>
      <c r="D62" s="564" t="s">
        <v>78</v>
      </c>
      <c r="E62" s="564" t="s">
        <v>9</v>
      </c>
      <c r="F62" s="564" t="s">
        <v>126</v>
      </c>
      <c r="G62" s="564" t="s">
        <v>322</v>
      </c>
      <c r="H62" s="565">
        <v>44675</v>
      </c>
      <c r="I62" s="564" t="s">
        <v>428</v>
      </c>
      <c r="J62" s="586">
        <v>3434164.2</v>
      </c>
      <c r="K62" s="567" t="s">
        <v>207</v>
      </c>
      <c r="L62" s="568">
        <v>2060500</v>
      </c>
      <c r="M62" s="569">
        <v>0.12</v>
      </c>
      <c r="N62" s="573">
        <f>L62*M62</f>
        <v>247260</v>
      </c>
      <c r="O62" s="570">
        <f>L62-N62</f>
        <v>1813240</v>
      </c>
      <c r="P62" s="575"/>
      <c r="Q62" s="572" t="e">
        <f>VLOOKUP(G:G,list!B:D,3,FALSE)</f>
        <v>#N/A</v>
      </c>
    </row>
    <row r="63" spans="2:17" ht="18" customHeight="1">
      <c r="B63" s="563">
        <v>58</v>
      </c>
      <c r="C63" s="564" t="str">
        <f>VLOOKUP(G:G,list!B:D,2,FALSE)</f>
        <v>원작료</v>
      </c>
      <c r="D63" s="564" t="s">
        <v>78</v>
      </c>
      <c r="E63" s="564" t="s">
        <v>9</v>
      </c>
      <c r="F63" s="564" t="s">
        <v>126</v>
      </c>
      <c r="G63" s="564" t="s">
        <v>364</v>
      </c>
      <c r="H63" s="565">
        <v>44691</v>
      </c>
      <c r="I63" s="564" t="s">
        <v>428</v>
      </c>
      <c r="J63" s="586">
        <v>2226683.2000000002</v>
      </c>
      <c r="K63" s="567" t="s">
        <v>207</v>
      </c>
      <c r="L63" s="568">
        <v>1336010</v>
      </c>
      <c r="M63" s="569">
        <v>0.1</v>
      </c>
      <c r="N63" s="573">
        <f t="shared" si="4"/>
        <v>133601</v>
      </c>
      <c r="O63" s="570">
        <f t="shared" si="3"/>
        <v>1202409</v>
      </c>
      <c r="P63" s="575"/>
      <c r="Q63" s="572" t="str">
        <f>VLOOKUP(G:G,list!B:D,3,FALSE)</f>
        <v>Y</v>
      </c>
    </row>
    <row r="64" spans="2:17" ht="18" customHeight="1">
      <c r="B64" s="563">
        <v>59</v>
      </c>
      <c r="C64" s="564" t="str">
        <f>VLOOKUP(G:G,list!B:D,2,FALSE)</f>
        <v>원작료</v>
      </c>
      <c r="D64" s="564" t="s">
        <v>78</v>
      </c>
      <c r="E64" s="564" t="s">
        <v>9</v>
      </c>
      <c r="F64" s="564" t="s">
        <v>126</v>
      </c>
      <c r="G64" s="564" t="s">
        <v>363</v>
      </c>
      <c r="H64" s="565">
        <v>44709</v>
      </c>
      <c r="I64" s="564" t="s">
        <v>428</v>
      </c>
      <c r="J64" s="586">
        <v>5489810.9000000004</v>
      </c>
      <c r="K64" s="567" t="s">
        <v>207</v>
      </c>
      <c r="L64" s="568">
        <v>3293888</v>
      </c>
      <c r="M64" s="569">
        <v>0.11</v>
      </c>
      <c r="N64" s="570">
        <f>L64*M64</f>
        <v>362327.68</v>
      </c>
      <c r="O64" s="570">
        <f>L64-N64</f>
        <v>2931560.32</v>
      </c>
      <c r="P64" s="575"/>
      <c r="Q64" s="572" t="str">
        <f>VLOOKUP(G:G,list!B:D,3,FALSE)</f>
        <v>N</v>
      </c>
    </row>
    <row r="65" spans="2:17" ht="18" customHeight="1">
      <c r="B65" s="563">
        <v>60</v>
      </c>
      <c r="C65" s="564" t="e">
        <f>VLOOKUP(G:G,list!B:D,2,FALSE)</f>
        <v>#N/A</v>
      </c>
      <c r="D65" s="564" t="s">
        <v>78</v>
      </c>
      <c r="E65" s="564" t="s">
        <v>9</v>
      </c>
      <c r="F65" s="564" t="s">
        <v>126</v>
      </c>
      <c r="G65" s="564" t="s">
        <v>374</v>
      </c>
      <c r="H65" s="565">
        <v>44737</v>
      </c>
      <c r="I65" s="564" t="s">
        <v>428</v>
      </c>
      <c r="J65" s="586">
        <v>40587084.700000003</v>
      </c>
      <c r="K65" s="567" t="s">
        <v>207</v>
      </c>
      <c r="L65" s="568">
        <v>24352252</v>
      </c>
      <c r="M65" s="569">
        <v>0.1</v>
      </c>
      <c r="N65" s="570">
        <f t="shared" si="4"/>
        <v>2435225.2000000002</v>
      </c>
      <c r="O65" s="570">
        <f t="shared" si="3"/>
        <v>21917026.800000001</v>
      </c>
      <c r="P65" s="575"/>
      <c r="Q65" s="572" t="e">
        <f>VLOOKUP(G:G,list!B:D,3,FALSE)</f>
        <v>#N/A</v>
      </c>
    </row>
    <row r="66" spans="2:17" ht="18" customHeight="1">
      <c r="B66" s="563">
        <v>61</v>
      </c>
      <c r="C66" s="564" t="e">
        <f>VLOOKUP(G:G,list!B:D,2,FALSE)</f>
        <v>#N/A</v>
      </c>
      <c r="D66" s="564" t="s">
        <v>78</v>
      </c>
      <c r="E66" s="564" t="s">
        <v>9</v>
      </c>
      <c r="F66" s="564" t="s">
        <v>126</v>
      </c>
      <c r="G66" s="564" t="s">
        <v>375</v>
      </c>
      <c r="H66" s="565">
        <v>44741</v>
      </c>
      <c r="I66" s="564" t="s">
        <v>428</v>
      </c>
      <c r="J66" s="586">
        <v>14857808.1</v>
      </c>
      <c r="K66" s="567" t="s">
        <v>207</v>
      </c>
      <c r="L66" s="568">
        <v>8914684</v>
      </c>
      <c r="M66" s="569">
        <v>0.1</v>
      </c>
      <c r="N66" s="570">
        <f t="shared" si="4"/>
        <v>891468.4</v>
      </c>
      <c r="O66" s="570">
        <f t="shared" si="3"/>
        <v>8023215.5999999996</v>
      </c>
      <c r="P66" s="575"/>
      <c r="Q66" s="572" t="e">
        <f>VLOOKUP(G:G,list!B:D,3,FALSE)</f>
        <v>#N/A</v>
      </c>
    </row>
    <row r="67" spans="2:17" ht="18" customHeight="1">
      <c r="B67" s="563">
        <v>62</v>
      </c>
      <c r="C67" s="564" t="e">
        <f>VLOOKUP(G:G,list!B:D,2,FALSE)</f>
        <v>#N/A</v>
      </c>
      <c r="D67" s="564" t="s">
        <v>78</v>
      </c>
      <c r="E67" s="564" t="s">
        <v>9</v>
      </c>
      <c r="F67" s="564" t="s">
        <v>126</v>
      </c>
      <c r="G67" s="564" t="s">
        <v>407</v>
      </c>
      <c r="H67" s="565">
        <v>44757</v>
      </c>
      <c r="I67" s="564" t="s">
        <v>428</v>
      </c>
      <c r="J67" s="586">
        <v>7756147.9699999997</v>
      </c>
      <c r="K67" s="567" t="s">
        <v>207</v>
      </c>
      <c r="L67" s="568">
        <v>4653688</v>
      </c>
      <c r="M67" s="569">
        <v>0.12</v>
      </c>
      <c r="N67" s="570">
        <f t="shared" si="4"/>
        <v>558442.55999999994</v>
      </c>
      <c r="O67" s="570">
        <f t="shared" si="3"/>
        <v>4095245.44</v>
      </c>
      <c r="P67" s="575"/>
      <c r="Q67" s="572" t="e">
        <f>VLOOKUP(G:G,list!B:D,3,FALSE)</f>
        <v>#N/A</v>
      </c>
    </row>
    <row r="68" spans="2:17" ht="18" customHeight="1">
      <c r="B68" s="563">
        <v>63</v>
      </c>
      <c r="C68" s="564" t="e">
        <f>VLOOKUP(G:G,list!B:D,2,FALSE)</f>
        <v>#N/A</v>
      </c>
      <c r="D68" s="564" t="s">
        <v>78</v>
      </c>
      <c r="E68" s="564" t="s">
        <v>9</v>
      </c>
      <c r="F68" s="564" t="s">
        <v>126</v>
      </c>
      <c r="G68" s="564" t="s">
        <v>408</v>
      </c>
      <c r="H68" s="565">
        <v>44768</v>
      </c>
      <c r="I68" s="564" t="s">
        <v>428</v>
      </c>
      <c r="J68" s="586">
        <v>26475990.899999999</v>
      </c>
      <c r="K68" s="567" t="s">
        <v>207</v>
      </c>
      <c r="L68" s="568">
        <v>15885595</v>
      </c>
      <c r="M68" s="569">
        <v>0.1</v>
      </c>
      <c r="N68" s="570">
        <f t="shared" si="4"/>
        <v>1588559.5</v>
      </c>
      <c r="O68" s="570">
        <f t="shared" si="3"/>
        <v>14297035.5</v>
      </c>
      <c r="P68" s="575"/>
      <c r="Q68" s="572" t="e">
        <f>VLOOKUP(G:G,list!B:D,3,FALSE)</f>
        <v>#N/A</v>
      </c>
    </row>
    <row r="69" spans="2:17" s="608" customFormat="1" ht="18" customHeight="1">
      <c r="B69" s="607">
        <v>64</v>
      </c>
      <c r="C69" s="587" t="e">
        <f>VLOOKUP(G:G,list!B:D,2,FALSE)</f>
        <v>#N/A</v>
      </c>
      <c r="D69" s="587" t="s">
        <v>78</v>
      </c>
      <c r="E69" s="587" t="s">
        <v>9</v>
      </c>
      <c r="F69" s="587" t="s">
        <v>126</v>
      </c>
      <c r="G69" s="587" t="s">
        <v>409</v>
      </c>
      <c r="H69" s="588">
        <v>44770</v>
      </c>
      <c r="I69" s="587" t="s">
        <v>442</v>
      </c>
      <c r="J69" s="589">
        <v>23857906.800000001</v>
      </c>
      <c r="K69" s="590" t="s">
        <v>207</v>
      </c>
      <c r="L69" s="591">
        <v>14314741</v>
      </c>
      <c r="M69" s="592">
        <v>0.1</v>
      </c>
      <c r="N69" s="593">
        <f t="shared" si="4"/>
        <v>1431474.1</v>
      </c>
      <c r="O69" s="593">
        <f t="shared" si="3"/>
        <v>12883266.9</v>
      </c>
      <c r="P69" s="596" t="s">
        <v>494</v>
      </c>
      <c r="Q69" s="595" t="e">
        <f>VLOOKUP(G:G,list!B:D,3,FALSE)</f>
        <v>#N/A</v>
      </c>
    </row>
    <row r="70" spans="2:17" s="608" customFormat="1" ht="18" customHeight="1">
      <c r="B70" s="607">
        <v>65</v>
      </c>
      <c r="C70" s="587" t="e">
        <f>VLOOKUP(G:G,list!B:D,2,FALSE)</f>
        <v>#N/A</v>
      </c>
      <c r="D70" s="587" t="s">
        <v>78</v>
      </c>
      <c r="E70" s="587" t="s">
        <v>9</v>
      </c>
      <c r="F70" s="587" t="s">
        <v>126</v>
      </c>
      <c r="G70" s="587" t="s">
        <v>410</v>
      </c>
      <c r="H70" s="588">
        <v>44774</v>
      </c>
      <c r="I70" s="587" t="s">
        <v>442</v>
      </c>
      <c r="J70" s="589">
        <v>95868643.200000003</v>
      </c>
      <c r="K70" s="590" t="s">
        <v>207</v>
      </c>
      <c r="L70" s="591">
        <v>57521188</v>
      </c>
      <c r="M70" s="592">
        <v>0.1</v>
      </c>
      <c r="N70" s="593">
        <f t="shared" si="4"/>
        <v>5752118.8000000007</v>
      </c>
      <c r="O70" s="593">
        <f t="shared" si="3"/>
        <v>51769069.200000003</v>
      </c>
      <c r="P70" s="596" t="s">
        <v>494</v>
      </c>
      <c r="Q70" s="595" t="e">
        <f>VLOOKUP(G:G,list!B:D,3,FALSE)</f>
        <v>#N/A</v>
      </c>
    </row>
    <row r="71" spans="2:17" ht="18" customHeight="1">
      <c r="B71" s="563">
        <v>66</v>
      </c>
      <c r="C71" s="564" t="e">
        <f>VLOOKUP(G:G,list!B:D,2,FALSE)</f>
        <v>#N/A</v>
      </c>
      <c r="D71" s="564" t="s">
        <v>448</v>
      </c>
      <c r="E71" s="564" t="s">
        <v>62</v>
      </c>
      <c r="F71" s="564" t="s">
        <v>176</v>
      </c>
      <c r="G71" s="564" t="s">
        <v>443</v>
      </c>
      <c r="H71" s="565">
        <v>44781</v>
      </c>
      <c r="I71" s="564" t="s">
        <v>442</v>
      </c>
      <c r="J71" s="586">
        <v>106650128.67</v>
      </c>
      <c r="K71" s="567" t="s">
        <v>369</v>
      </c>
      <c r="L71" s="568">
        <v>63990078</v>
      </c>
      <c r="M71" s="569">
        <v>0.1</v>
      </c>
      <c r="N71" s="570">
        <f>L71*M71</f>
        <v>6399007.8000000007</v>
      </c>
      <c r="O71" s="570">
        <f>L71-N71</f>
        <v>57591070.200000003</v>
      </c>
      <c r="P71" s="575" t="s">
        <v>287</v>
      </c>
      <c r="Q71" s="572" t="e">
        <f>VLOOKUP(G:G,list!B:D,3,FALSE)</f>
        <v>#N/A</v>
      </c>
    </row>
    <row r="72" spans="2:17" ht="18" customHeight="1">
      <c r="B72" s="563">
        <v>67</v>
      </c>
      <c r="C72" s="564" t="e">
        <f>VLOOKUP(G:G,list!B:D,2,FALSE)</f>
        <v>#N/A</v>
      </c>
      <c r="D72" s="564" t="s">
        <v>448</v>
      </c>
      <c r="E72" s="564" t="s">
        <v>62</v>
      </c>
      <c r="F72" s="564" t="s">
        <v>176</v>
      </c>
      <c r="G72" s="564" t="s">
        <v>444</v>
      </c>
      <c r="H72" s="565">
        <v>44790</v>
      </c>
      <c r="I72" s="564" t="s">
        <v>442</v>
      </c>
      <c r="J72" s="586">
        <v>68318754.299999997</v>
      </c>
      <c r="K72" s="567" t="s">
        <v>369</v>
      </c>
      <c r="L72" s="568">
        <v>40991251</v>
      </c>
      <c r="M72" s="569">
        <v>0.1</v>
      </c>
      <c r="N72" s="570">
        <f>L72*M72</f>
        <v>4099125.1</v>
      </c>
      <c r="O72" s="570">
        <f>L72-N72</f>
        <v>36892125.899999999</v>
      </c>
      <c r="P72" s="575" t="s">
        <v>287</v>
      </c>
      <c r="Q72" s="572" t="e">
        <f>VLOOKUP(G:G,list!B:D,3,FALSE)</f>
        <v>#N/A</v>
      </c>
    </row>
    <row r="73" spans="2:17" ht="18" customHeight="1">
      <c r="B73" s="563">
        <v>68</v>
      </c>
      <c r="C73" s="564" t="e">
        <f>VLOOKUP(G:G,list!B:D,2,FALSE)</f>
        <v>#N/A</v>
      </c>
      <c r="D73" s="564" t="s">
        <v>448</v>
      </c>
      <c r="E73" s="564" t="s">
        <v>62</v>
      </c>
      <c r="F73" s="564" t="s">
        <v>176</v>
      </c>
      <c r="G73" s="564" t="s">
        <v>445</v>
      </c>
      <c r="H73" s="565">
        <v>44796</v>
      </c>
      <c r="I73" s="564" t="s">
        <v>442</v>
      </c>
      <c r="J73" s="586">
        <v>88080060.930000007</v>
      </c>
      <c r="K73" s="567" t="s">
        <v>369</v>
      </c>
      <c r="L73" s="568">
        <v>52848039</v>
      </c>
      <c r="M73" s="569">
        <v>0.1</v>
      </c>
      <c r="N73" s="573">
        <f>L73*M73</f>
        <v>5284803.9000000004</v>
      </c>
      <c r="O73" s="570">
        <f t="shared" si="3"/>
        <v>47563235.100000001</v>
      </c>
      <c r="P73" s="575" t="s">
        <v>287</v>
      </c>
      <c r="Q73" s="572" t="e">
        <f>VLOOKUP(G:G,list!B:D,3,FALSE)</f>
        <v>#N/A</v>
      </c>
    </row>
    <row r="74" spans="2:17" s="608" customFormat="1" ht="18" customHeight="1">
      <c r="B74" s="607">
        <v>69</v>
      </c>
      <c r="C74" s="587" t="e">
        <f>VLOOKUP(G:G,list!B:D,2,FALSE)</f>
        <v>#N/A</v>
      </c>
      <c r="D74" s="587" t="s">
        <v>448</v>
      </c>
      <c r="E74" s="587" t="s">
        <v>62</v>
      </c>
      <c r="F74" s="587" t="s">
        <v>176</v>
      </c>
      <c r="G74" s="587" t="s">
        <v>446</v>
      </c>
      <c r="H74" s="588">
        <v>44800</v>
      </c>
      <c r="I74" s="587" t="s">
        <v>442</v>
      </c>
      <c r="J74" s="589">
        <v>813063.8</v>
      </c>
      <c r="K74" s="590" t="s">
        <v>369</v>
      </c>
      <c r="L74" s="591">
        <v>487838</v>
      </c>
      <c r="M74" s="592">
        <v>0.1</v>
      </c>
      <c r="N74" s="598">
        <f>L74*M74</f>
        <v>48783.8</v>
      </c>
      <c r="O74" s="593">
        <f>L74-N74</f>
        <v>439054.2</v>
      </c>
      <c r="P74" s="594" t="s">
        <v>495</v>
      </c>
      <c r="Q74" s="595" t="e">
        <f>VLOOKUP(G:G,list!B:D,3,FALSE)</f>
        <v>#N/A</v>
      </c>
    </row>
    <row r="75" spans="2:17" ht="18" customHeight="1">
      <c r="B75" s="563">
        <v>70</v>
      </c>
      <c r="C75" s="564" t="str">
        <f>VLOOKUP(G:G,list!B:D,2,FALSE)</f>
        <v>원작료</v>
      </c>
      <c r="D75" s="564" t="s">
        <v>448</v>
      </c>
      <c r="E75" s="564" t="s">
        <v>62</v>
      </c>
      <c r="F75" s="564" t="s">
        <v>176</v>
      </c>
      <c r="G75" s="564" t="s">
        <v>447</v>
      </c>
      <c r="H75" s="565">
        <v>44801</v>
      </c>
      <c r="I75" s="564" t="s">
        <v>442</v>
      </c>
      <c r="J75" s="586">
        <v>13835489.300000001</v>
      </c>
      <c r="K75" s="567" t="s">
        <v>369</v>
      </c>
      <c r="L75" s="568">
        <v>8301295</v>
      </c>
      <c r="M75" s="569">
        <v>0.1</v>
      </c>
      <c r="N75" s="570">
        <f>L75*M75</f>
        <v>830129.5</v>
      </c>
      <c r="O75" s="570">
        <f>L75-N75</f>
        <v>7471165.5</v>
      </c>
      <c r="P75" s="575" t="s">
        <v>287</v>
      </c>
      <c r="Q75" s="572" t="str">
        <f>VLOOKUP(G:G,list!B:D,3,FALSE)</f>
        <v>Y</v>
      </c>
    </row>
    <row r="76" spans="2:17" ht="18" customHeight="1">
      <c r="B76" s="563">
        <v>71</v>
      </c>
      <c r="C76" s="564" t="e">
        <f>VLOOKUP(G:G,list!B:D,2,FALSE)</f>
        <v>#N/A</v>
      </c>
      <c r="D76" s="564" t="s">
        <v>78</v>
      </c>
      <c r="E76" s="564" t="s">
        <v>115</v>
      </c>
      <c r="F76" s="564" t="s">
        <v>126</v>
      </c>
      <c r="G76" s="564" t="s">
        <v>382</v>
      </c>
      <c r="H76" s="565">
        <v>44328</v>
      </c>
      <c r="I76" s="564" t="s">
        <v>442</v>
      </c>
      <c r="J76" s="586">
        <v>41795.199999999997</v>
      </c>
      <c r="K76" s="567" t="s">
        <v>208</v>
      </c>
      <c r="L76" s="568">
        <v>29256</v>
      </c>
      <c r="M76" s="569" t="s">
        <v>203</v>
      </c>
      <c r="N76" s="573">
        <v>0</v>
      </c>
      <c r="O76" s="570">
        <f t="shared" si="3"/>
        <v>29256</v>
      </c>
      <c r="P76" s="575"/>
      <c r="Q76" s="572" t="e">
        <f>VLOOKUP(G:G,list!B:D,3,FALSE)</f>
        <v>#N/A</v>
      </c>
    </row>
    <row r="77" spans="2:17" ht="18" customHeight="1">
      <c r="B77" s="563">
        <v>72</v>
      </c>
      <c r="C77" s="564" t="e">
        <f>VLOOKUP(G:G,list!B:D,2,FALSE)</f>
        <v>#N/A</v>
      </c>
      <c r="D77" s="564" t="s">
        <v>78</v>
      </c>
      <c r="E77" s="564" t="s">
        <v>115</v>
      </c>
      <c r="F77" s="564" t="s">
        <v>248</v>
      </c>
      <c r="G77" s="564" t="s">
        <v>256</v>
      </c>
      <c r="H77" s="565">
        <v>44327</v>
      </c>
      <c r="I77" s="564" t="s">
        <v>442</v>
      </c>
      <c r="J77" s="586">
        <v>83569</v>
      </c>
      <c r="K77" s="567" t="s">
        <v>370</v>
      </c>
      <c r="L77" s="568">
        <v>58498</v>
      </c>
      <c r="M77" s="569">
        <v>0.1</v>
      </c>
      <c r="N77" s="570">
        <f>L77*M77</f>
        <v>5849.8</v>
      </c>
      <c r="O77" s="570">
        <f t="shared" si="3"/>
        <v>52648.2</v>
      </c>
      <c r="P77" s="576"/>
      <c r="Q77" s="572" t="e">
        <f>VLOOKUP(G:G,list!B:D,3,FALSE)</f>
        <v>#N/A</v>
      </c>
    </row>
    <row r="78" spans="2:17" ht="18" customHeight="1">
      <c r="B78" s="563">
        <v>73</v>
      </c>
      <c r="C78" s="564" t="e">
        <f>VLOOKUP(G:G,list!B:D,2,FALSE)</f>
        <v>#N/A</v>
      </c>
      <c r="D78" s="564" t="s">
        <v>78</v>
      </c>
      <c r="E78" s="564" t="s">
        <v>115</v>
      </c>
      <c r="F78" s="564" t="s">
        <v>248</v>
      </c>
      <c r="G78" s="564" t="s">
        <v>204</v>
      </c>
      <c r="H78" s="565">
        <v>44328</v>
      </c>
      <c r="I78" s="564" t="s">
        <v>442</v>
      </c>
      <c r="J78" s="586">
        <v>75841.399999999994</v>
      </c>
      <c r="K78" s="567" t="s">
        <v>370</v>
      </c>
      <c r="L78" s="568">
        <v>53089</v>
      </c>
      <c r="M78" s="569">
        <v>0.1</v>
      </c>
      <c r="N78" s="573">
        <f>L78*M78</f>
        <v>5308.9000000000005</v>
      </c>
      <c r="O78" s="570">
        <f t="shared" si="3"/>
        <v>47780.1</v>
      </c>
      <c r="P78" s="576"/>
      <c r="Q78" s="572" t="e">
        <f>VLOOKUP(G:G,list!B:D,3,FALSE)</f>
        <v>#N/A</v>
      </c>
    </row>
    <row r="79" spans="2:17" ht="18" customHeight="1">
      <c r="B79" s="563">
        <v>74</v>
      </c>
      <c r="C79" s="564" t="e">
        <f>VLOOKUP(G:G,list!B:D,2,FALSE)</f>
        <v>#N/A</v>
      </c>
      <c r="D79" s="564" t="s">
        <v>78</v>
      </c>
      <c r="E79" s="564" t="s">
        <v>115</v>
      </c>
      <c r="F79" s="564" t="s">
        <v>248</v>
      </c>
      <c r="G79" s="564" t="s">
        <v>258</v>
      </c>
      <c r="H79" s="565">
        <v>44329</v>
      </c>
      <c r="I79" s="564" t="s">
        <v>442</v>
      </c>
      <c r="J79" s="586">
        <v>390681.59999999998</v>
      </c>
      <c r="K79" s="567" t="s">
        <v>370</v>
      </c>
      <c r="L79" s="568">
        <v>273477</v>
      </c>
      <c r="M79" s="569">
        <v>0.1</v>
      </c>
      <c r="N79" s="573">
        <f>L79*M79</f>
        <v>27347.7</v>
      </c>
      <c r="O79" s="570">
        <f t="shared" si="3"/>
        <v>246129.3</v>
      </c>
      <c r="P79" s="576"/>
      <c r="Q79" s="572" t="e">
        <f>VLOOKUP(G:G,list!B:D,3,FALSE)</f>
        <v>#N/A</v>
      </c>
    </row>
    <row r="80" spans="2:17" ht="18" customHeight="1">
      <c r="B80" s="563">
        <v>75</v>
      </c>
      <c r="C80" s="564" t="e">
        <f>VLOOKUP(G:G,list!B:D,2,FALSE)</f>
        <v>#N/A</v>
      </c>
      <c r="D80" s="564" t="s">
        <v>78</v>
      </c>
      <c r="E80" s="564" t="s">
        <v>9</v>
      </c>
      <c r="F80" s="564" t="s">
        <v>248</v>
      </c>
      <c r="G80" s="564" t="s">
        <v>383</v>
      </c>
      <c r="H80" s="565">
        <v>44152</v>
      </c>
      <c r="I80" s="564" t="s">
        <v>442</v>
      </c>
      <c r="J80" s="586">
        <v>406984.5</v>
      </c>
      <c r="K80" s="567" t="s">
        <v>369</v>
      </c>
      <c r="L80" s="568">
        <v>244188</v>
      </c>
      <c r="M80" s="569">
        <v>0.1</v>
      </c>
      <c r="N80" s="573">
        <f>L80*M80</f>
        <v>24418.800000000003</v>
      </c>
      <c r="O80" s="570">
        <f t="shared" si="3"/>
        <v>219769.2</v>
      </c>
      <c r="P80" s="575"/>
      <c r="Q80" s="572" t="e">
        <f>VLOOKUP(G:G,list!B:D,3,FALSE)</f>
        <v>#N/A</v>
      </c>
    </row>
    <row r="81" spans="2:17" ht="18" customHeight="1">
      <c r="B81" s="563">
        <v>76</v>
      </c>
      <c r="C81" s="564" t="e">
        <f>VLOOKUP(G:G,list!B:D,2,FALSE)</f>
        <v>#N/A</v>
      </c>
      <c r="D81" s="564" t="s">
        <v>78</v>
      </c>
      <c r="E81" s="564" t="s">
        <v>9</v>
      </c>
      <c r="F81" s="564" t="s">
        <v>248</v>
      </c>
      <c r="G81" s="564" t="s">
        <v>381</v>
      </c>
      <c r="H81" s="565">
        <v>44246</v>
      </c>
      <c r="I81" s="564" t="s">
        <v>442</v>
      </c>
      <c r="J81" s="586">
        <v>133497.20000000001</v>
      </c>
      <c r="K81" s="567" t="s">
        <v>369</v>
      </c>
      <c r="L81" s="568">
        <v>80097</v>
      </c>
      <c r="M81" s="569">
        <v>0.1</v>
      </c>
      <c r="N81" s="573">
        <f>L81*M81</f>
        <v>8009.7000000000007</v>
      </c>
      <c r="O81" s="570">
        <f t="shared" si="3"/>
        <v>72087.3</v>
      </c>
      <c r="P81" s="576"/>
      <c r="Q81" s="572" t="e">
        <f>VLOOKUP(G:G,list!B:D,3,FALSE)</f>
        <v>#N/A</v>
      </c>
    </row>
    <row r="82" spans="2:17" ht="18" customHeight="1">
      <c r="B82" s="563">
        <v>77</v>
      </c>
      <c r="C82" s="564" t="str">
        <f>VLOOKUP(G:G,list!B:D,2,FALSE)</f>
        <v>외부제작</v>
      </c>
      <c r="D82" s="564" t="s">
        <v>78</v>
      </c>
      <c r="E82" s="564" t="s">
        <v>9</v>
      </c>
      <c r="F82" s="564" t="s">
        <v>248</v>
      </c>
      <c r="G82" s="564" t="s">
        <v>277</v>
      </c>
      <c r="H82" s="565">
        <v>44629</v>
      </c>
      <c r="I82" s="564" t="s">
        <v>442</v>
      </c>
      <c r="J82" s="586">
        <v>3534002.2</v>
      </c>
      <c r="K82" s="567" t="s">
        <v>207</v>
      </c>
      <c r="L82" s="568">
        <v>2120402</v>
      </c>
      <c r="M82" s="597">
        <f>-N82</f>
        <v>0</v>
      </c>
      <c r="N82" s="573">
        <v>0</v>
      </c>
      <c r="O82" s="570">
        <f t="shared" si="3"/>
        <v>2120402</v>
      </c>
      <c r="P82" s="575"/>
      <c r="Q82" s="572" t="str">
        <f>VLOOKUP(G:G,list!B:D,3,FALSE)</f>
        <v>N</v>
      </c>
    </row>
    <row r="83" spans="2:17" s="608" customFormat="1" ht="18" customHeight="1">
      <c r="B83" s="607">
        <v>78</v>
      </c>
      <c r="C83" s="587" t="e">
        <f>VLOOKUP(G:G,list!B:D,2,FALSE)</f>
        <v>#N/A</v>
      </c>
      <c r="D83" s="587" t="s">
        <v>78</v>
      </c>
      <c r="E83" s="587" t="s">
        <v>9</v>
      </c>
      <c r="F83" s="587" t="s">
        <v>371</v>
      </c>
      <c r="G83" s="587" t="s">
        <v>373</v>
      </c>
      <c r="H83" s="588">
        <v>44735</v>
      </c>
      <c r="I83" s="587" t="s">
        <v>442</v>
      </c>
      <c r="J83" s="589">
        <v>42453640.899999999</v>
      </c>
      <c r="K83" s="590" t="s">
        <v>207</v>
      </c>
      <c r="L83" s="591">
        <v>25472185</v>
      </c>
      <c r="M83" s="592">
        <v>0.1</v>
      </c>
      <c r="N83" s="598">
        <f t="shared" ref="N83:N90" si="5">L83*M83</f>
        <v>2547218.5</v>
      </c>
      <c r="O83" s="593">
        <f t="shared" si="3"/>
        <v>22924966.5</v>
      </c>
      <c r="P83" s="596" t="s">
        <v>494</v>
      </c>
      <c r="Q83" s="595" t="e">
        <f>VLOOKUP(G:G,list!B:D,3,FALSE)</f>
        <v>#N/A</v>
      </c>
    </row>
    <row r="84" spans="2:17" ht="18" customHeight="1">
      <c r="B84" s="563">
        <v>79</v>
      </c>
      <c r="C84" s="564" t="e">
        <f>VLOOKUP(G:G,list!B:D,2,FALSE)</f>
        <v>#N/A</v>
      </c>
      <c r="D84" s="564" t="s">
        <v>78</v>
      </c>
      <c r="E84" s="564" t="s">
        <v>9</v>
      </c>
      <c r="F84" s="564" t="s">
        <v>175</v>
      </c>
      <c r="G84" s="564" t="s">
        <v>212</v>
      </c>
      <c r="H84" s="565">
        <v>44268</v>
      </c>
      <c r="I84" s="564" t="s">
        <v>442</v>
      </c>
      <c r="J84" s="586">
        <v>5023383.0999999996</v>
      </c>
      <c r="K84" s="567" t="s">
        <v>369</v>
      </c>
      <c r="L84" s="568">
        <v>3014031</v>
      </c>
      <c r="M84" s="569">
        <v>0.1</v>
      </c>
      <c r="N84" s="573">
        <f t="shared" si="5"/>
        <v>301403.10000000003</v>
      </c>
      <c r="O84" s="570">
        <f t="shared" si="3"/>
        <v>2712627.9</v>
      </c>
      <c r="P84" s="576"/>
      <c r="Q84" s="572" t="e">
        <f>VLOOKUP(G:G,list!B:D,3,FALSE)</f>
        <v>#N/A</v>
      </c>
    </row>
    <row r="85" spans="2:17" ht="18" customHeight="1">
      <c r="B85" s="563">
        <v>80</v>
      </c>
      <c r="C85" s="564" t="e">
        <f>VLOOKUP(G:G,list!B:D,2,FALSE)</f>
        <v>#N/A</v>
      </c>
      <c r="D85" s="564" t="s">
        <v>78</v>
      </c>
      <c r="E85" s="564" t="s">
        <v>115</v>
      </c>
      <c r="F85" s="564" t="s">
        <v>172</v>
      </c>
      <c r="G85" s="564" t="s">
        <v>204</v>
      </c>
      <c r="H85" s="565">
        <v>44379</v>
      </c>
      <c r="I85" s="564" t="s">
        <v>428</v>
      </c>
      <c r="J85" s="586">
        <v>102680</v>
      </c>
      <c r="K85" s="567">
        <v>0.6</v>
      </c>
      <c r="L85" s="568">
        <v>61608</v>
      </c>
      <c r="M85" s="569">
        <v>0.1</v>
      </c>
      <c r="N85" s="573">
        <f t="shared" si="5"/>
        <v>6160.8</v>
      </c>
      <c r="O85" s="570">
        <f t="shared" si="3"/>
        <v>55447.199999999997</v>
      </c>
      <c r="P85" s="576"/>
      <c r="Q85" s="572" t="e">
        <f>VLOOKUP(G:G,list!B:D,3,FALSE)</f>
        <v>#N/A</v>
      </c>
    </row>
    <row r="86" spans="2:17" ht="18" customHeight="1">
      <c r="B86" s="563">
        <v>81</v>
      </c>
      <c r="C86" s="564" t="e">
        <f>VLOOKUP(G:G,list!B:D,2,FALSE)</f>
        <v>#N/A</v>
      </c>
      <c r="D86" s="564" t="s">
        <v>78</v>
      </c>
      <c r="E86" s="564" t="s">
        <v>115</v>
      </c>
      <c r="F86" s="564" t="s">
        <v>172</v>
      </c>
      <c r="G86" s="564" t="s">
        <v>256</v>
      </c>
      <c r="H86" s="565">
        <v>44385</v>
      </c>
      <c r="I86" s="564" t="s">
        <v>428</v>
      </c>
      <c r="J86" s="586">
        <v>25580</v>
      </c>
      <c r="K86" s="567">
        <v>0.6</v>
      </c>
      <c r="L86" s="568">
        <v>15348</v>
      </c>
      <c r="M86" s="569">
        <v>0.1</v>
      </c>
      <c r="N86" s="570">
        <f t="shared" si="5"/>
        <v>1534.8000000000002</v>
      </c>
      <c r="O86" s="570">
        <f t="shared" si="3"/>
        <v>13813.2</v>
      </c>
      <c r="P86" s="576"/>
      <c r="Q86" s="572" t="e">
        <f>VLOOKUP(G:G,list!B:D,3,FALSE)</f>
        <v>#N/A</v>
      </c>
    </row>
    <row r="87" spans="2:17" ht="18" customHeight="1">
      <c r="B87" s="563">
        <v>82</v>
      </c>
      <c r="C87" s="564" t="e">
        <f>VLOOKUP(G:G,list!B:D,2,FALSE)</f>
        <v>#N/A</v>
      </c>
      <c r="D87" s="564" t="s">
        <v>78</v>
      </c>
      <c r="E87" s="564" t="s">
        <v>115</v>
      </c>
      <c r="F87" s="564" t="s">
        <v>172</v>
      </c>
      <c r="G87" s="564" t="s">
        <v>258</v>
      </c>
      <c r="H87" s="565">
        <v>44362</v>
      </c>
      <c r="I87" s="564" t="s">
        <v>428</v>
      </c>
      <c r="J87" s="599">
        <v>1418225</v>
      </c>
      <c r="K87" s="567">
        <v>0.6</v>
      </c>
      <c r="L87" s="568">
        <v>850935</v>
      </c>
      <c r="M87" s="569">
        <v>0.1</v>
      </c>
      <c r="N87" s="573">
        <f t="shared" si="5"/>
        <v>85093.5</v>
      </c>
      <c r="O87" s="570">
        <f t="shared" si="3"/>
        <v>765841.5</v>
      </c>
      <c r="P87" s="575"/>
      <c r="Q87" s="572" t="e">
        <f>VLOOKUP(G:G,list!B:D,3,FALSE)</f>
        <v>#N/A</v>
      </c>
    </row>
    <row r="88" spans="2:17" ht="18" customHeight="1">
      <c r="B88" s="563">
        <v>83</v>
      </c>
      <c r="C88" s="564" t="e">
        <f>VLOOKUP(G:G,list!B:D,2,FALSE)</f>
        <v>#N/A</v>
      </c>
      <c r="D88" s="564" t="s">
        <v>78</v>
      </c>
      <c r="E88" s="564" t="s">
        <v>115</v>
      </c>
      <c r="F88" s="564" t="s">
        <v>269</v>
      </c>
      <c r="G88" s="564" t="s">
        <v>256</v>
      </c>
      <c r="H88" s="565">
        <v>44553</v>
      </c>
      <c r="I88" s="564" t="s">
        <v>428</v>
      </c>
      <c r="J88" s="586">
        <v>0</v>
      </c>
      <c r="K88" s="567">
        <v>0.7</v>
      </c>
      <c r="L88" s="568">
        <v>0</v>
      </c>
      <c r="M88" s="569">
        <v>0.1</v>
      </c>
      <c r="N88" s="570">
        <f t="shared" si="5"/>
        <v>0</v>
      </c>
      <c r="O88" s="570">
        <f t="shared" si="3"/>
        <v>0</v>
      </c>
      <c r="P88" s="574" t="s">
        <v>366</v>
      </c>
      <c r="Q88" s="572" t="e">
        <f>VLOOKUP(G:G,list!B:D,3,FALSE)</f>
        <v>#N/A</v>
      </c>
    </row>
    <row r="89" spans="2:17" ht="18" customHeight="1">
      <c r="B89" s="563">
        <v>84</v>
      </c>
      <c r="C89" s="564" t="e">
        <f>VLOOKUP(G:G,list!B:D,2,FALSE)</f>
        <v>#N/A</v>
      </c>
      <c r="D89" s="564" t="s">
        <v>78</v>
      </c>
      <c r="E89" s="564" t="s">
        <v>115</v>
      </c>
      <c r="F89" s="564" t="s">
        <v>269</v>
      </c>
      <c r="G89" s="564" t="s">
        <v>204</v>
      </c>
      <c r="H89" s="565">
        <v>44554</v>
      </c>
      <c r="I89" s="564" t="s">
        <v>428</v>
      </c>
      <c r="J89" s="586">
        <v>1200</v>
      </c>
      <c r="K89" s="567">
        <v>0.7</v>
      </c>
      <c r="L89" s="568">
        <v>840</v>
      </c>
      <c r="M89" s="569">
        <v>0.1</v>
      </c>
      <c r="N89" s="573">
        <f t="shared" si="5"/>
        <v>84</v>
      </c>
      <c r="O89" s="570">
        <f t="shared" si="3"/>
        <v>756</v>
      </c>
      <c r="P89" s="575"/>
      <c r="Q89" s="572" t="e">
        <f>VLOOKUP(G:G,list!B:D,3,FALSE)</f>
        <v>#N/A</v>
      </c>
    </row>
    <row r="90" spans="2:17" ht="18" customHeight="1">
      <c r="B90" s="563">
        <v>85</v>
      </c>
      <c r="C90" s="564" t="e">
        <f>VLOOKUP(G:G,list!B:D,2,FALSE)</f>
        <v>#N/A</v>
      </c>
      <c r="D90" s="564" t="s">
        <v>78</v>
      </c>
      <c r="E90" s="564" t="s">
        <v>115</v>
      </c>
      <c r="F90" s="564" t="s">
        <v>269</v>
      </c>
      <c r="G90" s="564" t="s">
        <v>258</v>
      </c>
      <c r="H90" s="565">
        <v>44554</v>
      </c>
      <c r="I90" s="564" t="s">
        <v>428</v>
      </c>
      <c r="J90" s="586">
        <v>1200</v>
      </c>
      <c r="K90" s="567">
        <v>0.7</v>
      </c>
      <c r="L90" s="568">
        <v>840</v>
      </c>
      <c r="M90" s="569">
        <v>0.1</v>
      </c>
      <c r="N90" s="573">
        <f t="shared" si="5"/>
        <v>84</v>
      </c>
      <c r="O90" s="570">
        <f t="shared" si="3"/>
        <v>756</v>
      </c>
      <c r="P90" s="574"/>
      <c r="Q90" s="572" t="e">
        <f>VLOOKUP(G:G,list!B:D,3,FALSE)</f>
        <v>#N/A</v>
      </c>
    </row>
    <row r="91" spans="2:17" ht="18" customHeight="1">
      <c r="B91" s="563">
        <v>86</v>
      </c>
      <c r="C91" s="564" t="e">
        <f>VLOOKUP(G:G,list!B:D,2,FALSE)</f>
        <v>#N/A</v>
      </c>
      <c r="D91" s="564" t="s">
        <v>78</v>
      </c>
      <c r="E91" s="564" t="s">
        <v>115</v>
      </c>
      <c r="F91" s="564" t="s">
        <v>269</v>
      </c>
      <c r="G91" s="564" t="s">
        <v>202</v>
      </c>
      <c r="H91" s="565">
        <v>44609</v>
      </c>
      <c r="I91" s="564" t="s">
        <v>428</v>
      </c>
      <c r="J91" s="586">
        <v>4500</v>
      </c>
      <c r="K91" s="567">
        <v>0.7</v>
      </c>
      <c r="L91" s="568">
        <v>3150</v>
      </c>
      <c r="M91" s="569" t="s">
        <v>203</v>
      </c>
      <c r="N91" s="570">
        <v>0</v>
      </c>
      <c r="O91" s="570">
        <f t="shared" si="3"/>
        <v>3150</v>
      </c>
      <c r="P91" s="574"/>
      <c r="Q91" s="572" t="e">
        <f>VLOOKUP(G:G,list!B:D,3,FALSE)</f>
        <v>#N/A</v>
      </c>
    </row>
    <row r="92" spans="2:17" ht="18" customHeight="1">
      <c r="B92" s="563">
        <v>87</v>
      </c>
      <c r="C92" s="564" t="str">
        <f>VLOOKUP(G:G,list!B:D,2,FALSE)</f>
        <v>작가기획</v>
      </c>
      <c r="D92" s="564" t="s">
        <v>78</v>
      </c>
      <c r="E92" s="564" t="s">
        <v>9</v>
      </c>
      <c r="F92" s="564" t="s">
        <v>131</v>
      </c>
      <c r="G92" s="564" t="s">
        <v>210</v>
      </c>
      <c r="H92" s="565">
        <v>44333</v>
      </c>
      <c r="I92" s="564" t="s">
        <v>428</v>
      </c>
      <c r="J92" s="586">
        <v>38280</v>
      </c>
      <c r="K92" s="567">
        <v>0.5</v>
      </c>
      <c r="L92" s="568">
        <v>19140</v>
      </c>
      <c r="M92" s="569" t="s">
        <v>203</v>
      </c>
      <c r="N92" s="570">
        <v>0</v>
      </c>
      <c r="O92" s="570">
        <f t="shared" si="3"/>
        <v>19140</v>
      </c>
      <c r="P92" s="576"/>
      <c r="Q92" s="572" t="str">
        <f>VLOOKUP(G:G,list!B:D,3,FALSE)</f>
        <v>N</v>
      </c>
    </row>
    <row r="93" spans="2:17" ht="18" customHeight="1">
      <c r="B93" s="563">
        <v>88</v>
      </c>
      <c r="C93" s="564" t="e">
        <f>VLOOKUP(G:G,list!B:D,2,FALSE)</f>
        <v>#N/A</v>
      </c>
      <c r="D93" s="564" t="s">
        <v>177</v>
      </c>
      <c r="E93" s="564" t="s">
        <v>9</v>
      </c>
      <c r="F93" s="564" t="s">
        <v>257</v>
      </c>
      <c r="G93" s="564" t="s">
        <v>179</v>
      </c>
      <c r="H93" s="565">
        <v>44419</v>
      </c>
      <c r="I93" s="564" t="s">
        <v>428</v>
      </c>
      <c r="J93" s="599">
        <v>4581299</v>
      </c>
      <c r="K93" s="600">
        <v>0.28000008425415068</v>
      </c>
      <c r="L93" s="568">
        <v>1282764</v>
      </c>
      <c r="M93" s="569">
        <v>0.1</v>
      </c>
      <c r="N93" s="573">
        <f t="shared" ref="N93:N110" si="6">L93*M93</f>
        <v>128276.40000000001</v>
      </c>
      <c r="O93" s="570">
        <f t="shared" si="3"/>
        <v>1154487.6000000001</v>
      </c>
      <c r="P93" s="575" t="s">
        <v>85</v>
      </c>
      <c r="Q93" s="572" t="e">
        <f>VLOOKUP(G:G,list!B:D,3,FALSE)</f>
        <v>#N/A</v>
      </c>
    </row>
    <row r="94" spans="2:17" ht="18" customHeight="1">
      <c r="B94" s="563">
        <v>89</v>
      </c>
      <c r="C94" s="564" t="e">
        <f>VLOOKUP(G:G,list!B:D,2,FALSE)</f>
        <v>#N/A</v>
      </c>
      <c r="D94" s="564" t="s">
        <v>177</v>
      </c>
      <c r="E94" s="564" t="s">
        <v>9</v>
      </c>
      <c r="F94" s="564" t="s">
        <v>257</v>
      </c>
      <c r="G94" s="564" t="s">
        <v>212</v>
      </c>
      <c r="H94" s="565">
        <v>44477</v>
      </c>
      <c r="I94" s="564" t="s">
        <v>428</v>
      </c>
      <c r="J94" s="599">
        <v>1480444</v>
      </c>
      <c r="K94" s="601">
        <v>0.24500002911191202</v>
      </c>
      <c r="L94" s="568">
        <v>362707</v>
      </c>
      <c r="M94" s="569">
        <v>0.1</v>
      </c>
      <c r="N94" s="573">
        <f t="shared" si="6"/>
        <v>36270.700000000004</v>
      </c>
      <c r="O94" s="570">
        <f t="shared" si="3"/>
        <v>326436.3</v>
      </c>
      <c r="P94" s="602"/>
      <c r="Q94" s="572" t="e">
        <f>VLOOKUP(G:G,list!B:D,3,FALSE)</f>
        <v>#N/A</v>
      </c>
    </row>
    <row r="95" spans="2:17" ht="18" customHeight="1">
      <c r="B95" s="563">
        <v>90</v>
      </c>
      <c r="C95" s="564" t="e">
        <f>VLOOKUP(G:G,list!B:D,2,FALSE)</f>
        <v>#N/A</v>
      </c>
      <c r="D95" s="564" t="s">
        <v>177</v>
      </c>
      <c r="E95" s="564" t="s">
        <v>9</v>
      </c>
      <c r="F95" s="564" t="s">
        <v>257</v>
      </c>
      <c r="G95" s="564" t="s">
        <v>335</v>
      </c>
      <c r="H95" s="565">
        <v>44636</v>
      </c>
      <c r="I95" s="564" t="s">
        <v>428</v>
      </c>
      <c r="J95" s="599">
        <v>404210</v>
      </c>
      <c r="K95" s="600">
        <v>0.35</v>
      </c>
      <c r="L95" s="568">
        <v>141474</v>
      </c>
      <c r="M95" s="569">
        <v>0.1</v>
      </c>
      <c r="N95" s="570">
        <f t="shared" si="6"/>
        <v>14147.400000000001</v>
      </c>
      <c r="O95" s="570">
        <f t="shared" si="3"/>
        <v>127326.6</v>
      </c>
      <c r="P95" s="602"/>
      <c r="Q95" s="572" t="e">
        <f>VLOOKUP(G:G,list!B:D,3,FALSE)</f>
        <v>#N/A</v>
      </c>
    </row>
    <row r="96" spans="2:17" ht="18" customHeight="1">
      <c r="B96" s="563">
        <v>91</v>
      </c>
      <c r="C96" s="564" t="e">
        <f>VLOOKUP(G:G,list!B:D,2,FALSE)</f>
        <v>#N/A</v>
      </c>
      <c r="D96" s="564" t="s">
        <v>177</v>
      </c>
      <c r="E96" s="564" t="s">
        <v>9</v>
      </c>
      <c r="F96" s="564" t="s">
        <v>257</v>
      </c>
      <c r="G96" s="564" t="s">
        <v>336</v>
      </c>
      <c r="H96" s="565">
        <v>44676</v>
      </c>
      <c r="I96" s="564" t="s">
        <v>428</v>
      </c>
      <c r="J96" s="599">
        <v>447179</v>
      </c>
      <c r="K96" s="601">
        <v>0.27999936182708907</v>
      </c>
      <c r="L96" s="568">
        <v>125212</v>
      </c>
      <c r="M96" s="569">
        <v>0.1</v>
      </c>
      <c r="N96" s="570">
        <f t="shared" si="6"/>
        <v>12521.2</v>
      </c>
      <c r="O96" s="570">
        <f t="shared" si="3"/>
        <v>112690.8</v>
      </c>
      <c r="P96" s="575"/>
      <c r="Q96" s="572" t="e">
        <f>VLOOKUP(G:G,list!B:D,3,FALSE)</f>
        <v>#N/A</v>
      </c>
    </row>
    <row r="97" spans="2:17" ht="18" customHeight="1">
      <c r="B97" s="563">
        <v>92</v>
      </c>
      <c r="C97" s="564" t="e">
        <f>VLOOKUP(G:G,list!B:D,2,FALSE)</f>
        <v>#N/A</v>
      </c>
      <c r="D97" s="564" t="s">
        <v>23</v>
      </c>
      <c r="E97" s="564" t="s">
        <v>62</v>
      </c>
      <c r="F97" s="564" t="s">
        <v>213</v>
      </c>
      <c r="G97" s="564" t="s">
        <v>10</v>
      </c>
      <c r="H97" s="565">
        <v>44356</v>
      </c>
      <c r="I97" s="564" t="s">
        <v>377</v>
      </c>
      <c r="J97" s="599">
        <v>7281993</v>
      </c>
      <c r="K97" s="600">
        <v>0.3</v>
      </c>
      <c r="L97" s="568">
        <v>2184598</v>
      </c>
      <c r="M97" s="569">
        <v>0.1</v>
      </c>
      <c r="N97" s="570">
        <f>L97*M97</f>
        <v>218459.80000000002</v>
      </c>
      <c r="O97" s="570">
        <f t="shared" si="3"/>
        <v>1966138.2</v>
      </c>
      <c r="P97" s="575" t="s">
        <v>307</v>
      </c>
      <c r="Q97" s="572" t="e">
        <f>VLOOKUP(G:G,list!B:D,3,FALSE)</f>
        <v>#N/A</v>
      </c>
    </row>
    <row r="98" spans="2:17" ht="18" customHeight="1">
      <c r="B98" s="563">
        <v>93</v>
      </c>
      <c r="C98" s="564" t="e">
        <f>VLOOKUP(G:G,list!B:D,2,FALSE)</f>
        <v>#N/A</v>
      </c>
      <c r="D98" s="564" t="s">
        <v>23</v>
      </c>
      <c r="E98" s="564" t="s">
        <v>62</v>
      </c>
      <c r="F98" s="564" t="s">
        <v>213</v>
      </c>
      <c r="G98" s="564" t="s">
        <v>10</v>
      </c>
      <c r="H98" s="565">
        <v>44356</v>
      </c>
      <c r="I98" s="564" t="s">
        <v>428</v>
      </c>
      <c r="J98" s="599">
        <v>9142517</v>
      </c>
      <c r="K98" s="600">
        <v>0.3</v>
      </c>
      <c r="L98" s="568">
        <v>2742755</v>
      </c>
      <c r="M98" s="569">
        <v>0.1</v>
      </c>
      <c r="N98" s="570">
        <f>L98*M98</f>
        <v>274275.5</v>
      </c>
      <c r="O98" s="570">
        <f t="shared" ref="O98" si="7">L98-N98</f>
        <v>2468479.5</v>
      </c>
      <c r="P98" s="575" t="s">
        <v>307</v>
      </c>
      <c r="Q98" s="572" t="e">
        <f>VLOOKUP(G:G,list!B:D,3,FALSE)</f>
        <v>#N/A</v>
      </c>
    </row>
    <row r="99" spans="2:17" ht="18" customHeight="1">
      <c r="B99" s="563">
        <v>94</v>
      </c>
      <c r="C99" s="564" t="e">
        <f>VLOOKUP(G:G,list!B:D,2,FALSE)</f>
        <v>#N/A</v>
      </c>
      <c r="D99" s="564" t="s">
        <v>23</v>
      </c>
      <c r="E99" s="564" t="s">
        <v>62</v>
      </c>
      <c r="F99" s="564" t="s">
        <v>213</v>
      </c>
      <c r="G99" s="564" t="s">
        <v>17</v>
      </c>
      <c r="H99" s="565">
        <v>44598</v>
      </c>
      <c r="I99" s="564" t="s">
        <v>377</v>
      </c>
      <c r="J99" s="599">
        <v>3311610</v>
      </c>
      <c r="K99" s="600">
        <v>0.3</v>
      </c>
      <c r="L99" s="568">
        <v>993483</v>
      </c>
      <c r="M99" s="569">
        <v>0.12</v>
      </c>
      <c r="N99" s="573">
        <f t="shared" si="6"/>
        <v>119217.95999999999</v>
      </c>
      <c r="O99" s="570">
        <f t="shared" si="3"/>
        <v>874265.04</v>
      </c>
      <c r="P99" s="575" t="s">
        <v>307</v>
      </c>
      <c r="Q99" s="572" t="e">
        <f>VLOOKUP(G:G,list!B:D,3,FALSE)</f>
        <v>#N/A</v>
      </c>
    </row>
    <row r="100" spans="2:17" ht="18" customHeight="1">
      <c r="B100" s="563">
        <v>95</v>
      </c>
      <c r="C100" s="564" t="e">
        <f>VLOOKUP(G:G,list!B:D,2,FALSE)</f>
        <v>#N/A</v>
      </c>
      <c r="D100" s="564" t="s">
        <v>23</v>
      </c>
      <c r="E100" s="564" t="s">
        <v>62</v>
      </c>
      <c r="F100" s="564" t="s">
        <v>213</v>
      </c>
      <c r="G100" s="564" t="s">
        <v>17</v>
      </c>
      <c r="H100" s="565">
        <v>44598</v>
      </c>
      <c r="I100" s="564" t="s">
        <v>428</v>
      </c>
      <c r="J100" s="599">
        <v>3213903</v>
      </c>
      <c r="K100" s="600">
        <v>0.3</v>
      </c>
      <c r="L100" s="568">
        <v>964171</v>
      </c>
      <c r="M100" s="569">
        <v>0.12</v>
      </c>
      <c r="N100" s="573">
        <f t="shared" ref="N100" si="8">L100*M100</f>
        <v>115700.51999999999</v>
      </c>
      <c r="O100" s="570">
        <f t="shared" ref="O100" si="9">L100-N100</f>
        <v>848470.48</v>
      </c>
      <c r="P100" s="575" t="s">
        <v>307</v>
      </c>
      <c r="Q100" s="572" t="e">
        <f>VLOOKUP(G:G,list!B:D,3,FALSE)</f>
        <v>#N/A</v>
      </c>
    </row>
    <row r="101" spans="2:17" ht="18" customHeight="1">
      <c r="B101" s="563">
        <v>96</v>
      </c>
      <c r="C101" s="564" t="e">
        <f>VLOOKUP(G:G,list!B:D,2,FALSE)</f>
        <v>#N/A</v>
      </c>
      <c r="D101" s="564" t="s">
        <v>183</v>
      </c>
      <c r="E101" s="564" t="s">
        <v>62</v>
      </c>
      <c r="F101" s="564" t="s">
        <v>213</v>
      </c>
      <c r="G101" s="564" t="s">
        <v>10</v>
      </c>
      <c r="H101" s="565">
        <v>44456</v>
      </c>
      <c r="I101" s="564" t="s">
        <v>377</v>
      </c>
      <c r="J101" s="599">
        <v>679603</v>
      </c>
      <c r="K101" s="600">
        <v>0.3</v>
      </c>
      <c r="L101" s="568">
        <v>203881</v>
      </c>
      <c r="M101" s="569">
        <v>0.1</v>
      </c>
      <c r="N101" s="570">
        <f>L101*M101</f>
        <v>20388.100000000002</v>
      </c>
      <c r="O101" s="570">
        <f t="shared" si="3"/>
        <v>183492.9</v>
      </c>
      <c r="P101" s="575" t="s">
        <v>307</v>
      </c>
      <c r="Q101" s="572" t="e">
        <f>VLOOKUP(G:G,list!B:D,3,FALSE)</f>
        <v>#N/A</v>
      </c>
    </row>
    <row r="102" spans="2:17" ht="18" customHeight="1">
      <c r="B102" s="563">
        <v>97</v>
      </c>
      <c r="C102" s="564" t="e">
        <f>VLOOKUP(G:G,list!B:D,2,FALSE)</f>
        <v>#N/A</v>
      </c>
      <c r="D102" s="564" t="s">
        <v>183</v>
      </c>
      <c r="E102" s="564" t="s">
        <v>62</v>
      </c>
      <c r="F102" s="564" t="s">
        <v>213</v>
      </c>
      <c r="G102" s="564" t="s">
        <v>10</v>
      </c>
      <c r="H102" s="565">
        <v>44456</v>
      </c>
      <c r="I102" s="564" t="s">
        <v>428</v>
      </c>
      <c r="J102" s="599">
        <v>735697</v>
      </c>
      <c r="K102" s="600">
        <v>0.3</v>
      </c>
      <c r="L102" s="568">
        <v>220709</v>
      </c>
      <c r="M102" s="569">
        <v>0.1</v>
      </c>
      <c r="N102" s="570">
        <f>L102*M102</f>
        <v>22070.9</v>
      </c>
      <c r="O102" s="570">
        <f t="shared" ref="O102" si="10">L102-N102</f>
        <v>198638.1</v>
      </c>
      <c r="P102" s="575" t="s">
        <v>307</v>
      </c>
      <c r="Q102" s="572" t="e">
        <f>VLOOKUP(G:G,list!B:D,3,FALSE)</f>
        <v>#N/A</v>
      </c>
    </row>
    <row r="103" spans="2:17" ht="18" customHeight="1">
      <c r="B103" s="563">
        <v>98</v>
      </c>
      <c r="C103" s="564" t="e">
        <f>VLOOKUP(G:G,list!B:D,2,FALSE)</f>
        <v>#N/A</v>
      </c>
      <c r="D103" s="564" t="s">
        <v>183</v>
      </c>
      <c r="E103" s="564" t="s">
        <v>62</v>
      </c>
      <c r="F103" s="564" t="s">
        <v>213</v>
      </c>
      <c r="G103" s="564" t="s">
        <v>59</v>
      </c>
      <c r="H103" s="565">
        <v>44661</v>
      </c>
      <c r="I103" s="564" t="s">
        <v>377</v>
      </c>
      <c r="J103" s="599">
        <v>1855820</v>
      </c>
      <c r="K103" s="600">
        <v>0.3</v>
      </c>
      <c r="L103" s="568">
        <v>556746</v>
      </c>
      <c r="M103" s="569">
        <v>0.1</v>
      </c>
      <c r="N103" s="570">
        <f t="shared" si="6"/>
        <v>55674.600000000006</v>
      </c>
      <c r="O103" s="570">
        <f t="shared" si="3"/>
        <v>501071.4</v>
      </c>
      <c r="P103" s="575" t="s">
        <v>307</v>
      </c>
      <c r="Q103" s="572" t="e">
        <f>VLOOKUP(G:G,list!B:D,3,FALSE)</f>
        <v>#N/A</v>
      </c>
    </row>
    <row r="104" spans="2:17" ht="18" customHeight="1">
      <c r="B104" s="563">
        <v>99</v>
      </c>
      <c r="C104" s="564" t="e">
        <f>VLOOKUP(G:G,list!B:D,2,FALSE)</f>
        <v>#N/A</v>
      </c>
      <c r="D104" s="564" t="s">
        <v>183</v>
      </c>
      <c r="E104" s="564" t="s">
        <v>62</v>
      </c>
      <c r="F104" s="564" t="s">
        <v>213</v>
      </c>
      <c r="G104" s="564" t="s">
        <v>59</v>
      </c>
      <c r="H104" s="565">
        <v>44661</v>
      </c>
      <c r="I104" s="564" t="s">
        <v>428</v>
      </c>
      <c r="J104" s="599">
        <v>1705420</v>
      </c>
      <c r="K104" s="600">
        <v>0.3</v>
      </c>
      <c r="L104" s="568">
        <v>511626</v>
      </c>
      <c r="M104" s="569">
        <v>0.1</v>
      </c>
      <c r="N104" s="570">
        <f t="shared" ref="N104" si="11">L104*M104</f>
        <v>51162.600000000006</v>
      </c>
      <c r="O104" s="570">
        <f t="shared" ref="O104" si="12">L104-N104</f>
        <v>460463.4</v>
      </c>
      <c r="P104" s="575" t="s">
        <v>307</v>
      </c>
      <c r="Q104" s="572" t="e">
        <f>VLOOKUP(G:G,list!B:D,3,FALSE)</f>
        <v>#N/A</v>
      </c>
    </row>
    <row r="105" spans="2:17" ht="18" customHeight="1">
      <c r="B105" s="563">
        <v>100</v>
      </c>
      <c r="C105" s="564" t="e">
        <f>VLOOKUP(G:G,list!B:D,2,FALSE)</f>
        <v>#N/A</v>
      </c>
      <c r="D105" s="564" t="s">
        <v>183</v>
      </c>
      <c r="E105" s="564" t="s">
        <v>62</v>
      </c>
      <c r="F105" s="564" t="s">
        <v>213</v>
      </c>
      <c r="G105" s="564" t="s">
        <v>57</v>
      </c>
      <c r="H105" s="565">
        <v>44691</v>
      </c>
      <c r="I105" s="564" t="s">
        <v>377</v>
      </c>
      <c r="J105" s="599">
        <v>237280</v>
      </c>
      <c r="K105" s="600">
        <v>0.3</v>
      </c>
      <c r="L105" s="568">
        <v>71184</v>
      </c>
      <c r="M105" s="569">
        <v>0.1</v>
      </c>
      <c r="N105" s="570">
        <f t="shared" si="6"/>
        <v>7118.4000000000005</v>
      </c>
      <c r="O105" s="570">
        <f t="shared" si="3"/>
        <v>64065.599999999999</v>
      </c>
      <c r="P105" s="575" t="s">
        <v>432</v>
      </c>
      <c r="Q105" s="572" t="e">
        <f>VLOOKUP(G:G,list!B:D,3,FALSE)</f>
        <v>#N/A</v>
      </c>
    </row>
    <row r="106" spans="2:17" ht="18" customHeight="1">
      <c r="B106" s="563">
        <v>101</v>
      </c>
      <c r="C106" s="564" t="e">
        <f>VLOOKUP(G:G,list!B:D,2,FALSE)</f>
        <v>#N/A</v>
      </c>
      <c r="D106" s="564" t="s">
        <v>183</v>
      </c>
      <c r="E106" s="564" t="s">
        <v>62</v>
      </c>
      <c r="F106" s="564" t="s">
        <v>213</v>
      </c>
      <c r="G106" s="564" t="s">
        <v>57</v>
      </c>
      <c r="H106" s="565">
        <v>44691</v>
      </c>
      <c r="I106" s="564" t="s">
        <v>428</v>
      </c>
      <c r="J106" s="599">
        <v>270780</v>
      </c>
      <c r="K106" s="600">
        <v>0.3</v>
      </c>
      <c r="L106" s="568">
        <v>81234</v>
      </c>
      <c r="M106" s="569">
        <v>0.1</v>
      </c>
      <c r="N106" s="570">
        <f t="shared" ref="N106:N107" si="13">L106*M106</f>
        <v>8123.4000000000005</v>
      </c>
      <c r="O106" s="570">
        <f t="shared" ref="O106:O107" si="14">L106-N106</f>
        <v>73110.600000000006</v>
      </c>
      <c r="P106" s="575" t="s">
        <v>432</v>
      </c>
      <c r="Q106" s="572" t="e">
        <f>VLOOKUP(G:G,list!B:D,3,FALSE)</f>
        <v>#N/A</v>
      </c>
    </row>
    <row r="107" spans="2:17" ht="18" customHeight="1">
      <c r="B107" s="563">
        <v>102</v>
      </c>
      <c r="C107" s="564" t="e">
        <f>VLOOKUP(G:G,list!B:D,2,FALSE)</f>
        <v>#N/A</v>
      </c>
      <c r="D107" s="564" t="s">
        <v>183</v>
      </c>
      <c r="E107" s="564" t="s">
        <v>62</v>
      </c>
      <c r="F107" s="564" t="s">
        <v>213</v>
      </c>
      <c r="G107" s="564" t="s">
        <v>173</v>
      </c>
      <c r="H107" s="565">
        <v>44720</v>
      </c>
      <c r="I107" s="564" t="s">
        <v>377</v>
      </c>
      <c r="J107" s="599">
        <v>1449213</v>
      </c>
      <c r="K107" s="600">
        <v>0.3</v>
      </c>
      <c r="L107" s="568">
        <v>434764</v>
      </c>
      <c r="M107" s="569">
        <v>0.1</v>
      </c>
      <c r="N107" s="570">
        <f t="shared" si="13"/>
        <v>43476.4</v>
      </c>
      <c r="O107" s="570">
        <f t="shared" si="14"/>
        <v>391287.6</v>
      </c>
      <c r="P107" s="575" t="s">
        <v>361</v>
      </c>
      <c r="Q107" s="572" t="e">
        <f>VLOOKUP(G:G,list!B:D,3,FALSE)</f>
        <v>#N/A</v>
      </c>
    </row>
    <row r="108" spans="2:17" ht="18" customHeight="1">
      <c r="B108" s="563">
        <v>103</v>
      </c>
      <c r="C108" s="564" t="e">
        <f>VLOOKUP(G:G,list!B:D,2,FALSE)</f>
        <v>#N/A</v>
      </c>
      <c r="D108" s="564" t="s">
        <v>183</v>
      </c>
      <c r="E108" s="564" t="s">
        <v>62</v>
      </c>
      <c r="F108" s="564" t="s">
        <v>213</v>
      </c>
      <c r="G108" s="564" t="s">
        <v>173</v>
      </c>
      <c r="H108" s="565">
        <v>44720</v>
      </c>
      <c r="I108" s="564" t="s">
        <v>428</v>
      </c>
      <c r="J108" s="599">
        <v>1276083</v>
      </c>
      <c r="K108" s="600">
        <v>0.3</v>
      </c>
      <c r="L108" s="568">
        <v>382825</v>
      </c>
      <c r="M108" s="569">
        <v>0.1</v>
      </c>
      <c r="N108" s="570">
        <f t="shared" si="6"/>
        <v>38282.5</v>
      </c>
      <c r="O108" s="570">
        <f t="shared" si="3"/>
        <v>344542.5</v>
      </c>
      <c r="P108" s="575" t="s">
        <v>361</v>
      </c>
      <c r="Q108" s="572" t="e">
        <f>VLOOKUP(G:G,list!B:D,3,FALSE)</f>
        <v>#N/A</v>
      </c>
    </row>
    <row r="109" spans="2:17" ht="18" customHeight="1">
      <c r="B109" s="563">
        <v>104</v>
      </c>
      <c r="C109" s="564" t="e">
        <f>VLOOKUP(G:G,list!B:D,2,FALSE)</f>
        <v>#N/A</v>
      </c>
      <c r="D109" s="564" t="s">
        <v>66</v>
      </c>
      <c r="E109" s="564" t="s">
        <v>64</v>
      </c>
      <c r="F109" s="564" t="s">
        <v>65</v>
      </c>
      <c r="G109" s="564" t="s">
        <v>152</v>
      </c>
      <c r="H109" s="565">
        <v>44235</v>
      </c>
      <c r="I109" s="564" t="s">
        <v>428</v>
      </c>
      <c r="J109" s="599">
        <v>1273833</v>
      </c>
      <c r="K109" s="603">
        <v>0.4</v>
      </c>
      <c r="L109" s="568">
        <v>509533</v>
      </c>
      <c r="M109" s="569">
        <v>0.12</v>
      </c>
      <c r="N109" s="573">
        <f t="shared" si="6"/>
        <v>61143.96</v>
      </c>
      <c r="O109" s="570">
        <f t="shared" si="3"/>
        <v>448389.04</v>
      </c>
      <c r="P109" s="576"/>
      <c r="Q109" s="572" t="e">
        <f>VLOOKUP(G:G,list!B:D,3,FALSE)</f>
        <v>#N/A</v>
      </c>
    </row>
    <row r="110" spans="2:17" ht="18" customHeight="1">
      <c r="B110" s="563">
        <v>105</v>
      </c>
      <c r="C110" s="564" t="e">
        <f>VLOOKUP(G:G,list!B:D,2,FALSE)</f>
        <v>#N/A</v>
      </c>
      <c r="D110" s="564" t="s">
        <v>66</v>
      </c>
      <c r="E110" s="564" t="s">
        <v>64</v>
      </c>
      <c r="F110" s="564" t="s">
        <v>65</v>
      </c>
      <c r="G110" s="564" t="s">
        <v>179</v>
      </c>
      <c r="H110" s="565">
        <v>44198</v>
      </c>
      <c r="I110" s="564" t="s">
        <v>428</v>
      </c>
      <c r="J110" s="599">
        <v>1374163</v>
      </c>
      <c r="K110" s="603">
        <v>0.4</v>
      </c>
      <c r="L110" s="568">
        <v>549665</v>
      </c>
      <c r="M110" s="569">
        <v>0.1</v>
      </c>
      <c r="N110" s="573">
        <f t="shared" si="6"/>
        <v>54966.5</v>
      </c>
      <c r="O110" s="570">
        <f t="shared" si="3"/>
        <v>494698.5</v>
      </c>
      <c r="P110" s="575" t="s">
        <v>85</v>
      </c>
      <c r="Q110" s="572" t="e">
        <f>VLOOKUP(G:G,list!B:D,3,FALSE)</f>
        <v>#N/A</v>
      </c>
    </row>
    <row r="111" spans="2:17" ht="18" customHeight="1">
      <c r="B111" s="563">
        <v>106</v>
      </c>
      <c r="C111" s="564" t="e">
        <f>VLOOKUP(G:G,list!B:D,2,FALSE)</f>
        <v>#N/A</v>
      </c>
      <c r="D111" s="564" t="s">
        <v>66</v>
      </c>
      <c r="E111" s="564" t="s">
        <v>64</v>
      </c>
      <c r="F111" s="564" t="s">
        <v>65</v>
      </c>
      <c r="G111" s="564" t="s">
        <v>147</v>
      </c>
      <c r="H111" s="565">
        <v>44288</v>
      </c>
      <c r="I111" s="564" t="s">
        <v>428</v>
      </c>
      <c r="J111" s="599">
        <v>227330</v>
      </c>
      <c r="K111" s="603">
        <v>0.4</v>
      </c>
      <c r="L111" s="568">
        <v>90932</v>
      </c>
      <c r="M111" s="569" t="s">
        <v>203</v>
      </c>
      <c r="N111" s="573">
        <v>0</v>
      </c>
      <c r="O111" s="570">
        <f t="shared" si="3"/>
        <v>90932</v>
      </c>
      <c r="P111" s="576"/>
      <c r="Q111" s="572" t="e">
        <f>VLOOKUP(G:G,list!B:D,3,FALSE)</f>
        <v>#N/A</v>
      </c>
    </row>
    <row r="112" spans="2:17" ht="18" customHeight="1">
      <c r="B112" s="563">
        <v>107</v>
      </c>
      <c r="C112" s="564" t="e">
        <f>VLOOKUP(G:G,list!B:D,2,FALSE)</f>
        <v>#N/A</v>
      </c>
      <c r="D112" s="564" t="s">
        <v>66</v>
      </c>
      <c r="E112" s="564" t="s">
        <v>64</v>
      </c>
      <c r="F112" s="564" t="s">
        <v>65</v>
      </c>
      <c r="G112" s="564" t="s">
        <v>74</v>
      </c>
      <c r="H112" s="565">
        <v>44246</v>
      </c>
      <c r="I112" s="564" t="s">
        <v>428</v>
      </c>
      <c r="J112" s="599">
        <v>167355</v>
      </c>
      <c r="K112" s="603">
        <v>0.4</v>
      </c>
      <c r="L112" s="568">
        <v>66942</v>
      </c>
      <c r="M112" s="569">
        <v>0.1</v>
      </c>
      <c r="N112" s="570">
        <f>L112*M112</f>
        <v>6694.2000000000007</v>
      </c>
      <c r="O112" s="570">
        <f t="shared" si="3"/>
        <v>60247.8</v>
      </c>
      <c r="P112" s="576"/>
      <c r="Q112" s="572" t="e">
        <f>VLOOKUP(G:G,list!B:D,3,FALSE)</f>
        <v>#N/A</v>
      </c>
    </row>
    <row r="113" spans="2:17" ht="18" customHeight="1">
      <c r="B113" s="563">
        <v>108</v>
      </c>
      <c r="C113" s="564" t="str">
        <f>VLOOKUP(G:G,list!B:D,2,FALSE)</f>
        <v>원작료</v>
      </c>
      <c r="D113" s="564" t="s">
        <v>66</v>
      </c>
      <c r="E113" s="564" t="s">
        <v>64</v>
      </c>
      <c r="F113" s="564" t="s">
        <v>65</v>
      </c>
      <c r="G113" s="564" t="s">
        <v>151</v>
      </c>
      <c r="H113" s="565">
        <v>44586</v>
      </c>
      <c r="I113" s="564" t="s">
        <v>428</v>
      </c>
      <c r="J113" s="599">
        <v>581143</v>
      </c>
      <c r="K113" s="603">
        <v>0.4</v>
      </c>
      <c r="L113" s="568">
        <v>232457</v>
      </c>
      <c r="M113" s="569">
        <v>0.1</v>
      </c>
      <c r="N113" s="570">
        <f>L113*M113</f>
        <v>23245.7</v>
      </c>
      <c r="O113" s="570">
        <f>L113-N113</f>
        <v>209211.3</v>
      </c>
      <c r="P113" s="576"/>
      <c r="Q113" s="572" t="str">
        <f>VLOOKUP(G:G,list!B:D,3,FALSE)</f>
        <v>Y</v>
      </c>
    </row>
    <row r="114" spans="2:17" ht="18" customHeight="1">
      <c r="B114" s="563">
        <v>109</v>
      </c>
      <c r="C114" s="564" t="e">
        <f>VLOOKUP(G:G,list!B:D,2,FALSE)</f>
        <v>#N/A</v>
      </c>
      <c r="D114" s="564" t="s">
        <v>66</v>
      </c>
      <c r="E114" s="564" t="s">
        <v>64</v>
      </c>
      <c r="F114" s="564" t="s">
        <v>65</v>
      </c>
      <c r="G114" s="564" t="s">
        <v>153</v>
      </c>
      <c r="H114" s="565">
        <v>44702</v>
      </c>
      <c r="I114" s="564" t="s">
        <v>428</v>
      </c>
      <c r="J114" s="599">
        <v>641188</v>
      </c>
      <c r="K114" s="603">
        <v>0.4</v>
      </c>
      <c r="L114" s="568">
        <v>256475</v>
      </c>
      <c r="M114" s="569">
        <v>0.1</v>
      </c>
      <c r="N114" s="570">
        <f t="shared" ref="N114" si="15">L114*M114</f>
        <v>25647.5</v>
      </c>
      <c r="O114" s="570">
        <f t="shared" si="3"/>
        <v>230827.5</v>
      </c>
      <c r="P114" s="575"/>
      <c r="Q114" s="572" t="e">
        <f>VLOOKUP(G:G,list!B:D,3,FALSE)</f>
        <v>#N/A</v>
      </c>
    </row>
    <row r="115" spans="2:17" ht="18" customHeight="1">
      <c r="B115" s="563">
        <v>110</v>
      </c>
      <c r="C115" s="564" t="e">
        <f>VLOOKUP(G:G,list!B:D,2,FALSE)</f>
        <v>#N/A</v>
      </c>
      <c r="D115" s="564" t="s">
        <v>27</v>
      </c>
      <c r="E115" s="564" t="s">
        <v>62</v>
      </c>
      <c r="F115" s="564" t="s">
        <v>213</v>
      </c>
      <c r="G115" s="564" t="s">
        <v>10</v>
      </c>
      <c r="H115" s="565">
        <v>44395</v>
      </c>
      <c r="I115" s="564" t="s">
        <v>377</v>
      </c>
      <c r="J115" s="599">
        <v>17908860</v>
      </c>
      <c r="K115" s="600">
        <v>0.3</v>
      </c>
      <c r="L115" s="568">
        <v>5372658</v>
      </c>
      <c r="M115" s="569">
        <v>0.1</v>
      </c>
      <c r="N115" s="570">
        <f>L115*M115</f>
        <v>537265.80000000005</v>
      </c>
      <c r="O115" s="570">
        <f t="shared" ref="O115:O163" si="16">L115-N115</f>
        <v>4835392.2</v>
      </c>
      <c r="P115" s="575" t="s">
        <v>307</v>
      </c>
      <c r="Q115" s="572" t="e">
        <f>VLOOKUP(G:G,list!B:D,3,FALSE)</f>
        <v>#N/A</v>
      </c>
    </row>
    <row r="116" spans="2:17" ht="18" customHeight="1">
      <c r="B116" s="563">
        <v>111</v>
      </c>
      <c r="C116" s="564" t="e">
        <f>VLOOKUP(G:G,list!B:D,2,FALSE)</f>
        <v>#N/A</v>
      </c>
      <c r="D116" s="564" t="s">
        <v>27</v>
      </c>
      <c r="E116" s="564" t="s">
        <v>62</v>
      </c>
      <c r="F116" s="564" t="s">
        <v>213</v>
      </c>
      <c r="G116" s="564" t="s">
        <v>10</v>
      </c>
      <c r="H116" s="565">
        <v>44395</v>
      </c>
      <c r="I116" s="564" t="s">
        <v>428</v>
      </c>
      <c r="J116" s="599">
        <v>17052693</v>
      </c>
      <c r="K116" s="600">
        <v>0.3</v>
      </c>
      <c r="L116" s="568">
        <v>5115808</v>
      </c>
      <c r="M116" s="569">
        <v>0.1</v>
      </c>
      <c r="N116" s="570">
        <f>L116*M116</f>
        <v>511580.80000000005</v>
      </c>
      <c r="O116" s="570">
        <f t="shared" ref="O116" si="17">L116-N116</f>
        <v>4604227.2</v>
      </c>
      <c r="P116" s="575" t="s">
        <v>307</v>
      </c>
      <c r="Q116" s="572" t="e">
        <f>VLOOKUP(G:G,list!B:D,3,FALSE)</f>
        <v>#N/A</v>
      </c>
    </row>
    <row r="117" spans="2:17" ht="18" customHeight="1">
      <c r="B117" s="563">
        <v>112</v>
      </c>
      <c r="C117" s="564" t="e">
        <f>VLOOKUP(G:G,list!B:D,2,FALSE)</f>
        <v>#N/A</v>
      </c>
      <c r="D117" s="564" t="s">
        <v>27</v>
      </c>
      <c r="E117" s="564" t="s">
        <v>62</v>
      </c>
      <c r="F117" s="564" t="s">
        <v>213</v>
      </c>
      <c r="G117" s="564" t="s">
        <v>11</v>
      </c>
      <c r="H117" s="565">
        <v>44420</v>
      </c>
      <c r="I117" s="564" t="s">
        <v>377</v>
      </c>
      <c r="J117" s="599">
        <v>2522783</v>
      </c>
      <c r="K117" s="600">
        <v>0.3</v>
      </c>
      <c r="L117" s="568">
        <v>756835</v>
      </c>
      <c r="M117" s="569" t="s">
        <v>203</v>
      </c>
      <c r="N117" s="570">
        <v>0</v>
      </c>
      <c r="O117" s="570">
        <f t="shared" si="16"/>
        <v>756835</v>
      </c>
      <c r="P117" s="575" t="s">
        <v>307</v>
      </c>
      <c r="Q117" s="572" t="e">
        <f>VLOOKUP(G:G,list!B:D,3,FALSE)</f>
        <v>#N/A</v>
      </c>
    </row>
    <row r="118" spans="2:17" ht="18" customHeight="1">
      <c r="B118" s="563">
        <v>113</v>
      </c>
      <c r="C118" s="564" t="e">
        <f>VLOOKUP(G:G,list!B:D,2,FALSE)</f>
        <v>#N/A</v>
      </c>
      <c r="D118" s="564" t="s">
        <v>27</v>
      </c>
      <c r="E118" s="564" t="s">
        <v>62</v>
      </c>
      <c r="F118" s="564" t="s">
        <v>213</v>
      </c>
      <c r="G118" s="564" t="s">
        <v>11</v>
      </c>
      <c r="H118" s="565">
        <v>44420</v>
      </c>
      <c r="I118" s="564" t="s">
        <v>428</v>
      </c>
      <c r="J118" s="599">
        <v>2464073</v>
      </c>
      <c r="K118" s="600">
        <v>0.3</v>
      </c>
      <c r="L118" s="568">
        <v>739222</v>
      </c>
      <c r="M118" s="569" t="s">
        <v>203</v>
      </c>
      <c r="N118" s="570">
        <v>0</v>
      </c>
      <c r="O118" s="570">
        <f t="shared" ref="O118" si="18">L118-N118</f>
        <v>739222</v>
      </c>
      <c r="P118" s="575" t="s">
        <v>307</v>
      </c>
      <c r="Q118" s="572" t="e">
        <f>VLOOKUP(G:G,list!B:D,3,FALSE)</f>
        <v>#N/A</v>
      </c>
    </row>
    <row r="119" spans="2:17" ht="18" customHeight="1">
      <c r="B119" s="563">
        <v>114</v>
      </c>
      <c r="C119" s="564" t="e">
        <f>VLOOKUP(G:G,list!B:D,2,FALSE)</f>
        <v>#N/A</v>
      </c>
      <c r="D119" s="564" t="s">
        <v>27</v>
      </c>
      <c r="E119" s="564" t="s">
        <v>62</v>
      </c>
      <c r="F119" s="564" t="s">
        <v>213</v>
      </c>
      <c r="G119" s="564" t="s">
        <v>17</v>
      </c>
      <c r="H119" s="565">
        <v>44486</v>
      </c>
      <c r="I119" s="564" t="s">
        <v>377</v>
      </c>
      <c r="J119" s="599">
        <v>16739150</v>
      </c>
      <c r="K119" s="600">
        <v>0.3</v>
      </c>
      <c r="L119" s="568">
        <v>5021745</v>
      </c>
      <c r="M119" s="569">
        <v>0.12</v>
      </c>
      <c r="N119" s="573">
        <f>L119*M119</f>
        <v>602609.4</v>
      </c>
      <c r="O119" s="570">
        <f t="shared" si="16"/>
        <v>4419135.5999999996</v>
      </c>
      <c r="P119" s="575" t="s">
        <v>307</v>
      </c>
      <c r="Q119" s="572" t="e">
        <f>VLOOKUP(G:G,list!B:D,3,FALSE)</f>
        <v>#N/A</v>
      </c>
    </row>
    <row r="120" spans="2:17" ht="18" customHeight="1">
      <c r="B120" s="563">
        <v>115</v>
      </c>
      <c r="C120" s="564" t="e">
        <f>VLOOKUP(G:G,list!B:D,2,FALSE)</f>
        <v>#N/A</v>
      </c>
      <c r="D120" s="564" t="s">
        <v>27</v>
      </c>
      <c r="E120" s="564" t="s">
        <v>62</v>
      </c>
      <c r="F120" s="564" t="s">
        <v>213</v>
      </c>
      <c r="G120" s="564" t="s">
        <v>17</v>
      </c>
      <c r="H120" s="565">
        <v>44486</v>
      </c>
      <c r="I120" s="564" t="s">
        <v>428</v>
      </c>
      <c r="J120" s="599">
        <v>15195087</v>
      </c>
      <c r="K120" s="600">
        <v>0.3</v>
      </c>
      <c r="L120" s="568">
        <v>4558526</v>
      </c>
      <c r="M120" s="569">
        <v>0.12</v>
      </c>
      <c r="N120" s="573">
        <f>L120*M120</f>
        <v>547023.12</v>
      </c>
      <c r="O120" s="570">
        <f t="shared" ref="O120:O122" si="19">L120-N120</f>
        <v>4011502.88</v>
      </c>
      <c r="P120" s="575" t="s">
        <v>307</v>
      </c>
      <c r="Q120" s="572" t="e">
        <f>VLOOKUP(G:G,list!B:D,3,FALSE)</f>
        <v>#N/A</v>
      </c>
    </row>
    <row r="121" spans="2:17" ht="18" customHeight="1">
      <c r="B121" s="563">
        <v>116</v>
      </c>
      <c r="C121" s="564" t="e">
        <f>VLOOKUP(G:G,list!B:D,2,FALSE)</f>
        <v>#N/A</v>
      </c>
      <c r="D121" s="564" t="s">
        <v>27</v>
      </c>
      <c r="E121" s="564" t="s">
        <v>62</v>
      </c>
      <c r="F121" s="564" t="s">
        <v>213</v>
      </c>
      <c r="G121" s="564" t="s">
        <v>306</v>
      </c>
      <c r="H121" s="565">
        <v>44748</v>
      </c>
      <c r="I121" s="564" t="s">
        <v>377</v>
      </c>
      <c r="J121" s="599">
        <v>2166330</v>
      </c>
      <c r="K121" s="600">
        <v>0.3</v>
      </c>
      <c r="L121" s="568">
        <v>649899</v>
      </c>
      <c r="M121" s="569" t="s">
        <v>203</v>
      </c>
      <c r="N121" s="570">
        <v>0</v>
      </c>
      <c r="O121" s="570">
        <f>L121-N121</f>
        <v>649899</v>
      </c>
      <c r="P121" s="575" t="s">
        <v>449</v>
      </c>
      <c r="Q121" s="572" t="e">
        <f>VLOOKUP(G:G,list!B:D,3,FALSE)</f>
        <v>#N/A</v>
      </c>
    </row>
    <row r="122" spans="2:17" ht="18" customHeight="1">
      <c r="B122" s="563">
        <v>117</v>
      </c>
      <c r="C122" s="564" t="e">
        <f>VLOOKUP(G:G,list!B:D,2,FALSE)</f>
        <v>#N/A</v>
      </c>
      <c r="D122" s="564" t="s">
        <v>27</v>
      </c>
      <c r="E122" s="564" t="s">
        <v>62</v>
      </c>
      <c r="F122" s="564" t="s">
        <v>213</v>
      </c>
      <c r="G122" s="564" t="s">
        <v>306</v>
      </c>
      <c r="H122" s="565">
        <v>44748</v>
      </c>
      <c r="I122" s="564" t="s">
        <v>428</v>
      </c>
      <c r="J122" s="599">
        <v>906540</v>
      </c>
      <c r="K122" s="600">
        <v>0.3</v>
      </c>
      <c r="L122" s="568">
        <v>271962</v>
      </c>
      <c r="M122" s="569" t="s">
        <v>203</v>
      </c>
      <c r="N122" s="570">
        <v>0</v>
      </c>
      <c r="O122" s="570">
        <f t="shared" si="19"/>
        <v>271962</v>
      </c>
      <c r="P122" s="575" t="s">
        <v>307</v>
      </c>
      <c r="Q122" s="572" t="e">
        <f>VLOOKUP(G:G,list!B:D,3,FALSE)</f>
        <v>#N/A</v>
      </c>
    </row>
    <row r="123" spans="2:17" ht="18" customHeight="1">
      <c r="B123" s="563">
        <v>118</v>
      </c>
      <c r="C123" s="564" t="e">
        <f>VLOOKUP(G:G,list!B:D,2,FALSE)</f>
        <v>#N/A</v>
      </c>
      <c r="D123" s="564" t="s">
        <v>27</v>
      </c>
      <c r="E123" s="564" t="s">
        <v>62</v>
      </c>
      <c r="F123" s="564" t="s">
        <v>213</v>
      </c>
      <c r="G123" s="564" t="s">
        <v>11</v>
      </c>
      <c r="H123" s="565">
        <v>44637</v>
      </c>
      <c r="I123" s="564" t="s">
        <v>368</v>
      </c>
      <c r="J123" s="599">
        <v>120567</v>
      </c>
      <c r="K123" s="600">
        <v>0.3</v>
      </c>
      <c r="L123" s="568">
        <v>36170</v>
      </c>
      <c r="M123" s="569" t="s">
        <v>203</v>
      </c>
      <c r="N123" s="570">
        <v>0</v>
      </c>
      <c r="O123" s="570">
        <f t="shared" si="16"/>
        <v>36170</v>
      </c>
      <c r="P123" s="575" t="s">
        <v>283</v>
      </c>
      <c r="Q123" s="572" t="e">
        <f>VLOOKUP(G:G,list!B:D,3,FALSE)</f>
        <v>#N/A</v>
      </c>
    </row>
    <row r="124" spans="2:17" ht="18" customHeight="1">
      <c r="B124" s="563">
        <v>119</v>
      </c>
      <c r="C124" s="564" t="e">
        <f>VLOOKUP(G:G,list!B:D,2,FALSE)</f>
        <v>#N/A</v>
      </c>
      <c r="D124" s="564" t="s">
        <v>27</v>
      </c>
      <c r="E124" s="564" t="s">
        <v>62</v>
      </c>
      <c r="F124" s="564" t="s">
        <v>213</v>
      </c>
      <c r="G124" s="564" t="s">
        <v>11</v>
      </c>
      <c r="H124" s="565">
        <v>44637</v>
      </c>
      <c r="I124" s="564" t="s">
        <v>377</v>
      </c>
      <c r="J124" s="599">
        <v>56357</v>
      </c>
      <c r="K124" s="600">
        <v>0.3</v>
      </c>
      <c r="L124" s="568">
        <v>16907</v>
      </c>
      <c r="M124" s="569" t="s">
        <v>203</v>
      </c>
      <c r="N124" s="570">
        <v>0</v>
      </c>
      <c r="O124" s="570">
        <f t="shared" ref="O124" si="20">L124-N124</f>
        <v>16907</v>
      </c>
      <c r="P124" s="575" t="s">
        <v>283</v>
      </c>
      <c r="Q124" s="572" t="e">
        <f>VLOOKUP(G:G,list!B:D,3,FALSE)</f>
        <v>#N/A</v>
      </c>
    </row>
    <row r="125" spans="2:17" ht="18" customHeight="1">
      <c r="B125" s="563">
        <v>120</v>
      </c>
      <c r="C125" s="564" t="e">
        <f>VLOOKUP(G:G,list!B:D,2,FALSE)</f>
        <v>#N/A</v>
      </c>
      <c r="D125" s="564" t="s">
        <v>27</v>
      </c>
      <c r="E125" s="564" t="s">
        <v>62</v>
      </c>
      <c r="F125" s="564" t="s">
        <v>213</v>
      </c>
      <c r="G125" s="564" t="s">
        <v>17</v>
      </c>
      <c r="H125" s="565">
        <v>44486</v>
      </c>
      <c r="I125" s="564" t="s">
        <v>368</v>
      </c>
      <c r="J125" s="599">
        <v>554727</v>
      </c>
      <c r="K125" s="600">
        <v>0.3</v>
      </c>
      <c r="L125" s="568">
        <v>166418</v>
      </c>
      <c r="M125" s="569">
        <v>0.12</v>
      </c>
      <c r="N125" s="573">
        <f t="shared" ref="N125:N132" si="21">L125*M125</f>
        <v>19970.16</v>
      </c>
      <c r="O125" s="570">
        <f t="shared" si="16"/>
        <v>146447.84</v>
      </c>
      <c r="P125" s="575" t="s">
        <v>283</v>
      </c>
      <c r="Q125" s="572" t="e">
        <f>VLOOKUP(G:G,list!B:D,3,FALSE)</f>
        <v>#N/A</v>
      </c>
    </row>
    <row r="126" spans="2:17" ht="18" customHeight="1">
      <c r="B126" s="563">
        <v>121</v>
      </c>
      <c r="C126" s="564" t="e">
        <f>VLOOKUP(G:G,list!B:D,2,FALSE)</f>
        <v>#N/A</v>
      </c>
      <c r="D126" s="564" t="s">
        <v>27</v>
      </c>
      <c r="E126" s="564" t="s">
        <v>62</v>
      </c>
      <c r="F126" s="564" t="s">
        <v>213</v>
      </c>
      <c r="G126" s="564" t="s">
        <v>17</v>
      </c>
      <c r="H126" s="565">
        <v>44486</v>
      </c>
      <c r="I126" s="564" t="s">
        <v>377</v>
      </c>
      <c r="J126" s="599">
        <v>461453</v>
      </c>
      <c r="K126" s="600">
        <v>0.3</v>
      </c>
      <c r="L126" s="568">
        <v>138436</v>
      </c>
      <c r="M126" s="569">
        <v>0.12</v>
      </c>
      <c r="N126" s="573">
        <f t="shared" ref="N126:N127" si="22">L126*M126</f>
        <v>16612.32</v>
      </c>
      <c r="O126" s="570">
        <f t="shared" ref="O126:O127" si="23">L126-N126</f>
        <v>121823.67999999999</v>
      </c>
      <c r="P126" s="575" t="s">
        <v>283</v>
      </c>
      <c r="Q126" s="572" t="e">
        <f>VLOOKUP(G:G,list!B:D,3,FALSE)</f>
        <v>#N/A</v>
      </c>
    </row>
    <row r="127" spans="2:17" ht="18" customHeight="1">
      <c r="B127" s="563">
        <v>122</v>
      </c>
      <c r="C127" s="564" t="e">
        <f>VLOOKUP(G:G,list!B:D,2,FALSE)</f>
        <v>#N/A</v>
      </c>
      <c r="D127" s="564" t="s">
        <v>27</v>
      </c>
      <c r="E127" s="564" t="s">
        <v>62</v>
      </c>
      <c r="F127" s="564" t="s">
        <v>213</v>
      </c>
      <c r="G127" s="564" t="s">
        <v>12</v>
      </c>
      <c r="H127" s="565">
        <v>44544</v>
      </c>
      <c r="I127" s="564" t="s">
        <v>368</v>
      </c>
      <c r="J127" s="599">
        <v>152460</v>
      </c>
      <c r="K127" s="600">
        <v>0.3</v>
      </c>
      <c r="L127" s="568">
        <v>45738</v>
      </c>
      <c r="M127" s="569">
        <v>0.1</v>
      </c>
      <c r="N127" s="570">
        <f t="shared" si="22"/>
        <v>4573.8</v>
      </c>
      <c r="O127" s="570">
        <f t="shared" si="23"/>
        <v>41164.199999999997</v>
      </c>
      <c r="P127" s="575" t="s">
        <v>283</v>
      </c>
      <c r="Q127" s="572" t="e">
        <f>VLOOKUP(G:G,list!B:D,3,FALSE)</f>
        <v>#N/A</v>
      </c>
    </row>
    <row r="128" spans="2:17" ht="18" customHeight="1">
      <c r="B128" s="563">
        <v>123</v>
      </c>
      <c r="C128" s="564" t="e">
        <f>VLOOKUP(G:G,list!B:D,2,FALSE)</f>
        <v>#N/A</v>
      </c>
      <c r="D128" s="564" t="s">
        <v>27</v>
      </c>
      <c r="E128" s="564" t="s">
        <v>62</v>
      </c>
      <c r="F128" s="564" t="s">
        <v>213</v>
      </c>
      <c r="G128" s="564" t="s">
        <v>12</v>
      </c>
      <c r="H128" s="565">
        <v>44544</v>
      </c>
      <c r="I128" s="564" t="s">
        <v>377</v>
      </c>
      <c r="J128" s="599">
        <v>120780</v>
      </c>
      <c r="K128" s="600">
        <v>0.3</v>
      </c>
      <c r="L128" s="568">
        <v>36234</v>
      </c>
      <c r="M128" s="569">
        <v>0.1</v>
      </c>
      <c r="N128" s="570">
        <f t="shared" si="21"/>
        <v>3623.4</v>
      </c>
      <c r="O128" s="570">
        <f t="shared" si="16"/>
        <v>32610.6</v>
      </c>
      <c r="P128" s="575" t="s">
        <v>283</v>
      </c>
      <c r="Q128" s="572" t="e">
        <f>VLOOKUP(G:G,list!B:D,3,FALSE)</f>
        <v>#N/A</v>
      </c>
    </row>
    <row r="129" spans="2:17" ht="18" customHeight="1">
      <c r="B129" s="563">
        <v>124</v>
      </c>
      <c r="C129" s="564" t="e">
        <f>VLOOKUP(G:G,list!B:D,2,FALSE)</f>
        <v>#N/A</v>
      </c>
      <c r="D129" s="564" t="s">
        <v>182</v>
      </c>
      <c r="E129" s="564" t="s">
        <v>9</v>
      </c>
      <c r="F129" s="564" t="s">
        <v>384</v>
      </c>
      <c r="G129" s="564" t="s">
        <v>179</v>
      </c>
      <c r="H129" s="565">
        <v>44180</v>
      </c>
      <c r="I129" s="564" t="s">
        <v>377</v>
      </c>
      <c r="J129" s="599">
        <v>694975</v>
      </c>
      <c r="K129" s="600">
        <v>0.5</v>
      </c>
      <c r="L129" s="568">
        <v>347487.5</v>
      </c>
      <c r="M129" s="569">
        <v>0.1</v>
      </c>
      <c r="N129" s="573">
        <f t="shared" si="21"/>
        <v>34748.75</v>
      </c>
      <c r="O129" s="570">
        <f t="shared" si="16"/>
        <v>312738.75</v>
      </c>
      <c r="P129" s="575" t="s">
        <v>85</v>
      </c>
      <c r="Q129" s="572" t="e">
        <f>VLOOKUP(G:G,list!B:D,3,FALSE)</f>
        <v>#N/A</v>
      </c>
    </row>
    <row r="130" spans="2:17" ht="18" customHeight="1">
      <c r="B130" s="563">
        <v>125</v>
      </c>
      <c r="C130" s="564" t="e">
        <f>VLOOKUP(G:G,list!B:D,2,FALSE)</f>
        <v>#N/A</v>
      </c>
      <c r="D130" s="564" t="s">
        <v>182</v>
      </c>
      <c r="E130" s="564" t="s">
        <v>9</v>
      </c>
      <c r="F130" s="564" t="s">
        <v>384</v>
      </c>
      <c r="G130" s="564" t="s">
        <v>152</v>
      </c>
      <c r="H130" s="565">
        <v>44180</v>
      </c>
      <c r="I130" s="564" t="s">
        <v>377</v>
      </c>
      <c r="J130" s="599">
        <v>92556</v>
      </c>
      <c r="K130" s="600">
        <v>0.5</v>
      </c>
      <c r="L130" s="568">
        <v>46278</v>
      </c>
      <c r="M130" s="569">
        <v>0.12</v>
      </c>
      <c r="N130" s="573">
        <f t="shared" si="21"/>
        <v>5553.36</v>
      </c>
      <c r="O130" s="570">
        <f t="shared" si="16"/>
        <v>40724.639999999999</v>
      </c>
      <c r="P130" s="573"/>
      <c r="Q130" s="572" t="e">
        <f>VLOOKUP(G:G,list!B:D,3,FALSE)</f>
        <v>#N/A</v>
      </c>
    </row>
    <row r="131" spans="2:17" ht="18" customHeight="1">
      <c r="B131" s="563">
        <v>126</v>
      </c>
      <c r="C131" s="564" t="e">
        <f>VLOOKUP(G:G,list!B:D,2,FALSE)</f>
        <v>#N/A</v>
      </c>
      <c r="D131" s="564" t="s">
        <v>182</v>
      </c>
      <c r="E131" s="564" t="s">
        <v>9</v>
      </c>
      <c r="F131" s="564" t="s">
        <v>384</v>
      </c>
      <c r="G131" s="564" t="s">
        <v>153</v>
      </c>
      <c r="H131" s="565">
        <v>44180</v>
      </c>
      <c r="I131" s="564" t="s">
        <v>377</v>
      </c>
      <c r="J131" s="599">
        <v>114777</v>
      </c>
      <c r="K131" s="600">
        <v>0.5</v>
      </c>
      <c r="L131" s="568">
        <v>57388.5</v>
      </c>
      <c r="M131" s="569">
        <v>0.1</v>
      </c>
      <c r="N131" s="570">
        <f t="shared" si="21"/>
        <v>5738.85</v>
      </c>
      <c r="O131" s="570">
        <f t="shared" si="16"/>
        <v>51649.65</v>
      </c>
      <c r="P131" s="573"/>
      <c r="Q131" s="572" t="e">
        <f>VLOOKUP(G:G,list!B:D,3,FALSE)</f>
        <v>#N/A</v>
      </c>
    </row>
    <row r="132" spans="2:17" ht="18" customHeight="1">
      <c r="B132" s="563">
        <v>127</v>
      </c>
      <c r="C132" s="564" t="e">
        <f>VLOOKUP(G:G,list!B:D,2,FALSE)</f>
        <v>#N/A</v>
      </c>
      <c r="D132" s="564" t="s">
        <v>182</v>
      </c>
      <c r="E132" s="564" t="s">
        <v>9</v>
      </c>
      <c r="F132" s="564" t="s">
        <v>384</v>
      </c>
      <c r="G132" s="564" t="s">
        <v>74</v>
      </c>
      <c r="H132" s="565">
        <v>44180</v>
      </c>
      <c r="I132" s="564" t="s">
        <v>377</v>
      </c>
      <c r="J132" s="599">
        <v>91579</v>
      </c>
      <c r="K132" s="600">
        <v>0.5</v>
      </c>
      <c r="L132" s="568">
        <v>45789.5</v>
      </c>
      <c r="M132" s="569">
        <v>0.1</v>
      </c>
      <c r="N132" s="570">
        <f t="shared" si="21"/>
        <v>4578.95</v>
      </c>
      <c r="O132" s="570">
        <f t="shared" si="16"/>
        <v>41210.550000000003</v>
      </c>
      <c r="P132" s="575"/>
      <c r="Q132" s="572" t="e">
        <f>VLOOKUP(G:G,list!B:D,3,FALSE)</f>
        <v>#N/A</v>
      </c>
    </row>
    <row r="133" spans="2:17" ht="18" customHeight="1">
      <c r="B133" s="563">
        <v>128</v>
      </c>
      <c r="C133" s="564" t="str">
        <f>VLOOKUP(G:G,list!B:D,2,FALSE)</f>
        <v>작가기획</v>
      </c>
      <c r="D133" s="564" t="s">
        <v>182</v>
      </c>
      <c r="E133" s="564" t="s">
        <v>9</v>
      </c>
      <c r="F133" s="564" t="s">
        <v>384</v>
      </c>
      <c r="G133" s="564" t="s">
        <v>180</v>
      </c>
      <c r="H133" s="565">
        <v>44180</v>
      </c>
      <c r="I133" s="564" t="s">
        <v>377</v>
      </c>
      <c r="J133" s="599">
        <v>1022436</v>
      </c>
      <c r="K133" s="600">
        <v>0.5</v>
      </c>
      <c r="L133" s="568">
        <v>511218</v>
      </c>
      <c r="M133" s="569" t="s">
        <v>203</v>
      </c>
      <c r="N133" s="570">
        <v>0</v>
      </c>
      <c r="O133" s="570">
        <f t="shared" si="16"/>
        <v>511218</v>
      </c>
      <c r="P133" s="573"/>
      <c r="Q133" s="572" t="str">
        <f>VLOOKUP(G:G,list!B:D,3,FALSE)</f>
        <v>Y</v>
      </c>
    </row>
    <row r="134" spans="2:17" ht="18" customHeight="1">
      <c r="B134" s="563">
        <v>129</v>
      </c>
      <c r="C134" s="564" t="str">
        <f>VLOOKUP(G:G,list!B:D,2,FALSE)</f>
        <v>작가기획</v>
      </c>
      <c r="D134" s="564" t="s">
        <v>182</v>
      </c>
      <c r="E134" s="564" t="s">
        <v>9</v>
      </c>
      <c r="F134" s="564" t="s">
        <v>384</v>
      </c>
      <c r="G134" s="564" t="s">
        <v>139</v>
      </c>
      <c r="H134" s="565">
        <v>44180</v>
      </c>
      <c r="I134" s="564" t="s">
        <v>377</v>
      </c>
      <c r="J134" s="599">
        <v>140917</v>
      </c>
      <c r="K134" s="600">
        <v>0.5</v>
      </c>
      <c r="L134" s="568">
        <v>70458.5</v>
      </c>
      <c r="M134" s="569" t="s">
        <v>203</v>
      </c>
      <c r="N134" s="573">
        <v>0</v>
      </c>
      <c r="O134" s="570">
        <f>L134-N134</f>
        <v>70458.5</v>
      </c>
      <c r="P134" s="573"/>
      <c r="Q134" s="572" t="str">
        <f>VLOOKUP(G:G,list!B:D,3,FALSE)</f>
        <v>Y</v>
      </c>
    </row>
    <row r="135" spans="2:17" ht="18" customHeight="1">
      <c r="B135" s="563">
        <v>130</v>
      </c>
      <c r="C135" s="564" t="str">
        <f>VLOOKUP(G:G,list!B:D,2,FALSE)</f>
        <v>원작료</v>
      </c>
      <c r="D135" s="564" t="s">
        <v>182</v>
      </c>
      <c r="E135" s="564" t="s">
        <v>9</v>
      </c>
      <c r="F135" s="564" t="s">
        <v>384</v>
      </c>
      <c r="G135" s="564" t="s">
        <v>151</v>
      </c>
      <c r="H135" s="565">
        <v>44207</v>
      </c>
      <c r="I135" s="564" t="s">
        <v>377</v>
      </c>
      <c r="J135" s="599">
        <v>151090</v>
      </c>
      <c r="K135" s="600">
        <v>0.5</v>
      </c>
      <c r="L135" s="568">
        <v>75545</v>
      </c>
      <c r="M135" s="569">
        <v>0.1</v>
      </c>
      <c r="N135" s="570">
        <f>L135*M135</f>
        <v>7554.5</v>
      </c>
      <c r="O135" s="570">
        <f>L135-N135</f>
        <v>67990.5</v>
      </c>
      <c r="P135" s="541"/>
      <c r="Q135" s="572" t="str">
        <f>VLOOKUP(G:G,list!B:D,3,FALSE)</f>
        <v>Y</v>
      </c>
    </row>
    <row r="136" spans="2:17" ht="18" customHeight="1">
      <c r="B136" s="563">
        <v>131</v>
      </c>
      <c r="C136" s="564" t="e">
        <f>VLOOKUP(G:G,list!B:D,2,FALSE)</f>
        <v>#N/A</v>
      </c>
      <c r="D136" s="564" t="s">
        <v>182</v>
      </c>
      <c r="E136" s="564" t="s">
        <v>9</v>
      </c>
      <c r="F136" s="564" t="s">
        <v>384</v>
      </c>
      <c r="G136" s="564" t="s">
        <v>225</v>
      </c>
      <c r="H136" s="565">
        <v>44357</v>
      </c>
      <c r="I136" s="564" t="s">
        <v>377</v>
      </c>
      <c r="J136" s="599">
        <v>15214</v>
      </c>
      <c r="K136" s="600">
        <v>0.5</v>
      </c>
      <c r="L136" s="568">
        <v>7607</v>
      </c>
      <c r="M136" s="569">
        <v>0.1</v>
      </c>
      <c r="N136" s="570">
        <f>L136*M136</f>
        <v>760.7</v>
      </c>
      <c r="O136" s="570">
        <f t="shared" ref="O136:O148" si="24">L136-N136</f>
        <v>6846.3</v>
      </c>
      <c r="P136" s="575"/>
      <c r="Q136" s="572" t="e">
        <f>VLOOKUP(G:G,list!B:D,3,FALSE)</f>
        <v>#N/A</v>
      </c>
    </row>
    <row r="137" spans="2:17" ht="18" customHeight="1">
      <c r="B137" s="563">
        <v>132</v>
      </c>
      <c r="C137" s="564" t="e">
        <f>VLOOKUP(G:G,list!B:D,2,FALSE)</f>
        <v>#N/A</v>
      </c>
      <c r="D137" s="564" t="s">
        <v>182</v>
      </c>
      <c r="E137" s="564" t="s">
        <v>9</v>
      </c>
      <c r="F137" s="564" t="s">
        <v>384</v>
      </c>
      <c r="G137" s="564" t="s">
        <v>226</v>
      </c>
      <c r="H137" s="565">
        <v>44371</v>
      </c>
      <c r="I137" s="564" t="s">
        <v>377</v>
      </c>
      <c r="J137" s="599">
        <v>34139</v>
      </c>
      <c r="K137" s="600">
        <v>0.5</v>
      </c>
      <c r="L137" s="568">
        <v>17069.5</v>
      </c>
      <c r="M137" s="569">
        <v>0.1</v>
      </c>
      <c r="N137" s="570">
        <f>L137*M137</f>
        <v>1706.95</v>
      </c>
      <c r="O137" s="570">
        <f>L137-N137</f>
        <v>15362.55</v>
      </c>
      <c r="P137" s="575"/>
      <c r="Q137" s="572" t="e">
        <f>VLOOKUP(G:G,list!B:D,3,FALSE)</f>
        <v>#N/A</v>
      </c>
    </row>
    <row r="138" spans="2:17" ht="18" customHeight="1">
      <c r="B138" s="563">
        <v>133</v>
      </c>
      <c r="C138" s="564" t="e">
        <f>VLOOKUP(G:G,list!B:D,2,FALSE)</f>
        <v>#N/A</v>
      </c>
      <c r="D138" s="564" t="s">
        <v>182</v>
      </c>
      <c r="E138" s="564" t="s">
        <v>9</v>
      </c>
      <c r="F138" s="564" t="s">
        <v>384</v>
      </c>
      <c r="G138" s="564" t="s">
        <v>191</v>
      </c>
      <c r="H138" s="565">
        <v>44372</v>
      </c>
      <c r="I138" s="564" t="s">
        <v>377</v>
      </c>
      <c r="J138" s="599">
        <v>931848</v>
      </c>
      <c r="K138" s="600">
        <v>0.5</v>
      </c>
      <c r="L138" s="568">
        <v>465924</v>
      </c>
      <c r="M138" s="569">
        <v>0.1</v>
      </c>
      <c r="N138" s="573">
        <f t="shared" ref="N138:N140" si="25">L138*M138</f>
        <v>46592.4</v>
      </c>
      <c r="O138" s="570">
        <f t="shared" si="24"/>
        <v>419331.6</v>
      </c>
      <c r="P138" s="573"/>
      <c r="Q138" s="572" t="e">
        <f>VLOOKUP(G:G,list!B:D,3,FALSE)</f>
        <v>#N/A</v>
      </c>
    </row>
    <row r="139" spans="2:17" ht="18" customHeight="1">
      <c r="B139" s="563">
        <v>134</v>
      </c>
      <c r="C139" s="564" t="e">
        <f>VLOOKUP(G:G,list!B:D,2,FALSE)</f>
        <v>#N/A</v>
      </c>
      <c r="D139" s="564" t="s">
        <v>182</v>
      </c>
      <c r="E139" s="564" t="s">
        <v>9</v>
      </c>
      <c r="F139" s="564" t="s">
        <v>384</v>
      </c>
      <c r="G139" s="564" t="s">
        <v>336</v>
      </c>
      <c r="H139" s="565">
        <v>44392</v>
      </c>
      <c r="I139" s="564" t="s">
        <v>377</v>
      </c>
      <c r="J139" s="599">
        <v>1361503</v>
      </c>
      <c r="K139" s="600">
        <v>0.5</v>
      </c>
      <c r="L139" s="568">
        <v>680751.5</v>
      </c>
      <c r="M139" s="569">
        <v>0.1</v>
      </c>
      <c r="N139" s="570">
        <f>L139*M139</f>
        <v>68075.150000000009</v>
      </c>
      <c r="O139" s="570">
        <f t="shared" si="24"/>
        <v>612676.35</v>
      </c>
      <c r="P139" s="573"/>
      <c r="Q139" s="572" t="e">
        <f>VLOOKUP(G:G,list!B:D,3,FALSE)</f>
        <v>#N/A</v>
      </c>
    </row>
    <row r="140" spans="2:17" ht="18" customHeight="1">
      <c r="B140" s="563">
        <v>135</v>
      </c>
      <c r="C140" s="564" t="e">
        <f>VLOOKUP(G:G,list!B:D,2,FALSE)</f>
        <v>#N/A</v>
      </c>
      <c r="D140" s="564" t="s">
        <v>182</v>
      </c>
      <c r="E140" s="564" t="s">
        <v>9</v>
      </c>
      <c r="F140" s="564" t="s">
        <v>384</v>
      </c>
      <c r="G140" s="564" t="s">
        <v>385</v>
      </c>
      <c r="H140" s="565">
        <v>44439</v>
      </c>
      <c r="I140" s="564" t="s">
        <v>377</v>
      </c>
      <c r="J140" s="599">
        <v>1537</v>
      </c>
      <c r="K140" s="600">
        <v>0.5</v>
      </c>
      <c r="L140" s="568">
        <v>768.5</v>
      </c>
      <c r="M140" s="569">
        <v>0.1</v>
      </c>
      <c r="N140" s="573">
        <f t="shared" si="25"/>
        <v>76.850000000000009</v>
      </c>
      <c r="O140" s="570">
        <f t="shared" si="24"/>
        <v>691.65</v>
      </c>
      <c r="P140" s="573"/>
      <c r="Q140" s="572" t="e">
        <f>VLOOKUP(G:G,list!B:D,3,FALSE)</f>
        <v>#N/A</v>
      </c>
    </row>
    <row r="141" spans="2:17" ht="18" customHeight="1">
      <c r="B141" s="563">
        <v>136</v>
      </c>
      <c r="C141" s="564" t="e">
        <f>VLOOKUP(G:G,list!B:D,2,FALSE)</f>
        <v>#N/A</v>
      </c>
      <c r="D141" s="564" t="s">
        <v>182</v>
      </c>
      <c r="E141" s="564" t="s">
        <v>9</v>
      </c>
      <c r="F141" s="564" t="s">
        <v>384</v>
      </c>
      <c r="G141" s="564" t="s">
        <v>335</v>
      </c>
      <c r="H141" s="565">
        <v>44674</v>
      </c>
      <c r="I141" s="564" t="s">
        <v>377</v>
      </c>
      <c r="J141" s="599">
        <v>2399257</v>
      </c>
      <c r="K141" s="600">
        <v>0.5</v>
      </c>
      <c r="L141" s="568">
        <v>1199628.5</v>
      </c>
      <c r="M141" s="569">
        <v>0.1</v>
      </c>
      <c r="N141" s="570">
        <f>L141*M141</f>
        <v>119962.85</v>
      </c>
      <c r="O141" s="570">
        <f t="shared" si="24"/>
        <v>1079665.6499999999</v>
      </c>
      <c r="P141" s="575"/>
      <c r="Q141" s="572" t="e">
        <f>VLOOKUP(G:G,list!B:D,3,FALSE)</f>
        <v>#N/A</v>
      </c>
    </row>
    <row r="142" spans="2:17" ht="18" customHeight="1">
      <c r="B142" s="563">
        <v>137</v>
      </c>
      <c r="C142" s="564" t="str">
        <f>VLOOKUP(G:G,list!B:D,2,FALSE)</f>
        <v>작가기획</v>
      </c>
      <c r="D142" s="564" t="s">
        <v>182</v>
      </c>
      <c r="E142" s="564" t="s">
        <v>9</v>
      </c>
      <c r="F142" s="564" t="s">
        <v>384</v>
      </c>
      <c r="G142" s="564" t="s">
        <v>308</v>
      </c>
      <c r="H142" s="565">
        <v>44761</v>
      </c>
      <c r="I142" s="564" t="s">
        <v>377</v>
      </c>
      <c r="J142" s="599">
        <v>568385</v>
      </c>
      <c r="K142" s="600">
        <v>0.5</v>
      </c>
      <c r="L142" s="568">
        <v>284192.5</v>
      </c>
      <c r="M142" s="569" t="s">
        <v>203</v>
      </c>
      <c r="N142" s="573">
        <v>0</v>
      </c>
      <c r="O142" s="570">
        <f>L142-N142</f>
        <v>284192.5</v>
      </c>
      <c r="P142" s="575" t="s">
        <v>287</v>
      </c>
      <c r="Q142" s="572" t="str">
        <f>VLOOKUP(G:G,list!B:D,3,FALSE)</f>
        <v>Y</v>
      </c>
    </row>
    <row r="143" spans="2:17" ht="18" customHeight="1">
      <c r="B143" s="563">
        <v>138</v>
      </c>
      <c r="C143" s="564" t="str">
        <f>VLOOKUP(G:G,list!B:D,2,FALSE)</f>
        <v>원작료</v>
      </c>
      <c r="D143" s="564" t="s">
        <v>182</v>
      </c>
      <c r="E143" s="564" t="s">
        <v>9</v>
      </c>
      <c r="F143" s="564" t="s">
        <v>384</v>
      </c>
      <c r="G143" s="564" t="s">
        <v>316</v>
      </c>
      <c r="H143" s="565">
        <v>44771</v>
      </c>
      <c r="I143" s="564" t="s">
        <v>377</v>
      </c>
      <c r="J143" s="599">
        <v>210940</v>
      </c>
      <c r="K143" s="600">
        <v>0.5</v>
      </c>
      <c r="L143" s="568">
        <v>105470</v>
      </c>
      <c r="M143" s="569">
        <v>0.1</v>
      </c>
      <c r="N143" s="573">
        <f t="shared" ref="N143" si="26">L143*M143</f>
        <v>10547</v>
      </c>
      <c r="O143" s="570">
        <f t="shared" ref="O143" si="27">L143-N143</f>
        <v>94923</v>
      </c>
      <c r="P143" s="575" t="s">
        <v>287</v>
      </c>
      <c r="Q143" s="572" t="str">
        <f>VLOOKUP(G:G,list!B:D,3,FALSE)</f>
        <v>Y</v>
      </c>
    </row>
    <row r="144" spans="2:17" ht="18" customHeight="1">
      <c r="B144" s="563">
        <v>139</v>
      </c>
      <c r="C144" s="564" t="e">
        <f>VLOOKUP(G:G,list!B:D,2,FALSE)</f>
        <v>#N/A</v>
      </c>
      <c r="D144" s="564" t="s">
        <v>182</v>
      </c>
      <c r="E144" s="564" t="s">
        <v>115</v>
      </c>
      <c r="F144" s="564" t="s">
        <v>384</v>
      </c>
      <c r="G144" s="564" t="s">
        <v>147</v>
      </c>
      <c r="H144" s="565">
        <v>44180</v>
      </c>
      <c r="I144" s="564" t="s">
        <v>377</v>
      </c>
      <c r="J144" s="599">
        <v>625721</v>
      </c>
      <c r="K144" s="600">
        <v>0.5</v>
      </c>
      <c r="L144" s="568">
        <v>312860.5</v>
      </c>
      <c r="M144" s="569" t="s">
        <v>203</v>
      </c>
      <c r="N144" s="573">
        <v>0</v>
      </c>
      <c r="O144" s="570">
        <f>L144-N144</f>
        <v>312860.5</v>
      </c>
      <c r="P144" s="573"/>
      <c r="Q144" s="572" t="e">
        <f>VLOOKUP(G:G,list!B:D,3,FALSE)</f>
        <v>#N/A</v>
      </c>
    </row>
    <row r="145" spans="2:17" ht="18" customHeight="1">
      <c r="B145" s="563">
        <v>140</v>
      </c>
      <c r="C145" s="564" t="e">
        <f>VLOOKUP(G:G,list!B:D,2,FALSE)</f>
        <v>#N/A</v>
      </c>
      <c r="D145" s="564" t="s">
        <v>182</v>
      </c>
      <c r="E145" s="564" t="s">
        <v>115</v>
      </c>
      <c r="F145" s="564" t="s">
        <v>384</v>
      </c>
      <c r="G145" s="564" t="s">
        <v>204</v>
      </c>
      <c r="H145" s="565">
        <v>44365</v>
      </c>
      <c r="I145" s="564" t="s">
        <v>377</v>
      </c>
      <c r="J145" s="599">
        <v>71442</v>
      </c>
      <c r="K145" s="600">
        <v>0.5</v>
      </c>
      <c r="L145" s="568">
        <v>35721</v>
      </c>
      <c r="M145" s="569">
        <v>0.1</v>
      </c>
      <c r="N145" s="573">
        <f t="shared" ref="N145" si="28">L145*M145</f>
        <v>3572.1000000000004</v>
      </c>
      <c r="O145" s="570">
        <f t="shared" si="24"/>
        <v>32148.9</v>
      </c>
      <c r="P145" s="573"/>
      <c r="Q145" s="572" t="e">
        <f>VLOOKUP(G:G,list!B:D,3,FALSE)</f>
        <v>#N/A</v>
      </c>
    </row>
    <row r="146" spans="2:17" ht="18" customHeight="1">
      <c r="B146" s="563">
        <v>141</v>
      </c>
      <c r="C146" s="564" t="e">
        <f>VLOOKUP(G:G,list!B:D,2,FALSE)</f>
        <v>#N/A</v>
      </c>
      <c r="D146" s="564" t="s">
        <v>182</v>
      </c>
      <c r="E146" s="564" t="s">
        <v>115</v>
      </c>
      <c r="F146" s="564" t="s">
        <v>384</v>
      </c>
      <c r="G146" s="564" t="s">
        <v>202</v>
      </c>
      <c r="H146" s="565">
        <v>44463</v>
      </c>
      <c r="I146" s="564" t="s">
        <v>377</v>
      </c>
      <c r="J146" s="599">
        <v>123959</v>
      </c>
      <c r="K146" s="600">
        <v>0.5</v>
      </c>
      <c r="L146" s="568">
        <v>61979.5</v>
      </c>
      <c r="M146" s="569" t="s">
        <v>203</v>
      </c>
      <c r="N146" s="570">
        <v>0</v>
      </c>
      <c r="O146" s="570">
        <f t="shared" si="24"/>
        <v>61979.5</v>
      </c>
      <c r="P146" s="573"/>
      <c r="Q146" s="572" t="e">
        <f>VLOOKUP(G:G,list!B:D,3,FALSE)</f>
        <v>#N/A</v>
      </c>
    </row>
    <row r="147" spans="2:17" ht="18" customHeight="1">
      <c r="B147" s="563">
        <v>142</v>
      </c>
      <c r="C147" s="564" t="e">
        <f>VLOOKUP(G:G,list!B:D,2,FALSE)</f>
        <v>#N/A</v>
      </c>
      <c r="D147" s="564" t="s">
        <v>182</v>
      </c>
      <c r="E147" s="564" t="s">
        <v>115</v>
      </c>
      <c r="F147" s="564" t="s">
        <v>384</v>
      </c>
      <c r="G147" s="564" t="s">
        <v>258</v>
      </c>
      <c r="H147" s="565">
        <v>44491</v>
      </c>
      <c r="I147" s="564" t="s">
        <v>377</v>
      </c>
      <c r="J147" s="599">
        <v>55695</v>
      </c>
      <c r="K147" s="600">
        <v>0.5</v>
      </c>
      <c r="L147" s="568">
        <v>27847.5</v>
      </c>
      <c r="M147" s="569">
        <v>0.1</v>
      </c>
      <c r="N147" s="573">
        <f>L147*M147</f>
        <v>2784.75</v>
      </c>
      <c r="O147" s="570">
        <f t="shared" si="24"/>
        <v>25062.75</v>
      </c>
      <c r="P147" s="575"/>
      <c r="Q147" s="572" t="e">
        <f>VLOOKUP(G:G,list!B:D,3,FALSE)</f>
        <v>#N/A</v>
      </c>
    </row>
    <row r="148" spans="2:17" ht="18" customHeight="1">
      <c r="B148" s="563">
        <v>143</v>
      </c>
      <c r="C148" s="564" t="e">
        <f>VLOOKUP(G:G,list!B:D,2,FALSE)</f>
        <v>#N/A</v>
      </c>
      <c r="D148" s="564" t="s">
        <v>182</v>
      </c>
      <c r="E148" s="564" t="s">
        <v>115</v>
      </c>
      <c r="F148" s="564" t="s">
        <v>384</v>
      </c>
      <c r="G148" s="564" t="s">
        <v>256</v>
      </c>
      <c r="H148" s="565">
        <v>44693</v>
      </c>
      <c r="I148" s="564" t="s">
        <v>377</v>
      </c>
      <c r="J148" s="599">
        <v>23849</v>
      </c>
      <c r="K148" s="600">
        <v>0.5</v>
      </c>
      <c r="L148" s="568">
        <v>11924.5</v>
      </c>
      <c r="M148" s="569">
        <v>0.1</v>
      </c>
      <c r="N148" s="573">
        <f>L148*M148</f>
        <v>1192.45</v>
      </c>
      <c r="O148" s="570">
        <f t="shared" si="24"/>
        <v>10732.05</v>
      </c>
      <c r="P148" s="575"/>
      <c r="Q148" s="572" t="e">
        <f>VLOOKUP(G:G,list!B:D,3,FALSE)</f>
        <v>#N/A</v>
      </c>
    </row>
    <row r="149" spans="2:17" ht="18" customHeight="1">
      <c r="B149" s="563">
        <v>144</v>
      </c>
      <c r="C149" s="564" t="e">
        <f>VLOOKUP(G:G,list!B:D,2,FALSE)</f>
        <v>#N/A</v>
      </c>
      <c r="D149" s="564" t="s">
        <v>182</v>
      </c>
      <c r="E149" s="564" t="s">
        <v>115</v>
      </c>
      <c r="F149" s="564" t="s">
        <v>283</v>
      </c>
      <c r="G149" s="564" t="s">
        <v>54</v>
      </c>
      <c r="H149" s="565">
        <v>44276</v>
      </c>
      <c r="I149" s="564" t="s">
        <v>351</v>
      </c>
      <c r="J149" s="599">
        <v>350820</v>
      </c>
      <c r="K149" s="600">
        <v>0.5</v>
      </c>
      <c r="L149" s="568">
        <v>175410</v>
      </c>
      <c r="M149" s="569">
        <v>0.1</v>
      </c>
      <c r="N149" s="570">
        <f t="shared" ref="N149:N152" si="29">L149*M149</f>
        <v>17541</v>
      </c>
      <c r="O149" s="570">
        <f t="shared" si="16"/>
        <v>157869</v>
      </c>
      <c r="P149" s="575"/>
      <c r="Q149" s="572" t="e">
        <f>VLOOKUP(G:G,list!B:D,3,FALSE)</f>
        <v>#N/A</v>
      </c>
    </row>
    <row r="150" spans="2:17" ht="18" customHeight="1">
      <c r="B150" s="563">
        <v>145</v>
      </c>
      <c r="C150" s="564" t="e">
        <f>VLOOKUP(G:G,list!B:D,2,FALSE)</f>
        <v>#N/A</v>
      </c>
      <c r="D150" s="564" t="s">
        <v>182</v>
      </c>
      <c r="E150" s="564" t="s">
        <v>115</v>
      </c>
      <c r="F150" s="564" t="s">
        <v>283</v>
      </c>
      <c r="G150" s="564" t="s">
        <v>29</v>
      </c>
      <c r="H150" s="565">
        <v>44277</v>
      </c>
      <c r="I150" s="564" t="s">
        <v>351</v>
      </c>
      <c r="J150" s="599">
        <v>2109150</v>
      </c>
      <c r="K150" s="600">
        <v>0.5</v>
      </c>
      <c r="L150" s="568">
        <v>1054575</v>
      </c>
      <c r="M150" s="569">
        <v>0.1</v>
      </c>
      <c r="N150" s="570">
        <f t="shared" si="29"/>
        <v>105457.5</v>
      </c>
      <c r="O150" s="570">
        <f t="shared" si="16"/>
        <v>949117.5</v>
      </c>
      <c r="P150" s="575"/>
      <c r="Q150" s="572" t="e">
        <f>VLOOKUP(G:G,list!B:D,3,FALSE)</f>
        <v>#N/A</v>
      </c>
    </row>
    <row r="151" spans="2:17" ht="18" customHeight="1">
      <c r="B151" s="563">
        <v>146</v>
      </c>
      <c r="C151" s="564" t="e">
        <f>VLOOKUP(G:G,list!B:D,2,FALSE)</f>
        <v>#N/A</v>
      </c>
      <c r="D151" s="564" t="s">
        <v>182</v>
      </c>
      <c r="E151" s="564" t="s">
        <v>115</v>
      </c>
      <c r="F151" s="564" t="s">
        <v>283</v>
      </c>
      <c r="G151" s="564" t="s">
        <v>28</v>
      </c>
      <c r="H151" s="565">
        <v>44280</v>
      </c>
      <c r="I151" s="564" t="s">
        <v>351</v>
      </c>
      <c r="J151" s="599">
        <v>3329580</v>
      </c>
      <c r="K151" s="600">
        <v>0.5</v>
      </c>
      <c r="L151" s="568">
        <v>1664790</v>
      </c>
      <c r="M151" s="569">
        <v>0.12</v>
      </c>
      <c r="N151" s="573">
        <f t="shared" si="29"/>
        <v>199774.8</v>
      </c>
      <c r="O151" s="570">
        <f t="shared" si="16"/>
        <v>1465015.2</v>
      </c>
      <c r="P151" s="575"/>
      <c r="Q151" s="572" t="e">
        <f>VLOOKUP(G:G,list!B:D,3,FALSE)</f>
        <v>#N/A</v>
      </c>
    </row>
    <row r="152" spans="2:17" ht="18" customHeight="1">
      <c r="B152" s="563">
        <v>147</v>
      </c>
      <c r="C152" s="564" t="e">
        <f>VLOOKUP(G:G,list!B:D,2,FALSE)</f>
        <v>#N/A</v>
      </c>
      <c r="D152" s="564" t="s">
        <v>182</v>
      </c>
      <c r="E152" s="564" t="s">
        <v>115</v>
      </c>
      <c r="F152" s="564" t="s">
        <v>283</v>
      </c>
      <c r="G152" s="564" t="s">
        <v>42</v>
      </c>
      <c r="H152" s="565">
        <v>44290</v>
      </c>
      <c r="I152" s="564" t="s">
        <v>351</v>
      </c>
      <c r="J152" s="599">
        <v>6085980</v>
      </c>
      <c r="K152" s="600">
        <v>0.5</v>
      </c>
      <c r="L152" s="568">
        <v>3042990</v>
      </c>
      <c r="M152" s="569">
        <v>0.1</v>
      </c>
      <c r="N152" s="573">
        <f t="shared" si="29"/>
        <v>304299</v>
      </c>
      <c r="O152" s="570">
        <f t="shared" si="16"/>
        <v>2738691</v>
      </c>
      <c r="P152" s="575" t="s">
        <v>85</v>
      </c>
      <c r="Q152" s="572" t="e">
        <f>VLOOKUP(G:G,list!B:D,3,FALSE)</f>
        <v>#N/A</v>
      </c>
    </row>
    <row r="153" spans="2:17" ht="18" customHeight="1">
      <c r="B153" s="563">
        <v>148</v>
      </c>
      <c r="C153" s="564" t="str">
        <f>VLOOKUP(G:G,list!B:D,2,FALSE)</f>
        <v>원작료</v>
      </c>
      <c r="D153" s="564" t="s">
        <v>182</v>
      </c>
      <c r="E153" s="564" t="s">
        <v>115</v>
      </c>
      <c r="F153" s="564" t="s">
        <v>283</v>
      </c>
      <c r="G153" s="564" t="s">
        <v>30</v>
      </c>
      <c r="H153" s="565">
        <v>44358</v>
      </c>
      <c r="I153" s="564" t="s">
        <v>351</v>
      </c>
      <c r="J153" s="599">
        <v>399780</v>
      </c>
      <c r="K153" s="600">
        <v>0.5</v>
      </c>
      <c r="L153" s="568">
        <v>199890</v>
      </c>
      <c r="M153" s="569">
        <v>0.1</v>
      </c>
      <c r="N153" s="570">
        <f>L153*M153</f>
        <v>19989</v>
      </c>
      <c r="O153" s="570">
        <f>L153-N153</f>
        <v>179901</v>
      </c>
      <c r="P153" s="575"/>
      <c r="Q153" s="572" t="str">
        <f>VLOOKUP(G:G,list!B:D,3,FALSE)</f>
        <v>Y</v>
      </c>
    </row>
    <row r="154" spans="2:17" ht="18" customHeight="1">
      <c r="B154" s="563">
        <v>149</v>
      </c>
      <c r="C154" s="564" t="e">
        <f>VLOOKUP(G:G,list!B:D,2,FALSE)</f>
        <v>#N/A</v>
      </c>
      <c r="D154" s="564" t="s">
        <v>182</v>
      </c>
      <c r="E154" s="564" t="s">
        <v>115</v>
      </c>
      <c r="F154" s="564" t="s">
        <v>283</v>
      </c>
      <c r="G154" s="564" t="s">
        <v>55</v>
      </c>
      <c r="H154" s="565">
        <v>44668</v>
      </c>
      <c r="I154" s="564" t="s">
        <v>351</v>
      </c>
      <c r="J154" s="599">
        <v>275760</v>
      </c>
      <c r="K154" s="600">
        <v>0.5</v>
      </c>
      <c r="L154" s="568">
        <v>137880</v>
      </c>
      <c r="M154" s="569">
        <v>0.1</v>
      </c>
      <c r="N154" s="570">
        <f>L154*M154</f>
        <v>13788</v>
      </c>
      <c r="O154" s="570">
        <f>L154-N154</f>
        <v>124092</v>
      </c>
      <c r="P154" s="575"/>
      <c r="Q154" s="572" t="e">
        <f>VLOOKUP(G:G,list!B:D,3,FALSE)</f>
        <v>#N/A</v>
      </c>
    </row>
    <row r="155" spans="2:17" ht="18" customHeight="1">
      <c r="B155" s="563">
        <v>150</v>
      </c>
      <c r="C155" s="564" t="e">
        <f>VLOOKUP(G:G,list!B:D,2,FALSE)</f>
        <v>#N/A</v>
      </c>
      <c r="D155" s="564" t="s">
        <v>182</v>
      </c>
      <c r="E155" s="564" t="s">
        <v>115</v>
      </c>
      <c r="F155" s="564" t="s">
        <v>283</v>
      </c>
      <c r="G155" s="564" t="s">
        <v>53</v>
      </c>
      <c r="H155" s="565">
        <v>44271</v>
      </c>
      <c r="I155" s="564" t="s">
        <v>351</v>
      </c>
      <c r="J155" s="599">
        <v>2427660</v>
      </c>
      <c r="K155" s="600">
        <v>0.5</v>
      </c>
      <c r="L155" s="568">
        <v>1213830</v>
      </c>
      <c r="M155" s="569" t="s">
        <v>203</v>
      </c>
      <c r="N155" s="573">
        <v>0</v>
      </c>
      <c r="O155" s="570">
        <f t="shared" si="16"/>
        <v>1213830</v>
      </c>
      <c r="P155" s="575"/>
      <c r="Q155" s="572" t="e">
        <f>VLOOKUP(G:G,list!B:D,3,FALSE)</f>
        <v>#N/A</v>
      </c>
    </row>
    <row r="156" spans="2:17" ht="18" customHeight="1">
      <c r="B156" s="563">
        <v>151</v>
      </c>
      <c r="C156" s="564" t="e">
        <f>VLOOKUP(G:G,list!B:D,2,FALSE)</f>
        <v>#N/A</v>
      </c>
      <c r="D156" s="564" t="s">
        <v>182</v>
      </c>
      <c r="E156" s="564" t="s">
        <v>115</v>
      </c>
      <c r="F156" s="564" t="s">
        <v>283</v>
      </c>
      <c r="G156" s="564" t="s">
        <v>57</v>
      </c>
      <c r="H156" s="565">
        <v>44384</v>
      </c>
      <c r="I156" s="564" t="s">
        <v>351</v>
      </c>
      <c r="J156" s="599">
        <v>361260</v>
      </c>
      <c r="K156" s="600">
        <v>0.5</v>
      </c>
      <c r="L156" s="568">
        <v>180630</v>
      </c>
      <c r="M156" s="569">
        <v>0.1</v>
      </c>
      <c r="N156" s="570">
        <f t="shared" ref="N156:N161" si="30">L156*M156</f>
        <v>18063</v>
      </c>
      <c r="O156" s="570">
        <f t="shared" si="16"/>
        <v>162567</v>
      </c>
      <c r="P156" s="575"/>
      <c r="Q156" s="572" t="e">
        <f>VLOOKUP(G:G,list!B:D,3,FALSE)</f>
        <v>#N/A</v>
      </c>
    </row>
    <row r="157" spans="2:17" ht="18" customHeight="1">
      <c r="B157" s="563">
        <v>152</v>
      </c>
      <c r="C157" s="564" t="e">
        <f>VLOOKUP(G:G,list!B:D,2,FALSE)</f>
        <v>#N/A</v>
      </c>
      <c r="D157" s="564" t="s">
        <v>182</v>
      </c>
      <c r="E157" s="564" t="s">
        <v>115</v>
      </c>
      <c r="F157" s="564" t="s">
        <v>283</v>
      </c>
      <c r="G157" s="564" t="s">
        <v>191</v>
      </c>
      <c r="H157" s="565">
        <v>44391</v>
      </c>
      <c r="I157" s="564" t="s">
        <v>351</v>
      </c>
      <c r="J157" s="599">
        <v>777420</v>
      </c>
      <c r="K157" s="600">
        <v>0.5</v>
      </c>
      <c r="L157" s="568">
        <v>388710</v>
      </c>
      <c r="M157" s="569">
        <v>0.1</v>
      </c>
      <c r="N157" s="573">
        <f t="shared" si="30"/>
        <v>38871</v>
      </c>
      <c r="O157" s="570">
        <f t="shared" si="16"/>
        <v>349839</v>
      </c>
      <c r="P157" s="575"/>
      <c r="Q157" s="572" t="e">
        <f>VLOOKUP(G:G,list!B:D,3,FALSE)</f>
        <v>#N/A</v>
      </c>
    </row>
    <row r="158" spans="2:17" ht="18" customHeight="1">
      <c r="B158" s="563">
        <v>153</v>
      </c>
      <c r="C158" s="564" t="e">
        <f>VLOOKUP(G:G,list!B:D,2,FALSE)</f>
        <v>#N/A</v>
      </c>
      <c r="D158" s="564" t="s">
        <v>182</v>
      </c>
      <c r="E158" s="564" t="s">
        <v>115</v>
      </c>
      <c r="F158" s="564" t="s">
        <v>386</v>
      </c>
      <c r="G158" s="564" t="s">
        <v>74</v>
      </c>
      <c r="H158" s="565">
        <v>44612</v>
      </c>
      <c r="I158" s="564" t="s">
        <v>351</v>
      </c>
      <c r="J158" s="599">
        <v>37946</v>
      </c>
      <c r="K158" s="600">
        <v>0.5</v>
      </c>
      <c r="L158" s="568">
        <v>18973</v>
      </c>
      <c r="M158" s="569">
        <v>0.1</v>
      </c>
      <c r="N158" s="570">
        <f t="shared" si="30"/>
        <v>1897.3000000000002</v>
      </c>
      <c r="O158" s="570">
        <f t="shared" si="16"/>
        <v>17075.7</v>
      </c>
      <c r="P158" s="575"/>
      <c r="Q158" s="572" t="e">
        <f>VLOOKUP(G:G,list!B:D,3,FALSE)</f>
        <v>#N/A</v>
      </c>
    </row>
    <row r="159" spans="2:17" ht="18" customHeight="1">
      <c r="B159" s="563">
        <v>154</v>
      </c>
      <c r="C159" s="564" t="e">
        <f>VLOOKUP(G:G,list!B:D,2,FALSE)</f>
        <v>#N/A</v>
      </c>
      <c r="D159" s="564" t="s">
        <v>182</v>
      </c>
      <c r="E159" s="564" t="s">
        <v>115</v>
      </c>
      <c r="F159" s="564" t="s">
        <v>386</v>
      </c>
      <c r="G159" s="564" t="s">
        <v>153</v>
      </c>
      <c r="H159" s="565">
        <v>44604</v>
      </c>
      <c r="I159" s="564" t="s">
        <v>351</v>
      </c>
      <c r="J159" s="599">
        <v>866361</v>
      </c>
      <c r="K159" s="600">
        <v>0.5</v>
      </c>
      <c r="L159" s="568">
        <v>433180.5</v>
      </c>
      <c r="M159" s="569">
        <v>0.1</v>
      </c>
      <c r="N159" s="570">
        <f t="shared" si="30"/>
        <v>43318.05</v>
      </c>
      <c r="O159" s="570">
        <f t="shared" si="16"/>
        <v>389862.45</v>
      </c>
      <c r="P159" s="575"/>
      <c r="Q159" s="572" t="e">
        <f>VLOOKUP(G:G,list!B:D,3,FALSE)</f>
        <v>#N/A</v>
      </c>
    </row>
    <row r="160" spans="2:17" ht="18" customHeight="1">
      <c r="B160" s="563">
        <v>155</v>
      </c>
      <c r="C160" s="564" t="e">
        <f>VLOOKUP(G:G,list!B:D,2,FALSE)</f>
        <v>#N/A</v>
      </c>
      <c r="D160" s="564" t="s">
        <v>182</v>
      </c>
      <c r="E160" s="564" t="s">
        <v>115</v>
      </c>
      <c r="F160" s="564" t="s">
        <v>386</v>
      </c>
      <c r="G160" s="564" t="s">
        <v>152</v>
      </c>
      <c r="H160" s="565">
        <v>44621</v>
      </c>
      <c r="I160" s="564" t="s">
        <v>351</v>
      </c>
      <c r="J160" s="599">
        <v>826839</v>
      </c>
      <c r="K160" s="600">
        <v>0.5</v>
      </c>
      <c r="L160" s="568">
        <v>413419.5</v>
      </c>
      <c r="M160" s="569">
        <v>0.12</v>
      </c>
      <c r="N160" s="573">
        <f t="shared" si="30"/>
        <v>49610.34</v>
      </c>
      <c r="O160" s="570">
        <f t="shared" si="16"/>
        <v>363809.16000000003</v>
      </c>
      <c r="P160" s="575"/>
      <c r="Q160" s="572" t="e">
        <f>VLOOKUP(G:G,list!B:D,3,FALSE)</f>
        <v>#N/A</v>
      </c>
    </row>
    <row r="161" spans="2:17" ht="18" customHeight="1">
      <c r="B161" s="563">
        <v>156</v>
      </c>
      <c r="C161" s="564" t="e">
        <f>VLOOKUP(G:G,list!B:D,2,FALSE)</f>
        <v>#N/A</v>
      </c>
      <c r="D161" s="564" t="s">
        <v>182</v>
      </c>
      <c r="E161" s="564" t="s">
        <v>115</v>
      </c>
      <c r="F161" s="564" t="s">
        <v>386</v>
      </c>
      <c r="G161" s="564" t="s">
        <v>179</v>
      </c>
      <c r="H161" s="565">
        <v>44596</v>
      </c>
      <c r="I161" s="564" t="s">
        <v>351</v>
      </c>
      <c r="J161" s="599">
        <v>1250467</v>
      </c>
      <c r="K161" s="600">
        <v>0.5</v>
      </c>
      <c r="L161" s="568">
        <v>625233.5</v>
      </c>
      <c r="M161" s="569">
        <v>0.1</v>
      </c>
      <c r="N161" s="573">
        <f t="shared" si="30"/>
        <v>62523.350000000006</v>
      </c>
      <c r="O161" s="570">
        <f t="shared" si="16"/>
        <v>562710.15</v>
      </c>
      <c r="P161" s="575" t="s">
        <v>367</v>
      </c>
      <c r="Q161" s="572" t="e">
        <f>VLOOKUP(G:G,list!B:D,3,FALSE)</f>
        <v>#N/A</v>
      </c>
    </row>
    <row r="162" spans="2:17" ht="18" customHeight="1">
      <c r="B162" s="563">
        <v>157</v>
      </c>
      <c r="C162" s="564" t="str">
        <f>VLOOKUP(G:G,list!B:D,2,FALSE)</f>
        <v>원작료</v>
      </c>
      <c r="D162" s="564" t="s">
        <v>182</v>
      </c>
      <c r="E162" s="564" t="s">
        <v>115</v>
      </c>
      <c r="F162" s="564" t="s">
        <v>386</v>
      </c>
      <c r="G162" s="564" t="s">
        <v>151</v>
      </c>
      <c r="H162" s="565">
        <v>44591</v>
      </c>
      <c r="I162" s="564" t="s">
        <v>351</v>
      </c>
      <c r="J162" s="599">
        <v>67453</v>
      </c>
      <c r="K162" s="600">
        <v>0.5</v>
      </c>
      <c r="L162" s="568">
        <v>33726.5</v>
      </c>
      <c r="M162" s="569">
        <v>0.1</v>
      </c>
      <c r="N162" s="570">
        <f>L162*M162</f>
        <v>3372.65</v>
      </c>
      <c r="O162" s="570">
        <f>L162-N162</f>
        <v>30353.85</v>
      </c>
      <c r="P162" s="575"/>
      <c r="Q162" s="572" t="str">
        <f>VLOOKUP(G:G,list!B:D,3,FALSE)</f>
        <v>Y</v>
      </c>
    </row>
    <row r="163" spans="2:17" ht="18" customHeight="1">
      <c r="B163" s="563">
        <v>158</v>
      </c>
      <c r="C163" s="564" t="str">
        <f>VLOOKUP(G:G,list!B:D,2,FALSE)</f>
        <v>작가기획</v>
      </c>
      <c r="D163" s="564" t="s">
        <v>182</v>
      </c>
      <c r="E163" s="564" t="s">
        <v>115</v>
      </c>
      <c r="F163" s="564" t="s">
        <v>386</v>
      </c>
      <c r="G163" s="564" t="s">
        <v>180</v>
      </c>
      <c r="H163" s="565">
        <v>44643</v>
      </c>
      <c r="I163" s="564" t="s">
        <v>351</v>
      </c>
      <c r="J163" s="599">
        <v>1559825</v>
      </c>
      <c r="K163" s="600">
        <v>0.5</v>
      </c>
      <c r="L163" s="568">
        <v>779912.5</v>
      </c>
      <c r="M163" s="569" t="s">
        <v>203</v>
      </c>
      <c r="N163" s="570">
        <v>0</v>
      </c>
      <c r="O163" s="570">
        <f t="shared" si="16"/>
        <v>779912.5</v>
      </c>
      <c r="P163" s="575"/>
      <c r="Q163" s="572" t="str">
        <f>VLOOKUP(G:G,list!B:D,3,FALSE)</f>
        <v>Y</v>
      </c>
    </row>
    <row r="164" spans="2:17" ht="18" customHeight="1">
      <c r="B164" s="563">
        <v>159</v>
      </c>
      <c r="C164" s="564" t="e">
        <f>VLOOKUP(G:G,list!B:D,2,FALSE)</f>
        <v>#N/A</v>
      </c>
      <c r="D164" s="564" t="s">
        <v>182</v>
      </c>
      <c r="E164" s="564" t="s">
        <v>115</v>
      </c>
      <c r="F164" s="564" t="s">
        <v>386</v>
      </c>
      <c r="G164" s="564" t="s">
        <v>226</v>
      </c>
      <c r="H164" s="565">
        <v>44633</v>
      </c>
      <c r="I164" s="564" t="s">
        <v>351</v>
      </c>
      <c r="J164" s="599">
        <v>9818</v>
      </c>
      <c r="K164" s="600">
        <v>0.5</v>
      </c>
      <c r="L164" s="568">
        <v>4909</v>
      </c>
      <c r="M164" s="569">
        <v>0.1</v>
      </c>
      <c r="N164" s="570">
        <f>L164*M164</f>
        <v>490.90000000000003</v>
      </c>
      <c r="O164" s="570">
        <f>L164-N164</f>
        <v>4418.1000000000004</v>
      </c>
      <c r="P164" s="575"/>
      <c r="Q164" s="572" t="e">
        <f>VLOOKUP(G:G,list!B:D,3,FALSE)</f>
        <v>#N/A</v>
      </c>
    </row>
    <row r="165" spans="2:17" ht="18" customHeight="1">
      <c r="B165" s="563">
        <v>160</v>
      </c>
      <c r="C165" s="564" t="e">
        <f>VLOOKUP(G:G,list!B:D,2,FALSE)</f>
        <v>#N/A</v>
      </c>
      <c r="D165" s="564" t="s">
        <v>182</v>
      </c>
      <c r="E165" s="564" t="s">
        <v>115</v>
      </c>
      <c r="F165" s="564" t="s">
        <v>386</v>
      </c>
      <c r="G165" s="564" t="s">
        <v>204</v>
      </c>
      <c r="H165" s="565">
        <v>44615</v>
      </c>
      <c r="I165" s="564" t="s">
        <v>351</v>
      </c>
      <c r="J165" s="599">
        <v>1057182</v>
      </c>
      <c r="K165" s="600">
        <v>0.5</v>
      </c>
      <c r="L165" s="568">
        <v>528591</v>
      </c>
      <c r="M165" s="569">
        <v>0.1</v>
      </c>
      <c r="N165" s="573">
        <f>L165*M165</f>
        <v>52859.100000000006</v>
      </c>
      <c r="O165" s="570">
        <f t="shared" ref="O165:O171" si="31">L165-N165</f>
        <v>475731.9</v>
      </c>
      <c r="P165" s="575"/>
      <c r="Q165" s="572" t="e">
        <f>VLOOKUP(G:G,list!B:D,3,FALSE)</f>
        <v>#N/A</v>
      </c>
    </row>
    <row r="166" spans="2:17" ht="18" customHeight="1">
      <c r="B166" s="563">
        <v>161</v>
      </c>
      <c r="C166" s="564" t="str">
        <f>VLOOKUP(G:G,list!B:D,2,FALSE)</f>
        <v>작가기획</v>
      </c>
      <c r="D166" s="564" t="s">
        <v>182</v>
      </c>
      <c r="E166" s="564" t="s">
        <v>115</v>
      </c>
      <c r="F166" s="564" t="s">
        <v>386</v>
      </c>
      <c r="G166" s="564" t="s">
        <v>139</v>
      </c>
      <c r="H166" s="565">
        <v>44643</v>
      </c>
      <c r="I166" s="564" t="s">
        <v>351</v>
      </c>
      <c r="J166" s="599">
        <v>36558</v>
      </c>
      <c r="K166" s="600">
        <v>0.5</v>
      </c>
      <c r="L166" s="568">
        <v>18279</v>
      </c>
      <c r="M166" s="569" t="s">
        <v>203</v>
      </c>
      <c r="N166" s="573">
        <v>0</v>
      </c>
      <c r="O166" s="570">
        <f>L166-N166</f>
        <v>18279</v>
      </c>
      <c r="P166" s="575"/>
      <c r="Q166" s="572" t="str">
        <f>VLOOKUP(G:G,list!B:D,3,FALSE)</f>
        <v>Y</v>
      </c>
    </row>
    <row r="167" spans="2:17" ht="18" customHeight="1">
      <c r="B167" s="563">
        <v>162</v>
      </c>
      <c r="C167" s="564" t="e">
        <f>VLOOKUP(G:G,list!B:D,2,FALSE)</f>
        <v>#N/A</v>
      </c>
      <c r="D167" s="564" t="s">
        <v>182</v>
      </c>
      <c r="E167" s="564" t="s">
        <v>115</v>
      </c>
      <c r="F167" s="564" t="s">
        <v>386</v>
      </c>
      <c r="G167" s="564" t="s">
        <v>147</v>
      </c>
      <c r="H167" s="565">
        <v>44593</v>
      </c>
      <c r="I167" s="564" t="s">
        <v>351</v>
      </c>
      <c r="J167" s="599">
        <v>411406</v>
      </c>
      <c r="K167" s="600">
        <v>0.5</v>
      </c>
      <c r="L167" s="568">
        <v>205703</v>
      </c>
      <c r="M167" s="569" t="s">
        <v>203</v>
      </c>
      <c r="N167" s="573">
        <v>0</v>
      </c>
      <c r="O167" s="570">
        <f t="shared" si="31"/>
        <v>205703</v>
      </c>
      <c r="P167" s="575"/>
      <c r="Q167" s="572" t="e">
        <f>VLOOKUP(G:G,list!B:D,3,FALSE)</f>
        <v>#N/A</v>
      </c>
    </row>
    <row r="168" spans="2:17" ht="18" customHeight="1">
      <c r="B168" s="563">
        <v>163</v>
      </c>
      <c r="C168" s="564" t="e">
        <f>VLOOKUP(G:G,list!B:D,2,FALSE)</f>
        <v>#N/A</v>
      </c>
      <c r="D168" s="564" t="s">
        <v>182</v>
      </c>
      <c r="E168" s="564" t="s">
        <v>115</v>
      </c>
      <c r="F168" s="564" t="s">
        <v>386</v>
      </c>
      <c r="G168" s="564" t="s">
        <v>191</v>
      </c>
      <c r="H168" s="565">
        <v>44599</v>
      </c>
      <c r="I168" s="564" t="s">
        <v>351</v>
      </c>
      <c r="J168" s="599">
        <v>3378318</v>
      </c>
      <c r="K168" s="600">
        <v>0.5</v>
      </c>
      <c r="L168" s="568">
        <v>1689159</v>
      </c>
      <c r="M168" s="569">
        <v>0.1</v>
      </c>
      <c r="N168" s="573">
        <f t="shared" ref="N168" si="32">L168*M168</f>
        <v>168915.90000000002</v>
      </c>
      <c r="O168" s="570">
        <f t="shared" si="31"/>
        <v>1520243.1</v>
      </c>
      <c r="P168" s="575"/>
      <c r="Q168" s="572" t="e">
        <f>VLOOKUP(G:G,list!B:D,3,FALSE)</f>
        <v>#N/A</v>
      </c>
    </row>
    <row r="169" spans="2:17" ht="18" customHeight="1">
      <c r="B169" s="563">
        <v>164</v>
      </c>
      <c r="C169" s="564" t="e">
        <f>VLOOKUP(G:G,list!B:D,2,FALSE)</f>
        <v>#N/A</v>
      </c>
      <c r="D169" s="564" t="s">
        <v>313</v>
      </c>
      <c r="E169" s="564" t="s">
        <v>9</v>
      </c>
      <c r="F169" s="564" t="s">
        <v>213</v>
      </c>
      <c r="G169" s="564" t="s">
        <v>10</v>
      </c>
      <c r="H169" s="565">
        <v>44653</v>
      </c>
      <c r="I169" s="564" t="s">
        <v>377</v>
      </c>
      <c r="J169" s="599">
        <v>1491793</v>
      </c>
      <c r="K169" s="600">
        <v>0.3</v>
      </c>
      <c r="L169" s="568">
        <v>447538</v>
      </c>
      <c r="M169" s="569">
        <v>0.1</v>
      </c>
      <c r="N169" s="570">
        <f t="shared" ref="N169:N176" si="33">L169*M169</f>
        <v>44753.8</v>
      </c>
      <c r="O169" s="570">
        <f t="shared" si="31"/>
        <v>402784.2</v>
      </c>
      <c r="P169" s="575" t="s">
        <v>307</v>
      </c>
      <c r="Q169" s="572" t="e">
        <f>VLOOKUP(G:G,list!B:D,3,FALSE)</f>
        <v>#N/A</v>
      </c>
    </row>
    <row r="170" spans="2:17" ht="18" customHeight="1">
      <c r="B170" s="563">
        <v>165</v>
      </c>
      <c r="C170" s="564" t="e">
        <f>VLOOKUP(G:G,list!B:D,2,FALSE)</f>
        <v>#N/A</v>
      </c>
      <c r="D170" s="564" t="s">
        <v>313</v>
      </c>
      <c r="E170" s="564" t="s">
        <v>9</v>
      </c>
      <c r="F170" s="564" t="s">
        <v>213</v>
      </c>
      <c r="G170" s="564" t="s">
        <v>10</v>
      </c>
      <c r="H170" s="565">
        <v>44653</v>
      </c>
      <c r="I170" s="564" t="s">
        <v>428</v>
      </c>
      <c r="J170" s="599">
        <v>1301483</v>
      </c>
      <c r="K170" s="600">
        <v>0.3</v>
      </c>
      <c r="L170" s="568">
        <v>390445</v>
      </c>
      <c r="M170" s="569">
        <v>0.1</v>
      </c>
      <c r="N170" s="570">
        <f t="shared" si="33"/>
        <v>39044.5</v>
      </c>
      <c r="O170" s="570">
        <f t="shared" ref="O170" si="34">L170-N170</f>
        <v>351400.5</v>
      </c>
      <c r="P170" s="575" t="s">
        <v>307</v>
      </c>
      <c r="Q170" s="572" t="e">
        <f>VLOOKUP(G:G,list!B:D,3,FALSE)</f>
        <v>#N/A</v>
      </c>
    </row>
    <row r="171" spans="2:17" ht="18" customHeight="1">
      <c r="B171" s="563">
        <v>166</v>
      </c>
      <c r="C171" s="564" t="e">
        <f>VLOOKUP(G:G,list!B:D,2,FALSE)</f>
        <v>#N/A</v>
      </c>
      <c r="D171" s="564" t="s">
        <v>313</v>
      </c>
      <c r="E171" s="564" t="s">
        <v>9</v>
      </c>
      <c r="F171" s="564" t="s">
        <v>213</v>
      </c>
      <c r="G171" s="564" t="s">
        <v>17</v>
      </c>
      <c r="H171" s="565">
        <v>44642</v>
      </c>
      <c r="I171" s="564" t="s">
        <v>377</v>
      </c>
      <c r="J171" s="599">
        <v>1938543</v>
      </c>
      <c r="K171" s="600">
        <v>0.3</v>
      </c>
      <c r="L171" s="568">
        <v>581563</v>
      </c>
      <c r="M171" s="569">
        <v>0.12</v>
      </c>
      <c r="N171" s="573">
        <f t="shared" si="33"/>
        <v>69787.56</v>
      </c>
      <c r="O171" s="570">
        <f t="shared" si="31"/>
        <v>511775.44</v>
      </c>
      <c r="P171" s="575" t="s">
        <v>307</v>
      </c>
      <c r="Q171" s="572" t="e">
        <f>VLOOKUP(G:G,list!B:D,3,FALSE)</f>
        <v>#N/A</v>
      </c>
    </row>
    <row r="172" spans="2:17" ht="18" customHeight="1">
      <c r="B172" s="563">
        <v>167</v>
      </c>
      <c r="C172" s="564" t="e">
        <f>VLOOKUP(G:G,list!B:D,2,FALSE)</f>
        <v>#N/A</v>
      </c>
      <c r="D172" s="564" t="s">
        <v>313</v>
      </c>
      <c r="E172" s="564" t="s">
        <v>9</v>
      </c>
      <c r="F172" s="564" t="s">
        <v>213</v>
      </c>
      <c r="G172" s="564" t="s">
        <v>17</v>
      </c>
      <c r="H172" s="565">
        <v>44642</v>
      </c>
      <c r="I172" s="564" t="s">
        <v>428</v>
      </c>
      <c r="J172" s="599">
        <v>2015260</v>
      </c>
      <c r="K172" s="600">
        <v>0.3</v>
      </c>
      <c r="L172" s="568">
        <v>604578</v>
      </c>
      <c r="M172" s="569">
        <v>0.12</v>
      </c>
      <c r="N172" s="573">
        <f t="shared" si="33"/>
        <v>72549.36</v>
      </c>
      <c r="O172" s="570">
        <f t="shared" ref="O172" si="35">L172-N172</f>
        <v>532028.64</v>
      </c>
      <c r="P172" s="575" t="s">
        <v>307</v>
      </c>
      <c r="Q172" s="572" t="e">
        <f>VLOOKUP(G:G,list!B:D,3,FALSE)</f>
        <v>#N/A</v>
      </c>
    </row>
    <row r="173" spans="2:17" ht="18" customHeight="1">
      <c r="B173" s="563">
        <v>168</v>
      </c>
      <c r="C173" s="564" t="e">
        <f>VLOOKUP(G:G,list!B:D,2,FALSE)</f>
        <v>#N/A</v>
      </c>
      <c r="D173" s="564" t="s">
        <v>313</v>
      </c>
      <c r="E173" s="564" t="s">
        <v>9</v>
      </c>
      <c r="F173" s="564" t="s">
        <v>213</v>
      </c>
      <c r="G173" s="564" t="s">
        <v>55</v>
      </c>
      <c r="H173" s="565">
        <v>44666</v>
      </c>
      <c r="I173" s="564" t="s">
        <v>377</v>
      </c>
      <c r="J173" s="599">
        <v>51360</v>
      </c>
      <c r="K173" s="600">
        <v>0.3</v>
      </c>
      <c r="L173" s="568">
        <v>15408</v>
      </c>
      <c r="M173" s="569">
        <v>0.1</v>
      </c>
      <c r="N173" s="570">
        <f t="shared" si="33"/>
        <v>1540.8000000000002</v>
      </c>
      <c r="O173" s="570">
        <f>L173-N173</f>
        <v>13867.2</v>
      </c>
      <c r="P173" s="575" t="s">
        <v>307</v>
      </c>
      <c r="Q173" s="572" t="e">
        <f>VLOOKUP(G:G,list!B:D,3,FALSE)</f>
        <v>#N/A</v>
      </c>
    </row>
    <row r="174" spans="2:17" ht="18" customHeight="1">
      <c r="B174" s="563">
        <v>169</v>
      </c>
      <c r="C174" s="564" t="e">
        <f>VLOOKUP(G:G,list!B:D,2,FALSE)</f>
        <v>#N/A</v>
      </c>
      <c r="D174" s="564" t="s">
        <v>313</v>
      </c>
      <c r="E174" s="564" t="s">
        <v>9</v>
      </c>
      <c r="F174" s="564" t="s">
        <v>213</v>
      </c>
      <c r="G174" s="564" t="s">
        <v>55</v>
      </c>
      <c r="H174" s="565">
        <v>44666</v>
      </c>
      <c r="I174" s="564" t="s">
        <v>428</v>
      </c>
      <c r="J174" s="599">
        <v>28017</v>
      </c>
      <c r="K174" s="600">
        <v>0.3</v>
      </c>
      <c r="L174" s="568">
        <v>8405</v>
      </c>
      <c r="M174" s="569">
        <v>0.1</v>
      </c>
      <c r="N174" s="570">
        <f t="shared" si="33"/>
        <v>840.5</v>
      </c>
      <c r="O174" s="570">
        <f>L174-N174</f>
        <v>7564.5</v>
      </c>
      <c r="P174" s="575" t="s">
        <v>307</v>
      </c>
      <c r="Q174" s="572" t="e">
        <f>VLOOKUP(G:G,list!B:D,3,FALSE)</f>
        <v>#N/A</v>
      </c>
    </row>
    <row r="175" spans="2:17" ht="18" customHeight="1">
      <c r="B175" s="563">
        <v>170</v>
      </c>
      <c r="C175" s="564" t="e">
        <f>VLOOKUP(G:G,list!B:D,2,FALSE)</f>
        <v>#N/A</v>
      </c>
      <c r="D175" s="564" t="s">
        <v>189</v>
      </c>
      <c r="E175" s="564" t="s">
        <v>9</v>
      </c>
      <c r="F175" s="564" t="s">
        <v>213</v>
      </c>
      <c r="G175" s="564" t="s">
        <v>10</v>
      </c>
      <c r="H175" s="565">
        <v>44366</v>
      </c>
      <c r="I175" s="564" t="s">
        <v>377</v>
      </c>
      <c r="J175" s="599">
        <v>16566840</v>
      </c>
      <c r="K175" s="600">
        <v>0.3</v>
      </c>
      <c r="L175" s="568">
        <v>4970052</v>
      </c>
      <c r="M175" s="569">
        <v>0.1</v>
      </c>
      <c r="N175" s="570">
        <f t="shared" si="33"/>
        <v>497005.2</v>
      </c>
      <c r="O175" s="570">
        <f t="shared" ref="O175:O178" si="36">L175-N175</f>
        <v>4473046.8</v>
      </c>
      <c r="P175" s="575" t="s">
        <v>307</v>
      </c>
      <c r="Q175" s="572" t="e">
        <f>VLOOKUP(G:G,list!B:D,3,FALSE)</f>
        <v>#N/A</v>
      </c>
    </row>
    <row r="176" spans="2:17" ht="18" customHeight="1">
      <c r="B176" s="563">
        <v>171</v>
      </c>
      <c r="C176" s="564" t="e">
        <f>VLOOKUP(G:G,list!B:D,2,FALSE)</f>
        <v>#N/A</v>
      </c>
      <c r="D176" s="564" t="s">
        <v>189</v>
      </c>
      <c r="E176" s="564" t="s">
        <v>9</v>
      </c>
      <c r="F176" s="564" t="s">
        <v>213</v>
      </c>
      <c r="G176" s="564" t="s">
        <v>10</v>
      </c>
      <c r="H176" s="565">
        <v>44366</v>
      </c>
      <c r="I176" s="564" t="s">
        <v>428</v>
      </c>
      <c r="J176" s="599">
        <v>14455357</v>
      </c>
      <c r="K176" s="600">
        <v>0.3</v>
      </c>
      <c r="L176" s="568">
        <v>4336607</v>
      </c>
      <c r="M176" s="569">
        <v>0.1</v>
      </c>
      <c r="N176" s="570">
        <f t="shared" si="33"/>
        <v>433660.7</v>
      </c>
      <c r="O176" s="570">
        <f t="shared" ref="O176:O177" si="37">L176-N176</f>
        <v>3902946.3</v>
      </c>
      <c r="P176" s="575" t="s">
        <v>307</v>
      </c>
      <c r="Q176" s="572" t="e">
        <f>VLOOKUP(G:G,list!B:D,3,FALSE)</f>
        <v>#N/A</v>
      </c>
    </row>
    <row r="177" spans="2:17" ht="18" customHeight="1">
      <c r="B177" s="563">
        <v>172</v>
      </c>
      <c r="C177" s="564" t="e">
        <f>VLOOKUP(G:G,list!B:D,2,FALSE)</f>
        <v>#N/A</v>
      </c>
      <c r="D177" s="564" t="s">
        <v>189</v>
      </c>
      <c r="E177" s="564" t="s">
        <v>9</v>
      </c>
      <c r="F177" s="564" t="s">
        <v>213</v>
      </c>
      <c r="G177" s="564" t="s">
        <v>17</v>
      </c>
      <c r="H177" s="565">
        <v>44466</v>
      </c>
      <c r="I177" s="564" t="s">
        <v>377</v>
      </c>
      <c r="J177" s="599">
        <v>6723490</v>
      </c>
      <c r="K177" s="600">
        <v>0.3</v>
      </c>
      <c r="L177" s="568">
        <v>2017047</v>
      </c>
      <c r="M177" s="569">
        <v>0.12</v>
      </c>
      <c r="N177" s="573">
        <f t="shared" ref="N177" si="38">L177*M177</f>
        <v>242045.63999999998</v>
      </c>
      <c r="O177" s="570">
        <f t="shared" si="37"/>
        <v>1775001.36</v>
      </c>
      <c r="P177" s="575" t="s">
        <v>307</v>
      </c>
      <c r="Q177" s="572" t="e">
        <f>VLOOKUP(G:G,list!B:D,3,FALSE)</f>
        <v>#N/A</v>
      </c>
    </row>
    <row r="178" spans="2:17" ht="18" customHeight="1">
      <c r="B178" s="563">
        <v>173</v>
      </c>
      <c r="C178" s="564" t="e">
        <f>VLOOKUP(G:G,list!B:D,2,FALSE)</f>
        <v>#N/A</v>
      </c>
      <c r="D178" s="564" t="s">
        <v>189</v>
      </c>
      <c r="E178" s="564" t="s">
        <v>9</v>
      </c>
      <c r="F178" s="564" t="s">
        <v>213</v>
      </c>
      <c r="G178" s="564" t="s">
        <v>17</v>
      </c>
      <c r="H178" s="565">
        <v>44466</v>
      </c>
      <c r="I178" s="564" t="s">
        <v>428</v>
      </c>
      <c r="J178" s="599">
        <v>6389520</v>
      </c>
      <c r="K178" s="600">
        <v>0.3</v>
      </c>
      <c r="L178" s="568">
        <v>1916856</v>
      </c>
      <c r="M178" s="569">
        <v>0.12</v>
      </c>
      <c r="N178" s="573">
        <f t="shared" ref="N178:N191" si="39">L178*M178</f>
        <v>230022.72</v>
      </c>
      <c r="O178" s="570">
        <f t="shared" si="36"/>
        <v>1686833.28</v>
      </c>
      <c r="P178" s="575" t="s">
        <v>307</v>
      </c>
      <c r="Q178" s="572" t="e">
        <f>VLOOKUP(G:G,list!B:D,3,FALSE)</f>
        <v>#N/A</v>
      </c>
    </row>
    <row r="179" spans="2:17" ht="18" customHeight="1">
      <c r="B179" s="563">
        <v>174</v>
      </c>
      <c r="C179" s="564" t="e">
        <f>VLOOKUP(G:G,list!B:D,2,FALSE)</f>
        <v>#N/A</v>
      </c>
      <c r="D179" s="564" t="s">
        <v>189</v>
      </c>
      <c r="E179" s="564" t="s">
        <v>9</v>
      </c>
      <c r="F179" s="564" t="s">
        <v>41</v>
      </c>
      <c r="G179" s="564" t="s">
        <v>179</v>
      </c>
      <c r="H179" s="565">
        <v>44114</v>
      </c>
      <c r="I179" s="564" t="s">
        <v>377</v>
      </c>
      <c r="J179" s="586">
        <v>0</v>
      </c>
      <c r="K179" s="567">
        <v>0.8</v>
      </c>
      <c r="L179" s="568">
        <v>0</v>
      </c>
      <c r="M179" s="569">
        <v>0.1</v>
      </c>
      <c r="N179" s="573">
        <f t="shared" si="39"/>
        <v>0</v>
      </c>
      <c r="O179" s="570">
        <f>L179-N179</f>
        <v>0</v>
      </c>
      <c r="P179" s="575" t="s">
        <v>458</v>
      </c>
      <c r="Q179" s="572" t="e">
        <f>VLOOKUP(G:G,list!B:D,3,FALSE)</f>
        <v>#N/A</v>
      </c>
    </row>
    <row r="180" spans="2:17" ht="18" customHeight="1">
      <c r="B180" s="563">
        <v>175</v>
      </c>
      <c r="C180" s="564" t="e">
        <f>VLOOKUP(G:G,list!B:D,2,FALSE)</f>
        <v>#N/A</v>
      </c>
      <c r="D180" s="564" t="s">
        <v>189</v>
      </c>
      <c r="E180" s="564" t="s">
        <v>9</v>
      </c>
      <c r="F180" s="564" t="s">
        <v>41</v>
      </c>
      <c r="G180" s="564" t="s">
        <v>153</v>
      </c>
      <c r="H180" s="565">
        <v>44122</v>
      </c>
      <c r="I180" s="564" t="s">
        <v>377</v>
      </c>
      <c r="J180" s="586">
        <v>9105</v>
      </c>
      <c r="K180" s="567">
        <v>0.8</v>
      </c>
      <c r="L180" s="568">
        <v>7284</v>
      </c>
      <c r="M180" s="569">
        <v>0.1</v>
      </c>
      <c r="N180" s="570">
        <f t="shared" si="39"/>
        <v>728.40000000000009</v>
      </c>
      <c r="O180" s="570">
        <f>L180-N180</f>
        <v>6555.6</v>
      </c>
      <c r="P180" s="576"/>
      <c r="Q180" s="572" t="e">
        <f>VLOOKUP(G:G,list!B:D,3,FALSE)</f>
        <v>#N/A</v>
      </c>
    </row>
    <row r="181" spans="2:17" ht="18" customHeight="1">
      <c r="B181" s="563">
        <v>176</v>
      </c>
      <c r="C181" s="564" t="e">
        <f>VLOOKUP(G:G,list!B:D,2,FALSE)</f>
        <v>#N/A</v>
      </c>
      <c r="D181" s="564" t="s">
        <v>189</v>
      </c>
      <c r="E181" s="564" t="s">
        <v>9</v>
      </c>
      <c r="F181" s="564" t="s">
        <v>41</v>
      </c>
      <c r="G181" s="564" t="s">
        <v>152</v>
      </c>
      <c r="H181" s="565">
        <v>44250</v>
      </c>
      <c r="I181" s="564" t="s">
        <v>377</v>
      </c>
      <c r="J181" s="586">
        <v>3035</v>
      </c>
      <c r="K181" s="567">
        <v>0.8</v>
      </c>
      <c r="L181" s="568">
        <v>2428</v>
      </c>
      <c r="M181" s="569">
        <v>0.12</v>
      </c>
      <c r="N181" s="573">
        <f t="shared" si="39"/>
        <v>291.36</v>
      </c>
      <c r="O181" s="570">
        <f>L181-N181</f>
        <v>2136.64</v>
      </c>
      <c r="P181" s="576"/>
      <c r="Q181" s="572" t="e">
        <f>VLOOKUP(G:G,list!B:D,3,FALSE)</f>
        <v>#N/A</v>
      </c>
    </row>
    <row r="182" spans="2:17" ht="18" customHeight="1">
      <c r="B182" s="563">
        <v>177</v>
      </c>
      <c r="C182" s="564" t="str">
        <f>VLOOKUP(G:G,list!B:D,2,FALSE)</f>
        <v>원작료</v>
      </c>
      <c r="D182" s="564" t="s">
        <v>189</v>
      </c>
      <c r="E182" s="564" t="s">
        <v>9</v>
      </c>
      <c r="F182" s="564" t="s">
        <v>41</v>
      </c>
      <c r="G182" s="564" t="s">
        <v>151</v>
      </c>
      <c r="H182" s="565">
        <v>44265</v>
      </c>
      <c r="I182" s="564" t="s">
        <v>377</v>
      </c>
      <c r="J182" s="586">
        <v>0</v>
      </c>
      <c r="K182" s="567">
        <v>0.8</v>
      </c>
      <c r="L182" s="568">
        <v>0</v>
      </c>
      <c r="M182" s="569">
        <v>0.1</v>
      </c>
      <c r="N182" s="570">
        <f>L182*M182</f>
        <v>0</v>
      </c>
      <c r="O182" s="570">
        <f>L182-N182</f>
        <v>0</v>
      </c>
      <c r="P182" s="604" t="s">
        <v>366</v>
      </c>
      <c r="Q182" s="572" t="str">
        <f>VLOOKUP(G:G,list!B:D,3,FALSE)</f>
        <v>Y</v>
      </c>
    </row>
    <row r="183" spans="2:17" ht="18" customHeight="1">
      <c r="B183" s="563">
        <v>178</v>
      </c>
      <c r="C183" s="564" t="e">
        <f>VLOOKUP(G:G,list!B:D,2,FALSE)</f>
        <v>#N/A</v>
      </c>
      <c r="D183" s="564" t="s">
        <v>251</v>
      </c>
      <c r="E183" s="564" t="s">
        <v>9</v>
      </c>
      <c r="F183" s="564" t="s">
        <v>41</v>
      </c>
      <c r="G183" s="564" t="s">
        <v>212</v>
      </c>
      <c r="H183" s="565">
        <v>44327</v>
      </c>
      <c r="I183" s="564" t="s">
        <v>377</v>
      </c>
      <c r="J183" s="586">
        <v>8437</v>
      </c>
      <c r="K183" s="567">
        <v>0.8</v>
      </c>
      <c r="L183" s="568">
        <v>6749</v>
      </c>
      <c r="M183" s="569">
        <v>0.1</v>
      </c>
      <c r="N183" s="573">
        <f t="shared" si="39"/>
        <v>674.90000000000009</v>
      </c>
      <c r="O183" s="570">
        <f t="shared" ref="O183" si="40">L183-N183</f>
        <v>6074.1</v>
      </c>
      <c r="P183" s="604"/>
      <c r="Q183" s="572" t="e">
        <f>VLOOKUP(G:G,list!B:D,3,FALSE)</f>
        <v>#N/A</v>
      </c>
    </row>
    <row r="184" spans="2:17" ht="18" customHeight="1">
      <c r="B184" s="563">
        <v>179</v>
      </c>
      <c r="C184" s="564" t="e">
        <f>VLOOKUP(G:G,list!B:D,2,FALSE)</f>
        <v>#N/A</v>
      </c>
      <c r="D184" s="564" t="s">
        <v>189</v>
      </c>
      <c r="E184" s="564" t="s">
        <v>9</v>
      </c>
      <c r="F184" s="564" t="s">
        <v>257</v>
      </c>
      <c r="G184" s="564" t="s">
        <v>179</v>
      </c>
      <c r="H184" s="565">
        <v>44678</v>
      </c>
      <c r="I184" s="564" t="s">
        <v>428</v>
      </c>
      <c r="J184" s="586">
        <v>585748</v>
      </c>
      <c r="K184" s="567">
        <v>0.35000108854200684</v>
      </c>
      <c r="L184" s="568">
        <v>205011</v>
      </c>
      <c r="M184" s="569">
        <v>0.1</v>
      </c>
      <c r="N184" s="573">
        <f t="shared" si="39"/>
        <v>20501.100000000002</v>
      </c>
      <c r="O184" s="570">
        <f>L184-N184</f>
        <v>184509.9</v>
      </c>
      <c r="P184" s="575" t="s">
        <v>356</v>
      </c>
      <c r="Q184" s="572" t="e">
        <f>VLOOKUP(G:G,list!B:D,3,FALSE)</f>
        <v>#N/A</v>
      </c>
    </row>
    <row r="185" spans="2:17" ht="18" customHeight="1">
      <c r="B185" s="563">
        <v>180</v>
      </c>
      <c r="C185" s="564" t="e">
        <f>VLOOKUP(G:G,list!B:D,2,FALSE)</f>
        <v>#N/A</v>
      </c>
      <c r="D185" s="564" t="s">
        <v>189</v>
      </c>
      <c r="E185" s="564" t="s">
        <v>9</v>
      </c>
      <c r="F185" s="564" t="s">
        <v>257</v>
      </c>
      <c r="G185" s="564" t="s">
        <v>43</v>
      </c>
      <c r="H185" s="565">
        <v>44742</v>
      </c>
      <c r="I185" s="564" t="s">
        <v>428</v>
      </c>
      <c r="J185" s="586">
        <v>441860</v>
      </c>
      <c r="K185" s="567">
        <v>0.28000000000000003</v>
      </c>
      <c r="L185" s="568">
        <v>123721</v>
      </c>
      <c r="M185" s="569">
        <v>0.1</v>
      </c>
      <c r="N185" s="573">
        <f t="shared" si="39"/>
        <v>12372.1</v>
      </c>
      <c r="O185" s="570">
        <f t="shared" ref="O185:O255" si="41">L185-N185</f>
        <v>111348.9</v>
      </c>
      <c r="P185" s="575"/>
      <c r="Q185" s="572" t="e">
        <f>VLOOKUP(G:G,list!B:D,3,FALSE)</f>
        <v>#N/A</v>
      </c>
    </row>
    <row r="186" spans="2:17" ht="18" customHeight="1">
      <c r="B186" s="563">
        <v>181</v>
      </c>
      <c r="C186" s="564" t="e">
        <f>VLOOKUP(G:G,list!B:D,2,FALSE)</f>
        <v>#N/A</v>
      </c>
      <c r="D186" s="564" t="s">
        <v>189</v>
      </c>
      <c r="E186" s="564" t="s">
        <v>9</v>
      </c>
      <c r="F186" s="564" t="s">
        <v>257</v>
      </c>
      <c r="G186" s="564" t="s">
        <v>335</v>
      </c>
      <c r="H186" s="565">
        <v>44678</v>
      </c>
      <c r="I186" s="564" t="s">
        <v>428</v>
      </c>
      <c r="J186" s="586">
        <v>324139</v>
      </c>
      <c r="K186" s="567">
        <v>0.35000092343655598</v>
      </c>
      <c r="L186" s="568">
        <v>113449</v>
      </c>
      <c r="M186" s="569">
        <v>0.1</v>
      </c>
      <c r="N186" s="570">
        <f t="shared" si="39"/>
        <v>11344.900000000001</v>
      </c>
      <c r="O186" s="570">
        <f t="shared" si="41"/>
        <v>102104.1</v>
      </c>
      <c r="P186" s="575"/>
      <c r="Q186" s="572" t="e">
        <f>VLOOKUP(G:G,list!B:D,3,FALSE)</f>
        <v>#N/A</v>
      </c>
    </row>
    <row r="187" spans="2:17" ht="18" customHeight="1">
      <c r="B187" s="563">
        <v>182</v>
      </c>
      <c r="C187" s="564" t="e">
        <f>VLOOKUP(G:G,list!B:D,2,FALSE)</f>
        <v>#N/A</v>
      </c>
      <c r="D187" s="564" t="s">
        <v>189</v>
      </c>
      <c r="E187" s="564" t="s">
        <v>9</v>
      </c>
      <c r="F187" s="564" t="s">
        <v>257</v>
      </c>
      <c r="G187" s="564" t="s">
        <v>336</v>
      </c>
      <c r="H187" s="565">
        <v>44685</v>
      </c>
      <c r="I187" s="564" t="s">
        <v>428</v>
      </c>
      <c r="J187" s="586">
        <v>2683406</v>
      </c>
      <c r="K187" s="567">
        <v>0.35000008474455208</v>
      </c>
      <c r="L187" s="568">
        <v>939192</v>
      </c>
      <c r="M187" s="569">
        <v>0.1</v>
      </c>
      <c r="N187" s="570">
        <f t="shared" si="39"/>
        <v>93919.200000000012</v>
      </c>
      <c r="O187" s="570">
        <f t="shared" si="41"/>
        <v>845272.8</v>
      </c>
      <c r="P187" s="575"/>
      <c r="Q187" s="572" t="e">
        <f>VLOOKUP(G:G,list!B:D,3,FALSE)</f>
        <v>#N/A</v>
      </c>
    </row>
    <row r="188" spans="2:17" ht="18" customHeight="1">
      <c r="B188" s="563">
        <v>183</v>
      </c>
      <c r="C188" s="564" t="str">
        <f>VLOOKUP(G:G,list!B:D,2,FALSE)</f>
        <v>원작료</v>
      </c>
      <c r="D188" s="564" t="s">
        <v>189</v>
      </c>
      <c r="E188" s="564" t="s">
        <v>9</v>
      </c>
      <c r="F188" s="564" t="s">
        <v>257</v>
      </c>
      <c r="G188" s="564" t="s">
        <v>30</v>
      </c>
      <c r="H188" s="565">
        <v>44742</v>
      </c>
      <c r="I188" s="564" t="s">
        <v>428</v>
      </c>
      <c r="J188" s="586">
        <v>147250</v>
      </c>
      <c r="K188" s="567">
        <v>0.35000008474455208</v>
      </c>
      <c r="L188" s="568">
        <v>51538</v>
      </c>
      <c r="M188" s="569">
        <v>0.1</v>
      </c>
      <c r="N188" s="570">
        <f>L188*M188</f>
        <v>5153.8</v>
      </c>
      <c r="O188" s="570">
        <f>L188-N188</f>
        <v>46384.2</v>
      </c>
      <c r="P188" s="575"/>
      <c r="Q188" s="572" t="str">
        <f>VLOOKUP(G:G,list!B:D,3,FALSE)</f>
        <v>Y</v>
      </c>
    </row>
    <row r="189" spans="2:17" ht="18" customHeight="1">
      <c r="B189" s="563">
        <v>184</v>
      </c>
      <c r="C189" s="564" t="e">
        <f>VLOOKUP(G:G,list!B:D,2,FALSE)</f>
        <v>#N/A</v>
      </c>
      <c r="D189" s="564" t="s">
        <v>189</v>
      </c>
      <c r="E189" s="564" t="s">
        <v>9</v>
      </c>
      <c r="F189" s="564" t="s">
        <v>257</v>
      </c>
      <c r="G189" s="564" t="s">
        <v>28</v>
      </c>
      <c r="H189" s="565">
        <v>44742</v>
      </c>
      <c r="I189" s="564" t="s">
        <v>428</v>
      </c>
      <c r="J189" s="586">
        <v>290047</v>
      </c>
      <c r="K189" s="567">
        <v>0.35000008474455208</v>
      </c>
      <c r="L189" s="568">
        <v>101516</v>
      </c>
      <c r="M189" s="569">
        <v>0.12</v>
      </c>
      <c r="N189" s="570">
        <f t="shared" si="39"/>
        <v>12181.92</v>
      </c>
      <c r="O189" s="570">
        <f t="shared" si="41"/>
        <v>89334.080000000002</v>
      </c>
      <c r="P189" s="575"/>
      <c r="Q189" s="572" t="e">
        <f>VLOOKUP(G:G,list!B:D,3,FALSE)</f>
        <v>#N/A</v>
      </c>
    </row>
    <row r="190" spans="2:17" ht="18" customHeight="1">
      <c r="B190" s="563">
        <v>185</v>
      </c>
      <c r="C190" s="564" t="e">
        <f>VLOOKUP(G:G,list!B:D,2,FALSE)</f>
        <v>#N/A</v>
      </c>
      <c r="D190" s="564" t="s">
        <v>189</v>
      </c>
      <c r="E190" s="564" t="s">
        <v>9</v>
      </c>
      <c r="F190" s="564" t="s">
        <v>257</v>
      </c>
      <c r="G190" s="564" t="s">
        <v>29</v>
      </c>
      <c r="H190" s="565">
        <v>44742</v>
      </c>
      <c r="I190" s="564" t="s">
        <v>428</v>
      </c>
      <c r="J190" s="586">
        <v>69719</v>
      </c>
      <c r="K190" s="567">
        <v>0.35000008474455208</v>
      </c>
      <c r="L190" s="568">
        <v>24401</v>
      </c>
      <c r="M190" s="569">
        <v>0.1</v>
      </c>
      <c r="N190" s="570">
        <f t="shared" si="39"/>
        <v>2440.1</v>
      </c>
      <c r="O190" s="570">
        <f t="shared" si="41"/>
        <v>21960.9</v>
      </c>
      <c r="P190" s="575"/>
      <c r="Q190" s="572" t="e">
        <f>VLOOKUP(G:G,list!B:D,3,FALSE)</f>
        <v>#N/A</v>
      </c>
    </row>
    <row r="191" spans="2:17" ht="18" customHeight="1">
      <c r="B191" s="563">
        <v>186</v>
      </c>
      <c r="C191" s="564" t="str">
        <f>VLOOKUP(G:G,list!B:D,2,FALSE)</f>
        <v>원작료</v>
      </c>
      <c r="D191" s="564" t="s">
        <v>189</v>
      </c>
      <c r="E191" s="564" t="s">
        <v>9</v>
      </c>
      <c r="F191" s="564" t="s">
        <v>257</v>
      </c>
      <c r="G191" s="564" t="s">
        <v>316</v>
      </c>
      <c r="H191" s="565">
        <v>44782</v>
      </c>
      <c r="I191" s="564" t="s">
        <v>428</v>
      </c>
      <c r="J191" s="586">
        <v>5200041</v>
      </c>
      <c r="K191" s="567">
        <v>0.35000008474455208</v>
      </c>
      <c r="L191" s="568">
        <v>1820015</v>
      </c>
      <c r="M191" s="569">
        <v>0.1</v>
      </c>
      <c r="N191" s="573">
        <f t="shared" si="39"/>
        <v>182001.5</v>
      </c>
      <c r="O191" s="570">
        <f t="shared" si="41"/>
        <v>1638013.5</v>
      </c>
      <c r="P191" s="575" t="s">
        <v>287</v>
      </c>
      <c r="Q191" s="572" t="str">
        <f>VLOOKUP(G:G,list!B:D,3,FALSE)</f>
        <v>Y</v>
      </c>
    </row>
    <row r="192" spans="2:17" ht="18" customHeight="1">
      <c r="B192" s="563">
        <v>187</v>
      </c>
      <c r="C192" s="564" t="e">
        <f>VLOOKUP(G:G,list!B:D,2,FALSE)</f>
        <v>#N/A</v>
      </c>
      <c r="D192" s="564" t="s">
        <v>72</v>
      </c>
      <c r="E192" s="564" t="s">
        <v>9</v>
      </c>
      <c r="F192" s="564" t="s">
        <v>184</v>
      </c>
      <c r="G192" s="564" t="s">
        <v>10</v>
      </c>
      <c r="H192" s="565">
        <v>44466</v>
      </c>
      <c r="I192" s="564" t="s">
        <v>368</v>
      </c>
      <c r="J192" s="586">
        <v>91829947</v>
      </c>
      <c r="K192" s="567">
        <v>0.3</v>
      </c>
      <c r="L192" s="568">
        <v>27548984</v>
      </c>
      <c r="M192" s="569">
        <v>0.1</v>
      </c>
      <c r="N192" s="570">
        <f>L192*M192</f>
        <v>2754898.4000000004</v>
      </c>
      <c r="O192" s="570">
        <f t="shared" si="41"/>
        <v>24794085.600000001</v>
      </c>
      <c r="P192" s="575" t="s">
        <v>282</v>
      </c>
      <c r="Q192" s="572" t="e">
        <f>VLOOKUP(G:G,list!B:D,3,FALSE)</f>
        <v>#N/A</v>
      </c>
    </row>
    <row r="193" spans="2:17" ht="18" customHeight="1">
      <c r="B193" s="563">
        <v>188</v>
      </c>
      <c r="C193" s="564" t="e">
        <f>VLOOKUP(G:G,list!B:D,2,FALSE)</f>
        <v>#N/A</v>
      </c>
      <c r="D193" s="564" t="s">
        <v>72</v>
      </c>
      <c r="E193" s="564" t="s">
        <v>9</v>
      </c>
      <c r="F193" s="564" t="s">
        <v>184</v>
      </c>
      <c r="G193" s="564" t="s">
        <v>10</v>
      </c>
      <c r="H193" s="565">
        <v>44466</v>
      </c>
      <c r="I193" s="564" t="s">
        <v>377</v>
      </c>
      <c r="J193" s="586">
        <v>207336483</v>
      </c>
      <c r="K193" s="567">
        <v>0.3</v>
      </c>
      <c r="L193" s="568">
        <v>62200945</v>
      </c>
      <c r="M193" s="569">
        <v>0.1</v>
      </c>
      <c r="N193" s="570">
        <f>L193*M193</f>
        <v>6220094.5</v>
      </c>
      <c r="O193" s="570">
        <f t="shared" ref="O193" si="42">L193-N193</f>
        <v>55980850.5</v>
      </c>
      <c r="P193" s="575" t="s">
        <v>282</v>
      </c>
      <c r="Q193" s="572" t="e">
        <f>VLOOKUP(G:G,list!B:D,3,FALSE)</f>
        <v>#N/A</v>
      </c>
    </row>
    <row r="194" spans="2:17" ht="18" customHeight="1">
      <c r="B194" s="563">
        <v>189</v>
      </c>
      <c r="C194" s="564" t="e">
        <f>VLOOKUP(G:G,list!B:D,2,FALSE)</f>
        <v>#N/A</v>
      </c>
      <c r="D194" s="564" t="s">
        <v>72</v>
      </c>
      <c r="E194" s="564" t="s">
        <v>9</v>
      </c>
      <c r="F194" s="564" t="s">
        <v>184</v>
      </c>
      <c r="G194" s="564" t="s">
        <v>11</v>
      </c>
      <c r="H194" s="565">
        <v>44468</v>
      </c>
      <c r="I194" s="564" t="s">
        <v>368</v>
      </c>
      <c r="J194" s="586">
        <v>182350</v>
      </c>
      <c r="K194" s="567">
        <v>0.3</v>
      </c>
      <c r="L194" s="568">
        <v>54705</v>
      </c>
      <c r="M194" s="569" t="s">
        <v>203</v>
      </c>
      <c r="N194" s="570">
        <v>0</v>
      </c>
      <c r="O194" s="570">
        <f t="shared" si="41"/>
        <v>54705</v>
      </c>
      <c r="P194" s="575" t="s">
        <v>282</v>
      </c>
      <c r="Q194" s="572" t="e">
        <f>VLOOKUP(G:G,list!B:D,3,FALSE)</f>
        <v>#N/A</v>
      </c>
    </row>
    <row r="195" spans="2:17" ht="18" customHeight="1">
      <c r="B195" s="563">
        <v>190</v>
      </c>
      <c r="C195" s="564" t="e">
        <f>VLOOKUP(G:G,list!B:D,2,FALSE)</f>
        <v>#N/A</v>
      </c>
      <c r="D195" s="564" t="s">
        <v>72</v>
      </c>
      <c r="E195" s="564" t="s">
        <v>9</v>
      </c>
      <c r="F195" s="564" t="s">
        <v>184</v>
      </c>
      <c r="G195" s="564" t="s">
        <v>11</v>
      </c>
      <c r="H195" s="565">
        <v>44468</v>
      </c>
      <c r="I195" s="564" t="s">
        <v>377</v>
      </c>
      <c r="J195" s="586">
        <v>165613</v>
      </c>
      <c r="K195" s="567">
        <v>0.3</v>
      </c>
      <c r="L195" s="568">
        <v>49684</v>
      </c>
      <c r="M195" s="569" t="s">
        <v>203</v>
      </c>
      <c r="N195" s="570">
        <v>0</v>
      </c>
      <c r="O195" s="570">
        <f t="shared" ref="O195" si="43">L195-N195</f>
        <v>49684</v>
      </c>
      <c r="P195" s="575" t="s">
        <v>282</v>
      </c>
      <c r="Q195" s="572" t="e">
        <f>VLOOKUP(G:G,list!B:D,3,FALSE)</f>
        <v>#N/A</v>
      </c>
    </row>
    <row r="196" spans="2:17" ht="18" customHeight="1">
      <c r="B196" s="563">
        <v>191</v>
      </c>
      <c r="C196" s="564" t="e">
        <f>VLOOKUP(G:G,list!B:D,2,FALSE)</f>
        <v>#N/A</v>
      </c>
      <c r="D196" s="564" t="s">
        <v>72</v>
      </c>
      <c r="E196" s="564" t="s">
        <v>9</v>
      </c>
      <c r="F196" s="564" t="s">
        <v>184</v>
      </c>
      <c r="G196" s="564" t="s">
        <v>17</v>
      </c>
      <c r="H196" s="565">
        <v>44498</v>
      </c>
      <c r="I196" s="564" t="s">
        <v>368</v>
      </c>
      <c r="J196" s="586">
        <v>58177580</v>
      </c>
      <c r="K196" s="567">
        <v>0.3</v>
      </c>
      <c r="L196" s="568">
        <v>17453274</v>
      </c>
      <c r="M196" s="569">
        <v>0.12</v>
      </c>
      <c r="N196" s="573">
        <f t="shared" ref="N196:N204" si="44">L196*M196</f>
        <v>2094392.88</v>
      </c>
      <c r="O196" s="570">
        <f t="shared" si="41"/>
        <v>15358881.120000001</v>
      </c>
      <c r="P196" s="575" t="s">
        <v>282</v>
      </c>
      <c r="Q196" s="572" t="e">
        <f>VLOOKUP(G:G,list!B:D,3,FALSE)</f>
        <v>#N/A</v>
      </c>
    </row>
    <row r="197" spans="2:17" ht="18" customHeight="1">
      <c r="B197" s="563">
        <v>192</v>
      </c>
      <c r="C197" s="564" t="e">
        <f>VLOOKUP(G:G,list!B:D,2,FALSE)</f>
        <v>#N/A</v>
      </c>
      <c r="D197" s="564" t="s">
        <v>72</v>
      </c>
      <c r="E197" s="564" t="s">
        <v>9</v>
      </c>
      <c r="F197" s="564" t="s">
        <v>184</v>
      </c>
      <c r="G197" s="564" t="s">
        <v>17</v>
      </c>
      <c r="H197" s="565">
        <v>44498</v>
      </c>
      <c r="I197" s="564" t="s">
        <v>377</v>
      </c>
      <c r="J197" s="586">
        <v>84008390</v>
      </c>
      <c r="K197" s="567">
        <v>0.3</v>
      </c>
      <c r="L197" s="568">
        <v>25202517</v>
      </c>
      <c r="M197" s="569">
        <v>0.12</v>
      </c>
      <c r="N197" s="573">
        <f t="shared" ref="N197:N199" si="45">L197*M197</f>
        <v>3024302.04</v>
      </c>
      <c r="O197" s="570">
        <f t="shared" ref="O197:O200" si="46">L197-N197</f>
        <v>22178214.960000001</v>
      </c>
      <c r="P197" s="575" t="s">
        <v>282</v>
      </c>
      <c r="Q197" s="572" t="e">
        <f>VLOOKUP(G:G,list!B:D,3,FALSE)</f>
        <v>#N/A</v>
      </c>
    </row>
    <row r="198" spans="2:17" ht="18" customHeight="1">
      <c r="B198" s="563">
        <v>193</v>
      </c>
      <c r="C198" s="564" t="e">
        <f>VLOOKUP(G:G,list!B:D,2,FALSE)</f>
        <v>#N/A</v>
      </c>
      <c r="D198" s="564" t="s">
        <v>72</v>
      </c>
      <c r="E198" s="564" t="s">
        <v>9</v>
      </c>
      <c r="F198" s="564" t="s">
        <v>184</v>
      </c>
      <c r="G198" s="564" t="s">
        <v>12</v>
      </c>
      <c r="H198" s="565">
        <v>44552</v>
      </c>
      <c r="I198" s="564" t="s">
        <v>368</v>
      </c>
      <c r="J198" s="586">
        <v>1083727</v>
      </c>
      <c r="K198" s="567">
        <v>0.3</v>
      </c>
      <c r="L198" s="568">
        <v>325118</v>
      </c>
      <c r="M198" s="569">
        <v>0.1</v>
      </c>
      <c r="N198" s="570">
        <f t="shared" si="45"/>
        <v>32511.800000000003</v>
      </c>
      <c r="O198" s="570">
        <f t="shared" si="46"/>
        <v>292606.2</v>
      </c>
      <c r="P198" s="575" t="s">
        <v>282</v>
      </c>
      <c r="Q198" s="572" t="e">
        <f>VLOOKUP(G:G,list!B:D,3,FALSE)</f>
        <v>#N/A</v>
      </c>
    </row>
    <row r="199" spans="2:17" ht="18" customHeight="1">
      <c r="B199" s="563">
        <v>194</v>
      </c>
      <c r="C199" s="564" t="e">
        <f>VLOOKUP(G:G,list!B:D,2,FALSE)</f>
        <v>#N/A</v>
      </c>
      <c r="D199" s="564" t="s">
        <v>72</v>
      </c>
      <c r="E199" s="564" t="s">
        <v>9</v>
      </c>
      <c r="F199" s="564" t="s">
        <v>184</v>
      </c>
      <c r="G199" s="564" t="s">
        <v>12</v>
      </c>
      <c r="H199" s="565">
        <v>44552</v>
      </c>
      <c r="I199" s="564" t="s">
        <v>377</v>
      </c>
      <c r="J199" s="586">
        <v>799797</v>
      </c>
      <c r="K199" s="567">
        <v>0.3</v>
      </c>
      <c r="L199" s="568">
        <v>239939</v>
      </c>
      <c r="M199" s="569">
        <v>0.1</v>
      </c>
      <c r="N199" s="570">
        <f t="shared" si="45"/>
        <v>23993.9</v>
      </c>
      <c r="O199" s="570">
        <f t="shared" si="46"/>
        <v>215945.1</v>
      </c>
      <c r="P199" s="575" t="s">
        <v>282</v>
      </c>
      <c r="Q199" s="572" t="e">
        <f>VLOOKUP(G:G,list!B:D,3,FALSE)</f>
        <v>#N/A</v>
      </c>
    </row>
    <row r="200" spans="2:17" ht="18" customHeight="1">
      <c r="B200" s="563">
        <v>195</v>
      </c>
      <c r="C200" s="564" t="e">
        <f>VLOOKUP(G:G,list!B:D,2,FALSE)</f>
        <v>#N/A</v>
      </c>
      <c r="D200" s="564" t="s">
        <v>72</v>
      </c>
      <c r="E200" s="564" t="s">
        <v>9</v>
      </c>
      <c r="F200" s="564" t="s">
        <v>184</v>
      </c>
      <c r="G200" s="564" t="s">
        <v>306</v>
      </c>
      <c r="H200" s="565">
        <v>44758</v>
      </c>
      <c r="I200" s="564" t="s">
        <v>377</v>
      </c>
      <c r="J200" s="586">
        <v>2336220</v>
      </c>
      <c r="K200" s="567">
        <v>0.3</v>
      </c>
      <c r="L200" s="568">
        <v>700866</v>
      </c>
      <c r="M200" s="569" t="s">
        <v>203</v>
      </c>
      <c r="N200" s="570">
        <v>0</v>
      </c>
      <c r="O200" s="570">
        <f t="shared" si="46"/>
        <v>700866</v>
      </c>
      <c r="P200" s="575" t="s">
        <v>453</v>
      </c>
      <c r="Q200" s="572" t="e">
        <f>VLOOKUP(G:G,list!B:D,3,FALSE)</f>
        <v>#N/A</v>
      </c>
    </row>
    <row r="201" spans="2:17" ht="18" customHeight="1">
      <c r="B201" s="563">
        <v>196</v>
      </c>
      <c r="C201" s="564" t="e">
        <f>VLOOKUP(G:G,list!B:D,2,FALSE)</f>
        <v>#N/A</v>
      </c>
      <c r="D201" s="564" t="s">
        <v>72</v>
      </c>
      <c r="E201" s="564" t="s">
        <v>9</v>
      </c>
      <c r="F201" s="564" t="s">
        <v>73</v>
      </c>
      <c r="G201" s="564" t="s">
        <v>179</v>
      </c>
      <c r="H201" s="565">
        <v>44198</v>
      </c>
      <c r="I201" s="564" t="s">
        <v>377</v>
      </c>
      <c r="J201" s="599">
        <v>71900083</v>
      </c>
      <c r="K201" s="605">
        <v>0.224</v>
      </c>
      <c r="L201" s="568">
        <v>14495058</v>
      </c>
      <c r="M201" s="569">
        <v>0.1</v>
      </c>
      <c r="N201" s="573">
        <f t="shared" si="44"/>
        <v>1449505.8</v>
      </c>
      <c r="O201" s="570">
        <f t="shared" si="41"/>
        <v>13045552.199999999</v>
      </c>
      <c r="P201" s="575" t="s">
        <v>85</v>
      </c>
      <c r="Q201" s="572" t="e">
        <f>VLOOKUP(G:G,list!B:D,3,FALSE)</f>
        <v>#N/A</v>
      </c>
    </row>
    <row r="202" spans="2:17" ht="18" customHeight="1">
      <c r="B202" s="563">
        <v>197</v>
      </c>
      <c r="C202" s="564" t="e">
        <f>VLOOKUP(G:G,list!B:D,2,FALSE)</f>
        <v>#N/A</v>
      </c>
      <c r="D202" s="564" t="s">
        <v>72</v>
      </c>
      <c r="E202" s="564" t="s">
        <v>9</v>
      </c>
      <c r="F202" s="564" t="s">
        <v>73</v>
      </c>
      <c r="G202" s="564" t="s">
        <v>152</v>
      </c>
      <c r="H202" s="565">
        <v>44228</v>
      </c>
      <c r="I202" s="564" t="s">
        <v>377</v>
      </c>
      <c r="J202" s="599">
        <v>9682203</v>
      </c>
      <c r="K202" s="605">
        <v>0.224</v>
      </c>
      <c r="L202" s="568">
        <v>1951941</v>
      </c>
      <c r="M202" s="569">
        <v>0.12</v>
      </c>
      <c r="N202" s="573">
        <f t="shared" si="44"/>
        <v>234232.91999999998</v>
      </c>
      <c r="O202" s="570">
        <f t="shared" si="41"/>
        <v>1717708.08</v>
      </c>
      <c r="P202" s="573"/>
      <c r="Q202" s="572" t="e">
        <f>VLOOKUP(G:G,list!B:D,3,FALSE)</f>
        <v>#N/A</v>
      </c>
    </row>
    <row r="203" spans="2:17" ht="18" customHeight="1">
      <c r="B203" s="563">
        <v>198</v>
      </c>
      <c r="C203" s="564" t="e">
        <f>VLOOKUP(G:G,list!B:D,2,FALSE)</f>
        <v>#N/A</v>
      </c>
      <c r="D203" s="564" t="s">
        <v>72</v>
      </c>
      <c r="E203" s="564" t="s">
        <v>9</v>
      </c>
      <c r="F203" s="564" t="s">
        <v>73</v>
      </c>
      <c r="G203" s="564" t="s">
        <v>74</v>
      </c>
      <c r="H203" s="565">
        <v>44265</v>
      </c>
      <c r="I203" s="564" t="s">
        <v>377</v>
      </c>
      <c r="J203" s="599">
        <v>919948</v>
      </c>
      <c r="K203" s="605">
        <v>0.224</v>
      </c>
      <c r="L203" s="568">
        <v>185468</v>
      </c>
      <c r="M203" s="569">
        <v>0.1</v>
      </c>
      <c r="N203" s="570">
        <f t="shared" si="44"/>
        <v>18546.8</v>
      </c>
      <c r="O203" s="570">
        <f t="shared" si="41"/>
        <v>166921.20000000001</v>
      </c>
      <c r="P203" s="573"/>
      <c r="Q203" s="572" t="e">
        <f>VLOOKUP(G:G,list!B:D,3,FALSE)</f>
        <v>#N/A</v>
      </c>
    </row>
    <row r="204" spans="2:17" ht="18" customHeight="1">
      <c r="B204" s="563">
        <v>199</v>
      </c>
      <c r="C204" s="564" t="e">
        <f>VLOOKUP(G:G,list!B:D,2,FALSE)</f>
        <v>#N/A</v>
      </c>
      <c r="D204" s="564" t="s">
        <v>72</v>
      </c>
      <c r="E204" s="564" t="s">
        <v>9</v>
      </c>
      <c r="F204" s="564" t="s">
        <v>73</v>
      </c>
      <c r="G204" s="564" t="s">
        <v>153</v>
      </c>
      <c r="H204" s="565">
        <v>44315</v>
      </c>
      <c r="I204" s="564" t="s">
        <v>377</v>
      </c>
      <c r="J204" s="599">
        <v>12354142</v>
      </c>
      <c r="K204" s="605">
        <v>0.224</v>
      </c>
      <c r="L204" s="568">
        <v>2490595</v>
      </c>
      <c r="M204" s="569">
        <v>0.1</v>
      </c>
      <c r="N204" s="570">
        <f t="shared" si="44"/>
        <v>249059.5</v>
      </c>
      <c r="O204" s="570">
        <f t="shared" si="41"/>
        <v>2241535.5</v>
      </c>
      <c r="P204" s="575"/>
      <c r="Q204" s="572" t="e">
        <f>VLOOKUP(G:G,list!B:D,3,FALSE)</f>
        <v>#N/A</v>
      </c>
    </row>
    <row r="205" spans="2:17" ht="18" customHeight="1">
      <c r="B205" s="563">
        <v>200</v>
      </c>
      <c r="C205" s="564" t="str">
        <f>VLOOKUP(G:G,list!B:D,2,FALSE)</f>
        <v>원작료</v>
      </c>
      <c r="D205" s="564" t="s">
        <v>72</v>
      </c>
      <c r="E205" s="564" t="s">
        <v>9</v>
      </c>
      <c r="F205" s="564" t="s">
        <v>73</v>
      </c>
      <c r="G205" s="564" t="s">
        <v>151</v>
      </c>
      <c r="H205" s="565">
        <v>44359</v>
      </c>
      <c r="I205" s="564" t="s">
        <v>377</v>
      </c>
      <c r="J205" s="599">
        <v>19529764</v>
      </c>
      <c r="K205" s="605">
        <v>0.224</v>
      </c>
      <c r="L205" s="568">
        <v>3937205</v>
      </c>
      <c r="M205" s="569">
        <v>0.1</v>
      </c>
      <c r="N205" s="570">
        <f>L205*10%</f>
        <v>393720.5</v>
      </c>
      <c r="O205" s="570">
        <f>L205-N205</f>
        <v>3543484.5</v>
      </c>
      <c r="P205" s="576" t="s">
        <v>472</v>
      </c>
      <c r="Q205" s="572" t="str">
        <f>VLOOKUP(G:G,list!B:D,3,FALSE)</f>
        <v>Y</v>
      </c>
    </row>
    <row r="206" spans="2:17" ht="18" customHeight="1">
      <c r="B206" s="563">
        <v>201</v>
      </c>
      <c r="C206" s="564" t="e">
        <f>VLOOKUP(G:G,list!B:D,2,FALSE)</f>
        <v>#N/A</v>
      </c>
      <c r="D206" s="564" t="s">
        <v>72</v>
      </c>
      <c r="E206" s="564" t="s">
        <v>9</v>
      </c>
      <c r="F206" s="564" t="s">
        <v>73</v>
      </c>
      <c r="G206" s="564" t="s">
        <v>212</v>
      </c>
      <c r="H206" s="565">
        <v>44378</v>
      </c>
      <c r="I206" s="564" t="s">
        <v>377</v>
      </c>
      <c r="J206" s="599">
        <v>31114756</v>
      </c>
      <c r="K206" s="605">
        <v>0.24</v>
      </c>
      <c r="L206" s="568">
        <v>6720788</v>
      </c>
      <c r="M206" s="569">
        <v>0.1</v>
      </c>
      <c r="N206" s="573">
        <f>L206*M206</f>
        <v>672078.8</v>
      </c>
      <c r="O206" s="570">
        <f t="shared" si="41"/>
        <v>6048709.2000000002</v>
      </c>
      <c r="P206" s="573"/>
      <c r="Q206" s="572" t="e">
        <f>VLOOKUP(G:G,list!B:D,3,FALSE)</f>
        <v>#N/A</v>
      </c>
    </row>
    <row r="207" spans="2:17" ht="18" customHeight="1">
      <c r="B207" s="563">
        <v>202</v>
      </c>
      <c r="C207" s="564" t="e">
        <f>VLOOKUP(G:G,list!B:D,2,FALSE)</f>
        <v>#N/A</v>
      </c>
      <c r="D207" s="564" t="s">
        <v>72</v>
      </c>
      <c r="E207" s="564" t="s">
        <v>9</v>
      </c>
      <c r="F207" s="564" t="s">
        <v>73</v>
      </c>
      <c r="G207" s="564" t="s">
        <v>147</v>
      </c>
      <c r="H207" s="565">
        <v>44435</v>
      </c>
      <c r="I207" s="564" t="s">
        <v>377</v>
      </c>
      <c r="J207" s="599">
        <v>2253299</v>
      </c>
      <c r="K207" s="605">
        <v>0.224</v>
      </c>
      <c r="L207" s="568">
        <v>454265</v>
      </c>
      <c r="M207" s="569" t="s">
        <v>203</v>
      </c>
      <c r="N207" s="573">
        <v>0</v>
      </c>
      <c r="O207" s="570">
        <f>L207-N207</f>
        <v>454265</v>
      </c>
      <c r="P207" s="573"/>
      <c r="Q207" s="572" t="e">
        <f>VLOOKUP(G:G,list!B:D,3,FALSE)</f>
        <v>#N/A</v>
      </c>
    </row>
    <row r="208" spans="2:17" ht="18" customHeight="1">
      <c r="B208" s="563">
        <v>203</v>
      </c>
      <c r="C208" s="564" t="e">
        <f>VLOOKUP(G:G,list!B:D,2,FALSE)</f>
        <v>#N/A</v>
      </c>
      <c r="D208" s="564" t="s">
        <v>72</v>
      </c>
      <c r="E208" s="564" t="s">
        <v>9</v>
      </c>
      <c r="F208" s="564" t="s">
        <v>73</v>
      </c>
      <c r="G208" s="564" t="s">
        <v>225</v>
      </c>
      <c r="H208" s="565">
        <v>44479</v>
      </c>
      <c r="I208" s="564" t="s">
        <v>377</v>
      </c>
      <c r="J208" s="599">
        <v>1156340</v>
      </c>
      <c r="K208" s="605">
        <v>0.224</v>
      </c>
      <c r="L208" s="568">
        <v>233124</v>
      </c>
      <c r="M208" s="569">
        <v>0.1</v>
      </c>
      <c r="N208" s="570">
        <f>L208*M208</f>
        <v>23312.400000000001</v>
      </c>
      <c r="O208" s="570">
        <f>L208-N208</f>
        <v>209811.6</v>
      </c>
      <c r="P208" s="573"/>
      <c r="Q208" s="572" t="e">
        <f>VLOOKUP(G:G,list!B:D,3,FALSE)</f>
        <v>#N/A</v>
      </c>
    </row>
    <row r="209" spans="2:17" ht="18" customHeight="1">
      <c r="B209" s="563">
        <v>204</v>
      </c>
      <c r="C209" s="564" t="e">
        <f>VLOOKUP(G:G,list!B:D,2,FALSE)</f>
        <v>#N/A</v>
      </c>
      <c r="D209" s="564" t="s">
        <v>72</v>
      </c>
      <c r="E209" s="564" t="s">
        <v>9</v>
      </c>
      <c r="F209" s="564" t="s">
        <v>73</v>
      </c>
      <c r="G209" s="564" t="s">
        <v>336</v>
      </c>
      <c r="H209" s="565">
        <v>44597</v>
      </c>
      <c r="I209" s="564" t="s">
        <v>377</v>
      </c>
      <c r="J209" s="599">
        <v>70446209</v>
      </c>
      <c r="K209" s="605">
        <v>0.224</v>
      </c>
      <c r="L209" s="568">
        <v>14201959</v>
      </c>
      <c r="M209" s="569">
        <v>0.1</v>
      </c>
      <c r="N209" s="570">
        <f>L209*M209</f>
        <v>1420195.9000000001</v>
      </c>
      <c r="O209" s="570">
        <f t="shared" si="41"/>
        <v>12781763.1</v>
      </c>
      <c r="P209" s="571"/>
      <c r="Q209" s="572" t="e">
        <f>VLOOKUP(G:G,list!B:D,3,FALSE)</f>
        <v>#N/A</v>
      </c>
    </row>
    <row r="210" spans="2:17" ht="18" customHeight="1">
      <c r="B210" s="563">
        <v>205</v>
      </c>
      <c r="C210" s="564" t="e">
        <f>VLOOKUP(G:G,list!B:D,2,FALSE)</f>
        <v>#N/A</v>
      </c>
      <c r="D210" s="564" t="s">
        <v>72</v>
      </c>
      <c r="E210" s="564" t="s">
        <v>9</v>
      </c>
      <c r="F210" s="564" t="s">
        <v>73</v>
      </c>
      <c r="G210" s="564" t="s">
        <v>191</v>
      </c>
      <c r="H210" s="565">
        <v>44629</v>
      </c>
      <c r="I210" s="564" t="s">
        <v>377</v>
      </c>
      <c r="J210" s="599">
        <v>29606738</v>
      </c>
      <c r="K210" s="605">
        <v>0.224</v>
      </c>
      <c r="L210" s="568">
        <v>5968723</v>
      </c>
      <c r="M210" s="569">
        <v>0.1</v>
      </c>
      <c r="N210" s="573">
        <f t="shared" ref="N210:N222" si="47">L210*M210</f>
        <v>596872.30000000005</v>
      </c>
      <c r="O210" s="570">
        <f t="shared" si="41"/>
        <v>5371850.7000000002</v>
      </c>
      <c r="P210" s="575"/>
      <c r="Q210" s="572" t="e">
        <f>VLOOKUP(G:G,list!B:D,3,FALSE)</f>
        <v>#N/A</v>
      </c>
    </row>
    <row r="211" spans="2:17" ht="18" customHeight="1">
      <c r="B211" s="563">
        <v>206</v>
      </c>
      <c r="C211" s="564" t="e">
        <f>VLOOKUP(G:G,list!B:D,2,FALSE)</f>
        <v>#N/A</v>
      </c>
      <c r="D211" s="564" t="s">
        <v>72</v>
      </c>
      <c r="E211" s="564" t="s">
        <v>9</v>
      </c>
      <c r="F211" s="564" t="s">
        <v>73</v>
      </c>
      <c r="G211" s="564" t="s">
        <v>335</v>
      </c>
      <c r="H211" s="565">
        <v>44694</v>
      </c>
      <c r="I211" s="564" t="s">
        <v>377</v>
      </c>
      <c r="J211" s="599">
        <v>46119884</v>
      </c>
      <c r="K211" s="605">
        <v>0.224</v>
      </c>
      <c r="L211" s="568">
        <v>9297771</v>
      </c>
      <c r="M211" s="569">
        <v>0.1</v>
      </c>
      <c r="N211" s="570">
        <f t="shared" si="47"/>
        <v>929777.10000000009</v>
      </c>
      <c r="O211" s="570">
        <f t="shared" si="41"/>
        <v>8367993.9000000004</v>
      </c>
      <c r="P211" s="575"/>
      <c r="Q211" s="572" t="e">
        <f>VLOOKUP(G:G,list!B:D,3,FALSE)</f>
        <v>#N/A</v>
      </c>
    </row>
    <row r="212" spans="2:17" ht="18" customHeight="1">
      <c r="B212" s="563">
        <v>207</v>
      </c>
      <c r="C212" s="564" t="str">
        <f>VLOOKUP(G:G,list!B:D,2,FALSE)</f>
        <v>작가기획</v>
      </c>
      <c r="D212" s="564" t="s">
        <v>72</v>
      </c>
      <c r="E212" s="564" t="s">
        <v>9</v>
      </c>
      <c r="F212" s="564" t="s">
        <v>73</v>
      </c>
      <c r="G212" s="564" t="s">
        <v>308</v>
      </c>
      <c r="H212" s="565">
        <v>44773</v>
      </c>
      <c r="I212" s="564" t="s">
        <v>377</v>
      </c>
      <c r="J212" s="599">
        <v>1043971</v>
      </c>
      <c r="K212" s="605">
        <v>0.224</v>
      </c>
      <c r="L212" s="568">
        <v>210742</v>
      </c>
      <c r="M212" s="569" t="s">
        <v>203</v>
      </c>
      <c r="N212" s="570">
        <v>0</v>
      </c>
      <c r="O212" s="570">
        <f t="shared" si="41"/>
        <v>210742</v>
      </c>
      <c r="P212" s="575" t="s">
        <v>287</v>
      </c>
      <c r="Q212" s="572" t="str">
        <f>VLOOKUP(G:G,list!B:D,3,FALSE)</f>
        <v>Y</v>
      </c>
    </row>
    <row r="213" spans="2:17" ht="18" customHeight="1">
      <c r="B213" s="563">
        <v>208</v>
      </c>
      <c r="C213" s="564" t="s">
        <v>456</v>
      </c>
      <c r="D213" s="564" t="s">
        <v>130</v>
      </c>
      <c r="E213" s="564" t="s">
        <v>62</v>
      </c>
      <c r="F213" s="564" t="s">
        <v>339</v>
      </c>
      <c r="G213" s="564" t="s">
        <v>40</v>
      </c>
      <c r="H213" s="565">
        <v>44505</v>
      </c>
      <c r="I213" s="564" t="s">
        <v>323</v>
      </c>
      <c r="J213" s="599">
        <v>738552</v>
      </c>
      <c r="K213" s="605">
        <v>0.8</v>
      </c>
      <c r="L213" s="568">
        <v>590842</v>
      </c>
      <c r="M213" s="569">
        <v>0.1</v>
      </c>
      <c r="N213" s="570">
        <f t="shared" ref="N213:N221" si="48">L213*M213</f>
        <v>59084.200000000004</v>
      </c>
      <c r="O213" s="570">
        <f t="shared" ref="O213:O221" si="49">L213-N213</f>
        <v>531757.80000000005</v>
      </c>
      <c r="P213" s="575"/>
      <c r="Q213" s="572" t="e">
        <f>VLOOKUP(G:G,list!B:D,3,FALSE)</f>
        <v>#N/A</v>
      </c>
    </row>
    <row r="214" spans="2:17" ht="18" customHeight="1">
      <c r="B214" s="563">
        <v>209</v>
      </c>
      <c r="C214" s="564" t="s">
        <v>456</v>
      </c>
      <c r="D214" s="564" t="s">
        <v>130</v>
      </c>
      <c r="E214" s="564" t="s">
        <v>62</v>
      </c>
      <c r="F214" s="564" t="s">
        <v>339</v>
      </c>
      <c r="G214" s="564" t="s">
        <v>40</v>
      </c>
      <c r="H214" s="565">
        <v>44505</v>
      </c>
      <c r="I214" s="564" t="s">
        <v>351</v>
      </c>
      <c r="J214" s="599">
        <v>381052</v>
      </c>
      <c r="K214" s="605">
        <v>0.8</v>
      </c>
      <c r="L214" s="568">
        <v>304842</v>
      </c>
      <c r="M214" s="569">
        <v>0.1</v>
      </c>
      <c r="N214" s="570">
        <f t="shared" si="48"/>
        <v>30484.2</v>
      </c>
      <c r="O214" s="570">
        <f t="shared" si="49"/>
        <v>274357.8</v>
      </c>
      <c r="P214" s="575"/>
      <c r="Q214" s="572" t="e">
        <f>VLOOKUP(G:G,list!B:D,3,FALSE)</f>
        <v>#N/A</v>
      </c>
    </row>
    <row r="215" spans="2:17" ht="18" customHeight="1">
      <c r="B215" s="563">
        <v>210</v>
      </c>
      <c r="C215" s="564" t="s">
        <v>456</v>
      </c>
      <c r="D215" s="564" t="s">
        <v>130</v>
      </c>
      <c r="E215" s="564" t="s">
        <v>62</v>
      </c>
      <c r="F215" s="564" t="s">
        <v>339</v>
      </c>
      <c r="G215" s="564" t="s">
        <v>40</v>
      </c>
      <c r="H215" s="565">
        <v>44505</v>
      </c>
      <c r="I215" s="564" t="s">
        <v>368</v>
      </c>
      <c r="J215" s="599">
        <v>159926</v>
      </c>
      <c r="K215" s="605">
        <v>0.8</v>
      </c>
      <c r="L215" s="568">
        <v>127940</v>
      </c>
      <c r="M215" s="569">
        <v>0.1</v>
      </c>
      <c r="N215" s="570">
        <f t="shared" si="48"/>
        <v>12794</v>
      </c>
      <c r="O215" s="570">
        <f t="shared" si="49"/>
        <v>115146</v>
      </c>
      <c r="P215" s="575"/>
      <c r="Q215" s="572" t="e">
        <f>VLOOKUP(G:G,list!B:D,3,FALSE)</f>
        <v>#N/A</v>
      </c>
    </row>
    <row r="216" spans="2:17" ht="18" customHeight="1">
      <c r="B216" s="563">
        <v>211</v>
      </c>
      <c r="C216" s="564" t="s">
        <v>456</v>
      </c>
      <c r="D216" s="564" t="s">
        <v>130</v>
      </c>
      <c r="E216" s="564" t="s">
        <v>62</v>
      </c>
      <c r="F216" s="564" t="s">
        <v>339</v>
      </c>
      <c r="G216" s="564" t="s">
        <v>39</v>
      </c>
      <c r="H216" s="565">
        <v>44526</v>
      </c>
      <c r="I216" s="564" t="s">
        <v>355</v>
      </c>
      <c r="J216" s="599">
        <v>955</v>
      </c>
      <c r="K216" s="605">
        <v>0.8</v>
      </c>
      <c r="L216" s="568">
        <v>764</v>
      </c>
      <c r="M216" s="569">
        <v>0.1</v>
      </c>
      <c r="N216" s="570">
        <f t="shared" si="48"/>
        <v>76.400000000000006</v>
      </c>
      <c r="O216" s="570">
        <f t="shared" si="49"/>
        <v>687.6</v>
      </c>
      <c r="P216" s="575"/>
      <c r="Q216" s="572" t="e">
        <f>VLOOKUP(G:G,list!B:D,3,FALSE)</f>
        <v>#N/A</v>
      </c>
    </row>
    <row r="217" spans="2:17" ht="18" customHeight="1">
      <c r="B217" s="563">
        <v>212</v>
      </c>
      <c r="C217" s="564" t="s">
        <v>456</v>
      </c>
      <c r="D217" s="564" t="s">
        <v>130</v>
      </c>
      <c r="E217" s="564" t="s">
        <v>62</v>
      </c>
      <c r="F217" s="564" t="s">
        <v>339</v>
      </c>
      <c r="G217" s="564" t="s">
        <v>39</v>
      </c>
      <c r="H217" s="565">
        <v>44526</v>
      </c>
      <c r="I217" s="564" t="s">
        <v>350</v>
      </c>
      <c r="J217" s="599">
        <v>157793</v>
      </c>
      <c r="K217" s="605">
        <v>0.8</v>
      </c>
      <c r="L217" s="568">
        <v>126234</v>
      </c>
      <c r="M217" s="569">
        <v>0.1</v>
      </c>
      <c r="N217" s="570">
        <f t="shared" ref="N217:N218" si="50">L217*M217</f>
        <v>12623.400000000001</v>
      </c>
      <c r="O217" s="570">
        <f t="shared" ref="O217:O218" si="51">L217-N217</f>
        <v>113610.6</v>
      </c>
      <c r="P217" s="575"/>
      <c r="Q217" s="572" t="e">
        <f>VLOOKUP(G:G,list!B:D,3,FALSE)</f>
        <v>#N/A</v>
      </c>
    </row>
    <row r="218" spans="2:17" ht="18" customHeight="1">
      <c r="B218" s="563">
        <v>213</v>
      </c>
      <c r="C218" s="564" t="s">
        <v>456</v>
      </c>
      <c r="D218" s="564" t="s">
        <v>130</v>
      </c>
      <c r="E218" s="564" t="s">
        <v>62</v>
      </c>
      <c r="F218" s="564" t="s">
        <v>339</v>
      </c>
      <c r="G218" s="564" t="s">
        <v>39</v>
      </c>
      <c r="H218" s="565">
        <v>44526</v>
      </c>
      <c r="I218" s="564" t="s">
        <v>457</v>
      </c>
      <c r="J218" s="599">
        <v>145713</v>
      </c>
      <c r="K218" s="605">
        <v>0.8</v>
      </c>
      <c r="L218" s="568">
        <v>116570</v>
      </c>
      <c r="M218" s="569">
        <v>0.1</v>
      </c>
      <c r="N218" s="570">
        <f t="shared" si="50"/>
        <v>11657</v>
      </c>
      <c r="O218" s="570">
        <f t="shared" si="51"/>
        <v>104913</v>
      </c>
      <c r="P218" s="575"/>
      <c r="Q218" s="572" t="e">
        <f>VLOOKUP(G:G,list!B:D,3,FALSE)</f>
        <v>#N/A</v>
      </c>
    </row>
    <row r="219" spans="2:17" ht="18" customHeight="1">
      <c r="B219" s="563">
        <v>214</v>
      </c>
      <c r="C219" s="564" t="s">
        <v>456</v>
      </c>
      <c r="D219" s="564" t="s">
        <v>130</v>
      </c>
      <c r="E219" s="564" t="s">
        <v>62</v>
      </c>
      <c r="F219" s="564" t="s">
        <v>339</v>
      </c>
      <c r="G219" s="564" t="s">
        <v>38</v>
      </c>
      <c r="H219" s="565">
        <v>44570</v>
      </c>
      <c r="I219" s="564" t="s">
        <v>355</v>
      </c>
      <c r="J219" s="599">
        <v>2788542</v>
      </c>
      <c r="K219" s="605">
        <v>0.8</v>
      </c>
      <c r="L219" s="568">
        <v>2230834</v>
      </c>
      <c r="M219" s="569">
        <v>0.1</v>
      </c>
      <c r="N219" s="570">
        <f t="shared" si="48"/>
        <v>223083.40000000002</v>
      </c>
      <c r="O219" s="570">
        <f t="shared" si="49"/>
        <v>2007750.6</v>
      </c>
      <c r="P219" s="575"/>
      <c r="Q219" s="572" t="e">
        <f>VLOOKUP(G:G,list!B:D,3,FALSE)</f>
        <v>#N/A</v>
      </c>
    </row>
    <row r="220" spans="2:17" ht="18" customHeight="1">
      <c r="B220" s="563">
        <v>215</v>
      </c>
      <c r="C220" s="564" t="s">
        <v>456</v>
      </c>
      <c r="D220" s="564" t="s">
        <v>130</v>
      </c>
      <c r="E220" s="564" t="s">
        <v>62</v>
      </c>
      <c r="F220" s="564" t="s">
        <v>339</v>
      </c>
      <c r="G220" s="564" t="s">
        <v>38</v>
      </c>
      <c r="H220" s="565">
        <v>44570</v>
      </c>
      <c r="I220" s="564" t="s">
        <v>350</v>
      </c>
      <c r="J220" s="599">
        <v>2520234</v>
      </c>
      <c r="K220" s="605">
        <v>0.8</v>
      </c>
      <c r="L220" s="568">
        <v>2016187</v>
      </c>
      <c r="M220" s="569">
        <v>0.1</v>
      </c>
      <c r="N220" s="570">
        <f t="shared" si="48"/>
        <v>201618.7</v>
      </c>
      <c r="O220" s="570">
        <f t="shared" si="49"/>
        <v>1814568.3</v>
      </c>
      <c r="P220" s="575"/>
      <c r="Q220" s="572" t="e">
        <f>VLOOKUP(G:G,list!B:D,3,FALSE)</f>
        <v>#N/A</v>
      </c>
    </row>
    <row r="221" spans="2:17" ht="18" customHeight="1">
      <c r="B221" s="563">
        <v>216</v>
      </c>
      <c r="C221" s="564" t="s">
        <v>456</v>
      </c>
      <c r="D221" s="564" t="s">
        <v>130</v>
      </c>
      <c r="E221" s="564" t="s">
        <v>62</v>
      </c>
      <c r="F221" s="564" t="s">
        <v>339</v>
      </c>
      <c r="G221" s="564" t="s">
        <v>38</v>
      </c>
      <c r="H221" s="565">
        <v>44570</v>
      </c>
      <c r="I221" s="564" t="s">
        <v>457</v>
      </c>
      <c r="J221" s="599">
        <v>384728</v>
      </c>
      <c r="K221" s="605">
        <v>0.8</v>
      </c>
      <c r="L221" s="568">
        <v>307783</v>
      </c>
      <c r="M221" s="569">
        <v>0.1</v>
      </c>
      <c r="N221" s="570">
        <f t="shared" si="48"/>
        <v>30778.300000000003</v>
      </c>
      <c r="O221" s="570">
        <f t="shared" si="49"/>
        <v>277004.7</v>
      </c>
      <c r="P221" s="575"/>
      <c r="Q221" s="572" t="e">
        <f>VLOOKUP(G:G,list!B:D,3,FALSE)</f>
        <v>#N/A</v>
      </c>
    </row>
    <row r="222" spans="2:17" ht="18" customHeight="1">
      <c r="B222" s="563">
        <v>217</v>
      </c>
      <c r="C222" s="564" t="e">
        <f>VLOOKUP(G:G,list!B:D,2,FALSE)</f>
        <v>#N/A</v>
      </c>
      <c r="D222" s="564" t="s">
        <v>79</v>
      </c>
      <c r="E222" s="564" t="s">
        <v>9</v>
      </c>
      <c r="F222" s="564" t="s">
        <v>260</v>
      </c>
      <c r="G222" s="564" t="s">
        <v>258</v>
      </c>
      <c r="H222" s="565">
        <v>44492</v>
      </c>
      <c r="I222" s="564" t="s">
        <v>377</v>
      </c>
      <c r="J222" s="599">
        <v>157283</v>
      </c>
      <c r="K222" s="603">
        <v>0.5</v>
      </c>
      <c r="L222" s="568">
        <v>66237</v>
      </c>
      <c r="M222" s="569">
        <v>0.1</v>
      </c>
      <c r="N222" s="573">
        <f t="shared" si="47"/>
        <v>6623.7000000000007</v>
      </c>
      <c r="O222" s="570">
        <f t="shared" si="41"/>
        <v>59613.3</v>
      </c>
      <c r="P222" s="602"/>
      <c r="Q222" s="572" t="e">
        <f>VLOOKUP(G:G,list!B:D,3,FALSE)</f>
        <v>#N/A</v>
      </c>
    </row>
    <row r="223" spans="2:17" ht="18" customHeight="1">
      <c r="B223" s="563">
        <v>218</v>
      </c>
      <c r="C223" s="564" t="e">
        <f>VLOOKUP(G:G,list!B:D,2,FALSE)</f>
        <v>#N/A</v>
      </c>
      <c r="D223" s="564" t="s">
        <v>22</v>
      </c>
      <c r="E223" s="564" t="s">
        <v>62</v>
      </c>
      <c r="F223" s="564" t="s">
        <v>358</v>
      </c>
      <c r="G223" s="564" t="s">
        <v>29</v>
      </c>
      <c r="H223" s="565">
        <v>44223</v>
      </c>
      <c r="I223" s="564" t="s">
        <v>323</v>
      </c>
      <c r="J223" s="599">
        <v>840480</v>
      </c>
      <c r="K223" s="603">
        <v>0.6</v>
      </c>
      <c r="L223" s="568">
        <v>428227</v>
      </c>
      <c r="M223" s="569">
        <v>0.1</v>
      </c>
      <c r="N223" s="573">
        <f t="shared" ref="N223:N240" si="52">L223*M223</f>
        <v>42822.700000000004</v>
      </c>
      <c r="O223" s="570">
        <f t="shared" ref="O223:O240" si="53">L223-N223</f>
        <v>385404.3</v>
      </c>
      <c r="P223" s="602"/>
      <c r="Q223" s="572" t="e">
        <f>VLOOKUP(G:G,list!B:D,3,FALSE)</f>
        <v>#N/A</v>
      </c>
    </row>
    <row r="224" spans="2:17" ht="18" customHeight="1">
      <c r="B224" s="563">
        <v>219</v>
      </c>
      <c r="C224" s="564" t="e">
        <f>VLOOKUP(G:G,list!B:D,2,FALSE)</f>
        <v>#N/A</v>
      </c>
      <c r="D224" s="564" t="s">
        <v>22</v>
      </c>
      <c r="E224" s="564" t="s">
        <v>62</v>
      </c>
      <c r="F224" s="564" t="s">
        <v>358</v>
      </c>
      <c r="G224" s="564" t="s">
        <v>28</v>
      </c>
      <c r="H224" s="565">
        <v>44253</v>
      </c>
      <c r="I224" s="564" t="s">
        <v>323</v>
      </c>
      <c r="J224" s="599">
        <v>2047546</v>
      </c>
      <c r="K224" s="603">
        <v>0.6</v>
      </c>
      <c r="L224" s="568">
        <v>1043386</v>
      </c>
      <c r="M224" s="569">
        <v>0.12</v>
      </c>
      <c r="N224" s="573">
        <f t="shared" si="52"/>
        <v>125206.31999999999</v>
      </c>
      <c r="O224" s="570">
        <f t="shared" si="53"/>
        <v>918179.68</v>
      </c>
      <c r="P224" s="602"/>
      <c r="Q224" s="572" t="e">
        <f>VLOOKUP(G:G,list!B:D,3,FALSE)</f>
        <v>#N/A</v>
      </c>
    </row>
    <row r="225" spans="2:17" ht="18" customHeight="1">
      <c r="B225" s="563">
        <v>220</v>
      </c>
      <c r="C225" s="564" t="e">
        <f>VLOOKUP(G:G,list!B:D,2,FALSE)</f>
        <v>#N/A</v>
      </c>
      <c r="D225" s="564" t="s">
        <v>22</v>
      </c>
      <c r="E225" s="564" t="s">
        <v>62</v>
      </c>
      <c r="F225" s="564" t="s">
        <v>358</v>
      </c>
      <c r="G225" s="564" t="s">
        <v>54</v>
      </c>
      <c r="H225" s="565">
        <v>44247</v>
      </c>
      <c r="I225" s="564" t="s">
        <v>323</v>
      </c>
      <c r="J225" s="599">
        <v>1532586</v>
      </c>
      <c r="K225" s="603">
        <v>0.5</v>
      </c>
      <c r="L225" s="568">
        <v>646694</v>
      </c>
      <c r="M225" s="569">
        <v>0.1</v>
      </c>
      <c r="N225" s="573">
        <f t="shared" si="52"/>
        <v>64669.4</v>
      </c>
      <c r="O225" s="570">
        <f t="shared" si="53"/>
        <v>582024.6</v>
      </c>
      <c r="P225" s="602"/>
      <c r="Q225" s="572" t="e">
        <f>VLOOKUP(G:G,list!B:D,3,FALSE)</f>
        <v>#N/A</v>
      </c>
    </row>
    <row r="226" spans="2:17" ht="18" customHeight="1">
      <c r="B226" s="563">
        <v>221</v>
      </c>
      <c r="C226" s="564" t="str">
        <f>VLOOKUP(G:G,list!B:D,2,FALSE)</f>
        <v>원작료</v>
      </c>
      <c r="D226" s="564" t="s">
        <v>22</v>
      </c>
      <c r="E226" s="564" t="s">
        <v>62</v>
      </c>
      <c r="F226" s="564" t="s">
        <v>358</v>
      </c>
      <c r="G226" s="564" t="s">
        <v>30</v>
      </c>
      <c r="H226" s="565">
        <v>44281</v>
      </c>
      <c r="I226" s="564" t="s">
        <v>323</v>
      </c>
      <c r="J226" s="599">
        <v>1267416</v>
      </c>
      <c r="K226" s="603">
        <v>0.5</v>
      </c>
      <c r="L226" s="568">
        <v>533783</v>
      </c>
      <c r="M226" s="569">
        <v>0.1</v>
      </c>
      <c r="N226" s="573">
        <f t="shared" si="52"/>
        <v>53378.3</v>
      </c>
      <c r="O226" s="570">
        <f t="shared" si="53"/>
        <v>480404.7</v>
      </c>
      <c r="P226" s="602"/>
      <c r="Q226" s="572" t="str">
        <f>VLOOKUP(G:G,list!B:D,3,FALSE)</f>
        <v>Y</v>
      </c>
    </row>
    <row r="227" spans="2:17" ht="18" customHeight="1">
      <c r="B227" s="563">
        <v>222</v>
      </c>
      <c r="C227" s="564" t="str">
        <f>VLOOKUP(G:G,list!B:D,2,FALSE)</f>
        <v>작가기획</v>
      </c>
      <c r="D227" s="564" t="s">
        <v>22</v>
      </c>
      <c r="E227" s="564" t="s">
        <v>62</v>
      </c>
      <c r="F227" s="564" t="s">
        <v>358</v>
      </c>
      <c r="G227" s="564" t="s">
        <v>36</v>
      </c>
      <c r="H227" s="565">
        <v>44293</v>
      </c>
      <c r="I227" s="564" t="s">
        <v>323</v>
      </c>
      <c r="J227" s="599">
        <v>134374</v>
      </c>
      <c r="K227" s="603">
        <v>0.5</v>
      </c>
      <c r="L227" s="568">
        <v>56598</v>
      </c>
      <c r="M227" s="569" t="s">
        <v>203</v>
      </c>
      <c r="N227" s="570">
        <v>0</v>
      </c>
      <c r="O227" s="570">
        <f t="shared" si="53"/>
        <v>56598</v>
      </c>
      <c r="P227" s="602"/>
      <c r="Q227" s="572" t="str">
        <f>VLOOKUP(G:G,list!B:D,3,FALSE)</f>
        <v>Y</v>
      </c>
    </row>
    <row r="228" spans="2:17" ht="18" customHeight="1">
      <c r="B228" s="563">
        <v>223</v>
      </c>
      <c r="C228" s="564" t="e">
        <f>VLOOKUP(G:G,list!B:D,2,FALSE)</f>
        <v>#N/A</v>
      </c>
      <c r="D228" s="564" t="s">
        <v>22</v>
      </c>
      <c r="E228" s="564" t="s">
        <v>62</v>
      </c>
      <c r="F228" s="564" t="s">
        <v>358</v>
      </c>
      <c r="G228" s="564" t="s">
        <v>42</v>
      </c>
      <c r="H228" s="565">
        <v>44163</v>
      </c>
      <c r="I228" s="564" t="s">
        <v>323</v>
      </c>
      <c r="J228" s="599">
        <v>21576211</v>
      </c>
      <c r="K228" s="603">
        <v>0.5</v>
      </c>
      <c r="L228" s="568">
        <v>9169667</v>
      </c>
      <c r="M228" s="569">
        <v>0.1</v>
      </c>
      <c r="N228" s="573">
        <f t="shared" si="52"/>
        <v>916966.70000000007</v>
      </c>
      <c r="O228" s="570">
        <f t="shared" si="53"/>
        <v>8252700.2999999998</v>
      </c>
      <c r="P228" s="575" t="s">
        <v>85</v>
      </c>
      <c r="Q228" s="572" t="e">
        <f>VLOOKUP(G:G,list!B:D,3,FALSE)</f>
        <v>#N/A</v>
      </c>
    </row>
    <row r="229" spans="2:17" ht="18" customHeight="1">
      <c r="B229" s="563">
        <v>224</v>
      </c>
      <c r="C229" s="564" t="e">
        <f>VLOOKUP(G:G,list!B:D,2,FALSE)</f>
        <v>#N/A</v>
      </c>
      <c r="D229" s="564" t="s">
        <v>22</v>
      </c>
      <c r="E229" s="564" t="s">
        <v>62</v>
      </c>
      <c r="F229" s="564" t="s">
        <v>358</v>
      </c>
      <c r="G229" s="564" t="s">
        <v>29</v>
      </c>
      <c r="H229" s="565">
        <v>44223</v>
      </c>
      <c r="I229" s="564" t="s">
        <v>351</v>
      </c>
      <c r="J229" s="599">
        <v>392442</v>
      </c>
      <c r="K229" s="603">
        <v>0.6</v>
      </c>
      <c r="L229" s="568">
        <v>199958</v>
      </c>
      <c r="M229" s="569">
        <v>0.1</v>
      </c>
      <c r="N229" s="573">
        <f t="shared" si="52"/>
        <v>19995.800000000003</v>
      </c>
      <c r="O229" s="570">
        <f t="shared" si="53"/>
        <v>179962.2</v>
      </c>
      <c r="P229" s="602"/>
      <c r="Q229" s="572" t="e">
        <f>VLOOKUP(G:G,list!B:D,3,FALSE)</f>
        <v>#N/A</v>
      </c>
    </row>
    <row r="230" spans="2:17" ht="18" customHeight="1">
      <c r="B230" s="563">
        <v>225</v>
      </c>
      <c r="C230" s="564" t="e">
        <f>VLOOKUP(G:G,list!B:D,2,FALSE)</f>
        <v>#N/A</v>
      </c>
      <c r="D230" s="564" t="s">
        <v>22</v>
      </c>
      <c r="E230" s="564" t="s">
        <v>62</v>
      </c>
      <c r="F230" s="564" t="s">
        <v>358</v>
      </c>
      <c r="G230" s="564" t="s">
        <v>28</v>
      </c>
      <c r="H230" s="565">
        <v>44253</v>
      </c>
      <c r="I230" s="564" t="s">
        <v>351</v>
      </c>
      <c r="J230" s="599">
        <v>850826</v>
      </c>
      <c r="K230" s="603">
        <v>0.6</v>
      </c>
      <c r="L230" s="568">
        <v>433465</v>
      </c>
      <c r="M230" s="569">
        <v>0.12</v>
      </c>
      <c r="N230" s="573">
        <f t="shared" si="52"/>
        <v>52015.799999999996</v>
      </c>
      <c r="O230" s="570">
        <f t="shared" si="53"/>
        <v>381449.2</v>
      </c>
      <c r="P230" s="602"/>
      <c r="Q230" s="572" t="e">
        <f>VLOOKUP(G:G,list!B:D,3,FALSE)</f>
        <v>#N/A</v>
      </c>
    </row>
    <row r="231" spans="2:17" ht="18" customHeight="1">
      <c r="B231" s="563">
        <v>226</v>
      </c>
      <c r="C231" s="564" t="e">
        <f>VLOOKUP(G:G,list!B:D,2,FALSE)</f>
        <v>#N/A</v>
      </c>
      <c r="D231" s="564" t="s">
        <v>22</v>
      </c>
      <c r="E231" s="564" t="s">
        <v>62</v>
      </c>
      <c r="F231" s="564" t="s">
        <v>358</v>
      </c>
      <c r="G231" s="564" t="s">
        <v>54</v>
      </c>
      <c r="H231" s="565">
        <v>44247</v>
      </c>
      <c r="I231" s="564" t="s">
        <v>351</v>
      </c>
      <c r="J231" s="599">
        <v>469250</v>
      </c>
      <c r="K231" s="603">
        <v>0.5</v>
      </c>
      <c r="L231" s="568">
        <v>197617</v>
      </c>
      <c r="M231" s="569">
        <v>0.1</v>
      </c>
      <c r="N231" s="573">
        <f t="shared" si="52"/>
        <v>19761.7</v>
      </c>
      <c r="O231" s="570">
        <f t="shared" si="53"/>
        <v>177855.3</v>
      </c>
      <c r="P231" s="602"/>
      <c r="Q231" s="572" t="e">
        <f>VLOOKUP(G:G,list!B:D,3,FALSE)</f>
        <v>#N/A</v>
      </c>
    </row>
    <row r="232" spans="2:17" ht="18" customHeight="1">
      <c r="B232" s="563">
        <v>227</v>
      </c>
      <c r="C232" s="564" t="str">
        <f>VLOOKUP(G:G,list!B:D,2,FALSE)</f>
        <v>원작료</v>
      </c>
      <c r="D232" s="564" t="s">
        <v>22</v>
      </c>
      <c r="E232" s="564" t="s">
        <v>62</v>
      </c>
      <c r="F232" s="564" t="s">
        <v>358</v>
      </c>
      <c r="G232" s="564" t="s">
        <v>30</v>
      </c>
      <c r="H232" s="565">
        <v>44281</v>
      </c>
      <c r="I232" s="564" t="s">
        <v>351</v>
      </c>
      <c r="J232" s="599">
        <v>795625</v>
      </c>
      <c r="K232" s="603">
        <v>0.5</v>
      </c>
      <c r="L232" s="568">
        <v>335151</v>
      </c>
      <c r="M232" s="569">
        <v>0.1</v>
      </c>
      <c r="N232" s="573">
        <f t="shared" si="52"/>
        <v>33515.1</v>
      </c>
      <c r="O232" s="570">
        <f t="shared" si="53"/>
        <v>301635.90000000002</v>
      </c>
      <c r="P232" s="602"/>
      <c r="Q232" s="572" t="str">
        <f>VLOOKUP(G:G,list!B:D,3,FALSE)</f>
        <v>Y</v>
      </c>
    </row>
    <row r="233" spans="2:17" ht="18" customHeight="1">
      <c r="B233" s="563">
        <v>228</v>
      </c>
      <c r="C233" s="564" t="str">
        <f>VLOOKUP(G:G,list!B:D,2,FALSE)</f>
        <v>작가기획</v>
      </c>
      <c r="D233" s="564" t="s">
        <v>22</v>
      </c>
      <c r="E233" s="564" t="s">
        <v>62</v>
      </c>
      <c r="F233" s="564" t="s">
        <v>358</v>
      </c>
      <c r="G233" s="564" t="s">
        <v>36</v>
      </c>
      <c r="H233" s="565">
        <v>44293</v>
      </c>
      <c r="I233" s="564" t="s">
        <v>351</v>
      </c>
      <c r="J233" s="599">
        <v>167427</v>
      </c>
      <c r="K233" s="603">
        <v>0.5</v>
      </c>
      <c r="L233" s="568">
        <v>70519</v>
      </c>
      <c r="M233" s="569" t="s">
        <v>203</v>
      </c>
      <c r="N233" s="570">
        <v>0</v>
      </c>
      <c r="O233" s="570">
        <f t="shared" si="53"/>
        <v>70519</v>
      </c>
      <c r="P233" s="602"/>
      <c r="Q233" s="572" t="str">
        <f>VLOOKUP(G:G,list!B:D,3,FALSE)</f>
        <v>Y</v>
      </c>
    </row>
    <row r="234" spans="2:17" ht="18" customHeight="1">
      <c r="B234" s="563">
        <v>229</v>
      </c>
      <c r="C234" s="564" t="e">
        <f>VLOOKUP(G:G,list!B:D,2,FALSE)</f>
        <v>#N/A</v>
      </c>
      <c r="D234" s="564" t="s">
        <v>22</v>
      </c>
      <c r="E234" s="564" t="s">
        <v>62</v>
      </c>
      <c r="F234" s="564" t="s">
        <v>358</v>
      </c>
      <c r="G234" s="564" t="s">
        <v>42</v>
      </c>
      <c r="H234" s="565">
        <v>44163</v>
      </c>
      <c r="I234" s="564" t="s">
        <v>351</v>
      </c>
      <c r="J234" s="599">
        <v>19400043</v>
      </c>
      <c r="K234" s="603">
        <v>0.5</v>
      </c>
      <c r="L234" s="568">
        <v>8242095</v>
      </c>
      <c r="M234" s="569">
        <v>0.1</v>
      </c>
      <c r="N234" s="573">
        <f t="shared" si="52"/>
        <v>824209.5</v>
      </c>
      <c r="O234" s="570">
        <f t="shared" si="53"/>
        <v>7417885.5</v>
      </c>
      <c r="P234" s="575" t="s">
        <v>85</v>
      </c>
      <c r="Q234" s="572" t="e">
        <f>VLOOKUP(G:G,list!B:D,3,FALSE)</f>
        <v>#N/A</v>
      </c>
    </row>
    <row r="235" spans="2:17" ht="18" customHeight="1">
      <c r="B235" s="563">
        <v>230</v>
      </c>
      <c r="C235" s="564" t="e">
        <f>VLOOKUP(G:G,list!B:D,2,FALSE)</f>
        <v>#N/A</v>
      </c>
      <c r="D235" s="564" t="s">
        <v>22</v>
      </c>
      <c r="E235" s="564" t="s">
        <v>62</v>
      </c>
      <c r="F235" s="564" t="s">
        <v>358</v>
      </c>
      <c r="G235" s="564" t="s">
        <v>29</v>
      </c>
      <c r="H235" s="565">
        <v>44223</v>
      </c>
      <c r="I235" s="564" t="s">
        <v>368</v>
      </c>
      <c r="J235" s="599">
        <v>347402</v>
      </c>
      <c r="K235" s="603">
        <v>0.6</v>
      </c>
      <c r="L235" s="568">
        <v>176989</v>
      </c>
      <c r="M235" s="569">
        <v>0.1</v>
      </c>
      <c r="N235" s="573">
        <f t="shared" si="52"/>
        <v>17698.900000000001</v>
      </c>
      <c r="O235" s="570">
        <f t="shared" si="53"/>
        <v>159290.1</v>
      </c>
      <c r="P235" s="602"/>
      <c r="Q235" s="572" t="e">
        <f>VLOOKUP(G:G,list!B:D,3,FALSE)</f>
        <v>#N/A</v>
      </c>
    </row>
    <row r="236" spans="2:17" ht="18" customHeight="1">
      <c r="B236" s="563">
        <v>231</v>
      </c>
      <c r="C236" s="564" t="e">
        <f>VLOOKUP(G:G,list!B:D,2,FALSE)</f>
        <v>#N/A</v>
      </c>
      <c r="D236" s="564" t="s">
        <v>22</v>
      </c>
      <c r="E236" s="564" t="s">
        <v>62</v>
      </c>
      <c r="F236" s="564" t="s">
        <v>358</v>
      </c>
      <c r="G236" s="564" t="s">
        <v>28</v>
      </c>
      <c r="H236" s="565">
        <v>44253</v>
      </c>
      <c r="I236" s="564" t="s">
        <v>368</v>
      </c>
      <c r="J236" s="599">
        <v>469431</v>
      </c>
      <c r="K236" s="603">
        <v>0.6</v>
      </c>
      <c r="L236" s="568">
        <v>239275</v>
      </c>
      <c r="M236" s="569">
        <v>0.12</v>
      </c>
      <c r="N236" s="573">
        <f t="shared" si="52"/>
        <v>28713</v>
      </c>
      <c r="O236" s="570">
        <f t="shared" si="53"/>
        <v>210562</v>
      </c>
      <c r="P236" s="602"/>
      <c r="Q236" s="572" t="e">
        <f>VLOOKUP(G:G,list!B:D,3,FALSE)</f>
        <v>#N/A</v>
      </c>
    </row>
    <row r="237" spans="2:17" ht="18" customHeight="1">
      <c r="B237" s="563">
        <v>232</v>
      </c>
      <c r="C237" s="564" t="e">
        <f>VLOOKUP(G:G,list!B:D,2,FALSE)</f>
        <v>#N/A</v>
      </c>
      <c r="D237" s="564" t="s">
        <v>22</v>
      </c>
      <c r="E237" s="564" t="s">
        <v>62</v>
      </c>
      <c r="F237" s="564" t="s">
        <v>358</v>
      </c>
      <c r="G237" s="564" t="s">
        <v>54</v>
      </c>
      <c r="H237" s="565">
        <v>44247</v>
      </c>
      <c r="I237" s="564" t="s">
        <v>368</v>
      </c>
      <c r="J237" s="599">
        <v>193298</v>
      </c>
      <c r="K237" s="603">
        <v>0.5</v>
      </c>
      <c r="L237" s="568">
        <v>81552</v>
      </c>
      <c r="M237" s="569">
        <v>0.1</v>
      </c>
      <c r="N237" s="573">
        <f t="shared" si="52"/>
        <v>8155.2000000000007</v>
      </c>
      <c r="O237" s="570">
        <f t="shared" si="53"/>
        <v>73396.800000000003</v>
      </c>
      <c r="P237" s="602"/>
      <c r="Q237" s="572" t="e">
        <f>VLOOKUP(G:G,list!B:D,3,FALSE)</f>
        <v>#N/A</v>
      </c>
    </row>
    <row r="238" spans="2:17" ht="18" customHeight="1">
      <c r="B238" s="563">
        <v>233</v>
      </c>
      <c r="C238" s="564" t="str">
        <f>VLOOKUP(G:G,list!B:D,2,FALSE)</f>
        <v>원작료</v>
      </c>
      <c r="D238" s="564" t="s">
        <v>22</v>
      </c>
      <c r="E238" s="564" t="s">
        <v>62</v>
      </c>
      <c r="F238" s="564" t="s">
        <v>358</v>
      </c>
      <c r="G238" s="564" t="s">
        <v>30</v>
      </c>
      <c r="H238" s="565">
        <v>44281</v>
      </c>
      <c r="I238" s="564" t="s">
        <v>368</v>
      </c>
      <c r="J238" s="599">
        <v>622599</v>
      </c>
      <c r="K238" s="603">
        <v>0.5</v>
      </c>
      <c r="L238" s="568">
        <v>262267</v>
      </c>
      <c r="M238" s="569">
        <v>0.1</v>
      </c>
      <c r="N238" s="573">
        <f t="shared" si="52"/>
        <v>26226.7</v>
      </c>
      <c r="O238" s="570">
        <f t="shared" si="53"/>
        <v>236040.3</v>
      </c>
      <c r="P238" s="602"/>
      <c r="Q238" s="572" t="str">
        <f>VLOOKUP(G:G,list!B:D,3,FALSE)</f>
        <v>Y</v>
      </c>
    </row>
    <row r="239" spans="2:17" ht="18" customHeight="1">
      <c r="B239" s="563">
        <v>234</v>
      </c>
      <c r="C239" s="564" t="str">
        <f>VLOOKUP(G:G,list!B:D,2,FALSE)</f>
        <v>작가기획</v>
      </c>
      <c r="D239" s="564" t="s">
        <v>22</v>
      </c>
      <c r="E239" s="564" t="s">
        <v>62</v>
      </c>
      <c r="F239" s="564" t="s">
        <v>358</v>
      </c>
      <c r="G239" s="564" t="s">
        <v>36</v>
      </c>
      <c r="H239" s="565">
        <v>44293</v>
      </c>
      <c r="I239" s="564" t="s">
        <v>368</v>
      </c>
      <c r="J239" s="599">
        <v>242322</v>
      </c>
      <c r="K239" s="603">
        <v>0.5</v>
      </c>
      <c r="L239" s="568">
        <v>102113</v>
      </c>
      <c r="M239" s="569" t="s">
        <v>203</v>
      </c>
      <c r="N239" s="570">
        <v>0</v>
      </c>
      <c r="O239" s="570">
        <f t="shared" si="53"/>
        <v>102113</v>
      </c>
      <c r="P239" s="602"/>
      <c r="Q239" s="572" t="str">
        <f>VLOOKUP(G:G,list!B:D,3,FALSE)</f>
        <v>Y</v>
      </c>
    </row>
    <row r="240" spans="2:17" ht="18" customHeight="1">
      <c r="B240" s="563">
        <v>235</v>
      </c>
      <c r="C240" s="564" t="e">
        <f>VLOOKUP(G:G,list!B:D,2,FALSE)</f>
        <v>#N/A</v>
      </c>
      <c r="D240" s="564" t="s">
        <v>22</v>
      </c>
      <c r="E240" s="564" t="s">
        <v>62</v>
      </c>
      <c r="F240" s="564" t="s">
        <v>358</v>
      </c>
      <c r="G240" s="564" t="s">
        <v>42</v>
      </c>
      <c r="H240" s="565">
        <v>44163</v>
      </c>
      <c r="I240" s="564" t="s">
        <v>368</v>
      </c>
      <c r="J240" s="599">
        <v>19714251</v>
      </c>
      <c r="K240" s="603">
        <v>0.5</v>
      </c>
      <c r="L240" s="568">
        <v>8390505</v>
      </c>
      <c r="M240" s="569">
        <v>0.1</v>
      </c>
      <c r="N240" s="573">
        <f t="shared" si="52"/>
        <v>839050.5</v>
      </c>
      <c r="O240" s="570">
        <f t="shared" si="53"/>
        <v>7551454.5</v>
      </c>
      <c r="P240" s="575" t="s">
        <v>85</v>
      </c>
      <c r="Q240" s="572" t="e">
        <f>VLOOKUP(G:G,list!B:D,3,FALSE)</f>
        <v>#N/A</v>
      </c>
    </row>
    <row r="241" spans="2:17" ht="18" customHeight="1">
      <c r="B241" s="563">
        <v>236</v>
      </c>
      <c r="C241" s="564" t="e">
        <f>VLOOKUP(G:G,list!B:D,2,FALSE)</f>
        <v>#N/A</v>
      </c>
      <c r="D241" s="564" t="s">
        <v>22</v>
      </c>
      <c r="E241" s="564" t="s">
        <v>62</v>
      </c>
      <c r="F241" s="564" t="s">
        <v>213</v>
      </c>
      <c r="G241" s="564" t="s">
        <v>10</v>
      </c>
      <c r="H241" s="565">
        <v>44356</v>
      </c>
      <c r="I241" s="564" t="s">
        <v>377</v>
      </c>
      <c r="J241" s="599">
        <v>899710</v>
      </c>
      <c r="K241" s="603">
        <v>0.3</v>
      </c>
      <c r="L241" s="568">
        <v>269913</v>
      </c>
      <c r="M241" s="569">
        <v>0.1</v>
      </c>
      <c r="N241" s="570">
        <f>L241*M241</f>
        <v>26991.300000000003</v>
      </c>
      <c r="O241" s="570">
        <f t="shared" si="41"/>
        <v>242921.7</v>
      </c>
      <c r="P241" s="602" t="s">
        <v>425</v>
      </c>
      <c r="Q241" s="572" t="e">
        <f>VLOOKUP(G:G,list!B:D,3,FALSE)</f>
        <v>#N/A</v>
      </c>
    </row>
    <row r="242" spans="2:17" ht="18" customHeight="1">
      <c r="B242" s="563">
        <v>237</v>
      </c>
      <c r="C242" s="564" t="e">
        <f>VLOOKUP(G:G,list!B:D,2,FALSE)</f>
        <v>#N/A</v>
      </c>
      <c r="D242" s="564" t="s">
        <v>22</v>
      </c>
      <c r="E242" s="564" t="s">
        <v>62</v>
      </c>
      <c r="F242" s="564" t="s">
        <v>213</v>
      </c>
      <c r="G242" s="564" t="s">
        <v>10</v>
      </c>
      <c r="H242" s="565">
        <v>44356</v>
      </c>
      <c r="I242" s="564" t="s">
        <v>428</v>
      </c>
      <c r="J242" s="599">
        <v>999907</v>
      </c>
      <c r="K242" s="603">
        <v>0.3</v>
      </c>
      <c r="L242" s="568">
        <v>299972</v>
      </c>
      <c r="M242" s="569">
        <v>0.1</v>
      </c>
      <c r="N242" s="570">
        <f>L242*M242</f>
        <v>29997.200000000001</v>
      </c>
      <c r="O242" s="570">
        <f t="shared" ref="O242" si="54">L242-N242</f>
        <v>269974.8</v>
      </c>
      <c r="P242" s="602" t="s">
        <v>425</v>
      </c>
      <c r="Q242" s="572" t="e">
        <f>VLOOKUP(G:G,list!B:D,3,FALSE)</f>
        <v>#N/A</v>
      </c>
    </row>
    <row r="243" spans="2:17" ht="18" customHeight="1">
      <c r="B243" s="563">
        <v>238</v>
      </c>
      <c r="C243" s="564" t="e">
        <f>VLOOKUP(G:G,list!B:D,2,FALSE)</f>
        <v>#N/A</v>
      </c>
      <c r="D243" s="564" t="s">
        <v>22</v>
      </c>
      <c r="E243" s="564" t="s">
        <v>62</v>
      </c>
      <c r="F243" s="564" t="s">
        <v>213</v>
      </c>
      <c r="G243" s="564" t="s">
        <v>11</v>
      </c>
      <c r="H243" s="565">
        <v>44381</v>
      </c>
      <c r="I243" s="564" t="s">
        <v>377</v>
      </c>
      <c r="J243" s="599">
        <v>123793</v>
      </c>
      <c r="K243" s="603">
        <v>0.3</v>
      </c>
      <c r="L243" s="568">
        <v>37138</v>
      </c>
      <c r="M243" s="569" t="s">
        <v>203</v>
      </c>
      <c r="N243" s="573">
        <v>0</v>
      </c>
      <c r="O243" s="570">
        <f t="shared" si="41"/>
        <v>37138</v>
      </c>
      <c r="P243" s="602" t="s">
        <v>425</v>
      </c>
      <c r="Q243" s="572" t="e">
        <f>VLOOKUP(G:G,list!B:D,3,FALSE)</f>
        <v>#N/A</v>
      </c>
    </row>
    <row r="244" spans="2:17" ht="18" customHeight="1">
      <c r="B244" s="563">
        <v>239</v>
      </c>
      <c r="C244" s="564" t="e">
        <f>VLOOKUP(G:G,list!B:D,2,FALSE)</f>
        <v>#N/A</v>
      </c>
      <c r="D244" s="564" t="s">
        <v>22</v>
      </c>
      <c r="E244" s="564" t="s">
        <v>62</v>
      </c>
      <c r="F244" s="564" t="s">
        <v>213</v>
      </c>
      <c r="G244" s="564" t="s">
        <v>11</v>
      </c>
      <c r="H244" s="565">
        <v>44381</v>
      </c>
      <c r="I244" s="564" t="s">
        <v>428</v>
      </c>
      <c r="J244" s="599">
        <v>61483</v>
      </c>
      <c r="K244" s="603">
        <v>0.3</v>
      </c>
      <c r="L244" s="568">
        <v>18445</v>
      </c>
      <c r="M244" s="569" t="s">
        <v>203</v>
      </c>
      <c r="N244" s="573">
        <v>0</v>
      </c>
      <c r="O244" s="570">
        <f t="shared" ref="O244" si="55">L244-N244</f>
        <v>18445</v>
      </c>
      <c r="P244" s="602" t="s">
        <v>425</v>
      </c>
      <c r="Q244" s="572" t="e">
        <f>VLOOKUP(G:G,list!B:D,3,FALSE)</f>
        <v>#N/A</v>
      </c>
    </row>
    <row r="245" spans="2:17" ht="18" customHeight="1">
      <c r="B245" s="563">
        <v>240</v>
      </c>
      <c r="C245" s="564" t="e">
        <f>VLOOKUP(G:G,list!B:D,2,FALSE)</f>
        <v>#N/A</v>
      </c>
      <c r="D245" s="564" t="s">
        <v>22</v>
      </c>
      <c r="E245" s="564" t="s">
        <v>62</v>
      </c>
      <c r="F245" s="564" t="s">
        <v>213</v>
      </c>
      <c r="G245" s="564" t="s">
        <v>12</v>
      </c>
      <c r="H245" s="565">
        <v>44364</v>
      </c>
      <c r="I245" s="564" t="s">
        <v>377</v>
      </c>
      <c r="J245" s="599">
        <v>8670</v>
      </c>
      <c r="K245" s="603">
        <v>0.3</v>
      </c>
      <c r="L245" s="568">
        <v>2601</v>
      </c>
      <c r="M245" s="569">
        <v>0.1</v>
      </c>
      <c r="N245" s="570">
        <f>L245*M245</f>
        <v>260.10000000000002</v>
      </c>
      <c r="O245" s="570">
        <f t="shared" si="41"/>
        <v>2340.9</v>
      </c>
      <c r="P245" s="602" t="s">
        <v>425</v>
      </c>
      <c r="Q245" s="572" t="e">
        <f>VLOOKUP(G:G,list!B:D,3,FALSE)</f>
        <v>#N/A</v>
      </c>
    </row>
    <row r="246" spans="2:17" ht="18" customHeight="1">
      <c r="B246" s="563">
        <v>241</v>
      </c>
      <c r="C246" s="564" t="e">
        <f>VLOOKUP(G:G,list!B:D,2,FALSE)</f>
        <v>#N/A</v>
      </c>
      <c r="D246" s="564" t="s">
        <v>22</v>
      </c>
      <c r="E246" s="564" t="s">
        <v>62</v>
      </c>
      <c r="F246" s="564" t="s">
        <v>213</v>
      </c>
      <c r="G246" s="564" t="s">
        <v>12</v>
      </c>
      <c r="H246" s="565">
        <v>44364</v>
      </c>
      <c r="I246" s="564" t="s">
        <v>428</v>
      </c>
      <c r="J246" s="599">
        <v>17127</v>
      </c>
      <c r="K246" s="603">
        <v>0.3</v>
      </c>
      <c r="L246" s="568">
        <v>5138</v>
      </c>
      <c r="M246" s="569">
        <v>0.1</v>
      </c>
      <c r="N246" s="570">
        <f>L246*M246</f>
        <v>513.80000000000007</v>
      </c>
      <c r="O246" s="570">
        <f t="shared" ref="O246" si="56">L246-N246</f>
        <v>4624.2</v>
      </c>
      <c r="P246" s="602" t="s">
        <v>425</v>
      </c>
      <c r="Q246" s="572" t="e">
        <f>VLOOKUP(G:G,list!B:D,3,FALSE)</f>
        <v>#N/A</v>
      </c>
    </row>
    <row r="247" spans="2:17" ht="18" customHeight="1">
      <c r="B247" s="563">
        <v>242</v>
      </c>
      <c r="C247" s="564" t="e">
        <f>VLOOKUP(G:G,list!B:D,2,FALSE)</f>
        <v>#N/A</v>
      </c>
      <c r="D247" s="564" t="s">
        <v>22</v>
      </c>
      <c r="E247" s="564" t="s">
        <v>62</v>
      </c>
      <c r="F247" s="564" t="s">
        <v>213</v>
      </c>
      <c r="G247" s="564" t="s">
        <v>17</v>
      </c>
      <c r="H247" s="565">
        <v>44477</v>
      </c>
      <c r="I247" s="564" t="s">
        <v>377</v>
      </c>
      <c r="J247" s="599">
        <v>247670</v>
      </c>
      <c r="K247" s="603">
        <v>0.3</v>
      </c>
      <c r="L247" s="568">
        <v>74301</v>
      </c>
      <c r="M247" s="569">
        <v>0.12</v>
      </c>
      <c r="N247" s="573">
        <f>L247*M247</f>
        <v>8916.119999999999</v>
      </c>
      <c r="O247" s="570">
        <f t="shared" si="41"/>
        <v>65384.880000000005</v>
      </c>
      <c r="P247" s="602" t="s">
        <v>425</v>
      </c>
      <c r="Q247" s="572" t="e">
        <f>VLOOKUP(G:G,list!B:D,3,FALSE)</f>
        <v>#N/A</v>
      </c>
    </row>
    <row r="248" spans="2:17" ht="18" customHeight="1">
      <c r="B248" s="563">
        <v>243</v>
      </c>
      <c r="C248" s="564" t="e">
        <f>VLOOKUP(G:G,list!B:D,2,FALSE)</f>
        <v>#N/A</v>
      </c>
      <c r="D248" s="564" t="s">
        <v>22</v>
      </c>
      <c r="E248" s="564" t="s">
        <v>62</v>
      </c>
      <c r="F248" s="564" t="s">
        <v>213</v>
      </c>
      <c r="G248" s="564" t="s">
        <v>17</v>
      </c>
      <c r="H248" s="565">
        <v>44477</v>
      </c>
      <c r="I248" s="564" t="s">
        <v>428</v>
      </c>
      <c r="J248" s="599">
        <v>125917</v>
      </c>
      <c r="K248" s="603">
        <v>0.3</v>
      </c>
      <c r="L248" s="568">
        <v>37775</v>
      </c>
      <c r="M248" s="569">
        <v>0.12</v>
      </c>
      <c r="N248" s="573">
        <f>L248*M248</f>
        <v>4533</v>
      </c>
      <c r="O248" s="570">
        <f t="shared" ref="O248:O250" si="57">L248-N248</f>
        <v>33242</v>
      </c>
      <c r="P248" s="602" t="s">
        <v>425</v>
      </c>
      <c r="Q248" s="572" t="e">
        <f>VLOOKUP(G:G,list!B:D,3,FALSE)</f>
        <v>#N/A</v>
      </c>
    </row>
    <row r="249" spans="2:17" ht="18" customHeight="1">
      <c r="B249" s="563">
        <v>244</v>
      </c>
      <c r="C249" s="564" t="e">
        <f>VLOOKUP(G:G,list!B:D,2,FALSE)</f>
        <v>#N/A</v>
      </c>
      <c r="D249" s="564" t="s">
        <v>22</v>
      </c>
      <c r="E249" s="564" t="s">
        <v>62</v>
      </c>
      <c r="F249" s="564" t="s">
        <v>213</v>
      </c>
      <c r="G249" s="564" t="s">
        <v>306</v>
      </c>
      <c r="H249" s="565">
        <v>44755</v>
      </c>
      <c r="I249" s="564" t="s">
        <v>377</v>
      </c>
      <c r="J249" s="599">
        <v>84947</v>
      </c>
      <c r="K249" s="603">
        <v>0.3</v>
      </c>
      <c r="L249" s="568">
        <v>25484</v>
      </c>
      <c r="M249" s="569" t="s">
        <v>203</v>
      </c>
      <c r="N249" s="573">
        <v>0</v>
      </c>
      <c r="O249" s="570">
        <f t="shared" si="57"/>
        <v>25484</v>
      </c>
      <c r="P249" s="602" t="s">
        <v>450</v>
      </c>
      <c r="Q249" s="572" t="e">
        <f>VLOOKUP(G:G,list!B:D,3,FALSE)</f>
        <v>#N/A</v>
      </c>
    </row>
    <row r="250" spans="2:17" ht="18" customHeight="1">
      <c r="B250" s="563">
        <v>245</v>
      </c>
      <c r="C250" s="564" t="e">
        <f>VLOOKUP(G:G,list!B:D,2,FALSE)</f>
        <v>#N/A</v>
      </c>
      <c r="D250" s="564" t="s">
        <v>22</v>
      </c>
      <c r="E250" s="564" t="s">
        <v>62</v>
      </c>
      <c r="F250" s="564" t="s">
        <v>213</v>
      </c>
      <c r="G250" s="564" t="s">
        <v>306</v>
      </c>
      <c r="H250" s="565">
        <v>44755</v>
      </c>
      <c r="I250" s="564" t="s">
        <v>442</v>
      </c>
      <c r="J250" s="599">
        <v>15810</v>
      </c>
      <c r="K250" s="603">
        <v>0.3</v>
      </c>
      <c r="L250" s="568">
        <v>4743</v>
      </c>
      <c r="M250" s="569" t="s">
        <v>203</v>
      </c>
      <c r="N250" s="573">
        <v>0</v>
      </c>
      <c r="O250" s="570">
        <f t="shared" si="57"/>
        <v>4743</v>
      </c>
      <c r="P250" s="602" t="s">
        <v>425</v>
      </c>
      <c r="Q250" s="572" t="e">
        <f>VLOOKUP(G:G,list!B:D,3,FALSE)</f>
        <v>#N/A</v>
      </c>
    </row>
    <row r="251" spans="2:17" ht="18" customHeight="1">
      <c r="B251" s="563">
        <v>246</v>
      </c>
      <c r="C251" s="564" t="e">
        <f>VLOOKUP(G:G,list!B:D,2,FALSE)</f>
        <v>#N/A</v>
      </c>
      <c r="D251" s="564" t="s">
        <v>22</v>
      </c>
      <c r="E251" s="564" t="s">
        <v>62</v>
      </c>
      <c r="F251" s="564" t="s">
        <v>213</v>
      </c>
      <c r="G251" s="564" t="s">
        <v>10</v>
      </c>
      <c r="H251" s="565">
        <v>44356</v>
      </c>
      <c r="I251" s="564" t="s">
        <v>452</v>
      </c>
      <c r="J251" s="599">
        <v>621923</v>
      </c>
      <c r="K251" s="603">
        <v>0.3</v>
      </c>
      <c r="L251" s="568">
        <v>186577</v>
      </c>
      <c r="M251" s="569">
        <v>0.1</v>
      </c>
      <c r="N251" s="573">
        <f>L251*M251</f>
        <v>18657.7</v>
      </c>
      <c r="O251" s="570">
        <f t="shared" ref="O251:O252" si="58">L251-N251</f>
        <v>167919.3</v>
      </c>
      <c r="P251" s="602" t="s">
        <v>425</v>
      </c>
      <c r="Q251" s="572" t="e">
        <f>VLOOKUP(G:G,list!B:D,3,FALSE)</f>
        <v>#N/A</v>
      </c>
    </row>
    <row r="252" spans="2:17" ht="18" customHeight="1">
      <c r="B252" s="563">
        <v>247</v>
      </c>
      <c r="C252" s="564" t="e">
        <f>VLOOKUP(G:G,list!B:D,2,FALSE)</f>
        <v>#N/A</v>
      </c>
      <c r="D252" s="564" t="s">
        <v>22</v>
      </c>
      <c r="E252" s="564" t="s">
        <v>62</v>
      </c>
      <c r="F252" s="564" t="s">
        <v>213</v>
      </c>
      <c r="G252" s="564" t="s">
        <v>17</v>
      </c>
      <c r="H252" s="565">
        <v>44477</v>
      </c>
      <c r="I252" s="564" t="s">
        <v>452</v>
      </c>
      <c r="J252" s="599">
        <v>78443</v>
      </c>
      <c r="K252" s="603">
        <v>0.3</v>
      </c>
      <c r="L252" s="568">
        <v>23533</v>
      </c>
      <c r="M252" s="569">
        <v>0.12</v>
      </c>
      <c r="N252" s="573">
        <f>L252*M252</f>
        <v>2823.96</v>
      </c>
      <c r="O252" s="570">
        <f t="shared" si="58"/>
        <v>20709.04</v>
      </c>
      <c r="P252" s="602" t="s">
        <v>425</v>
      </c>
      <c r="Q252" s="572" t="e">
        <f>VLOOKUP(G:G,list!B:D,3,FALSE)</f>
        <v>#N/A</v>
      </c>
    </row>
    <row r="253" spans="2:17" ht="18" customHeight="1">
      <c r="B253" s="563">
        <v>248</v>
      </c>
      <c r="C253" s="564" t="e">
        <f>VLOOKUP(G:G,list!B:D,2,FALSE)</f>
        <v>#N/A</v>
      </c>
      <c r="D253" s="564" t="s">
        <v>22</v>
      </c>
      <c r="E253" s="564" t="s">
        <v>62</v>
      </c>
      <c r="F253" s="564" t="s">
        <v>213</v>
      </c>
      <c r="G253" s="564" t="s">
        <v>11</v>
      </c>
      <c r="H253" s="565">
        <v>44381</v>
      </c>
      <c r="I253" s="564" t="s">
        <v>452</v>
      </c>
      <c r="J253" s="599">
        <v>122730</v>
      </c>
      <c r="K253" s="603">
        <v>0.3</v>
      </c>
      <c r="L253" s="568">
        <v>36819</v>
      </c>
      <c r="M253" s="569" t="s">
        <v>168</v>
      </c>
      <c r="N253" s="573">
        <v>0</v>
      </c>
      <c r="O253" s="570">
        <f t="shared" ref="O253:O254" si="59">L253-N253</f>
        <v>36819</v>
      </c>
      <c r="P253" s="602" t="s">
        <v>425</v>
      </c>
      <c r="Q253" s="572" t="e">
        <f>VLOOKUP(G:G,list!B:D,3,FALSE)</f>
        <v>#N/A</v>
      </c>
    </row>
    <row r="254" spans="2:17" ht="18" customHeight="1">
      <c r="B254" s="563">
        <v>249</v>
      </c>
      <c r="C254" s="564" t="e">
        <f>VLOOKUP(G:G,list!B:D,2,FALSE)</f>
        <v>#N/A</v>
      </c>
      <c r="D254" s="564" t="s">
        <v>22</v>
      </c>
      <c r="E254" s="564" t="s">
        <v>62</v>
      </c>
      <c r="F254" s="564" t="s">
        <v>213</v>
      </c>
      <c r="G254" s="564" t="s">
        <v>12</v>
      </c>
      <c r="H254" s="565">
        <v>44364</v>
      </c>
      <c r="I254" s="564" t="s">
        <v>452</v>
      </c>
      <c r="J254" s="599">
        <v>-815491</v>
      </c>
      <c r="K254" s="603">
        <v>0.3</v>
      </c>
      <c r="L254" s="568">
        <v>-244647.27272727271</v>
      </c>
      <c r="M254" s="569">
        <v>0.1</v>
      </c>
      <c r="N254" s="573">
        <f>L254*M254</f>
        <v>-24464.727272727272</v>
      </c>
      <c r="O254" s="570">
        <f t="shared" si="59"/>
        <v>-220182.54545454544</v>
      </c>
      <c r="P254" s="602" t="s">
        <v>425</v>
      </c>
      <c r="Q254" s="572" t="e">
        <f>VLOOKUP(G:G,list!B:D,3,FALSE)</f>
        <v>#N/A</v>
      </c>
    </row>
    <row r="255" spans="2:17" ht="18" customHeight="1">
      <c r="B255" s="563">
        <v>250</v>
      </c>
      <c r="C255" s="564" t="e">
        <f>VLOOKUP(G:G,list!B:D,2,FALSE)</f>
        <v>#N/A</v>
      </c>
      <c r="D255" s="564" t="s">
        <v>32</v>
      </c>
      <c r="E255" s="564" t="s">
        <v>62</v>
      </c>
      <c r="F255" s="564" t="s">
        <v>213</v>
      </c>
      <c r="G255" s="564" t="s">
        <v>10</v>
      </c>
      <c r="H255" s="565">
        <v>44396</v>
      </c>
      <c r="I255" s="564" t="s">
        <v>377</v>
      </c>
      <c r="J255" s="599">
        <v>6300150</v>
      </c>
      <c r="K255" s="603">
        <v>0.3</v>
      </c>
      <c r="L255" s="568">
        <v>1890045</v>
      </c>
      <c r="M255" s="569">
        <v>0.1</v>
      </c>
      <c r="N255" s="570">
        <f>L255*M255</f>
        <v>189004.5</v>
      </c>
      <c r="O255" s="570">
        <f t="shared" si="41"/>
        <v>1701040.5</v>
      </c>
      <c r="P255" s="575" t="s">
        <v>307</v>
      </c>
      <c r="Q255" s="572" t="e">
        <f>VLOOKUP(G:G,list!B:D,3,FALSE)</f>
        <v>#N/A</v>
      </c>
    </row>
    <row r="256" spans="2:17" ht="18" customHeight="1">
      <c r="B256" s="563">
        <v>251</v>
      </c>
      <c r="C256" s="564" t="e">
        <f>VLOOKUP(G:G,list!B:D,2,FALSE)</f>
        <v>#N/A</v>
      </c>
      <c r="D256" s="564" t="s">
        <v>32</v>
      </c>
      <c r="E256" s="564" t="s">
        <v>62</v>
      </c>
      <c r="F256" s="564" t="s">
        <v>213</v>
      </c>
      <c r="G256" s="564" t="s">
        <v>10</v>
      </c>
      <c r="H256" s="565">
        <v>44396</v>
      </c>
      <c r="I256" s="564" t="s">
        <v>428</v>
      </c>
      <c r="J256" s="599">
        <v>6899533</v>
      </c>
      <c r="K256" s="603">
        <v>0.3</v>
      </c>
      <c r="L256" s="568">
        <v>2069860</v>
      </c>
      <c r="M256" s="569">
        <v>0.1</v>
      </c>
      <c r="N256" s="570">
        <f>L256*M256</f>
        <v>206986</v>
      </c>
      <c r="O256" s="570">
        <f t="shared" ref="O256" si="60">L256-N256</f>
        <v>1862874</v>
      </c>
      <c r="P256" s="575" t="s">
        <v>307</v>
      </c>
      <c r="Q256" s="572" t="e">
        <f>VLOOKUP(G:G,list!B:D,3,FALSE)</f>
        <v>#N/A</v>
      </c>
    </row>
    <row r="257" spans="2:17" ht="18" customHeight="1">
      <c r="B257" s="563">
        <v>252</v>
      </c>
      <c r="C257" s="564" t="e">
        <f>VLOOKUP(G:G,list!B:D,2,FALSE)</f>
        <v>#N/A</v>
      </c>
      <c r="D257" s="564" t="s">
        <v>32</v>
      </c>
      <c r="E257" s="564" t="s">
        <v>62</v>
      </c>
      <c r="F257" s="564" t="s">
        <v>213</v>
      </c>
      <c r="G257" s="564" t="s">
        <v>11</v>
      </c>
      <c r="H257" s="565">
        <v>44370</v>
      </c>
      <c r="I257" s="564" t="s">
        <v>377</v>
      </c>
      <c r="J257" s="599">
        <v>202760</v>
      </c>
      <c r="K257" s="603">
        <v>0.3</v>
      </c>
      <c r="L257" s="568">
        <v>60828</v>
      </c>
      <c r="M257" s="569" t="s">
        <v>203</v>
      </c>
      <c r="N257" s="573">
        <v>0</v>
      </c>
      <c r="O257" s="570">
        <f>L257-N257</f>
        <v>60828</v>
      </c>
      <c r="P257" s="575" t="s">
        <v>307</v>
      </c>
      <c r="Q257" s="572" t="e">
        <f>VLOOKUP(G:G,list!B:D,3,FALSE)</f>
        <v>#N/A</v>
      </c>
    </row>
    <row r="258" spans="2:17" ht="18" customHeight="1">
      <c r="B258" s="563">
        <v>253</v>
      </c>
      <c r="C258" s="564" t="e">
        <f>VLOOKUP(G:G,list!B:D,2,FALSE)</f>
        <v>#N/A</v>
      </c>
      <c r="D258" s="564" t="s">
        <v>32</v>
      </c>
      <c r="E258" s="564" t="s">
        <v>62</v>
      </c>
      <c r="F258" s="564" t="s">
        <v>213</v>
      </c>
      <c r="G258" s="564" t="s">
        <v>11</v>
      </c>
      <c r="H258" s="565">
        <v>44370</v>
      </c>
      <c r="I258" s="564" t="s">
        <v>428</v>
      </c>
      <c r="J258" s="599">
        <v>286127</v>
      </c>
      <c r="K258" s="603">
        <v>0.3</v>
      </c>
      <c r="L258" s="568">
        <v>85838</v>
      </c>
      <c r="M258" s="569" t="s">
        <v>203</v>
      </c>
      <c r="N258" s="573">
        <v>0</v>
      </c>
      <c r="O258" s="570">
        <f>L258-N258</f>
        <v>85838</v>
      </c>
      <c r="P258" s="575" t="s">
        <v>307</v>
      </c>
      <c r="Q258" s="572" t="e">
        <f>VLOOKUP(G:G,list!B:D,3,FALSE)</f>
        <v>#N/A</v>
      </c>
    </row>
    <row r="259" spans="2:17" ht="18" customHeight="1">
      <c r="B259" s="563">
        <v>254</v>
      </c>
      <c r="C259" s="564" t="e">
        <f>VLOOKUP(G:G,list!B:D,2,FALSE)</f>
        <v>#N/A</v>
      </c>
      <c r="D259" s="564" t="s">
        <v>32</v>
      </c>
      <c r="E259" s="564" t="s">
        <v>62</v>
      </c>
      <c r="F259" s="564" t="s">
        <v>213</v>
      </c>
      <c r="G259" s="564" t="s">
        <v>17</v>
      </c>
      <c r="H259" s="565">
        <v>44497</v>
      </c>
      <c r="I259" s="564" t="s">
        <v>377</v>
      </c>
      <c r="J259" s="599">
        <v>2804947</v>
      </c>
      <c r="K259" s="603">
        <v>0.3</v>
      </c>
      <c r="L259" s="568">
        <v>841484</v>
      </c>
      <c r="M259" s="569">
        <v>0.12</v>
      </c>
      <c r="N259" s="573">
        <f>L259*M259</f>
        <v>100978.08</v>
      </c>
      <c r="O259" s="570">
        <f t="shared" ref="O259:O275" si="61">L259-N259</f>
        <v>740505.92</v>
      </c>
      <c r="P259" s="575" t="s">
        <v>307</v>
      </c>
      <c r="Q259" s="572" t="e">
        <f>VLOOKUP(G:G,list!B:D,3,FALSE)</f>
        <v>#N/A</v>
      </c>
    </row>
    <row r="260" spans="2:17" ht="18" customHeight="1">
      <c r="B260" s="563">
        <v>255</v>
      </c>
      <c r="C260" s="564" t="e">
        <f>VLOOKUP(G:G,list!B:D,2,FALSE)</f>
        <v>#N/A</v>
      </c>
      <c r="D260" s="564" t="s">
        <v>32</v>
      </c>
      <c r="E260" s="564" t="s">
        <v>62</v>
      </c>
      <c r="F260" s="564" t="s">
        <v>213</v>
      </c>
      <c r="G260" s="564" t="s">
        <v>17</v>
      </c>
      <c r="H260" s="565">
        <v>44497</v>
      </c>
      <c r="I260" s="564" t="s">
        <v>428</v>
      </c>
      <c r="J260" s="599">
        <v>2479247</v>
      </c>
      <c r="K260" s="603">
        <v>0.3</v>
      </c>
      <c r="L260" s="568">
        <v>743774</v>
      </c>
      <c r="M260" s="569">
        <v>0.12</v>
      </c>
      <c r="N260" s="573">
        <f>L260*M260</f>
        <v>89252.87999999999</v>
      </c>
      <c r="O260" s="570">
        <f t="shared" ref="O260:O262" si="62">L260-N260</f>
        <v>654521.12</v>
      </c>
      <c r="P260" s="575" t="s">
        <v>307</v>
      </c>
      <c r="Q260" s="572" t="e">
        <f>VLOOKUP(G:G,list!B:D,3,FALSE)</f>
        <v>#N/A</v>
      </c>
    </row>
    <row r="261" spans="2:17" ht="18" customHeight="1">
      <c r="B261" s="563">
        <v>256</v>
      </c>
      <c r="C261" s="564" t="e">
        <f>VLOOKUP(G:G,list!B:D,2,FALSE)</f>
        <v>#N/A</v>
      </c>
      <c r="D261" s="564" t="s">
        <v>32</v>
      </c>
      <c r="E261" s="564" t="s">
        <v>62</v>
      </c>
      <c r="F261" s="564" t="s">
        <v>213</v>
      </c>
      <c r="G261" s="564" t="s">
        <v>357</v>
      </c>
      <c r="H261" s="565">
        <v>44773</v>
      </c>
      <c r="I261" s="564" t="s">
        <v>377</v>
      </c>
      <c r="J261" s="599">
        <v>730140</v>
      </c>
      <c r="K261" s="603">
        <v>0.3</v>
      </c>
      <c r="L261" s="568">
        <v>219042</v>
      </c>
      <c r="M261" s="569">
        <v>0.1</v>
      </c>
      <c r="N261" s="573">
        <f t="shared" ref="N261:N262" si="63">L261*M261</f>
        <v>21904.2</v>
      </c>
      <c r="O261" s="570">
        <f t="shared" si="62"/>
        <v>197137.8</v>
      </c>
      <c r="P261" s="575" t="s">
        <v>449</v>
      </c>
      <c r="Q261" s="572" t="e">
        <f>VLOOKUP(G:G,list!B:D,3,FALSE)</f>
        <v>#N/A</v>
      </c>
    </row>
    <row r="262" spans="2:17" ht="18" customHeight="1">
      <c r="B262" s="563">
        <v>257</v>
      </c>
      <c r="C262" s="564" t="e">
        <f>VLOOKUP(G:G,list!B:D,2,FALSE)</f>
        <v>#N/A</v>
      </c>
      <c r="D262" s="564" t="s">
        <v>32</v>
      </c>
      <c r="E262" s="564" t="s">
        <v>62</v>
      </c>
      <c r="F262" s="564" t="s">
        <v>213</v>
      </c>
      <c r="G262" s="564" t="s">
        <v>357</v>
      </c>
      <c r="H262" s="565">
        <v>44773</v>
      </c>
      <c r="I262" s="564" t="s">
        <v>428</v>
      </c>
      <c r="J262" s="599">
        <v>2187057</v>
      </c>
      <c r="K262" s="603">
        <v>0.3</v>
      </c>
      <c r="L262" s="568">
        <v>656117</v>
      </c>
      <c r="M262" s="569">
        <v>0.1</v>
      </c>
      <c r="N262" s="573">
        <f t="shared" si="63"/>
        <v>65611.7</v>
      </c>
      <c r="O262" s="570">
        <f t="shared" si="62"/>
        <v>590505.30000000005</v>
      </c>
      <c r="P262" s="575" t="s">
        <v>307</v>
      </c>
      <c r="Q262" s="572" t="e">
        <f>VLOOKUP(G:G,list!B:D,3,FALSE)</f>
        <v>#N/A</v>
      </c>
    </row>
    <row r="263" spans="2:17" ht="18" customHeight="1">
      <c r="B263" s="563">
        <v>258</v>
      </c>
      <c r="C263" s="564" t="e">
        <f>VLOOKUP(G:G,list!B:D,2,FALSE)</f>
        <v>#N/A</v>
      </c>
      <c r="D263" s="564" t="s">
        <v>32</v>
      </c>
      <c r="E263" s="564" t="s">
        <v>115</v>
      </c>
      <c r="F263" s="564" t="s">
        <v>31</v>
      </c>
      <c r="G263" s="564" t="s">
        <v>152</v>
      </c>
      <c r="H263" s="565">
        <v>44096</v>
      </c>
      <c r="I263" s="564" t="s">
        <v>377</v>
      </c>
      <c r="J263" s="599">
        <v>201274</v>
      </c>
      <c r="K263" s="603">
        <v>0.4</v>
      </c>
      <c r="L263" s="568">
        <v>76483</v>
      </c>
      <c r="M263" s="569">
        <v>0.12</v>
      </c>
      <c r="N263" s="573">
        <f t="shared" ref="N263:N270" si="64">L263*M263</f>
        <v>9177.9599999999991</v>
      </c>
      <c r="O263" s="570">
        <f t="shared" si="61"/>
        <v>67305.040000000008</v>
      </c>
      <c r="P263" s="576"/>
      <c r="Q263" s="572" t="e">
        <f>VLOOKUP(G:G,list!B:D,3,FALSE)</f>
        <v>#N/A</v>
      </c>
    </row>
    <row r="264" spans="2:17" ht="18" customHeight="1">
      <c r="B264" s="563">
        <v>259</v>
      </c>
      <c r="C264" s="564" t="e">
        <f>VLOOKUP(G:G,list!B:D,2,FALSE)</f>
        <v>#N/A</v>
      </c>
      <c r="D264" s="564" t="s">
        <v>32</v>
      </c>
      <c r="E264" s="564" t="s">
        <v>115</v>
      </c>
      <c r="F264" s="564" t="s">
        <v>31</v>
      </c>
      <c r="G264" s="564" t="s">
        <v>153</v>
      </c>
      <c r="H264" s="565">
        <v>44137</v>
      </c>
      <c r="I264" s="564" t="s">
        <v>377</v>
      </c>
      <c r="J264" s="599">
        <v>224180</v>
      </c>
      <c r="K264" s="603">
        <v>0.4</v>
      </c>
      <c r="L264" s="568">
        <v>85190</v>
      </c>
      <c r="M264" s="569">
        <v>0.1</v>
      </c>
      <c r="N264" s="570">
        <f t="shared" si="64"/>
        <v>8519</v>
      </c>
      <c r="O264" s="570">
        <f t="shared" si="61"/>
        <v>76671</v>
      </c>
      <c r="P264" s="576"/>
      <c r="Q264" s="572" t="e">
        <f>VLOOKUP(G:G,list!B:D,3,FALSE)</f>
        <v>#N/A</v>
      </c>
    </row>
    <row r="265" spans="2:17" ht="18" customHeight="1">
      <c r="B265" s="563">
        <v>260</v>
      </c>
      <c r="C265" s="564" t="str">
        <f>VLOOKUP(G:G,list!B:D,2,FALSE)</f>
        <v>원작료</v>
      </c>
      <c r="D265" s="564" t="s">
        <v>32</v>
      </c>
      <c r="E265" s="564" t="s">
        <v>115</v>
      </c>
      <c r="F265" s="564" t="s">
        <v>31</v>
      </c>
      <c r="G265" s="564" t="s">
        <v>151</v>
      </c>
      <c r="H265" s="565">
        <v>44239</v>
      </c>
      <c r="I265" s="564" t="s">
        <v>377</v>
      </c>
      <c r="J265" s="599">
        <v>465369</v>
      </c>
      <c r="K265" s="603">
        <v>0.4</v>
      </c>
      <c r="L265" s="568">
        <v>176839</v>
      </c>
      <c r="M265" s="569">
        <v>0.1</v>
      </c>
      <c r="N265" s="570">
        <f>L265*M265</f>
        <v>17683.900000000001</v>
      </c>
      <c r="O265" s="570">
        <f>L265-N265</f>
        <v>159155.1</v>
      </c>
      <c r="P265" s="575"/>
      <c r="Q265" s="572" t="str">
        <f>VLOOKUP(G:G,list!B:D,3,FALSE)</f>
        <v>Y</v>
      </c>
    </row>
    <row r="266" spans="2:17" ht="18" customHeight="1">
      <c r="B266" s="563">
        <v>261</v>
      </c>
      <c r="C266" s="564" t="e">
        <f>VLOOKUP(G:G,list!B:D,2,FALSE)</f>
        <v>#N/A</v>
      </c>
      <c r="D266" s="564" t="s">
        <v>32</v>
      </c>
      <c r="E266" s="564" t="s">
        <v>115</v>
      </c>
      <c r="F266" s="564" t="s">
        <v>31</v>
      </c>
      <c r="G266" s="564" t="s">
        <v>256</v>
      </c>
      <c r="H266" s="565">
        <v>44487</v>
      </c>
      <c r="I266" s="564" t="s">
        <v>377</v>
      </c>
      <c r="J266" s="599">
        <v>41105</v>
      </c>
      <c r="K266" s="603">
        <v>0.4</v>
      </c>
      <c r="L266" s="568">
        <v>15623</v>
      </c>
      <c r="M266" s="569">
        <v>0.1</v>
      </c>
      <c r="N266" s="570">
        <f t="shared" si="64"/>
        <v>1562.3000000000002</v>
      </c>
      <c r="O266" s="570">
        <f t="shared" si="61"/>
        <v>14060.7</v>
      </c>
      <c r="P266" s="573"/>
      <c r="Q266" s="572" t="e">
        <f>VLOOKUP(G:G,list!B:D,3,FALSE)</f>
        <v>#N/A</v>
      </c>
    </row>
    <row r="267" spans="2:17" ht="18" customHeight="1">
      <c r="B267" s="563">
        <v>262</v>
      </c>
      <c r="C267" s="564" t="e">
        <f>VLOOKUP(G:G,list!B:D,2,FALSE)</f>
        <v>#N/A</v>
      </c>
      <c r="D267" s="564" t="s">
        <v>32</v>
      </c>
      <c r="E267" s="564" t="s">
        <v>115</v>
      </c>
      <c r="F267" s="564" t="s">
        <v>31</v>
      </c>
      <c r="G267" s="564" t="s">
        <v>204</v>
      </c>
      <c r="H267" s="565">
        <v>44453</v>
      </c>
      <c r="I267" s="564" t="s">
        <v>377</v>
      </c>
      <c r="J267" s="599">
        <v>33901</v>
      </c>
      <c r="K267" s="603">
        <v>0.4</v>
      </c>
      <c r="L267" s="568">
        <v>12878</v>
      </c>
      <c r="M267" s="569">
        <v>0.1</v>
      </c>
      <c r="N267" s="573">
        <f t="shared" si="64"/>
        <v>1287.8000000000002</v>
      </c>
      <c r="O267" s="570">
        <f t="shared" si="61"/>
        <v>11590.2</v>
      </c>
      <c r="P267" s="602"/>
      <c r="Q267" s="572" t="e">
        <f>VLOOKUP(G:G,list!B:D,3,FALSE)</f>
        <v>#N/A</v>
      </c>
    </row>
    <row r="268" spans="2:17" ht="18" customHeight="1">
      <c r="B268" s="563">
        <v>263</v>
      </c>
      <c r="C268" s="564" t="e">
        <f>VLOOKUP(G:G,list!B:D,2,FALSE)</f>
        <v>#N/A</v>
      </c>
      <c r="D268" s="564" t="s">
        <v>32</v>
      </c>
      <c r="E268" s="564" t="s">
        <v>115</v>
      </c>
      <c r="F268" s="564" t="s">
        <v>31</v>
      </c>
      <c r="G268" s="564" t="s">
        <v>258</v>
      </c>
      <c r="H268" s="565">
        <v>44470</v>
      </c>
      <c r="I268" s="564" t="s">
        <v>377</v>
      </c>
      <c r="J268" s="599">
        <v>154156</v>
      </c>
      <c r="K268" s="603">
        <v>0.4</v>
      </c>
      <c r="L268" s="568">
        <v>58572</v>
      </c>
      <c r="M268" s="569">
        <v>0.1</v>
      </c>
      <c r="N268" s="573">
        <f t="shared" si="64"/>
        <v>5857.2000000000007</v>
      </c>
      <c r="O268" s="570">
        <f t="shared" si="61"/>
        <v>52714.8</v>
      </c>
      <c r="P268" s="571"/>
      <c r="Q268" s="572" t="e">
        <f>VLOOKUP(G:G,list!B:D,3,FALSE)</f>
        <v>#N/A</v>
      </c>
    </row>
    <row r="269" spans="2:17" ht="18" customHeight="1">
      <c r="B269" s="563">
        <v>264</v>
      </c>
      <c r="C269" s="564" t="e">
        <f>VLOOKUP(G:G,list!B:D,2,FALSE)</f>
        <v>#N/A</v>
      </c>
      <c r="D269" s="564" t="s">
        <v>32</v>
      </c>
      <c r="E269" s="564" t="s">
        <v>115</v>
      </c>
      <c r="F269" s="564" t="s">
        <v>31</v>
      </c>
      <c r="G269" s="564" t="s">
        <v>19</v>
      </c>
      <c r="H269" s="565">
        <v>44714</v>
      </c>
      <c r="I269" s="564" t="s">
        <v>377</v>
      </c>
      <c r="J269" s="599">
        <v>74783</v>
      </c>
      <c r="K269" s="603">
        <v>0.45</v>
      </c>
      <c r="L269" s="568">
        <v>31966</v>
      </c>
      <c r="M269" s="569" t="s">
        <v>203</v>
      </c>
      <c r="N269" s="573">
        <v>0</v>
      </c>
      <c r="O269" s="570">
        <f t="shared" si="61"/>
        <v>31966</v>
      </c>
      <c r="P269" s="571"/>
      <c r="Q269" s="572" t="e">
        <f>VLOOKUP(G:G,list!B:D,3,FALSE)</f>
        <v>#N/A</v>
      </c>
    </row>
    <row r="270" spans="2:17" ht="18" customHeight="1">
      <c r="B270" s="563">
        <v>265</v>
      </c>
      <c r="C270" s="564" t="e">
        <f>VLOOKUP(G:G,list!B:D,2,FALSE)</f>
        <v>#N/A</v>
      </c>
      <c r="D270" s="564" t="s">
        <v>32</v>
      </c>
      <c r="E270" s="564" t="s">
        <v>9</v>
      </c>
      <c r="F270" s="564" t="s">
        <v>257</v>
      </c>
      <c r="G270" s="564" t="s">
        <v>179</v>
      </c>
      <c r="H270" s="565">
        <v>44354</v>
      </c>
      <c r="I270" s="564" t="s">
        <v>428</v>
      </c>
      <c r="J270" s="599">
        <v>13569795</v>
      </c>
      <c r="K270" s="600">
        <v>0.27999995826320889</v>
      </c>
      <c r="L270" s="568">
        <v>3799543</v>
      </c>
      <c r="M270" s="569">
        <v>0.1</v>
      </c>
      <c r="N270" s="573">
        <f t="shared" si="64"/>
        <v>379954.30000000005</v>
      </c>
      <c r="O270" s="570">
        <f t="shared" si="61"/>
        <v>3419588.7</v>
      </c>
      <c r="P270" s="575" t="s">
        <v>85</v>
      </c>
      <c r="Q270" s="572" t="e">
        <f>VLOOKUP(G:G,list!B:D,3,FALSE)</f>
        <v>#N/A</v>
      </c>
    </row>
    <row r="271" spans="2:17" ht="18" customHeight="1">
      <c r="B271" s="563">
        <v>266</v>
      </c>
      <c r="C271" s="564" t="e">
        <f>VLOOKUP(G:G,list!B:D,2,FALSE)</f>
        <v>#N/A</v>
      </c>
      <c r="D271" s="564" t="s">
        <v>32</v>
      </c>
      <c r="E271" s="564" t="s">
        <v>9</v>
      </c>
      <c r="F271" s="564" t="s">
        <v>257</v>
      </c>
      <c r="G271" s="564" t="s">
        <v>212</v>
      </c>
      <c r="H271" s="565">
        <v>44507</v>
      </c>
      <c r="I271" s="564" t="s">
        <v>428</v>
      </c>
      <c r="J271" s="599">
        <v>2440960</v>
      </c>
      <c r="K271" s="601">
        <v>0.24499999976453651</v>
      </c>
      <c r="L271" s="568">
        <v>598036</v>
      </c>
      <c r="M271" s="569">
        <v>0.1</v>
      </c>
      <c r="N271" s="573">
        <f>L271*M271</f>
        <v>59803.600000000006</v>
      </c>
      <c r="O271" s="570">
        <f t="shared" si="61"/>
        <v>538232.4</v>
      </c>
      <c r="P271" s="602"/>
      <c r="Q271" s="572" t="e">
        <f>VLOOKUP(G:G,list!B:D,3,FALSE)</f>
        <v>#N/A</v>
      </c>
    </row>
    <row r="272" spans="2:17" ht="18" customHeight="1">
      <c r="B272" s="563">
        <v>267</v>
      </c>
      <c r="C272" s="564" t="e">
        <f>VLOOKUP(G:G,list!B:D,2,FALSE)</f>
        <v>#N/A</v>
      </c>
      <c r="D272" s="564" t="s">
        <v>32</v>
      </c>
      <c r="E272" s="564" t="s">
        <v>9</v>
      </c>
      <c r="F272" s="564" t="s">
        <v>257</v>
      </c>
      <c r="G272" s="564" t="s">
        <v>335</v>
      </c>
      <c r="H272" s="565">
        <v>44698</v>
      </c>
      <c r="I272" s="564" t="s">
        <v>428</v>
      </c>
      <c r="J272" s="599">
        <v>1164433</v>
      </c>
      <c r="K272" s="600">
        <v>0.35000007927805654</v>
      </c>
      <c r="L272" s="568">
        <v>407552</v>
      </c>
      <c r="M272" s="569">
        <v>0.1</v>
      </c>
      <c r="N272" s="570">
        <f>L272*M272</f>
        <v>40755.200000000004</v>
      </c>
      <c r="O272" s="570">
        <f t="shared" si="61"/>
        <v>366796.79999999999</v>
      </c>
      <c r="P272" s="575"/>
      <c r="Q272" s="572" t="e">
        <f>VLOOKUP(G:G,list!B:D,3,FALSE)</f>
        <v>#N/A</v>
      </c>
    </row>
    <row r="273" spans="2:17" ht="18" customHeight="1">
      <c r="B273" s="563">
        <v>268</v>
      </c>
      <c r="C273" s="564" t="e">
        <f>VLOOKUP(G:G,list!B:D,2,FALSE)</f>
        <v>#N/A</v>
      </c>
      <c r="D273" s="564" t="s">
        <v>32</v>
      </c>
      <c r="E273" s="564" t="s">
        <v>9</v>
      </c>
      <c r="F273" s="564" t="s">
        <v>257</v>
      </c>
      <c r="G273" s="564" t="s">
        <v>336</v>
      </c>
      <c r="H273" s="565">
        <v>44692</v>
      </c>
      <c r="I273" s="564" t="s">
        <v>428</v>
      </c>
      <c r="J273" s="599">
        <v>8188282</v>
      </c>
      <c r="K273" s="600">
        <v>0.34999998924602366</v>
      </c>
      <c r="L273" s="568">
        <v>2865898</v>
      </c>
      <c r="M273" s="569">
        <v>0.1</v>
      </c>
      <c r="N273" s="570">
        <f>L273*M273</f>
        <v>286589.8</v>
      </c>
      <c r="O273" s="570">
        <f t="shared" si="61"/>
        <v>2579308.2000000002</v>
      </c>
      <c r="P273" s="575"/>
      <c r="Q273" s="572" t="e">
        <f>VLOOKUP(G:G,list!B:D,3,FALSE)</f>
        <v>#N/A</v>
      </c>
    </row>
    <row r="274" spans="2:17" ht="18" customHeight="1">
      <c r="B274" s="563">
        <v>269</v>
      </c>
      <c r="C274" s="564" t="e">
        <f>VLOOKUP(G:G,list!B:D,2,FALSE)</f>
        <v>#N/A</v>
      </c>
      <c r="D274" s="564" t="s">
        <v>32</v>
      </c>
      <c r="E274" s="564" t="s">
        <v>9</v>
      </c>
      <c r="F274" s="564" t="s">
        <v>257</v>
      </c>
      <c r="G274" s="564" t="s">
        <v>54</v>
      </c>
      <c r="H274" s="565">
        <v>44753</v>
      </c>
      <c r="I274" s="564" t="s">
        <v>428</v>
      </c>
      <c r="J274" s="599">
        <v>445598</v>
      </c>
      <c r="K274" s="600">
        <v>0.28000000000000003</v>
      </c>
      <c r="L274" s="568">
        <v>124768</v>
      </c>
      <c r="M274" s="569">
        <v>0.1</v>
      </c>
      <c r="N274" s="570">
        <f>L274*M274</f>
        <v>12476.800000000001</v>
      </c>
      <c r="O274" s="570">
        <f t="shared" si="61"/>
        <v>112291.2</v>
      </c>
      <c r="P274" s="575"/>
      <c r="Q274" s="572" t="e">
        <f>VLOOKUP(G:G,list!B:D,3,FALSE)</f>
        <v>#N/A</v>
      </c>
    </row>
    <row r="275" spans="2:17" ht="18" customHeight="1">
      <c r="B275" s="563">
        <v>270</v>
      </c>
      <c r="C275" s="564" t="e">
        <f>VLOOKUP(G:G,list!B:D,2,FALSE)</f>
        <v>#N/A</v>
      </c>
      <c r="D275" s="564" t="s">
        <v>32</v>
      </c>
      <c r="E275" s="564" t="s">
        <v>9</v>
      </c>
      <c r="F275" s="564" t="s">
        <v>257</v>
      </c>
      <c r="G275" s="564" t="s">
        <v>412</v>
      </c>
      <c r="H275" s="565">
        <v>44806</v>
      </c>
      <c r="I275" s="564" t="s">
        <v>428</v>
      </c>
      <c r="J275" s="599">
        <v>1996</v>
      </c>
      <c r="K275" s="600">
        <v>0.35</v>
      </c>
      <c r="L275" s="568">
        <v>699</v>
      </c>
      <c r="M275" s="569">
        <v>0.1</v>
      </c>
      <c r="N275" s="573">
        <f t="shared" ref="N275" si="65">L275*M275</f>
        <v>69.900000000000006</v>
      </c>
      <c r="O275" s="570">
        <f t="shared" si="61"/>
        <v>629.1</v>
      </c>
      <c r="P275" s="575" t="s">
        <v>287</v>
      </c>
      <c r="Q275" s="572" t="e">
        <f>VLOOKUP(G:G,list!B:D,3,FALSE)</f>
        <v>#N/A</v>
      </c>
    </row>
    <row r="276" spans="2:17" ht="18" customHeight="1">
      <c r="B276" s="563">
        <v>271</v>
      </c>
      <c r="C276" s="564" t="str">
        <f>VLOOKUP(G:G,list!B:D,2,FALSE)</f>
        <v>작가기획</v>
      </c>
      <c r="D276" s="564" t="s">
        <v>32</v>
      </c>
      <c r="E276" s="564" t="s">
        <v>9</v>
      </c>
      <c r="F276" s="564" t="s">
        <v>154</v>
      </c>
      <c r="G276" s="564" t="s">
        <v>180</v>
      </c>
      <c r="H276" s="565">
        <v>44106</v>
      </c>
      <c r="I276" s="564" t="s">
        <v>377</v>
      </c>
      <c r="J276" s="599">
        <v>1117716</v>
      </c>
      <c r="K276" s="606">
        <v>0.4</v>
      </c>
      <c r="L276" s="568">
        <v>424732</v>
      </c>
      <c r="M276" s="569" t="s">
        <v>203</v>
      </c>
      <c r="N276" s="570">
        <v>0</v>
      </c>
      <c r="O276" s="570">
        <f>L276-N276</f>
        <v>424732</v>
      </c>
      <c r="P276" s="602"/>
      <c r="Q276" s="572" t="str">
        <f>VLOOKUP(G:G,list!B:D,3,FALSE)</f>
        <v>Y</v>
      </c>
    </row>
    <row r="277" spans="2:17" ht="18" customHeight="1">
      <c r="B277" s="563">
        <v>272</v>
      </c>
      <c r="C277" s="564" t="str">
        <f>VLOOKUP(G:G,list!B:D,2,FALSE)</f>
        <v>작가기획</v>
      </c>
      <c r="D277" s="564" t="s">
        <v>32</v>
      </c>
      <c r="E277" s="564" t="s">
        <v>9</v>
      </c>
      <c r="F277" s="564" t="s">
        <v>154</v>
      </c>
      <c r="G277" s="564" t="s">
        <v>139</v>
      </c>
      <c r="H277" s="565">
        <v>44113</v>
      </c>
      <c r="I277" s="564" t="s">
        <v>377</v>
      </c>
      <c r="J277" s="599">
        <v>23506</v>
      </c>
      <c r="K277" s="606">
        <v>0.4</v>
      </c>
      <c r="L277" s="568">
        <v>8932</v>
      </c>
      <c r="M277" s="569" t="s">
        <v>203</v>
      </c>
      <c r="N277" s="570">
        <v>0</v>
      </c>
      <c r="O277" s="570">
        <f>L277-N277</f>
        <v>8932</v>
      </c>
      <c r="P277" s="602"/>
      <c r="Q277" s="572" t="str">
        <f>VLOOKUP(G:G,list!B:D,3,FALSE)</f>
        <v>Y</v>
      </c>
    </row>
    <row r="278" spans="2:17" ht="18" customHeight="1">
      <c r="B278" s="563">
        <v>273</v>
      </c>
      <c r="C278" s="564" t="e">
        <f>VLOOKUP(G:G,list!B:D,2,FALSE)</f>
        <v>#N/A</v>
      </c>
      <c r="D278" s="564" t="s">
        <v>32</v>
      </c>
      <c r="E278" s="564" t="s">
        <v>115</v>
      </c>
      <c r="F278" s="564" t="s">
        <v>154</v>
      </c>
      <c r="G278" s="564" t="s">
        <v>258</v>
      </c>
      <c r="H278" s="565">
        <v>44386</v>
      </c>
      <c r="I278" s="564" t="s">
        <v>377</v>
      </c>
      <c r="J278" s="599">
        <v>327069</v>
      </c>
      <c r="K278" s="606">
        <v>0.4</v>
      </c>
      <c r="L278" s="568">
        <v>124286</v>
      </c>
      <c r="M278" s="569">
        <v>0.1</v>
      </c>
      <c r="N278" s="573">
        <f>L278*M278</f>
        <v>12428.6</v>
      </c>
      <c r="O278" s="570">
        <f>L278-N278</f>
        <v>111857.4</v>
      </c>
      <c r="P278" s="602"/>
      <c r="Q278" s="572" t="e">
        <f>VLOOKUP(G:G,list!B:D,3,FALSE)</f>
        <v>#N/A</v>
      </c>
    </row>
    <row r="279" spans="2:17" ht="18" customHeight="1">
      <c r="B279" s="563">
        <v>274</v>
      </c>
      <c r="C279" s="564" t="e">
        <f>VLOOKUP(G:G,list!B:D,2,FALSE)</f>
        <v>#N/A</v>
      </c>
      <c r="D279" s="564" t="s">
        <v>67</v>
      </c>
      <c r="E279" s="564" t="s">
        <v>9</v>
      </c>
      <c r="F279" s="564" t="s">
        <v>73</v>
      </c>
      <c r="G279" s="564" t="s">
        <v>43</v>
      </c>
      <c r="H279" s="565">
        <v>44747</v>
      </c>
      <c r="I279" s="564" t="s">
        <v>411</v>
      </c>
      <c r="J279" s="599">
        <v>6103981</v>
      </c>
      <c r="K279" s="606">
        <v>0.28000000000000003</v>
      </c>
      <c r="L279" s="568">
        <v>1571623</v>
      </c>
      <c r="M279" s="569">
        <v>0.1</v>
      </c>
      <c r="N279" s="573">
        <f>L279*M279</f>
        <v>157162.30000000002</v>
      </c>
      <c r="O279" s="570">
        <f t="shared" ref="O279" si="66">L279-N279</f>
        <v>1414460.7</v>
      </c>
      <c r="P279" s="602" t="s">
        <v>287</v>
      </c>
      <c r="Q279" s="572" t="e">
        <f>VLOOKUP(G:G,list!B:D,3,FALSE)</f>
        <v>#N/A</v>
      </c>
    </row>
    <row r="280" spans="2:17" ht="18" customHeight="1">
      <c r="B280" s="563">
        <v>275</v>
      </c>
      <c r="C280" s="564" t="e">
        <f>VLOOKUP(G:G,list!B:D,2,FALSE)</f>
        <v>#N/A</v>
      </c>
      <c r="D280" s="564" t="s">
        <v>67</v>
      </c>
      <c r="E280" s="564" t="s">
        <v>9</v>
      </c>
      <c r="F280" s="564" t="s">
        <v>213</v>
      </c>
      <c r="G280" s="564" t="s">
        <v>10</v>
      </c>
      <c r="H280" s="565">
        <v>44516</v>
      </c>
      <c r="I280" s="564" t="s">
        <v>377</v>
      </c>
      <c r="J280" s="599">
        <v>5546173</v>
      </c>
      <c r="K280" s="606">
        <v>0.3</v>
      </c>
      <c r="L280" s="568">
        <v>1663852</v>
      </c>
      <c r="M280" s="569">
        <v>0.1</v>
      </c>
      <c r="N280" s="570">
        <f>L280*M280</f>
        <v>166385.20000000001</v>
      </c>
      <c r="O280" s="570">
        <f t="shared" ref="O280:O284" si="67">L280-N280</f>
        <v>1497466.8</v>
      </c>
      <c r="P280" s="575" t="s">
        <v>307</v>
      </c>
      <c r="Q280" s="572" t="e">
        <f>VLOOKUP(G:G,list!B:D,3,FALSE)</f>
        <v>#N/A</v>
      </c>
    </row>
    <row r="281" spans="2:17" ht="18" customHeight="1">
      <c r="B281" s="563">
        <v>276</v>
      </c>
      <c r="C281" s="564" t="e">
        <f>VLOOKUP(G:G,list!B:D,2,FALSE)</f>
        <v>#N/A</v>
      </c>
      <c r="D281" s="564" t="s">
        <v>67</v>
      </c>
      <c r="E281" s="564" t="s">
        <v>9</v>
      </c>
      <c r="F281" s="564" t="s">
        <v>213</v>
      </c>
      <c r="G281" s="564" t="s">
        <v>10</v>
      </c>
      <c r="H281" s="565">
        <v>44516</v>
      </c>
      <c r="I281" s="564" t="s">
        <v>428</v>
      </c>
      <c r="J281" s="599">
        <v>7109287</v>
      </c>
      <c r="K281" s="606">
        <v>0.3</v>
      </c>
      <c r="L281" s="568">
        <v>2132786</v>
      </c>
      <c r="M281" s="569">
        <v>0.1</v>
      </c>
      <c r="N281" s="570">
        <f>L281*M281</f>
        <v>213278.6</v>
      </c>
      <c r="O281" s="570">
        <f t="shared" ref="O281" si="68">L281-N281</f>
        <v>1919507.4</v>
      </c>
      <c r="P281" s="575" t="s">
        <v>307</v>
      </c>
      <c r="Q281" s="572" t="e">
        <f>VLOOKUP(G:G,list!B:D,3,FALSE)</f>
        <v>#N/A</v>
      </c>
    </row>
    <row r="282" spans="2:17" ht="18" customHeight="1">
      <c r="B282" s="563">
        <v>277</v>
      </c>
      <c r="C282" s="564" t="e">
        <f>VLOOKUP(G:G,list!B:D,2,FALSE)</f>
        <v>#N/A</v>
      </c>
      <c r="D282" s="564" t="s">
        <v>67</v>
      </c>
      <c r="E282" s="564" t="s">
        <v>9</v>
      </c>
      <c r="F282" s="564" t="s">
        <v>213</v>
      </c>
      <c r="G282" s="564" t="s">
        <v>191</v>
      </c>
      <c r="H282" s="565">
        <v>44581</v>
      </c>
      <c r="I282" s="564" t="s">
        <v>377</v>
      </c>
      <c r="J282" s="599">
        <v>3677807</v>
      </c>
      <c r="K282" s="606">
        <v>0.3</v>
      </c>
      <c r="L282" s="568">
        <v>1103342</v>
      </c>
      <c r="M282" s="569">
        <v>0.1</v>
      </c>
      <c r="N282" s="573">
        <f t="shared" ref="N282" si="69">L282*M282</f>
        <v>110334.20000000001</v>
      </c>
      <c r="O282" s="570">
        <f t="shared" si="67"/>
        <v>993007.8</v>
      </c>
      <c r="P282" s="575" t="s">
        <v>307</v>
      </c>
      <c r="Q282" s="572" t="e">
        <f>VLOOKUP(G:G,list!B:D,3,FALSE)</f>
        <v>#N/A</v>
      </c>
    </row>
    <row r="283" spans="2:17" ht="18" customHeight="1">
      <c r="B283" s="563">
        <v>278</v>
      </c>
      <c r="C283" s="564" t="e">
        <f>VLOOKUP(G:G,list!B:D,2,FALSE)</f>
        <v>#N/A</v>
      </c>
      <c r="D283" s="564" t="s">
        <v>67</v>
      </c>
      <c r="E283" s="564" t="s">
        <v>9</v>
      </c>
      <c r="F283" s="564" t="s">
        <v>213</v>
      </c>
      <c r="G283" s="564" t="s">
        <v>191</v>
      </c>
      <c r="H283" s="565">
        <v>44581</v>
      </c>
      <c r="I283" s="564" t="s">
        <v>428</v>
      </c>
      <c r="J283" s="599">
        <v>3846400</v>
      </c>
      <c r="K283" s="606">
        <v>0.3</v>
      </c>
      <c r="L283" s="568">
        <v>1153920</v>
      </c>
      <c r="M283" s="569">
        <v>0.1</v>
      </c>
      <c r="N283" s="573">
        <f t="shared" ref="N283" si="70">L283*M283</f>
        <v>115392</v>
      </c>
      <c r="O283" s="570">
        <f t="shared" ref="O283" si="71">L283-N283</f>
        <v>1038528</v>
      </c>
      <c r="P283" s="575" t="s">
        <v>307</v>
      </c>
      <c r="Q283" s="572" t="e">
        <f>VLOOKUP(G:G,list!B:D,3,FALSE)</f>
        <v>#N/A</v>
      </c>
    </row>
    <row r="284" spans="2:17" ht="18" customHeight="1">
      <c r="B284" s="563">
        <v>279</v>
      </c>
      <c r="C284" s="564" t="e">
        <f>VLOOKUP(G:G,list!B:D,2,FALSE)</f>
        <v>#N/A</v>
      </c>
      <c r="D284" s="564" t="s">
        <v>67</v>
      </c>
      <c r="E284" s="564" t="s">
        <v>9</v>
      </c>
      <c r="F284" s="564" t="s">
        <v>213</v>
      </c>
      <c r="G284" s="564" t="s">
        <v>59</v>
      </c>
      <c r="H284" s="565">
        <v>44582</v>
      </c>
      <c r="I284" s="564" t="s">
        <v>377</v>
      </c>
      <c r="J284" s="599">
        <v>3798243</v>
      </c>
      <c r="K284" s="606">
        <v>0.3</v>
      </c>
      <c r="L284" s="568">
        <v>1139473</v>
      </c>
      <c r="M284" s="569">
        <v>0.1</v>
      </c>
      <c r="N284" s="570">
        <f t="shared" ref="N284:N290" si="72">L284*M284</f>
        <v>113947.3</v>
      </c>
      <c r="O284" s="570">
        <f t="shared" si="67"/>
        <v>1025525.7</v>
      </c>
      <c r="P284" s="575" t="s">
        <v>307</v>
      </c>
      <c r="Q284" s="572" t="e">
        <f>VLOOKUP(G:G,list!B:D,3,FALSE)</f>
        <v>#N/A</v>
      </c>
    </row>
    <row r="285" spans="2:17" ht="18" customHeight="1">
      <c r="B285" s="563">
        <v>280</v>
      </c>
      <c r="C285" s="564" t="e">
        <f>VLOOKUP(G:G,list!B:D,2,FALSE)</f>
        <v>#N/A</v>
      </c>
      <c r="D285" s="564" t="s">
        <v>67</v>
      </c>
      <c r="E285" s="564" t="s">
        <v>9</v>
      </c>
      <c r="F285" s="564" t="s">
        <v>213</v>
      </c>
      <c r="G285" s="564" t="s">
        <v>59</v>
      </c>
      <c r="H285" s="565">
        <v>44582</v>
      </c>
      <c r="I285" s="564" t="s">
        <v>428</v>
      </c>
      <c r="J285" s="599">
        <v>3046667</v>
      </c>
      <c r="K285" s="606">
        <v>0.3</v>
      </c>
      <c r="L285" s="568">
        <v>914000</v>
      </c>
      <c r="M285" s="569">
        <v>0.1</v>
      </c>
      <c r="N285" s="570">
        <f t="shared" si="72"/>
        <v>91400</v>
      </c>
      <c r="O285" s="570">
        <f t="shared" ref="O285" si="73">L285-N285</f>
        <v>822600</v>
      </c>
      <c r="P285" s="575" t="s">
        <v>307</v>
      </c>
      <c r="Q285" s="572" t="e">
        <f>VLOOKUP(G:G,list!B:D,3,FALSE)</f>
        <v>#N/A</v>
      </c>
    </row>
    <row r="286" spans="2:17" ht="18" customHeight="1">
      <c r="B286" s="563">
        <v>281</v>
      </c>
      <c r="C286" s="564" t="e">
        <f>VLOOKUP(G:G,list!B:D,2,FALSE)</f>
        <v>#N/A</v>
      </c>
      <c r="D286" s="564" t="s">
        <v>67</v>
      </c>
      <c r="E286" s="564" t="s">
        <v>9</v>
      </c>
      <c r="F286" s="564" t="s">
        <v>213</v>
      </c>
      <c r="G286" s="564" t="s">
        <v>57</v>
      </c>
      <c r="H286" s="565">
        <v>44627</v>
      </c>
      <c r="I286" s="564" t="s">
        <v>377</v>
      </c>
      <c r="J286" s="599">
        <v>443940</v>
      </c>
      <c r="K286" s="606">
        <v>0.3</v>
      </c>
      <c r="L286" s="568">
        <v>133182</v>
      </c>
      <c r="M286" s="569">
        <v>0.1</v>
      </c>
      <c r="N286" s="570">
        <f t="shared" si="72"/>
        <v>13318.2</v>
      </c>
      <c r="O286" s="570">
        <f>L286-N286</f>
        <v>119863.8</v>
      </c>
      <c r="P286" s="575" t="s">
        <v>307</v>
      </c>
      <c r="Q286" s="572" t="e">
        <f>VLOOKUP(G:G,list!B:D,3,FALSE)</f>
        <v>#N/A</v>
      </c>
    </row>
    <row r="287" spans="2:17" ht="18" customHeight="1">
      <c r="B287" s="563">
        <v>282</v>
      </c>
      <c r="C287" s="564" t="e">
        <f>VLOOKUP(G:G,list!B:D,2,FALSE)</f>
        <v>#N/A</v>
      </c>
      <c r="D287" s="564" t="s">
        <v>67</v>
      </c>
      <c r="E287" s="564" t="s">
        <v>9</v>
      </c>
      <c r="F287" s="564" t="s">
        <v>213</v>
      </c>
      <c r="G287" s="564" t="s">
        <v>57</v>
      </c>
      <c r="H287" s="565">
        <v>44627</v>
      </c>
      <c r="I287" s="564" t="s">
        <v>428</v>
      </c>
      <c r="J287" s="599">
        <v>632200</v>
      </c>
      <c r="K287" s="606">
        <v>0.3</v>
      </c>
      <c r="L287" s="568">
        <v>189660</v>
      </c>
      <c r="M287" s="569">
        <v>0.1</v>
      </c>
      <c r="N287" s="570">
        <f t="shared" si="72"/>
        <v>18966</v>
      </c>
      <c r="O287" s="570">
        <f>L287-N287</f>
        <v>170694</v>
      </c>
      <c r="P287" s="575" t="s">
        <v>307</v>
      </c>
      <c r="Q287" s="572" t="e">
        <f>VLOOKUP(G:G,list!B:D,3,FALSE)</f>
        <v>#N/A</v>
      </c>
    </row>
    <row r="288" spans="2:17" ht="18" customHeight="1">
      <c r="B288" s="563">
        <v>283</v>
      </c>
      <c r="C288" s="564" t="e">
        <f>VLOOKUP(G:G,list!B:D,2,FALSE)</f>
        <v>#N/A</v>
      </c>
      <c r="D288" s="564" t="s">
        <v>67</v>
      </c>
      <c r="E288" s="564" t="s">
        <v>9</v>
      </c>
      <c r="F288" s="564" t="s">
        <v>213</v>
      </c>
      <c r="G288" s="564" t="s">
        <v>357</v>
      </c>
      <c r="H288" s="565">
        <v>44789</v>
      </c>
      <c r="I288" s="564" t="s">
        <v>428</v>
      </c>
      <c r="J288" s="599">
        <v>2879907</v>
      </c>
      <c r="K288" s="606">
        <v>0.3</v>
      </c>
      <c r="L288" s="568">
        <v>863972</v>
      </c>
      <c r="M288" s="569">
        <v>0.1</v>
      </c>
      <c r="N288" s="573">
        <f t="shared" si="72"/>
        <v>86397.200000000012</v>
      </c>
      <c r="O288" s="570">
        <f>L288-N288</f>
        <v>777574.8</v>
      </c>
      <c r="P288" s="575" t="s">
        <v>307</v>
      </c>
      <c r="Q288" s="572" t="e">
        <f>VLOOKUP(G:G,list!B:D,3,FALSE)</f>
        <v>#N/A</v>
      </c>
    </row>
    <row r="289" spans="2:17" ht="18" customHeight="1">
      <c r="B289" s="563">
        <v>284</v>
      </c>
      <c r="C289" s="564" t="e">
        <f>VLOOKUP(G:G,list!B:D,2,FALSE)</f>
        <v>#N/A</v>
      </c>
      <c r="D289" s="564" t="s">
        <v>67</v>
      </c>
      <c r="E289" s="564" t="s">
        <v>9</v>
      </c>
      <c r="F289" s="564" t="s">
        <v>65</v>
      </c>
      <c r="G289" s="564" t="s">
        <v>152</v>
      </c>
      <c r="H289" s="565">
        <v>44105</v>
      </c>
      <c r="I289" s="564" t="s">
        <v>428</v>
      </c>
      <c r="J289" s="599">
        <v>1075118</v>
      </c>
      <c r="K289" s="603">
        <v>0.4</v>
      </c>
      <c r="L289" s="568">
        <v>430047</v>
      </c>
      <c r="M289" s="569">
        <v>0.12</v>
      </c>
      <c r="N289" s="573">
        <f t="shared" si="72"/>
        <v>51605.64</v>
      </c>
      <c r="O289" s="570">
        <f t="shared" ref="O289:O297" si="74">L289-N289</f>
        <v>378441.36</v>
      </c>
      <c r="P289" s="576"/>
      <c r="Q289" s="572" t="e">
        <f>VLOOKUP(G:G,list!B:D,3,FALSE)</f>
        <v>#N/A</v>
      </c>
    </row>
    <row r="290" spans="2:17" ht="18" customHeight="1">
      <c r="B290" s="563">
        <v>285</v>
      </c>
      <c r="C290" s="564" t="e">
        <f>VLOOKUP(G:G,list!B:D,2,FALSE)</f>
        <v>#N/A</v>
      </c>
      <c r="D290" s="564" t="s">
        <v>67</v>
      </c>
      <c r="E290" s="564" t="s">
        <v>9</v>
      </c>
      <c r="F290" s="564" t="s">
        <v>65</v>
      </c>
      <c r="G290" s="564" t="s">
        <v>153</v>
      </c>
      <c r="H290" s="565">
        <v>44111</v>
      </c>
      <c r="I290" s="564" t="s">
        <v>428</v>
      </c>
      <c r="J290" s="599">
        <v>956695</v>
      </c>
      <c r="K290" s="603">
        <v>0.4</v>
      </c>
      <c r="L290" s="568">
        <v>382678</v>
      </c>
      <c r="M290" s="569">
        <v>0.1</v>
      </c>
      <c r="N290" s="570">
        <f t="shared" si="72"/>
        <v>38267.800000000003</v>
      </c>
      <c r="O290" s="570">
        <f t="shared" si="74"/>
        <v>344410.2</v>
      </c>
      <c r="P290" s="576"/>
      <c r="Q290" s="572" t="e">
        <f>VLOOKUP(G:G,list!B:D,3,FALSE)</f>
        <v>#N/A</v>
      </c>
    </row>
    <row r="291" spans="2:17" ht="18" customHeight="1">
      <c r="B291" s="563">
        <v>286</v>
      </c>
      <c r="C291" s="564" t="str">
        <f>VLOOKUP(G:G,list!B:D,2,FALSE)</f>
        <v>작가기획</v>
      </c>
      <c r="D291" s="564" t="s">
        <v>67</v>
      </c>
      <c r="E291" s="564" t="s">
        <v>9</v>
      </c>
      <c r="F291" s="564" t="s">
        <v>65</v>
      </c>
      <c r="G291" s="564" t="s">
        <v>139</v>
      </c>
      <c r="H291" s="565">
        <v>43921</v>
      </c>
      <c r="I291" s="564" t="s">
        <v>428</v>
      </c>
      <c r="J291" s="599">
        <v>133425</v>
      </c>
      <c r="K291" s="603">
        <v>0.4</v>
      </c>
      <c r="L291" s="568">
        <v>53370</v>
      </c>
      <c r="M291" s="569" t="s">
        <v>203</v>
      </c>
      <c r="N291" s="573">
        <v>0</v>
      </c>
      <c r="O291" s="570">
        <f>L291-N291</f>
        <v>53370</v>
      </c>
      <c r="P291" s="575"/>
      <c r="Q291" s="572" t="str">
        <f>VLOOKUP(G:G,list!B:D,3,FALSE)</f>
        <v>Y</v>
      </c>
    </row>
    <row r="292" spans="2:17" ht="18" customHeight="1">
      <c r="B292" s="563">
        <v>287</v>
      </c>
      <c r="C292" s="564" t="str">
        <f>VLOOKUP(G:G,list!B:D,2,FALSE)</f>
        <v>작가기획</v>
      </c>
      <c r="D292" s="564" t="s">
        <v>67</v>
      </c>
      <c r="E292" s="564" t="s">
        <v>9</v>
      </c>
      <c r="F292" s="564" t="s">
        <v>65</v>
      </c>
      <c r="G292" s="564" t="s">
        <v>180</v>
      </c>
      <c r="H292" s="565">
        <v>43941</v>
      </c>
      <c r="I292" s="564" t="s">
        <v>428</v>
      </c>
      <c r="J292" s="599">
        <v>1384790</v>
      </c>
      <c r="K292" s="603">
        <v>0.4</v>
      </c>
      <c r="L292" s="568">
        <v>553916</v>
      </c>
      <c r="M292" s="569" t="s">
        <v>203</v>
      </c>
      <c r="N292" s="570">
        <v>0</v>
      </c>
      <c r="O292" s="570">
        <f t="shared" si="74"/>
        <v>553916</v>
      </c>
      <c r="P292" s="575"/>
      <c r="Q292" s="572" t="str">
        <f>VLOOKUP(G:G,list!B:D,3,FALSE)</f>
        <v>Y</v>
      </c>
    </row>
    <row r="293" spans="2:17" ht="18" customHeight="1">
      <c r="B293" s="563">
        <v>288</v>
      </c>
      <c r="C293" s="564" t="str">
        <f>VLOOKUP(G:G,list!B:D,2,FALSE)</f>
        <v>원작료</v>
      </c>
      <c r="D293" s="564" t="s">
        <v>67</v>
      </c>
      <c r="E293" s="564" t="s">
        <v>64</v>
      </c>
      <c r="F293" s="564" t="s">
        <v>65</v>
      </c>
      <c r="G293" s="564" t="s">
        <v>151</v>
      </c>
      <c r="H293" s="565">
        <v>44258</v>
      </c>
      <c r="I293" s="564" t="s">
        <v>428</v>
      </c>
      <c r="J293" s="599">
        <v>1147248</v>
      </c>
      <c r="K293" s="603">
        <v>0.4</v>
      </c>
      <c r="L293" s="568">
        <v>458899</v>
      </c>
      <c r="M293" s="569">
        <v>0.1</v>
      </c>
      <c r="N293" s="570">
        <f>L293*M293</f>
        <v>45889.9</v>
      </c>
      <c r="O293" s="570">
        <f t="shared" si="74"/>
        <v>413009.1</v>
      </c>
      <c r="P293" s="576"/>
      <c r="Q293" s="572" t="str">
        <f>VLOOKUP(G:G,list!B:D,3,FALSE)</f>
        <v>Y</v>
      </c>
    </row>
    <row r="294" spans="2:17" ht="18" customHeight="1">
      <c r="B294" s="563">
        <v>289</v>
      </c>
      <c r="C294" s="564" t="e">
        <f>VLOOKUP(G:G,list!B:D,2,FALSE)</f>
        <v>#N/A</v>
      </c>
      <c r="D294" s="564" t="s">
        <v>67</v>
      </c>
      <c r="E294" s="564" t="s">
        <v>64</v>
      </c>
      <c r="F294" s="564" t="s">
        <v>65</v>
      </c>
      <c r="G294" s="564" t="s">
        <v>179</v>
      </c>
      <c r="H294" s="565">
        <v>44233</v>
      </c>
      <c r="I294" s="564" t="s">
        <v>428</v>
      </c>
      <c r="J294" s="599">
        <v>3347005</v>
      </c>
      <c r="K294" s="603">
        <v>0.4</v>
      </c>
      <c r="L294" s="568">
        <v>1338802</v>
      </c>
      <c r="M294" s="569">
        <v>0.1</v>
      </c>
      <c r="N294" s="573">
        <f>L294*M294</f>
        <v>133880.20000000001</v>
      </c>
      <c r="O294" s="570">
        <f t="shared" si="74"/>
        <v>1204921.8</v>
      </c>
      <c r="P294" s="575" t="s">
        <v>85</v>
      </c>
      <c r="Q294" s="572" t="e">
        <f>VLOOKUP(G:G,list!B:D,3,FALSE)</f>
        <v>#N/A</v>
      </c>
    </row>
    <row r="295" spans="2:17" ht="18" customHeight="1">
      <c r="B295" s="563">
        <v>290</v>
      </c>
      <c r="C295" s="564" t="e">
        <f>VLOOKUP(G:G,list!B:D,2,FALSE)</f>
        <v>#N/A</v>
      </c>
      <c r="D295" s="564" t="s">
        <v>67</v>
      </c>
      <c r="E295" s="564" t="s">
        <v>64</v>
      </c>
      <c r="F295" s="564" t="s">
        <v>65</v>
      </c>
      <c r="G295" s="564" t="s">
        <v>74</v>
      </c>
      <c r="H295" s="565">
        <v>44254</v>
      </c>
      <c r="I295" s="564" t="s">
        <v>428</v>
      </c>
      <c r="J295" s="599">
        <v>275813</v>
      </c>
      <c r="K295" s="603">
        <v>0.4</v>
      </c>
      <c r="L295" s="568">
        <v>110325</v>
      </c>
      <c r="M295" s="569">
        <v>0.1</v>
      </c>
      <c r="N295" s="570">
        <f>L295*M295</f>
        <v>11032.5</v>
      </c>
      <c r="O295" s="570">
        <f t="shared" si="74"/>
        <v>99292.5</v>
      </c>
      <c r="P295" s="576"/>
      <c r="Q295" s="572" t="e">
        <f>VLOOKUP(G:G,list!B:D,3,FALSE)</f>
        <v>#N/A</v>
      </c>
    </row>
    <row r="296" spans="2:17" ht="18" customHeight="1">
      <c r="B296" s="563">
        <v>291</v>
      </c>
      <c r="C296" s="564" t="e">
        <f>VLOOKUP(G:G,list!B:D,2,FALSE)</f>
        <v>#N/A</v>
      </c>
      <c r="D296" s="564" t="s">
        <v>67</v>
      </c>
      <c r="E296" s="564" t="s">
        <v>64</v>
      </c>
      <c r="F296" s="564" t="s">
        <v>65</v>
      </c>
      <c r="G296" s="564" t="s">
        <v>147</v>
      </c>
      <c r="H296" s="565">
        <v>44260</v>
      </c>
      <c r="I296" s="564" t="s">
        <v>428</v>
      </c>
      <c r="J296" s="599">
        <v>422158</v>
      </c>
      <c r="K296" s="603">
        <v>0.4</v>
      </c>
      <c r="L296" s="568">
        <v>168863</v>
      </c>
      <c r="M296" s="569" t="s">
        <v>203</v>
      </c>
      <c r="N296" s="573">
        <v>0</v>
      </c>
      <c r="O296" s="570">
        <f t="shared" si="74"/>
        <v>168863</v>
      </c>
      <c r="P296" s="576"/>
      <c r="Q296" s="572" t="e">
        <f>VLOOKUP(G:G,list!B:D,3,FALSE)</f>
        <v>#N/A</v>
      </c>
    </row>
    <row r="297" spans="2:17" ht="18" customHeight="1">
      <c r="B297" s="563">
        <v>292</v>
      </c>
      <c r="C297" s="564" t="e">
        <f>VLOOKUP(G:G,list!B:D,2,FALSE)</f>
        <v>#N/A</v>
      </c>
      <c r="D297" s="564" t="s">
        <v>182</v>
      </c>
      <c r="E297" s="564" t="s">
        <v>9</v>
      </c>
      <c r="F297" s="564" t="s">
        <v>264</v>
      </c>
      <c r="G297" s="564" t="s">
        <v>279</v>
      </c>
      <c r="H297" s="565">
        <v>44772</v>
      </c>
      <c r="I297" s="564" t="s">
        <v>455</v>
      </c>
      <c r="J297" s="599">
        <v>1800000</v>
      </c>
      <c r="K297" s="603" t="s">
        <v>203</v>
      </c>
      <c r="L297" s="568">
        <v>1800000</v>
      </c>
      <c r="M297" s="569">
        <v>0.1</v>
      </c>
      <c r="N297" s="573">
        <f>L297*M297</f>
        <v>180000</v>
      </c>
      <c r="O297" s="570">
        <f t="shared" si="74"/>
        <v>1620000</v>
      </c>
      <c r="P297" s="575" t="s">
        <v>429</v>
      </c>
      <c r="Q297" s="572" t="e">
        <f>VLOOKUP(G:G,list!B:D,3,FALSE)</f>
        <v>#N/A</v>
      </c>
    </row>
    <row r="298" spans="2:17">
      <c r="B298" s="52"/>
      <c r="C298" s="430"/>
      <c r="D298" s="430"/>
      <c r="E298" s="431"/>
      <c r="F298" s="430"/>
      <c r="G298" s="432"/>
      <c r="H298" s="433"/>
      <c r="I298" s="434"/>
      <c r="J298" s="435"/>
      <c r="K298" s="436"/>
      <c r="L298" s="467"/>
      <c r="M298" s="438"/>
      <c r="N298" s="439"/>
      <c r="O298" s="440"/>
      <c r="P298" s="441"/>
      <c r="Q298" s="486"/>
    </row>
    <row r="299" spans="2:17" s="7" customFormat="1">
      <c r="B299" s="534" t="s">
        <v>387</v>
      </c>
      <c r="C299" s="535"/>
      <c r="D299" s="535"/>
      <c r="E299" s="536"/>
      <c r="F299" s="535"/>
      <c r="G299" s="535"/>
      <c r="H299" s="311"/>
      <c r="I299" s="311"/>
      <c r="J299" s="311"/>
      <c r="K299" s="311"/>
      <c r="L299" s="311"/>
      <c r="M299" s="424"/>
      <c r="N299"/>
      <c r="O299" s="333"/>
      <c r="P299" s="18"/>
      <c r="Q299" s="484"/>
    </row>
    <row r="300" spans="2:17" s="7" customFormat="1">
      <c r="B300" s="537" t="s">
        <v>299</v>
      </c>
      <c r="C300" s="535"/>
      <c r="D300" s="535"/>
      <c r="E300" s="536"/>
      <c r="F300" s="535"/>
      <c r="G300" s="535"/>
      <c r="H300" s="311"/>
      <c r="I300" s="311"/>
      <c r="K300" s="311"/>
      <c r="L300" s="311"/>
      <c r="M300" s="424"/>
      <c r="N300"/>
      <c r="O300" s="333"/>
      <c r="P300" s="18"/>
      <c r="Q300" s="484"/>
    </row>
    <row r="301" spans="2:17" s="7" customFormat="1">
      <c r="B301" s="537" t="s">
        <v>302</v>
      </c>
      <c r="C301" s="535"/>
      <c r="D301" s="535"/>
      <c r="E301" s="536"/>
      <c r="F301" s="535"/>
      <c r="G301" s="535"/>
      <c r="H301" s="311"/>
      <c r="I301" s="311"/>
      <c r="J301" s="311"/>
      <c r="K301" s="311"/>
      <c r="L301" s="311"/>
      <c r="M301" s="424"/>
      <c r="N301"/>
      <c r="O301" s="333"/>
      <c r="P301" s="18"/>
      <c r="Q301" s="484"/>
    </row>
    <row r="302" spans="2:17" s="7" customFormat="1">
      <c r="B302" s="538" t="s">
        <v>303</v>
      </c>
      <c r="C302" s="535"/>
      <c r="D302" s="535"/>
      <c r="E302" s="536"/>
      <c r="F302" s="535"/>
      <c r="G302" s="535"/>
      <c r="H302" s="311"/>
      <c r="I302" s="311"/>
      <c r="J302" s="311"/>
      <c r="K302" s="311"/>
      <c r="L302" s="311"/>
      <c r="M302" s="424"/>
      <c r="N302"/>
      <c r="O302" s="333"/>
      <c r="P302" s="18"/>
      <c r="Q302" s="484"/>
    </row>
    <row r="303" spans="2:17">
      <c r="B303" s="537" t="s">
        <v>340</v>
      </c>
      <c r="C303" s="535"/>
      <c r="D303" s="535"/>
      <c r="E303" s="536"/>
      <c r="F303" s="535"/>
      <c r="G303" s="535"/>
      <c r="H303" s="311"/>
      <c r="I303" s="311"/>
      <c r="J303" s="311"/>
      <c r="K303" s="311"/>
    </row>
    <row r="304" spans="2:17">
      <c r="B304" s="609" t="s">
        <v>467</v>
      </c>
      <c r="C304" s="535"/>
      <c r="D304" s="535"/>
      <c r="E304" s="535"/>
      <c r="F304" s="535"/>
      <c r="G304" s="535"/>
      <c r="H304" s="311"/>
      <c r="I304" s="311"/>
      <c r="J304" s="311"/>
      <c r="K304" s="311"/>
    </row>
    <row r="305" spans="2:17">
      <c r="B305" s="609" t="s">
        <v>469</v>
      </c>
      <c r="C305" s="535"/>
      <c r="D305" s="535"/>
      <c r="E305" s="535"/>
      <c r="F305" s="535"/>
      <c r="G305" s="535"/>
      <c r="H305" s="311"/>
      <c r="I305" s="311"/>
      <c r="J305" s="311"/>
      <c r="K305" s="311"/>
    </row>
    <row r="306" spans="2:17">
      <c r="B306" s="609" t="s">
        <v>468</v>
      </c>
      <c r="C306" s="535"/>
      <c r="D306" s="535"/>
      <c r="E306" s="535"/>
      <c r="F306" s="535"/>
      <c r="G306" s="535"/>
      <c r="H306" s="311"/>
      <c r="I306" s="311"/>
      <c r="J306" s="311"/>
      <c r="K306" s="311"/>
    </row>
    <row r="307" spans="2:17">
      <c r="B307" s="609" t="s">
        <v>470</v>
      </c>
      <c r="C307" s="535"/>
      <c r="D307" s="535"/>
      <c r="E307" s="535"/>
      <c r="F307" s="535"/>
      <c r="G307" s="535"/>
      <c r="J307" s="7"/>
    </row>
    <row r="308" spans="2:17">
      <c r="B308" s="537" t="s">
        <v>451</v>
      </c>
      <c r="C308" s="535"/>
      <c r="D308" s="535"/>
      <c r="E308" s="536"/>
      <c r="F308" s="535"/>
      <c r="G308" s="535"/>
      <c r="H308" s="311"/>
      <c r="I308" s="311"/>
      <c r="J308" s="311"/>
      <c r="K308" s="311"/>
    </row>
    <row r="309" spans="2:17">
      <c r="B309" s="537" t="s">
        <v>404</v>
      </c>
      <c r="C309" s="535"/>
      <c r="D309" s="535"/>
      <c r="E309" s="536"/>
      <c r="F309" s="535"/>
      <c r="G309" s="535"/>
      <c r="H309" s="311"/>
      <c r="I309" s="311"/>
      <c r="J309" s="311"/>
      <c r="K309" s="311"/>
    </row>
    <row r="310" spans="2:17">
      <c r="J310" s="7"/>
    </row>
    <row r="311" spans="2:17">
      <c r="J311" s="7"/>
    </row>
    <row r="312" spans="2:17">
      <c r="J312" s="7"/>
    </row>
    <row r="313" spans="2:17">
      <c r="J313" s="7"/>
    </row>
    <row r="314" spans="2:17" s="7" customFormat="1">
      <c r="E314" s="186"/>
      <c r="H314"/>
      <c r="I314"/>
      <c r="L314" s="311"/>
      <c r="M314" s="424"/>
      <c r="N314"/>
      <c r="O314" s="333"/>
      <c r="P314" s="18"/>
      <c r="Q314" s="484"/>
    </row>
    <row r="315" spans="2:17" s="7" customFormat="1">
      <c r="E315" s="186"/>
      <c r="H315"/>
      <c r="I315"/>
      <c r="L315" s="311"/>
      <c r="M315" s="424"/>
      <c r="N315"/>
      <c r="O315" s="333"/>
      <c r="P315" s="18"/>
      <c r="Q315" s="484"/>
    </row>
    <row r="316" spans="2:17" s="7" customFormat="1">
      <c r="E316" s="186"/>
      <c r="H316"/>
      <c r="I316"/>
      <c r="L316" s="311"/>
      <c r="M316" s="424"/>
      <c r="N316"/>
      <c r="O316" s="333"/>
      <c r="P316" s="18"/>
      <c r="Q316" s="484"/>
    </row>
    <row r="317" spans="2:17" s="7" customFormat="1">
      <c r="E317" s="186"/>
      <c r="H317"/>
      <c r="I317"/>
      <c r="L317" s="311"/>
      <c r="M317" s="424"/>
      <c r="N317"/>
      <c r="O317" s="333"/>
      <c r="P317" s="18"/>
      <c r="Q317" s="484"/>
    </row>
    <row r="318" spans="2:17" s="7" customFormat="1">
      <c r="E318" s="186"/>
      <c r="H318"/>
      <c r="I318"/>
      <c r="L318" s="311"/>
      <c r="M318" s="424"/>
      <c r="N318"/>
      <c r="O318" s="333"/>
      <c r="P318" s="18"/>
      <c r="Q318" s="484"/>
    </row>
    <row r="319" spans="2:17" s="7" customFormat="1">
      <c r="E319" s="186"/>
      <c r="H319"/>
      <c r="I319"/>
      <c r="L319" s="311"/>
      <c r="M319" s="424"/>
      <c r="N319"/>
      <c r="O319" s="333"/>
      <c r="P319" s="18"/>
      <c r="Q319" s="484"/>
    </row>
    <row r="320" spans="2:17" s="7" customFormat="1">
      <c r="E320" s="186"/>
      <c r="H320"/>
      <c r="I320"/>
      <c r="L320" s="311"/>
      <c r="M320" s="424"/>
      <c r="N320"/>
      <c r="O320" s="333"/>
      <c r="P320" s="18"/>
      <c r="Q320" s="484"/>
    </row>
    <row r="321" spans="5:17" s="7" customFormat="1">
      <c r="E321" s="186"/>
      <c r="H321"/>
      <c r="I321"/>
      <c r="L321" s="311"/>
      <c r="M321" s="424"/>
      <c r="N321"/>
      <c r="O321" s="333"/>
      <c r="P321" s="18"/>
      <c r="Q321" s="484"/>
    </row>
    <row r="322" spans="5:17" s="7" customFormat="1">
      <c r="E322" s="186"/>
      <c r="H322"/>
      <c r="I322"/>
      <c r="L322" s="311"/>
      <c r="M322" s="424"/>
      <c r="N322"/>
      <c r="O322" s="333"/>
      <c r="P322" s="18"/>
      <c r="Q322" s="484"/>
    </row>
    <row r="323" spans="5:17" s="7" customFormat="1">
      <c r="E323" s="186"/>
      <c r="H323"/>
      <c r="I323"/>
      <c r="L323" s="311"/>
      <c r="M323" s="424"/>
      <c r="N323"/>
      <c r="O323" s="333"/>
      <c r="P323" s="18"/>
      <c r="Q323" s="484"/>
    </row>
    <row r="324" spans="5:17" s="7" customFormat="1">
      <c r="E324" s="186"/>
      <c r="H324"/>
      <c r="I324"/>
      <c r="L324" s="311"/>
      <c r="M324" s="424"/>
      <c r="N324"/>
      <c r="O324" s="333"/>
      <c r="P324" s="18"/>
      <c r="Q324" s="484"/>
    </row>
    <row r="325" spans="5:17" s="7" customFormat="1">
      <c r="E325" s="186"/>
      <c r="H325"/>
      <c r="I325"/>
      <c r="L325" s="311"/>
      <c r="M325" s="424"/>
      <c r="N325"/>
      <c r="O325" s="333"/>
      <c r="P325" s="18"/>
      <c r="Q325" s="484"/>
    </row>
    <row r="326" spans="5:17" s="7" customFormat="1">
      <c r="E326" s="186"/>
      <c r="H326"/>
      <c r="I326"/>
      <c r="L326" s="311"/>
      <c r="M326" s="424"/>
      <c r="N326"/>
      <c r="O326" s="333"/>
      <c r="P326" s="18"/>
      <c r="Q326" s="484"/>
    </row>
    <row r="327" spans="5:17" s="7" customFormat="1">
      <c r="E327" s="186"/>
      <c r="H327"/>
      <c r="I327"/>
      <c r="L327" s="311"/>
      <c r="M327" s="424"/>
      <c r="N327"/>
      <c r="O327" s="333"/>
      <c r="P327" s="18"/>
      <c r="Q327" s="484"/>
    </row>
    <row r="328" spans="5:17" s="7" customFormat="1">
      <c r="E328" s="186"/>
      <c r="H328"/>
      <c r="I328"/>
      <c r="L328" s="311"/>
      <c r="M328" s="424"/>
      <c r="N328"/>
      <c r="O328" s="333"/>
      <c r="P328" s="18"/>
      <c r="Q328" s="484"/>
    </row>
  </sheetData>
  <autoFilter ref="A5:Q297" xr:uid="{C10520CE-9959-41F0-AE47-7F44CCD1A9A0}"/>
  <mergeCells count="1">
    <mergeCell ref="P2:Q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2ACBC-7A96-48D2-87C8-3D2D372E8DE8}">
  <sheetPr filterMode="1"/>
  <dimension ref="B1:Q289"/>
  <sheetViews>
    <sheetView showGridLines="0" zoomScaleNormal="100" workbookViewId="0">
      <pane xSplit="7" ySplit="5" topLeftCell="H20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4.3984375" style="7" customWidth="1"/>
    <col min="3" max="3" width="13" style="7" customWidth="1"/>
    <col min="4" max="4" width="7.59765625" style="7" customWidth="1"/>
    <col min="5" max="5" width="7.3984375" style="186" customWidth="1"/>
    <col min="6" max="6" width="16.19921875" style="7" customWidth="1"/>
    <col min="7" max="7" width="28" style="7" customWidth="1"/>
    <col min="8" max="8" width="10.59765625" customWidth="1"/>
    <col min="9" max="9" width="13" bestFit="1" customWidth="1"/>
    <col min="10" max="10" width="17.09765625" customWidth="1"/>
    <col min="11" max="11" width="9" style="7" customWidth="1"/>
    <col min="12" max="12" width="13.59765625" style="311" customWidth="1"/>
    <col min="13" max="13" width="8.5" style="424" customWidth="1"/>
    <col min="14" max="14" width="13.59765625" customWidth="1"/>
    <col min="15" max="15" width="13.59765625" style="333" customWidth="1"/>
    <col min="16" max="16" width="54.8984375" style="18" bestFit="1" customWidth="1"/>
    <col min="17" max="17" width="30.59765625" style="484" bestFit="1" customWidth="1"/>
  </cols>
  <sheetData>
    <row r="1" spans="2:17" ht="7.5" customHeight="1"/>
    <row r="2" spans="2:17" ht="30" customHeight="1">
      <c r="B2" s="461" t="s">
        <v>405</v>
      </c>
      <c r="C2" s="539"/>
      <c r="D2" s="539"/>
      <c r="E2" s="539"/>
      <c r="F2" s="539"/>
      <c r="G2" s="540"/>
      <c r="H2" s="541"/>
      <c r="I2" s="541"/>
      <c r="J2" s="52"/>
      <c r="K2" s="52"/>
      <c r="L2" s="542"/>
      <c r="M2" s="543"/>
      <c r="N2" s="543"/>
      <c r="O2" s="544"/>
      <c r="P2" s="681"/>
      <c r="Q2" s="682"/>
    </row>
    <row r="3" spans="2:17" ht="16.5" customHeight="1">
      <c r="B3" s="545" t="s">
        <v>406</v>
      </c>
      <c r="C3" s="52"/>
      <c r="D3" s="52"/>
      <c r="E3" s="52"/>
      <c r="F3" s="52"/>
      <c r="G3" s="52"/>
      <c r="H3" s="541"/>
      <c r="I3" s="541"/>
      <c r="J3" s="541"/>
      <c r="K3" s="52"/>
      <c r="L3" s="546"/>
      <c r="M3" s="547"/>
      <c r="N3" s="547"/>
      <c r="O3" s="548"/>
      <c r="P3" s="549"/>
      <c r="Q3" s="550"/>
    </row>
    <row r="4" spans="2:17" ht="18" customHeight="1">
      <c r="B4" s="52"/>
      <c r="C4" s="52"/>
      <c r="D4" s="52"/>
      <c r="E4" s="52"/>
      <c r="F4" s="52"/>
      <c r="G4" s="52"/>
      <c r="H4" s="52"/>
      <c r="I4" s="482" t="s">
        <v>391</v>
      </c>
      <c r="J4" s="480">
        <f>SUBTOTAL(109,J6:J1048576)</f>
        <v>0</v>
      </c>
      <c r="K4" s="481"/>
      <c r="L4" s="480">
        <f>SUBTOTAL(109,L6:L1048576)</f>
        <v>82600</v>
      </c>
      <c r="M4" s="481"/>
      <c r="N4" s="483">
        <f>SUBTOTAL(109,N6:N1048576)</f>
        <v>0</v>
      </c>
      <c r="O4" s="482">
        <f>SUBTOTAL(109,O6:O1048576)</f>
        <v>82600</v>
      </c>
      <c r="P4" s="549"/>
      <c r="Q4" s="551"/>
    </row>
    <row r="5" spans="2:17" s="9" customFormat="1" ht="32.25" customHeight="1">
      <c r="B5" s="552" t="s">
        <v>7</v>
      </c>
      <c r="C5" s="552" t="s">
        <v>345</v>
      </c>
      <c r="D5" s="553" t="s">
        <v>388</v>
      </c>
      <c r="E5" s="554" t="s">
        <v>389</v>
      </c>
      <c r="F5" s="555" t="s">
        <v>0</v>
      </c>
      <c r="G5" s="555" t="s">
        <v>4</v>
      </c>
      <c r="H5" s="556" t="s">
        <v>5</v>
      </c>
      <c r="I5" s="557" t="s">
        <v>390</v>
      </c>
      <c r="J5" s="557" t="s">
        <v>434</v>
      </c>
      <c r="K5" s="557" t="s">
        <v>435</v>
      </c>
      <c r="L5" s="558" t="s">
        <v>436</v>
      </c>
      <c r="M5" s="559" t="s">
        <v>437</v>
      </c>
      <c r="N5" s="560" t="s">
        <v>438</v>
      </c>
      <c r="O5" s="561" t="s">
        <v>439</v>
      </c>
      <c r="P5" s="562" t="s">
        <v>82</v>
      </c>
      <c r="Q5" s="562" t="s">
        <v>402</v>
      </c>
    </row>
    <row r="6" spans="2:17" ht="18" hidden="1" customHeight="1">
      <c r="B6" s="563">
        <v>1</v>
      </c>
      <c r="C6" s="564" t="e">
        <f>VLOOKUP(G:G,list!B:D,2,FALSE)</f>
        <v>#N/A</v>
      </c>
      <c r="D6" s="564" t="s">
        <v>78</v>
      </c>
      <c r="E6" s="564" t="s">
        <v>115</v>
      </c>
      <c r="F6" s="564" t="s">
        <v>268</v>
      </c>
      <c r="G6" s="564" t="s">
        <v>256</v>
      </c>
      <c r="H6" s="565">
        <v>44553</v>
      </c>
      <c r="I6" s="564" t="s">
        <v>377</v>
      </c>
      <c r="J6" s="566">
        <v>4400</v>
      </c>
      <c r="K6" s="567" t="s">
        <v>271</v>
      </c>
      <c r="L6" s="568">
        <v>3080</v>
      </c>
      <c r="M6" s="569">
        <v>0.1</v>
      </c>
      <c r="N6" s="570">
        <f>L6*M6</f>
        <v>308</v>
      </c>
      <c r="O6" s="570">
        <f t="shared" ref="O6:O16" si="0">L6-N6</f>
        <v>2772</v>
      </c>
      <c r="P6" s="571"/>
      <c r="Q6" s="572" t="e">
        <f>VLOOKUP(G:G,list!B:D,3,FALSE)</f>
        <v>#N/A</v>
      </c>
    </row>
    <row r="7" spans="2:17" ht="18" hidden="1" customHeight="1">
      <c r="B7" s="563">
        <v>2</v>
      </c>
      <c r="C7" s="564" t="e">
        <f>VLOOKUP(G:G,list!B:D,2,FALSE)</f>
        <v>#N/A</v>
      </c>
      <c r="D7" s="564" t="s">
        <v>78</v>
      </c>
      <c r="E7" s="564" t="s">
        <v>115</v>
      </c>
      <c r="F7" s="564" t="s">
        <v>268</v>
      </c>
      <c r="G7" s="564" t="s">
        <v>204</v>
      </c>
      <c r="H7" s="565">
        <v>44554</v>
      </c>
      <c r="I7" s="564" t="s">
        <v>377</v>
      </c>
      <c r="J7" s="566">
        <v>1200</v>
      </c>
      <c r="K7" s="567" t="s">
        <v>271</v>
      </c>
      <c r="L7" s="568">
        <v>840</v>
      </c>
      <c r="M7" s="569">
        <v>0.1</v>
      </c>
      <c r="N7" s="573">
        <f>L7*M7</f>
        <v>84</v>
      </c>
      <c r="O7" s="570">
        <f t="shared" si="0"/>
        <v>756</v>
      </c>
      <c r="P7" s="571"/>
      <c r="Q7" s="572" t="e">
        <f>VLOOKUP(G:G,list!B:D,3,FALSE)</f>
        <v>#N/A</v>
      </c>
    </row>
    <row r="8" spans="2:17" ht="18" hidden="1" customHeight="1">
      <c r="B8" s="563">
        <v>3</v>
      </c>
      <c r="C8" s="564" t="e">
        <f>VLOOKUP(G:G,list!B:D,2,FALSE)</f>
        <v>#N/A</v>
      </c>
      <c r="D8" s="564" t="s">
        <v>78</v>
      </c>
      <c r="E8" s="564" t="s">
        <v>115</v>
      </c>
      <c r="F8" s="564" t="s">
        <v>268</v>
      </c>
      <c r="G8" s="564" t="s">
        <v>202</v>
      </c>
      <c r="H8" s="565">
        <v>44609</v>
      </c>
      <c r="I8" s="564" t="s">
        <v>377</v>
      </c>
      <c r="J8" s="566">
        <v>23700</v>
      </c>
      <c r="K8" s="567" t="s">
        <v>271</v>
      </c>
      <c r="L8" s="568">
        <v>15270</v>
      </c>
      <c r="M8" s="569" t="s">
        <v>203</v>
      </c>
      <c r="N8" s="573">
        <v>0</v>
      </c>
      <c r="O8" s="570">
        <f t="shared" si="0"/>
        <v>15270</v>
      </c>
      <c r="P8" s="574"/>
      <c r="Q8" s="572" t="e">
        <f>VLOOKUP(G:G,list!B:D,3,FALSE)</f>
        <v>#N/A</v>
      </c>
    </row>
    <row r="9" spans="2:17" ht="18" hidden="1" customHeight="1">
      <c r="B9" s="563">
        <v>4</v>
      </c>
      <c r="C9" s="564" t="e">
        <f>VLOOKUP(G:G,list!B:D,2,FALSE)</f>
        <v>#N/A</v>
      </c>
      <c r="D9" s="564" t="s">
        <v>78</v>
      </c>
      <c r="E9" s="564" t="s">
        <v>9</v>
      </c>
      <c r="F9" s="564" t="s">
        <v>242</v>
      </c>
      <c r="G9" s="564" t="s">
        <v>135</v>
      </c>
      <c r="H9" s="565">
        <v>44308</v>
      </c>
      <c r="I9" s="564" t="s">
        <v>377</v>
      </c>
      <c r="J9" s="566">
        <v>4563569</v>
      </c>
      <c r="K9" s="567">
        <v>0.6</v>
      </c>
      <c r="L9" s="568">
        <v>2738143</v>
      </c>
      <c r="M9" s="569" t="s">
        <v>203</v>
      </c>
      <c r="N9" s="570">
        <v>0</v>
      </c>
      <c r="O9" s="570">
        <f t="shared" si="0"/>
        <v>2738143</v>
      </c>
      <c r="P9" s="575"/>
      <c r="Q9" s="572" t="e">
        <f>VLOOKUP(G:G,list!B:D,3,FALSE)</f>
        <v>#N/A</v>
      </c>
    </row>
    <row r="10" spans="2:17" ht="18" hidden="1" customHeight="1">
      <c r="B10" s="563">
        <v>5</v>
      </c>
      <c r="C10" s="564" t="e">
        <f>VLOOKUP(G:G,list!B:D,2,FALSE)</f>
        <v>#N/A</v>
      </c>
      <c r="D10" s="564" t="s">
        <v>78</v>
      </c>
      <c r="E10" s="564" t="s">
        <v>9</v>
      </c>
      <c r="F10" s="564" t="s">
        <v>242</v>
      </c>
      <c r="G10" s="564" t="s">
        <v>218</v>
      </c>
      <c r="H10" s="565">
        <v>44309</v>
      </c>
      <c r="I10" s="564" t="s">
        <v>377</v>
      </c>
      <c r="J10" s="566">
        <v>101823618</v>
      </c>
      <c r="K10" s="567">
        <v>0.6</v>
      </c>
      <c r="L10" s="568">
        <v>61094170.799999997</v>
      </c>
      <c r="M10" s="569">
        <v>0.1</v>
      </c>
      <c r="N10" s="570">
        <f>L10*M10</f>
        <v>6109417.0800000001</v>
      </c>
      <c r="O10" s="570">
        <f>L10-N10</f>
        <v>54984753.719999999</v>
      </c>
      <c r="P10" s="576"/>
      <c r="Q10" s="572" t="e">
        <f>VLOOKUP(G:G,list!B:D,3,FALSE)</f>
        <v>#N/A</v>
      </c>
    </row>
    <row r="11" spans="2:17" ht="18" hidden="1" customHeight="1">
      <c r="B11" s="563">
        <v>6</v>
      </c>
      <c r="C11" s="564" t="e">
        <f>VLOOKUP(G:G,list!B:D,2,FALSE)</f>
        <v>#N/A</v>
      </c>
      <c r="D11" s="564" t="s">
        <v>78</v>
      </c>
      <c r="E11" s="564" t="s">
        <v>9</v>
      </c>
      <c r="F11" s="564" t="s">
        <v>242</v>
      </c>
      <c r="G11" s="564" t="s">
        <v>136</v>
      </c>
      <c r="H11" s="565">
        <v>44240</v>
      </c>
      <c r="I11" s="564" t="s">
        <v>377</v>
      </c>
      <c r="J11" s="577">
        <v>823708</v>
      </c>
      <c r="K11" s="567">
        <v>0.6</v>
      </c>
      <c r="L11" s="568">
        <v>494224.8</v>
      </c>
      <c r="M11" s="569">
        <v>0.1</v>
      </c>
      <c r="N11" s="570">
        <f>L11*M11</f>
        <v>49422.48</v>
      </c>
      <c r="O11" s="570">
        <f t="shared" si="0"/>
        <v>444802.32</v>
      </c>
      <c r="P11" s="578"/>
      <c r="Q11" s="572" t="e">
        <f>VLOOKUP(G:G,list!B:D,3,FALSE)</f>
        <v>#N/A</v>
      </c>
    </row>
    <row r="12" spans="2:17" ht="18" hidden="1" customHeight="1">
      <c r="B12" s="563">
        <v>7</v>
      </c>
      <c r="C12" s="564" t="e">
        <f>VLOOKUP(G:G,list!B:D,2,FALSE)</f>
        <v>#N/A</v>
      </c>
      <c r="D12" s="564" t="s">
        <v>78</v>
      </c>
      <c r="E12" s="564" t="s">
        <v>9</v>
      </c>
      <c r="F12" s="564" t="s">
        <v>242</v>
      </c>
      <c r="G12" s="564" t="s">
        <v>190</v>
      </c>
      <c r="H12" s="565">
        <v>44391</v>
      </c>
      <c r="I12" s="564" t="s">
        <v>377</v>
      </c>
      <c r="J12" s="579">
        <v>27971603</v>
      </c>
      <c r="K12" s="580">
        <v>0.6</v>
      </c>
      <c r="L12" s="568">
        <v>16782961</v>
      </c>
      <c r="M12" s="569">
        <v>0.12</v>
      </c>
      <c r="N12" s="573">
        <f>L12*M12</f>
        <v>2013955.3199999998</v>
      </c>
      <c r="O12" s="570">
        <f t="shared" si="0"/>
        <v>14769005.68</v>
      </c>
      <c r="P12" s="576"/>
      <c r="Q12" s="572" t="e">
        <f>VLOOKUP(G:G,list!B:D,3,FALSE)</f>
        <v>#N/A</v>
      </c>
    </row>
    <row r="13" spans="2:17" ht="18" hidden="1" customHeight="1">
      <c r="B13" s="563">
        <v>8</v>
      </c>
      <c r="C13" s="564" t="e">
        <f>VLOOKUP(G:G,list!B:D,2,FALSE)</f>
        <v>#N/A</v>
      </c>
      <c r="D13" s="564" t="s">
        <v>78</v>
      </c>
      <c r="E13" s="564" t="s">
        <v>9</v>
      </c>
      <c r="F13" s="564" t="s">
        <v>242</v>
      </c>
      <c r="G13" s="564" t="s">
        <v>276</v>
      </c>
      <c r="H13" s="565">
        <v>44603</v>
      </c>
      <c r="I13" s="564" t="s">
        <v>377</v>
      </c>
      <c r="J13" s="579">
        <v>3043047</v>
      </c>
      <c r="K13" s="580">
        <v>0.6</v>
      </c>
      <c r="L13" s="568">
        <v>1825827</v>
      </c>
      <c r="M13" s="569" t="s">
        <v>203</v>
      </c>
      <c r="N13" s="573">
        <v>0</v>
      </c>
      <c r="O13" s="570">
        <f t="shared" si="0"/>
        <v>1825827</v>
      </c>
      <c r="P13" s="578"/>
      <c r="Q13" s="572" t="e">
        <f>VLOOKUP(G:G,list!B:D,3,FALSE)</f>
        <v>#N/A</v>
      </c>
    </row>
    <row r="14" spans="2:17" ht="18" hidden="1" customHeight="1">
      <c r="B14" s="563">
        <v>9</v>
      </c>
      <c r="C14" s="564" t="e">
        <f>VLOOKUP(G:G,list!B:D,2,FALSE)</f>
        <v>#N/A</v>
      </c>
      <c r="D14" s="564" t="s">
        <v>78</v>
      </c>
      <c r="E14" s="564" t="s">
        <v>9</v>
      </c>
      <c r="F14" s="564" t="s">
        <v>242</v>
      </c>
      <c r="G14" s="564" t="s">
        <v>362</v>
      </c>
      <c r="H14" s="565">
        <v>44703</v>
      </c>
      <c r="I14" s="564" t="s">
        <v>377</v>
      </c>
      <c r="J14" s="579">
        <v>6260879</v>
      </c>
      <c r="K14" s="580">
        <v>0.6</v>
      </c>
      <c r="L14" s="568">
        <v>3756525</v>
      </c>
      <c r="M14" s="569">
        <v>0.1</v>
      </c>
      <c r="N14" s="573">
        <f>L14*M14</f>
        <v>375652.5</v>
      </c>
      <c r="O14" s="570">
        <f>L14-N14</f>
        <v>3380872.5</v>
      </c>
      <c r="P14" s="578"/>
      <c r="Q14" s="572" t="e">
        <f>VLOOKUP(G:G,list!B:D,3,FALSE)</f>
        <v>#N/A</v>
      </c>
    </row>
    <row r="15" spans="2:17" ht="18" hidden="1" customHeight="1">
      <c r="B15" s="563">
        <v>10</v>
      </c>
      <c r="C15" s="564" t="e">
        <f>VLOOKUP(G:G,list!B:D,2,FALSE)</f>
        <v>#N/A</v>
      </c>
      <c r="D15" s="564" t="s">
        <v>78</v>
      </c>
      <c r="E15" s="564" t="s">
        <v>9</v>
      </c>
      <c r="F15" s="564" t="s">
        <v>242</v>
      </c>
      <c r="G15" s="564" t="s">
        <v>423</v>
      </c>
      <c r="H15" s="565">
        <v>44740</v>
      </c>
      <c r="I15" s="564" t="s">
        <v>377</v>
      </c>
      <c r="J15" s="579">
        <v>46199694</v>
      </c>
      <c r="K15" s="580">
        <v>0.6</v>
      </c>
      <c r="L15" s="568">
        <v>27719817</v>
      </c>
      <c r="M15" s="569">
        <v>0.1</v>
      </c>
      <c r="N15" s="573">
        <f>L15*M15</f>
        <v>2771981.7</v>
      </c>
      <c r="O15" s="570">
        <f t="shared" si="0"/>
        <v>24947835.300000001</v>
      </c>
      <c r="P15" s="578"/>
      <c r="Q15" s="572"/>
    </row>
    <row r="16" spans="2:17" ht="18" hidden="1" customHeight="1">
      <c r="B16" s="563">
        <v>11</v>
      </c>
      <c r="C16" s="564" t="e">
        <f>VLOOKUP(G:G,list!B:D,2,FALSE)</f>
        <v>#N/A</v>
      </c>
      <c r="D16" s="564" t="s">
        <v>78</v>
      </c>
      <c r="E16" s="564" t="s">
        <v>9</v>
      </c>
      <c r="F16" s="564" t="s">
        <v>242</v>
      </c>
      <c r="G16" s="564" t="s">
        <v>424</v>
      </c>
      <c r="H16" s="565">
        <v>44753</v>
      </c>
      <c r="I16" s="564" t="s">
        <v>377</v>
      </c>
      <c r="J16" s="579">
        <v>13051250</v>
      </c>
      <c r="K16" s="580">
        <v>0.6</v>
      </c>
      <c r="L16" s="568">
        <v>7830749</v>
      </c>
      <c r="M16" s="569">
        <v>0.1</v>
      </c>
      <c r="N16" s="573">
        <f>L16*M16</f>
        <v>783074.9</v>
      </c>
      <c r="O16" s="570">
        <f t="shared" si="0"/>
        <v>7047674.0999999996</v>
      </c>
      <c r="P16" s="578" t="s">
        <v>287</v>
      </c>
      <c r="Q16" s="572"/>
    </row>
    <row r="17" spans="2:17" ht="18" hidden="1" customHeight="1">
      <c r="B17" s="563">
        <v>12</v>
      </c>
      <c r="C17" s="564" t="e">
        <f>VLOOKUP(G:G,list!B:D,2,FALSE)</f>
        <v>#N/A</v>
      </c>
      <c r="D17" s="564" t="s">
        <v>78</v>
      </c>
      <c r="E17" s="564" t="s">
        <v>115</v>
      </c>
      <c r="F17" s="564" t="s">
        <v>242</v>
      </c>
      <c r="G17" s="564" t="s">
        <v>204</v>
      </c>
      <c r="H17" s="565">
        <v>44428</v>
      </c>
      <c r="I17" s="564" t="s">
        <v>377</v>
      </c>
      <c r="J17" s="581">
        <v>253996</v>
      </c>
      <c r="K17" s="582">
        <v>0.7</v>
      </c>
      <c r="L17" s="568">
        <v>177797.19999999998</v>
      </c>
      <c r="M17" s="569">
        <v>0.1</v>
      </c>
      <c r="N17" s="573">
        <f>L17*M17</f>
        <v>17779.719999999998</v>
      </c>
      <c r="O17" s="570">
        <f t="shared" ref="O17:O43" si="1">L17-N17</f>
        <v>160017.47999999998</v>
      </c>
      <c r="P17" s="583"/>
      <c r="Q17" s="572" t="e">
        <f>VLOOKUP(G:G,list!B:D,3,FALSE)</f>
        <v>#N/A</v>
      </c>
    </row>
    <row r="18" spans="2:17" ht="18" hidden="1" customHeight="1">
      <c r="B18" s="563">
        <v>13</v>
      </c>
      <c r="C18" s="564" t="e">
        <f>VLOOKUP(G:G,list!B:D,2,FALSE)</f>
        <v>#N/A</v>
      </c>
      <c r="D18" s="564" t="s">
        <v>78</v>
      </c>
      <c r="E18" s="564" t="s">
        <v>115</v>
      </c>
      <c r="F18" s="564" t="s">
        <v>242</v>
      </c>
      <c r="G18" s="564" t="s">
        <v>202</v>
      </c>
      <c r="H18" s="565">
        <v>44525</v>
      </c>
      <c r="I18" s="564" t="s">
        <v>377</v>
      </c>
      <c r="J18" s="577">
        <v>14154</v>
      </c>
      <c r="K18" s="567">
        <v>0.7</v>
      </c>
      <c r="L18" s="568">
        <v>9907.7999999999993</v>
      </c>
      <c r="M18" s="569" t="s">
        <v>203</v>
      </c>
      <c r="N18" s="570">
        <v>0</v>
      </c>
      <c r="O18" s="570">
        <f t="shared" si="1"/>
        <v>9907.7999999999993</v>
      </c>
      <c r="P18" s="583"/>
      <c r="Q18" s="572" t="e">
        <f>VLOOKUP(G:G,list!B:D,3,FALSE)</f>
        <v>#N/A</v>
      </c>
    </row>
    <row r="19" spans="2:17" ht="18" hidden="1" customHeight="1">
      <c r="B19" s="563">
        <v>14</v>
      </c>
      <c r="C19" s="564" t="str">
        <f>VLOOKUP(G:G,list!B:D,2,FALSE)</f>
        <v>작가기획</v>
      </c>
      <c r="D19" s="564" t="s">
        <v>78</v>
      </c>
      <c r="E19" s="564" t="s">
        <v>9</v>
      </c>
      <c r="F19" s="564" t="s">
        <v>272</v>
      </c>
      <c r="G19" s="564" t="s">
        <v>139</v>
      </c>
      <c r="H19" s="565">
        <v>44513</v>
      </c>
      <c r="I19" s="564" t="s">
        <v>368</v>
      </c>
      <c r="J19" s="577">
        <v>5320</v>
      </c>
      <c r="K19" s="567">
        <v>0.5</v>
      </c>
      <c r="L19" s="568">
        <v>2660</v>
      </c>
      <c r="M19" s="569" t="s">
        <v>203</v>
      </c>
      <c r="N19" s="570">
        <v>0</v>
      </c>
      <c r="O19" s="570">
        <f>L19-N19</f>
        <v>2660</v>
      </c>
      <c r="P19" s="584"/>
      <c r="Q19" s="572" t="str">
        <f>VLOOKUP(G:G,list!B:D,3,FALSE)</f>
        <v>Y</v>
      </c>
    </row>
    <row r="20" spans="2:17" ht="18" customHeight="1">
      <c r="B20" s="563">
        <v>15</v>
      </c>
      <c r="C20" s="564" t="e">
        <f>VLOOKUP(G:G,list!B:D,2,FALSE)</f>
        <v>#N/A</v>
      </c>
      <c r="D20" s="564" t="s">
        <v>78</v>
      </c>
      <c r="E20" s="564" t="s">
        <v>115</v>
      </c>
      <c r="F20" s="564" t="s">
        <v>245</v>
      </c>
      <c r="G20" s="564" t="s">
        <v>202</v>
      </c>
      <c r="H20" s="565">
        <v>44441</v>
      </c>
      <c r="I20" s="564" t="s">
        <v>377</v>
      </c>
      <c r="J20" s="577">
        <v>0</v>
      </c>
      <c r="K20" s="567" t="s">
        <v>203</v>
      </c>
      <c r="L20" s="568">
        <v>82600</v>
      </c>
      <c r="M20" s="569" t="s">
        <v>203</v>
      </c>
      <c r="N20" s="570">
        <v>0</v>
      </c>
      <c r="O20" s="570">
        <f t="shared" si="1"/>
        <v>82600</v>
      </c>
      <c r="P20" s="583"/>
      <c r="Q20" s="572" t="e">
        <f>VLOOKUP(G:G,list!B:D,3,FALSE)</f>
        <v>#N/A</v>
      </c>
    </row>
    <row r="21" spans="2:17" ht="18" hidden="1" customHeight="1">
      <c r="B21" s="563">
        <v>16</v>
      </c>
      <c r="C21" s="564" t="e">
        <f>VLOOKUP(G:G,list!B:D,2,FALSE)</f>
        <v>#N/A</v>
      </c>
      <c r="D21" s="564" t="s">
        <v>78</v>
      </c>
      <c r="E21" s="564" t="s">
        <v>115</v>
      </c>
      <c r="F21" s="564" t="s">
        <v>201</v>
      </c>
      <c r="G21" s="564" t="s">
        <v>202</v>
      </c>
      <c r="H21" s="565">
        <v>44300</v>
      </c>
      <c r="I21" s="564" t="s">
        <v>368</v>
      </c>
      <c r="J21" s="579">
        <v>59700</v>
      </c>
      <c r="K21" s="567">
        <v>0.7</v>
      </c>
      <c r="L21" s="568">
        <v>41790</v>
      </c>
      <c r="M21" s="569" t="s">
        <v>203</v>
      </c>
      <c r="N21" s="570">
        <v>0</v>
      </c>
      <c r="O21" s="570">
        <f t="shared" si="1"/>
        <v>41790</v>
      </c>
      <c r="P21" s="583"/>
      <c r="Q21" s="572" t="e">
        <f>VLOOKUP(G:G,list!B:D,3,FALSE)</f>
        <v>#N/A</v>
      </c>
    </row>
    <row r="22" spans="2:17" ht="18" hidden="1" customHeight="1">
      <c r="B22" s="563">
        <v>17</v>
      </c>
      <c r="C22" s="564" t="e">
        <f>VLOOKUP(G:G,list!B:D,2,FALSE)</f>
        <v>#N/A</v>
      </c>
      <c r="D22" s="564" t="s">
        <v>78</v>
      </c>
      <c r="E22" s="564" t="s">
        <v>9</v>
      </c>
      <c r="F22" s="564" t="s">
        <v>201</v>
      </c>
      <c r="G22" s="564" t="s">
        <v>279</v>
      </c>
      <c r="H22" s="565">
        <v>44644</v>
      </c>
      <c r="I22" s="564" t="s">
        <v>368</v>
      </c>
      <c r="J22" s="579">
        <v>2594653</v>
      </c>
      <c r="K22" s="567">
        <v>0.6</v>
      </c>
      <c r="L22" s="568">
        <v>1556792</v>
      </c>
      <c r="M22" s="569">
        <v>0.1</v>
      </c>
      <c r="N22" s="573">
        <f>L22*M22</f>
        <v>155679.20000000001</v>
      </c>
      <c r="O22" s="570">
        <f t="shared" si="1"/>
        <v>1401112.8</v>
      </c>
      <c r="P22" s="585"/>
      <c r="Q22" s="572" t="e">
        <f>VLOOKUP(G:G,list!B:D,3,FALSE)</f>
        <v>#N/A</v>
      </c>
    </row>
    <row r="23" spans="2:17" ht="18" hidden="1" customHeight="1">
      <c r="B23" s="563">
        <v>18</v>
      </c>
      <c r="C23" s="564" t="str">
        <f>VLOOKUP(G:G,list!B:D,2,FALSE)</f>
        <v>작가기획</v>
      </c>
      <c r="D23" s="564" t="s">
        <v>78</v>
      </c>
      <c r="E23" s="564" t="s">
        <v>9</v>
      </c>
      <c r="F23" s="564" t="s">
        <v>246</v>
      </c>
      <c r="G23" s="564" t="s">
        <v>180</v>
      </c>
      <c r="H23" s="565">
        <v>43810</v>
      </c>
      <c r="I23" s="564" t="s">
        <v>377</v>
      </c>
      <c r="J23" s="579">
        <v>4014900</v>
      </c>
      <c r="K23" s="567" t="s">
        <v>165</v>
      </c>
      <c r="L23" s="568">
        <v>1598535</v>
      </c>
      <c r="M23" s="569" t="s">
        <v>203</v>
      </c>
      <c r="N23" s="570">
        <v>0</v>
      </c>
      <c r="O23" s="570">
        <f t="shared" si="1"/>
        <v>1598535</v>
      </c>
      <c r="P23" s="583"/>
      <c r="Q23" s="572" t="str">
        <f>VLOOKUP(G:G,list!B:D,3,FALSE)</f>
        <v>Y</v>
      </c>
    </row>
    <row r="24" spans="2:17" ht="18" hidden="1" customHeight="1">
      <c r="B24" s="563">
        <v>19</v>
      </c>
      <c r="C24" s="564" t="str">
        <f>VLOOKUP(G:G,list!B:D,2,FALSE)</f>
        <v>작가기획</v>
      </c>
      <c r="D24" s="564" t="s">
        <v>78</v>
      </c>
      <c r="E24" s="564" t="s">
        <v>9</v>
      </c>
      <c r="F24" s="564" t="s">
        <v>246</v>
      </c>
      <c r="G24" s="564" t="s">
        <v>139</v>
      </c>
      <c r="H24" s="565">
        <v>43852</v>
      </c>
      <c r="I24" s="564" t="s">
        <v>377</v>
      </c>
      <c r="J24" s="579">
        <v>101520</v>
      </c>
      <c r="K24" s="567" t="s">
        <v>165</v>
      </c>
      <c r="L24" s="568">
        <v>41796</v>
      </c>
      <c r="M24" s="569" t="s">
        <v>203</v>
      </c>
      <c r="N24" s="570">
        <v>0</v>
      </c>
      <c r="O24" s="570">
        <f>L24-N24</f>
        <v>41796</v>
      </c>
      <c r="P24" s="584"/>
      <c r="Q24" s="572" t="str">
        <f>VLOOKUP(G:G,list!B:D,3,FALSE)</f>
        <v>Y</v>
      </c>
    </row>
    <row r="25" spans="2:17" ht="18" hidden="1" customHeight="1">
      <c r="B25" s="563">
        <v>20</v>
      </c>
      <c r="C25" s="564" t="e">
        <f>VLOOKUP(G:G,list!B:D,2,FALSE)</f>
        <v>#N/A</v>
      </c>
      <c r="D25" s="564" t="s">
        <v>78</v>
      </c>
      <c r="E25" s="564" t="s">
        <v>115</v>
      </c>
      <c r="F25" s="564" t="s">
        <v>246</v>
      </c>
      <c r="G25" s="564" t="s">
        <v>202</v>
      </c>
      <c r="H25" s="565">
        <v>44328</v>
      </c>
      <c r="I25" s="564" t="s">
        <v>377</v>
      </c>
      <c r="J25" s="579">
        <v>373140</v>
      </c>
      <c r="K25" s="567" t="s">
        <v>120</v>
      </c>
      <c r="L25" s="568">
        <v>175424</v>
      </c>
      <c r="M25" s="569" t="s">
        <v>203</v>
      </c>
      <c r="N25" s="570">
        <v>0</v>
      </c>
      <c r="O25" s="570">
        <f t="shared" si="1"/>
        <v>175424</v>
      </c>
      <c r="P25" s="576"/>
      <c r="Q25" s="572" t="e">
        <f>VLOOKUP(G:G,list!B:D,3,FALSE)</f>
        <v>#N/A</v>
      </c>
    </row>
    <row r="26" spans="2:17" ht="18" hidden="1" customHeight="1">
      <c r="B26" s="563">
        <v>21</v>
      </c>
      <c r="C26" s="564" t="e">
        <f>VLOOKUP(G:G,list!B:D,2,FALSE)</f>
        <v>#N/A</v>
      </c>
      <c r="D26" s="564" t="s">
        <v>78</v>
      </c>
      <c r="E26" s="564" t="s">
        <v>115</v>
      </c>
      <c r="F26" s="564" t="s">
        <v>197</v>
      </c>
      <c r="G26" s="564" t="s">
        <v>202</v>
      </c>
      <c r="H26" s="565">
        <v>44328</v>
      </c>
      <c r="I26" s="564" t="s">
        <v>377</v>
      </c>
      <c r="J26" s="586">
        <v>3000</v>
      </c>
      <c r="K26" s="567">
        <v>0.7</v>
      </c>
      <c r="L26" s="568">
        <v>2100</v>
      </c>
      <c r="M26" s="569" t="s">
        <v>203</v>
      </c>
      <c r="N26" s="570">
        <v>0</v>
      </c>
      <c r="O26" s="570">
        <f t="shared" si="1"/>
        <v>2100</v>
      </c>
      <c r="P26" s="575"/>
      <c r="Q26" s="572" t="e">
        <f>VLOOKUP(G:G,list!B:D,3,FALSE)</f>
        <v>#N/A</v>
      </c>
    </row>
    <row r="27" spans="2:17" ht="18" hidden="1" customHeight="1">
      <c r="B27" s="563">
        <v>22</v>
      </c>
      <c r="C27" s="564" t="e">
        <f>VLOOKUP(G:G,list!B:D,2,FALSE)</f>
        <v>#N/A</v>
      </c>
      <c r="D27" s="564" t="s">
        <v>78</v>
      </c>
      <c r="E27" s="564" t="s">
        <v>115</v>
      </c>
      <c r="F27" s="564" t="s">
        <v>309</v>
      </c>
      <c r="G27" s="564" t="s">
        <v>256</v>
      </c>
      <c r="H27" s="565">
        <v>44602</v>
      </c>
      <c r="I27" s="564" t="s">
        <v>377</v>
      </c>
      <c r="J27" s="586">
        <v>0</v>
      </c>
      <c r="K27" s="567">
        <v>0.7</v>
      </c>
      <c r="L27" s="568">
        <v>0</v>
      </c>
      <c r="M27" s="569">
        <v>0.1</v>
      </c>
      <c r="N27" s="570">
        <f t="shared" ref="N27:N33" si="2">L27*M27</f>
        <v>0</v>
      </c>
      <c r="O27" s="570">
        <f t="shared" si="1"/>
        <v>0</v>
      </c>
      <c r="P27" s="575" t="s">
        <v>366</v>
      </c>
      <c r="Q27" s="572" t="e">
        <f>VLOOKUP(G:G,list!B:D,3,FALSE)</f>
        <v>#N/A</v>
      </c>
    </row>
    <row r="28" spans="2:17" ht="18" hidden="1" customHeight="1">
      <c r="B28" s="563">
        <v>23</v>
      </c>
      <c r="C28" s="564" t="e">
        <f>VLOOKUP(G:G,list!B:D,2,FALSE)</f>
        <v>#N/A</v>
      </c>
      <c r="D28" s="564" t="s">
        <v>78</v>
      </c>
      <c r="E28" s="564" t="s">
        <v>115</v>
      </c>
      <c r="F28" s="564" t="s">
        <v>309</v>
      </c>
      <c r="G28" s="564" t="s">
        <v>204</v>
      </c>
      <c r="H28" s="565">
        <v>44603</v>
      </c>
      <c r="I28" s="564" t="s">
        <v>377</v>
      </c>
      <c r="J28" s="586">
        <v>0</v>
      </c>
      <c r="K28" s="567">
        <v>0.7</v>
      </c>
      <c r="L28" s="568">
        <v>0</v>
      </c>
      <c r="M28" s="569">
        <v>0.1</v>
      </c>
      <c r="N28" s="573">
        <f t="shared" si="2"/>
        <v>0</v>
      </c>
      <c r="O28" s="570">
        <f t="shared" si="1"/>
        <v>0</v>
      </c>
      <c r="P28" s="575" t="s">
        <v>366</v>
      </c>
      <c r="Q28" s="572" t="e">
        <f>VLOOKUP(G:G,list!B:D,3,FALSE)</f>
        <v>#N/A</v>
      </c>
    </row>
    <row r="29" spans="2:17" ht="18" hidden="1" customHeight="1">
      <c r="B29" s="563">
        <v>24</v>
      </c>
      <c r="C29" s="564" t="e">
        <f>VLOOKUP(G:G,list!B:D,2,FALSE)</f>
        <v>#N/A</v>
      </c>
      <c r="D29" s="564" t="s">
        <v>78</v>
      </c>
      <c r="E29" s="564" t="s">
        <v>115</v>
      </c>
      <c r="F29" s="564" t="s">
        <v>309</v>
      </c>
      <c r="G29" s="564" t="s">
        <v>258</v>
      </c>
      <c r="H29" s="565">
        <v>44603</v>
      </c>
      <c r="I29" s="564" t="s">
        <v>377</v>
      </c>
      <c r="J29" s="586">
        <v>13400</v>
      </c>
      <c r="K29" s="567">
        <v>0.7</v>
      </c>
      <c r="L29" s="568">
        <v>9380</v>
      </c>
      <c r="M29" s="569">
        <v>0.1</v>
      </c>
      <c r="N29" s="573">
        <f t="shared" si="2"/>
        <v>938</v>
      </c>
      <c r="O29" s="570">
        <f t="shared" si="1"/>
        <v>8442</v>
      </c>
      <c r="P29" s="575"/>
      <c r="Q29" s="572" t="e">
        <f>VLOOKUP(G:G,list!B:D,3,FALSE)</f>
        <v>#N/A</v>
      </c>
    </row>
    <row r="30" spans="2:17" ht="18" hidden="1" customHeight="1">
      <c r="B30" s="563">
        <v>25</v>
      </c>
      <c r="C30" s="564" t="e">
        <f>VLOOKUP(G:G,list!B:D,2,FALSE)</f>
        <v>#N/A</v>
      </c>
      <c r="D30" s="564" t="s">
        <v>78</v>
      </c>
      <c r="E30" s="564" t="s">
        <v>9</v>
      </c>
      <c r="F30" s="564" t="s">
        <v>209</v>
      </c>
      <c r="G30" s="564" t="s">
        <v>152</v>
      </c>
      <c r="H30" s="565">
        <v>44409</v>
      </c>
      <c r="I30" s="564" t="s">
        <v>377</v>
      </c>
      <c r="J30" s="586">
        <v>1405465</v>
      </c>
      <c r="K30" s="567">
        <v>0.6</v>
      </c>
      <c r="L30" s="568">
        <v>843279</v>
      </c>
      <c r="M30" s="569">
        <v>0.12</v>
      </c>
      <c r="N30" s="573">
        <f t="shared" si="2"/>
        <v>101193.48</v>
      </c>
      <c r="O30" s="570">
        <f t="shared" si="1"/>
        <v>742085.52</v>
      </c>
      <c r="P30" s="576"/>
      <c r="Q30" s="572" t="e">
        <f>VLOOKUP(G:G,list!B:D,3,FALSE)</f>
        <v>#N/A</v>
      </c>
    </row>
    <row r="31" spans="2:17" ht="18" hidden="1" customHeight="1">
      <c r="B31" s="563">
        <v>26</v>
      </c>
      <c r="C31" s="564" t="e">
        <f>VLOOKUP(G:G,list!B:D,2,FALSE)</f>
        <v>#N/A</v>
      </c>
      <c r="D31" s="564" t="s">
        <v>78</v>
      </c>
      <c r="E31" s="564" t="s">
        <v>9</v>
      </c>
      <c r="F31" s="564" t="s">
        <v>209</v>
      </c>
      <c r="G31" s="564" t="s">
        <v>179</v>
      </c>
      <c r="H31" s="565">
        <v>44409</v>
      </c>
      <c r="I31" s="564" t="s">
        <v>377</v>
      </c>
      <c r="J31" s="586">
        <v>7883389</v>
      </c>
      <c r="K31" s="567">
        <v>0.6</v>
      </c>
      <c r="L31" s="568">
        <v>4730034</v>
      </c>
      <c r="M31" s="569">
        <v>0.1</v>
      </c>
      <c r="N31" s="573">
        <f t="shared" si="2"/>
        <v>473003.4</v>
      </c>
      <c r="O31" s="570">
        <f t="shared" si="1"/>
        <v>4257030.5999999996</v>
      </c>
      <c r="P31" s="575" t="s">
        <v>440</v>
      </c>
      <c r="Q31" s="572" t="e">
        <f>VLOOKUP(G:G,list!B:D,3,FALSE)</f>
        <v>#N/A</v>
      </c>
    </row>
    <row r="32" spans="2:17" ht="18" hidden="1" customHeight="1">
      <c r="B32" s="563">
        <v>27</v>
      </c>
      <c r="C32" s="564" t="e">
        <f>VLOOKUP(G:G,list!B:D,2,FALSE)</f>
        <v>#N/A</v>
      </c>
      <c r="D32" s="564" t="s">
        <v>78</v>
      </c>
      <c r="E32" s="564" t="s">
        <v>9</v>
      </c>
      <c r="F32" s="564" t="s">
        <v>209</v>
      </c>
      <c r="G32" s="564" t="s">
        <v>74</v>
      </c>
      <c r="H32" s="565">
        <v>44409</v>
      </c>
      <c r="I32" s="564" t="s">
        <v>377</v>
      </c>
      <c r="J32" s="586">
        <v>271438</v>
      </c>
      <c r="K32" s="567">
        <v>0.6</v>
      </c>
      <c r="L32" s="568">
        <v>162863</v>
      </c>
      <c r="M32" s="569">
        <v>0.1</v>
      </c>
      <c r="N32" s="570">
        <f t="shared" si="2"/>
        <v>16286.300000000001</v>
      </c>
      <c r="O32" s="570">
        <f t="shared" si="1"/>
        <v>146576.70000000001</v>
      </c>
      <c r="P32" s="576"/>
      <c r="Q32" s="572" t="e">
        <f>VLOOKUP(G:G,list!B:D,3,FALSE)</f>
        <v>#N/A</v>
      </c>
    </row>
    <row r="33" spans="2:17" ht="18" hidden="1" customHeight="1">
      <c r="B33" s="563">
        <v>28</v>
      </c>
      <c r="C33" s="564" t="e">
        <f>VLOOKUP(G:G,list!B:D,2,FALSE)</f>
        <v>#N/A</v>
      </c>
      <c r="D33" s="564" t="s">
        <v>78</v>
      </c>
      <c r="E33" s="564" t="s">
        <v>9</v>
      </c>
      <c r="F33" s="564" t="s">
        <v>209</v>
      </c>
      <c r="G33" s="564" t="s">
        <v>381</v>
      </c>
      <c r="H33" s="565">
        <v>44409</v>
      </c>
      <c r="I33" s="564" t="s">
        <v>377</v>
      </c>
      <c r="J33" s="586">
        <v>458011</v>
      </c>
      <c r="K33" s="567">
        <v>0.6</v>
      </c>
      <c r="L33" s="568">
        <v>274806</v>
      </c>
      <c r="M33" s="569">
        <v>0.1</v>
      </c>
      <c r="N33" s="573">
        <f t="shared" si="2"/>
        <v>27480.600000000002</v>
      </c>
      <c r="O33" s="570">
        <f t="shared" si="1"/>
        <v>247325.4</v>
      </c>
      <c r="P33" s="575"/>
      <c r="Q33" s="572" t="e">
        <f>VLOOKUP(G:G,list!B:D,3,FALSE)</f>
        <v>#N/A</v>
      </c>
    </row>
    <row r="34" spans="2:17" ht="18" hidden="1" customHeight="1">
      <c r="B34" s="563">
        <v>29</v>
      </c>
      <c r="C34" s="564" t="str">
        <f>VLOOKUP(G:G,list!B:D,2,FALSE)</f>
        <v>원작료</v>
      </c>
      <c r="D34" s="564" t="s">
        <v>78</v>
      </c>
      <c r="E34" s="564" t="s">
        <v>9</v>
      </c>
      <c r="F34" s="564" t="s">
        <v>209</v>
      </c>
      <c r="G34" s="564" t="s">
        <v>151</v>
      </c>
      <c r="H34" s="565">
        <v>44409</v>
      </c>
      <c r="I34" s="564" t="s">
        <v>377</v>
      </c>
      <c r="J34" s="586">
        <v>1024365</v>
      </c>
      <c r="K34" s="567">
        <v>0.6</v>
      </c>
      <c r="L34" s="568">
        <v>614620</v>
      </c>
      <c r="M34" s="569">
        <v>0.1</v>
      </c>
      <c r="N34" s="570">
        <f>L34*M34</f>
        <v>61462</v>
      </c>
      <c r="O34" s="570">
        <f>L34-N34</f>
        <v>553158</v>
      </c>
      <c r="P34" s="576"/>
      <c r="Q34" s="572" t="str">
        <f>VLOOKUP(G:G,list!B:D,3,FALSE)</f>
        <v>Y</v>
      </c>
    </row>
    <row r="35" spans="2:17" ht="18" hidden="1" customHeight="1">
      <c r="B35" s="563">
        <v>30</v>
      </c>
      <c r="C35" s="564" t="e">
        <f>VLOOKUP(G:G,list!B:D,2,FALSE)</f>
        <v>#N/A</v>
      </c>
      <c r="D35" s="564" t="s">
        <v>78</v>
      </c>
      <c r="E35" s="564" t="s">
        <v>9</v>
      </c>
      <c r="F35" s="564" t="s">
        <v>209</v>
      </c>
      <c r="G35" s="564" t="s">
        <v>147</v>
      </c>
      <c r="H35" s="565">
        <v>44409</v>
      </c>
      <c r="I35" s="564" t="s">
        <v>377</v>
      </c>
      <c r="J35" s="586">
        <v>1273730</v>
      </c>
      <c r="K35" s="567">
        <v>0.6</v>
      </c>
      <c r="L35" s="568">
        <v>764239</v>
      </c>
      <c r="M35" s="569" t="s">
        <v>203</v>
      </c>
      <c r="N35" s="570">
        <v>0</v>
      </c>
      <c r="O35" s="570">
        <f t="shared" si="1"/>
        <v>764239</v>
      </c>
      <c r="P35" s="575"/>
      <c r="Q35" s="572" t="e">
        <f>VLOOKUP(G:G,list!B:D,3,FALSE)</f>
        <v>#N/A</v>
      </c>
    </row>
    <row r="36" spans="2:17" ht="18" hidden="1" customHeight="1">
      <c r="B36" s="563">
        <v>31</v>
      </c>
      <c r="C36" s="564" t="e">
        <f>VLOOKUP(G:G,list!B:D,2,FALSE)</f>
        <v>#N/A</v>
      </c>
      <c r="D36" s="564" t="s">
        <v>78</v>
      </c>
      <c r="E36" s="564" t="s">
        <v>9</v>
      </c>
      <c r="F36" s="564" t="s">
        <v>209</v>
      </c>
      <c r="G36" s="564" t="s">
        <v>212</v>
      </c>
      <c r="H36" s="565">
        <v>44465</v>
      </c>
      <c r="I36" s="564" t="s">
        <v>377</v>
      </c>
      <c r="J36" s="586">
        <v>3539319</v>
      </c>
      <c r="K36" s="567">
        <v>0.6</v>
      </c>
      <c r="L36" s="568">
        <v>2123591</v>
      </c>
      <c r="M36" s="569">
        <v>0.1</v>
      </c>
      <c r="N36" s="573">
        <f>L36*M36</f>
        <v>212359.1</v>
      </c>
      <c r="O36" s="570">
        <f t="shared" si="1"/>
        <v>1911231.9</v>
      </c>
      <c r="P36" s="576"/>
      <c r="Q36" s="572" t="e">
        <f>VLOOKUP(G:G,list!B:D,3,FALSE)</f>
        <v>#N/A</v>
      </c>
    </row>
    <row r="37" spans="2:17" ht="18" hidden="1" customHeight="1">
      <c r="B37" s="563">
        <v>32</v>
      </c>
      <c r="C37" s="564" t="e">
        <f>VLOOKUP(G:G,list!B:D,2,FALSE)</f>
        <v>#N/A</v>
      </c>
      <c r="D37" s="564" t="s">
        <v>78</v>
      </c>
      <c r="E37" s="564" t="s">
        <v>9</v>
      </c>
      <c r="F37" s="564" t="s">
        <v>209</v>
      </c>
      <c r="G37" s="564" t="s">
        <v>225</v>
      </c>
      <c r="H37" s="565">
        <v>44484</v>
      </c>
      <c r="I37" s="564" t="s">
        <v>377</v>
      </c>
      <c r="J37" s="586">
        <v>221410</v>
      </c>
      <c r="K37" s="567">
        <v>0.6</v>
      </c>
      <c r="L37" s="568">
        <v>132845</v>
      </c>
      <c r="M37" s="569">
        <v>0.1</v>
      </c>
      <c r="N37" s="570">
        <f>L37*M37</f>
        <v>13284.5</v>
      </c>
      <c r="O37" s="570">
        <f>L37-N37</f>
        <v>119560.5</v>
      </c>
      <c r="P37" s="576"/>
      <c r="Q37" s="572" t="e">
        <f>VLOOKUP(G:G,list!B:D,3,FALSE)</f>
        <v>#N/A</v>
      </c>
    </row>
    <row r="38" spans="2:17" ht="18" hidden="1" customHeight="1">
      <c r="B38" s="563">
        <v>33</v>
      </c>
      <c r="C38" s="564" t="e">
        <f>VLOOKUP(G:G,list!B:D,2,FALSE)</f>
        <v>#N/A</v>
      </c>
      <c r="D38" s="564" t="s">
        <v>78</v>
      </c>
      <c r="E38" s="564" t="s">
        <v>9</v>
      </c>
      <c r="F38" s="564" t="s">
        <v>209</v>
      </c>
      <c r="G38" s="564" t="s">
        <v>153</v>
      </c>
      <c r="H38" s="565">
        <v>44510</v>
      </c>
      <c r="I38" s="564" t="s">
        <v>377</v>
      </c>
      <c r="J38" s="586">
        <v>789470</v>
      </c>
      <c r="K38" s="567">
        <v>0.6</v>
      </c>
      <c r="L38" s="568">
        <v>473682</v>
      </c>
      <c r="M38" s="569">
        <v>0.1</v>
      </c>
      <c r="N38" s="570">
        <f>L38*M38</f>
        <v>47368.200000000004</v>
      </c>
      <c r="O38" s="570">
        <f t="shared" si="1"/>
        <v>426313.8</v>
      </c>
      <c r="P38" s="576"/>
      <c r="Q38" s="572" t="e">
        <f>VLOOKUP(G:G,list!B:D,3,FALSE)</f>
        <v>#N/A</v>
      </c>
    </row>
    <row r="39" spans="2:17" ht="18" hidden="1" customHeight="1">
      <c r="B39" s="563">
        <v>34</v>
      </c>
      <c r="C39" s="564" t="e">
        <f>VLOOKUP(G:G,list!B:D,2,FALSE)</f>
        <v>#N/A</v>
      </c>
      <c r="D39" s="564" t="s">
        <v>78</v>
      </c>
      <c r="E39" s="564" t="s">
        <v>9</v>
      </c>
      <c r="F39" s="564" t="s">
        <v>209</v>
      </c>
      <c r="G39" s="564" t="s">
        <v>336</v>
      </c>
      <c r="H39" s="565">
        <v>44595</v>
      </c>
      <c r="I39" s="564" t="s">
        <v>377</v>
      </c>
      <c r="J39" s="586">
        <v>1610286</v>
      </c>
      <c r="K39" s="567">
        <v>0.6</v>
      </c>
      <c r="L39" s="568">
        <v>966171</v>
      </c>
      <c r="M39" s="569">
        <v>0.1</v>
      </c>
      <c r="N39" s="570">
        <f>L39*M39</f>
        <v>96617.1</v>
      </c>
      <c r="O39" s="570">
        <f t="shared" si="1"/>
        <v>869553.9</v>
      </c>
      <c r="P39" s="578"/>
      <c r="Q39" s="572" t="e">
        <f>VLOOKUP(G:G,list!B:D,3,FALSE)</f>
        <v>#N/A</v>
      </c>
    </row>
    <row r="40" spans="2:17" ht="18" hidden="1" customHeight="1">
      <c r="B40" s="563">
        <v>35</v>
      </c>
      <c r="C40" s="564" t="e">
        <f>VLOOKUP(G:G,list!B:D,2,FALSE)</f>
        <v>#N/A</v>
      </c>
      <c r="D40" s="564" t="s">
        <v>78</v>
      </c>
      <c r="E40" s="564" t="s">
        <v>9</v>
      </c>
      <c r="F40" s="564" t="s">
        <v>209</v>
      </c>
      <c r="G40" s="564" t="s">
        <v>335</v>
      </c>
      <c r="H40" s="565">
        <v>44624</v>
      </c>
      <c r="I40" s="564" t="s">
        <v>377</v>
      </c>
      <c r="J40" s="586">
        <v>1853311</v>
      </c>
      <c r="K40" s="567">
        <v>0.60000003881483055</v>
      </c>
      <c r="L40" s="568">
        <v>1111986</v>
      </c>
      <c r="M40" s="569">
        <v>0.1</v>
      </c>
      <c r="N40" s="570">
        <f>L40*M40</f>
        <v>111198.6</v>
      </c>
      <c r="O40" s="570">
        <f t="shared" si="1"/>
        <v>1000787.4</v>
      </c>
      <c r="P40" s="578"/>
      <c r="Q40" s="572" t="e">
        <f>VLOOKUP(G:G,list!B:D,3,FALSE)</f>
        <v>#N/A</v>
      </c>
    </row>
    <row r="41" spans="2:17" ht="18" hidden="1" customHeight="1">
      <c r="B41" s="563">
        <v>36</v>
      </c>
      <c r="C41" s="564" t="e">
        <f>VLOOKUP(G:G,list!B:D,2,FALSE)</f>
        <v>#N/A</v>
      </c>
      <c r="D41" s="564" t="s">
        <v>78</v>
      </c>
      <c r="E41" s="564" t="s">
        <v>9</v>
      </c>
      <c r="F41" s="564" t="s">
        <v>209</v>
      </c>
      <c r="G41" s="564" t="s">
        <v>324</v>
      </c>
      <c r="H41" s="565">
        <v>44672</v>
      </c>
      <c r="I41" s="564" t="s">
        <v>377</v>
      </c>
      <c r="J41" s="586">
        <v>309503</v>
      </c>
      <c r="K41" s="567">
        <v>0.6</v>
      </c>
      <c r="L41" s="568">
        <v>185701</v>
      </c>
      <c r="M41" s="569" t="s">
        <v>203</v>
      </c>
      <c r="N41" s="570">
        <v>0</v>
      </c>
      <c r="O41" s="570">
        <f t="shared" si="1"/>
        <v>185701</v>
      </c>
      <c r="P41" s="575"/>
      <c r="Q41" s="572" t="e">
        <f>VLOOKUP(G:G,list!B:D,3,FALSE)</f>
        <v>#N/A</v>
      </c>
    </row>
    <row r="42" spans="2:17" ht="18" hidden="1" customHeight="1">
      <c r="B42" s="563">
        <v>37</v>
      </c>
      <c r="C42" s="564" t="e">
        <f>VLOOKUP(G:G,list!B:D,2,FALSE)</f>
        <v>#N/A</v>
      </c>
      <c r="D42" s="564" t="s">
        <v>78</v>
      </c>
      <c r="E42" s="564" t="s">
        <v>9</v>
      </c>
      <c r="F42" s="564" t="s">
        <v>209</v>
      </c>
      <c r="G42" s="564" t="s">
        <v>412</v>
      </c>
      <c r="H42" s="565">
        <v>44747</v>
      </c>
      <c r="I42" s="564" t="s">
        <v>377</v>
      </c>
      <c r="J42" s="586">
        <v>11225917</v>
      </c>
      <c r="K42" s="567">
        <v>0.6</v>
      </c>
      <c r="L42" s="568">
        <v>6735550</v>
      </c>
      <c r="M42" s="569">
        <v>0.1</v>
      </c>
      <c r="N42" s="573">
        <f>L42*M42</f>
        <v>673555</v>
      </c>
      <c r="O42" s="570">
        <f t="shared" si="1"/>
        <v>6061995</v>
      </c>
      <c r="P42" s="578" t="s">
        <v>287</v>
      </c>
      <c r="Q42" s="572"/>
    </row>
    <row r="43" spans="2:17" ht="18" hidden="1" customHeight="1">
      <c r="B43" s="563">
        <v>38</v>
      </c>
      <c r="C43" s="587" t="e">
        <f>VLOOKUP(G:G,list!B:D,2,FALSE)</f>
        <v>#N/A</v>
      </c>
      <c r="D43" s="587" t="s">
        <v>78</v>
      </c>
      <c r="E43" s="587" t="s">
        <v>9</v>
      </c>
      <c r="F43" s="587" t="s">
        <v>209</v>
      </c>
      <c r="G43" s="587" t="s">
        <v>413</v>
      </c>
      <c r="H43" s="588">
        <v>44755</v>
      </c>
      <c r="I43" s="587" t="s">
        <v>377</v>
      </c>
      <c r="J43" s="589">
        <v>38303057</v>
      </c>
      <c r="K43" s="590">
        <v>0.6</v>
      </c>
      <c r="L43" s="591">
        <v>22981834</v>
      </c>
      <c r="M43" s="592">
        <v>0.1</v>
      </c>
      <c r="N43" s="593">
        <f>L43*M43</f>
        <v>2298183.4</v>
      </c>
      <c r="O43" s="593">
        <f t="shared" si="1"/>
        <v>20683650.600000001</v>
      </c>
      <c r="P43" s="594" t="s">
        <v>495</v>
      </c>
      <c r="Q43" s="595"/>
    </row>
    <row r="44" spans="2:17" ht="18" hidden="1" customHeight="1">
      <c r="B44" s="563">
        <v>39</v>
      </c>
      <c r="C44" s="564" t="e">
        <f>VLOOKUP(G:G,list!B:D,2,FALSE)</f>
        <v>#N/A</v>
      </c>
      <c r="D44" s="564" t="s">
        <v>78</v>
      </c>
      <c r="E44" s="564" t="s">
        <v>9</v>
      </c>
      <c r="F44" s="564" t="s">
        <v>209</v>
      </c>
      <c r="G44" s="564" t="s">
        <v>414</v>
      </c>
      <c r="H44" s="565">
        <v>44762</v>
      </c>
      <c r="I44" s="564" t="s">
        <v>377</v>
      </c>
      <c r="J44" s="586">
        <v>1653590</v>
      </c>
      <c r="K44" s="567">
        <v>0.6</v>
      </c>
      <c r="L44" s="568">
        <v>992154</v>
      </c>
      <c r="M44" s="569">
        <v>0.12</v>
      </c>
      <c r="N44" s="573">
        <f>L44*M44</f>
        <v>119058.48</v>
      </c>
      <c r="O44" s="570">
        <f>L44-N44</f>
        <v>873095.52</v>
      </c>
      <c r="P44" s="578" t="s">
        <v>287</v>
      </c>
      <c r="Q44" s="572"/>
    </row>
    <row r="45" spans="2:17" ht="18" hidden="1" customHeight="1">
      <c r="B45" s="563">
        <v>40</v>
      </c>
      <c r="C45" s="564" t="e">
        <f>VLOOKUP(G:G,list!B:D,2,FALSE)</f>
        <v>#N/A</v>
      </c>
      <c r="D45" s="564" t="s">
        <v>78</v>
      </c>
      <c r="E45" s="564" t="s">
        <v>9</v>
      </c>
      <c r="F45" s="564" t="s">
        <v>126</v>
      </c>
      <c r="G45" s="564" t="s">
        <v>152</v>
      </c>
      <c r="H45" s="565">
        <v>43994</v>
      </c>
      <c r="I45" s="564" t="s">
        <v>377</v>
      </c>
      <c r="J45" s="586">
        <v>11259292.699999999</v>
      </c>
      <c r="K45" s="567" t="s">
        <v>207</v>
      </c>
      <c r="L45" s="568">
        <v>6755576</v>
      </c>
      <c r="M45" s="569">
        <v>0.12</v>
      </c>
      <c r="N45" s="573">
        <f>(L45-3000000)*M45</f>
        <v>450669.12</v>
      </c>
      <c r="O45" s="570">
        <f t="shared" ref="O45:O68" si="3">L45-N45</f>
        <v>6304906.8799999999</v>
      </c>
      <c r="P45" s="576" t="s">
        <v>343</v>
      </c>
      <c r="Q45" s="572" t="e">
        <f>VLOOKUP(G:G,list!B:D,3,FALSE)</f>
        <v>#N/A</v>
      </c>
    </row>
    <row r="46" spans="2:17" ht="18" hidden="1" customHeight="1">
      <c r="B46" s="563">
        <v>41</v>
      </c>
      <c r="C46" s="564" t="e">
        <f>VLOOKUP(G:G,list!B:D,2,FALSE)</f>
        <v>#N/A</v>
      </c>
      <c r="D46" s="564" t="s">
        <v>78</v>
      </c>
      <c r="E46" s="564" t="s">
        <v>9</v>
      </c>
      <c r="F46" s="564" t="s">
        <v>126</v>
      </c>
      <c r="G46" s="564" t="s">
        <v>153</v>
      </c>
      <c r="H46" s="565">
        <v>44040</v>
      </c>
      <c r="I46" s="564" t="s">
        <v>377</v>
      </c>
      <c r="J46" s="586">
        <v>1098513.1000000001</v>
      </c>
      <c r="K46" s="567" t="s">
        <v>207</v>
      </c>
      <c r="L46" s="568">
        <v>659106</v>
      </c>
      <c r="M46" s="569">
        <v>0.1</v>
      </c>
      <c r="N46" s="570">
        <f>L46*M46</f>
        <v>65910.600000000006</v>
      </c>
      <c r="O46" s="570">
        <f t="shared" si="3"/>
        <v>593195.4</v>
      </c>
      <c r="P46" s="575"/>
      <c r="Q46" s="572" t="e">
        <f>VLOOKUP(G:G,list!B:D,3,FALSE)</f>
        <v>#N/A</v>
      </c>
    </row>
    <row r="47" spans="2:17" ht="18" hidden="1" customHeight="1">
      <c r="B47" s="563">
        <v>42</v>
      </c>
      <c r="C47" s="564" t="e">
        <f>VLOOKUP(G:G,list!B:D,2,FALSE)</f>
        <v>#N/A</v>
      </c>
      <c r="D47" s="564" t="s">
        <v>78</v>
      </c>
      <c r="E47" s="564" t="s">
        <v>9</v>
      </c>
      <c r="F47" s="564" t="s">
        <v>126</v>
      </c>
      <c r="G47" s="564" t="s">
        <v>179</v>
      </c>
      <c r="H47" s="565">
        <v>44074</v>
      </c>
      <c r="I47" s="564" t="s">
        <v>377</v>
      </c>
      <c r="J47" s="586">
        <v>59694999.049999997</v>
      </c>
      <c r="K47" s="567" t="s">
        <v>207</v>
      </c>
      <c r="L47" s="568">
        <v>35816999</v>
      </c>
      <c r="M47" s="569">
        <v>0.1</v>
      </c>
      <c r="N47" s="573">
        <f>L47*M47</f>
        <v>3581699.9000000004</v>
      </c>
      <c r="O47" s="570">
        <f t="shared" si="3"/>
        <v>32235299.100000001</v>
      </c>
      <c r="P47" s="575" t="s">
        <v>440</v>
      </c>
      <c r="Q47" s="572" t="e">
        <f>VLOOKUP(G:G,list!B:D,3,FALSE)</f>
        <v>#N/A</v>
      </c>
    </row>
    <row r="48" spans="2:17" ht="18" hidden="1" customHeight="1">
      <c r="B48" s="563">
        <v>43</v>
      </c>
      <c r="C48" s="564" t="e">
        <f>VLOOKUP(G:G,list!B:D,2,FALSE)</f>
        <v>#N/A</v>
      </c>
      <c r="D48" s="564" t="s">
        <v>78</v>
      </c>
      <c r="E48" s="564" t="s">
        <v>9</v>
      </c>
      <c r="F48" s="564" t="s">
        <v>126</v>
      </c>
      <c r="G48" s="564" t="s">
        <v>74</v>
      </c>
      <c r="H48" s="565">
        <v>44098</v>
      </c>
      <c r="I48" s="564" t="s">
        <v>377</v>
      </c>
      <c r="J48" s="586">
        <v>859627.3</v>
      </c>
      <c r="K48" s="567" t="s">
        <v>207</v>
      </c>
      <c r="L48" s="568">
        <v>515776</v>
      </c>
      <c r="M48" s="569">
        <v>0.1</v>
      </c>
      <c r="N48" s="570">
        <f>L48*M48</f>
        <v>51577.600000000006</v>
      </c>
      <c r="O48" s="570">
        <f t="shared" si="3"/>
        <v>464198.40000000002</v>
      </c>
      <c r="P48" s="576"/>
      <c r="Q48" s="572" t="e">
        <f>VLOOKUP(G:G,list!B:D,3,FALSE)</f>
        <v>#N/A</v>
      </c>
    </row>
    <row r="49" spans="2:17" ht="18" hidden="1" customHeight="1">
      <c r="B49" s="563">
        <v>44</v>
      </c>
      <c r="C49" s="564" t="str">
        <f>VLOOKUP(G:G,list!B:D,2,FALSE)</f>
        <v>원작료</v>
      </c>
      <c r="D49" s="564" t="s">
        <v>78</v>
      </c>
      <c r="E49" s="564" t="s">
        <v>9</v>
      </c>
      <c r="F49" s="564" t="s">
        <v>126</v>
      </c>
      <c r="G49" s="564" t="s">
        <v>151</v>
      </c>
      <c r="H49" s="565">
        <v>44199</v>
      </c>
      <c r="I49" s="564" t="s">
        <v>377</v>
      </c>
      <c r="J49" s="586">
        <v>3123972.2</v>
      </c>
      <c r="K49" s="567" t="s">
        <v>207</v>
      </c>
      <c r="L49" s="568">
        <v>1874382</v>
      </c>
      <c r="M49" s="569">
        <v>0.1</v>
      </c>
      <c r="N49" s="570">
        <f>(L49-1000000)*10%</f>
        <v>87438.200000000012</v>
      </c>
      <c r="O49" s="570">
        <f>L49-N49</f>
        <v>1786943.8</v>
      </c>
      <c r="P49" s="576" t="s">
        <v>263</v>
      </c>
      <c r="Q49" s="572" t="str">
        <f>VLOOKUP(G:G,list!B:D,3,FALSE)</f>
        <v>Y</v>
      </c>
    </row>
    <row r="50" spans="2:17" ht="18" hidden="1" customHeight="1">
      <c r="B50" s="563">
        <v>45</v>
      </c>
      <c r="C50" s="564" t="e">
        <f>VLOOKUP(G:G,list!B:D,2,FALSE)</f>
        <v>#N/A</v>
      </c>
      <c r="D50" s="564" t="s">
        <v>78</v>
      </c>
      <c r="E50" s="564" t="s">
        <v>9</v>
      </c>
      <c r="F50" s="564" t="s">
        <v>126</v>
      </c>
      <c r="G50" s="564" t="s">
        <v>147</v>
      </c>
      <c r="H50" s="565">
        <v>44224</v>
      </c>
      <c r="I50" s="564" t="s">
        <v>377</v>
      </c>
      <c r="J50" s="586">
        <v>2375946.9</v>
      </c>
      <c r="K50" s="567" t="s">
        <v>369</v>
      </c>
      <c r="L50" s="568">
        <v>1425570</v>
      </c>
      <c r="M50" s="569" t="s">
        <v>203</v>
      </c>
      <c r="N50" s="573">
        <v>0</v>
      </c>
      <c r="O50" s="570">
        <f t="shared" si="3"/>
        <v>1425570</v>
      </c>
      <c r="P50" s="576"/>
      <c r="Q50" s="572" t="e">
        <f>VLOOKUP(G:G,list!B:D,3,FALSE)</f>
        <v>#N/A</v>
      </c>
    </row>
    <row r="51" spans="2:17" ht="18" hidden="1" customHeight="1">
      <c r="B51" s="563">
        <v>46</v>
      </c>
      <c r="C51" s="564" t="e">
        <f>VLOOKUP(G:G,list!B:D,2,FALSE)</f>
        <v>#N/A</v>
      </c>
      <c r="D51" s="564" t="s">
        <v>78</v>
      </c>
      <c r="E51" s="564" t="s">
        <v>9</v>
      </c>
      <c r="F51" s="564" t="s">
        <v>126</v>
      </c>
      <c r="G51" s="564" t="s">
        <v>226</v>
      </c>
      <c r="H51" s="565">
        <v>44320</v>
      </c>
      <c r="I51" s="564" t="s">
        <v>377</v>
      </c>
      <c r="J51" s="586">
        <v>1384254.5</v>
      </c>
      <c r="K51" s="567" t="s">
        <v>207</v>
      </c>
      <c r="L51" s="568">
        <v>830552</v>
      </c>
      <c r="M51" s="569">
        <v>0.1</v>
      </c>
      <c r="N51" s="570">
        <f>L51*M51</f>
        <v>83055.200000000012</v>
      </c>
      <c r="O51" s="570">
        <f>L51-N51</f>
        <v>747496.8</v>
      </c>
      <c r="P51" s="576"/>
      <c r="Q51" s="572" t="e">
        <f>VLOOKUP(G:G,list!B:D,3,FALSE)</f>
        <v>#N/A</v>
      </c>
    </row>
    <row r="52" spans="2:17" ht="18" hidden="1" customHeight="1">
      <c r="B52" s="563">
        <v>47</v>
      </c>
      <c r="C52" s="564" t="e">
        <f>VLOOKUP(G:G,list!B:D,2,FALSE)</f>
        <v>#N/A</v>
      </c>
      <c r="D52" s="564" t="s">
        <v>78</v>
      </c>
      <c r="E52" s="564" t="s">
        <v>9</v>
      </c>
      <c r="F52" s="564" t="s">
        <v>126</v>
      </c>
      <c r="G52" s="564" t="s">
        <v>225</v>
      </c>
      <c r="H52" s="565">
        <v>44331</v>
      </c>
      <c r="I52" s="564" t="s">
        <v>377</v>
      </c>
      <c r="J52" s="586">
        <v>623258.9</v>
      </c>
      <c r="K52" s="567" t="s">
        <v>207</v>
      </c>
      <c r="L52" s="568">
        <v>373954</v>
      </c>
      <c r="M52" s="569">
        <v>0.1</v>
      </c>
      <c r="N52" s="570">
        <f>L52*M52</f>
        <v>37395.4</v>
      </c>
      <c r="O52" s="570">
        <f>L52-N52</f>
        <v>336558.6</v>
      </c>
      <c r="P52" s="576"/>
      <c r="Q52" s="572" t="e">
        <f>VLOOKUP(G:G,list!B:D,3,FALSE)</f>
        <v>#N/A</v>
      </c>
    </row>
    <row r="53" spans="2:17" ht="17.25" hidden="1" customHeight="1">
      <c r="B53" s="563">
        <v>48</v>
      </c>
      <c r="C53" s="564" t="e">
        <f>VLOOKUP(G:G,list!B:D,2,FALSE)</f>
        <v>#N/A</v>
      </c>
      <c r="D53" s="564" t="s">
        <v>78</v>
      </c>
      <c r="E53" s="564" t="s">
        <v>9</v>
      </c>
      <c r="F53" s="564" t="s">
        <v>126</v>
      </c>
      <c r="G53" s="564" t="s">
        <v>191</v>
      </c>
      <c r="H53" s="565">
        <v>44372</v>
      </c>
      <c r="I53" s="564" t="s">
        <v>377</v>
      </c>
      <c r="J53" s="586">
        <v>9241369.4000000004</v>
      </c>
      <c r="K53" s="567" t="s">
        <v>207</v>
      </c>
      <c r="L53" s="568">
        <v>5544823</v>
      </c>
      <c r="M53" s="569">
        <v>0.1</v>
      </c>
      <c r="N53" s="573">
        <f>L53*M53</f>
        <v>554482.30000000005</v>
      </c>
      <c r="O53" s="570">
        <f t="shared" si="3"/>
        <v>4990340.7</v>
      </c>
      <c r="P53" s="576"/>
      <c r="Q53" s="572" t="e">
        <f>VLOOKUP(G:G,list!B:D,3,FALSE)</f>
        <v>#N/A</v>
      </c>
    </row>
    <row r="54" spans="2:17" ht="18" hidden="1" customHeight="1">
      <c r="B54" s="563">
        <v>49</v>
      </c>
      <c r="C54" s="564" t="e">
        <f>VLOOKUP(G:G,list!B:D,2,FALSE)</f>
        <v>#N/A</v>
      </c>
      <c r="D54" s="564" t="s">
        <v>78</v>
      </c>
      <c r="E54" s="564" t="s">
        <v>9</v>
      </c>
      <c r="F54" s="564" t="s">
        <v>126</v>
      </c>
      <c r="G54" s="564" t="s">
        <v>336</v>
      </c>
      <c r="H54" s="565">
        <v>44392</v>
      </c>
      <c r="I54" s="564" t="s">
        <v>377</v>
      </c>
      <c r="J54" s="586">
        <v>7165193</v>
      </c>
      <c r="K54" s="567" t="s">
        <v>207</v>
      </c>
      <c r="L54" s="568">
        <v>4299117</v>
      </c>
      <c r="M54" s="569">
        <v>0.1</v>
      </c>
      <c r="N54" s="570">
        <f>L54*M54</f>
        <v>429911.7</v>
      </c>
      <c r="O54" s="570">
        <f t="shared" si="3"/>
        <v>3869205.3</v>
      </c>
      <c r="P54" s="576"/>
      <c r="Q54" s="572" t="e">
        <f>VLOOKUP(G:G,list!B:D,3,FALSE)</f>
        <v>#N/A</v>
      </c>
    </row>
    <row r="55" spans="2:17" ht="18" hidden="1" customHeight="1">
      <c r="B55" s="563">
        <v>50</v>
      </c>
      <c r="C55" s="564" t="e">
        <f>VLOOKUP(G:G,list!B:D,2,FALSE)</f>
        <v>#N/A</v>
      </c>
      <c r="D55" s="564" t="s">
        <v>78</v>
      </c>
      <c r="E55" s="564" t="s">
        <v>9</v>
      </c>
      <c r="F55" s="564" t="s">
        <v>126</v>
      </c>
      <c r="G55" s="564" t="s">
        <v>335</v>
      </c>
      <c r="H55" s="565">
        <v>44457</v>
      </c>
      <c r="I55" s="564" t="s">
        <v>377</v>
      </c>
      <c r="J55" s="586">
        <v>7014763.9000000004</v>
      </c>
      <c r="K55" s="567" t="s">
        <v>207</v>
      </c>
      <c r="L55" s="568">
        <v>4208859</v>
      </c>
      <c r="M55" s="569">
        <v>0.1</v>
      </c>
      <c r="N55" s="570">
        <f>L55*M55</f>
        <v>420885.9</v>
      </c>
      <c r="O55" s="570">
        <f t="shared" si="3"/>
        <v>3787973.1</v>
      </c>
      <c r="P55" s="576"/>
      <c r="Q55" s="572" t="e">
        <f>VLOOKUP(G:G,list!B:D,3,FALSE)</f>
        <v>#N/A</v>
      </c>
    </row>
    <row r="56" spans="2:17" ht="18" hidden="1" customHeight="1">
      <c r="B56" s="563">
        <v>51</v>
      </c>
      <c r="C56" s="564" t="e">
        <f>VLOOKUP(G:G,list!B:D,2,FALSE)</f>
        <v>#N/A</v>
      </c>
      <c r="D56" s="564" t="s">
        <v>78</v>
      </c>
      <c r="E56" s="564" t="s">
        <v>9</v>
      </c>
      <c r="F56" s="564" t="s">
        <v>126</v>
      </c>
      <c r="G56" s="564" t="s">
        <v>324</v>
      </c>
      <c r="H56" s="565">
        <v>44469</v>
      </c>
      <c r="I56" s="564" t="s">
        <v>377</v>
      </c>
      <c r="J56" s="586">
        <v>1342191.9</v>
      </c>
      <c r="K56" s="567" t="s">
        <v>207</v>
      </c>
      <c r="L56" s="568">
        <v>805315</v>
      </c>
      <c r="M56" s="569" t="s">
        <v>203</v>
      </c>
      <c r="N56" s="573">
        <v>0</v>
      </c>
      <c r="O56" s="570">
        <f t="shared" si="3"/>
        <v>805315</v>
      </c>
      <c r="P56" s="576"/>
      <c r="Q56" s="572" t="e">
        <f>VLOOKUP(G:G,list!B:D,3,FALSE)</f>
        <v>#N/A</v>
      </c>
    </row>
    <row r="57" spans="2:17" ht="18" hidden="1" customHeight="1">
      <c r="B57" s="563">
        <v>52</v>
      </c>
      <c r="C57" s="564" t="str">
        <f>VLOOKUP(G:G,list!B:D,2,FALSE)</f>
        <v>작가기획</v>
      </c>
      <c r="D57" s="564" t="s">
        <v>78</v>
      </c>
      <c r="E57" s="564" t="s">
        <v>9</v>
      </c>
      <c r="F57" s="564" t="s">
        <v>126</v>
      </c>
      <c r="G57" s="564" t="s">
        <v>275</v>
      </c>
      <c r="H57" s="565">
        <v>44607</v>
      </c>
      <c r="I57" s="564" t="s">
        <v>377</v>
      </c>
      <c r="J57" s="586">
        <v>195200.8</v>
      </c>
      <c r="K57" s="567" t="s">
        <v>207</v>
      </c>
      <c r="L57" s="568">
        <v>117121</v>
      </c>
      <c r="M57" s="569" t="s">
        <v>203</v>
      </c>
      <c r="N57" s="573">
        <v>0</v>
      </c>
      <c r="O57" s="570">
        <f>L57-N57</f>
        <v>117121</v>
      </c>
      <c r="P57" s="575"/>
      <c r="Q57" s="572" t="str">
        <f>VLOOKUP(G:G,list!B:D,3,FALSE)</f>
        <v>Y</v>
      </c>
    </row>
    <row r="58" spans="2:17" ht="18" hidden="1" customHeight="1">
      <c r="B58" s="563">
        <v>53</v>
      </c>
      <c r="C58" s="564" t="str">
        <f>VLOOKUP(G:G,list!B:D,2,FALSE)</f>
        <v>원작료</v>
      </c>
      <c r="D58" s="564" t="s">
        <v>78</v>
      </c>
      <c r="E58" s="564" t="s">
        <v>9</v>
      </c>
      <c r="F58" s="564" t="s">
        <v>126</v>
      </c>
      <c r="G58" s="564" t="s">
        <v>278</v>
      </c>
      <c r="H58" s="565">
        <v>44639</v>
      </c>
      <c r="I58" s="564" t="s">
        <v>377</v>
      </c>
      <c r="J58" s="586">
        <v>11086328</v>
      </c>
      <c r="K58" s="567" t="s">
        <v>207</v>
      </c>
      <c r="L58" s="568">
        <v>6651798</v>
      </c>
      <c r="M58" s="569">
        <v>0.1</v>
      </c>
      <c r="N58" s="573">
        <f t="shared" ref="N58:N68" si="4">L58*M58</f>
        <v>665179.80000000005</v>
      </c>
      <c r="O58" s="570">
        <f t="shared" si="3"/>
        <v>5986618.2000000002</v>
      </c>
      <c r="P58" s="575"/>
      <c r="Q58" s="572" t="str">
        <f>VLOOKUP(G:G,list!B:D,3,FALSE)</f>
        <v>Y</v>
      </c>
    </row>
    <row r="59" spans="2:17" ht="18" hidden="1" customHeight="1">
      <c r="B59" s="563">
        <v>54</v>
      </c>
      <c r="C59" s="564" t="e">
        <f>VLOOKUP(G:G,list!B:D,2,FALSE)</f>
        <v>#N/A</v>
      </c>
      <c r="D59" s="564" t="s">
        <v>78</v>
      </c>
      <c r="E59" s="564" t="s">
        <v>9</v>
      </c>
      <c r="F59" s="564" t="s">
        <v>126</v>
      </c>
      <c r="G59" s="564" t="s">
        <v>321</v>
      </c>
      <c r="H59" s="565">
        <v>44669</v>
      </c>
      <c r="I59" s="564" t="s">
        <v>377</v>
      </c>
      <c r="J59" s="586">
        <v>11811262.699999999</v>
      </c>
      <c r="K59" s="567" t="s">
        <v>207</v>
      </c>
      <c r="L59" s="568">
        <v>7086757</v>
      </c>
      <c r="M59" s="569">
        <v>0.1</v>
      </c>
      <c r="N59" s="573">
        <f t="shared" si="4"/>
        <v>708675.70000000007</v>
      </c>
      <c r="O59" s="570">
        <f t="shared" si="3"/>
        <v>6378081.2999999998</v>
      </c>
      <c r="P59" s="575"/>
      <c r="Q59" s="572" t="e">
        <f>VLOOKUP(G:G,list!B:D,3,FALSE)</f>
        <v>#N/A</v>
      </c>
    </row>
    <row r="60" spans="2:17" ht="18" hidden="1" customHeight="1">
      <c r="B60" s="563">
        <v>55</v>
      </c>
      <c r="C60" s="564" t="e">
        <f>VLOOKUP(G:G,list!B:D,2,FALSE)</f>
        <v>#N/A</v>
      </c>
      <c r="D60" s="564" t="s">
        <v>78</v>
      </c>
      <c r="E60" s="564" t="s">
        <v>9</v>
      </c>
      <c r="F60" s="564" t="s">
        <v>126</v>
      </c>
      <c r="G60" s="564" t="s">
        <v>322</v>
      </c>
      <c r="H60" s="565">
        <v>44675</v>
      </c>
      <c r="I60" s="564" t="s">
        <v>377</v>
      </c>
      <c r="J60" s="586">
        <v>2798136.1</v>
      </c>
      <c r="K60" s="567" t="s">
        <v>207</v>
      </c>
      <c r="L60" s="568">
        <v>1678882</v>
      </c>
      <c r="M60" s="569">
        <v>0.12</v>
      </c>
      <c r="N60" s="573">
        <f>L60*M60</f>
        <v>201465.84</v>
      </c>
      <c r="O60" s="570">
        <f>L60-N60</f>
        <v>1477416.16</v>
      </c>
      <c r="P60" s="575"/>
      <c r="Q60" s="572" t="e">
        <f>VLOOKUP(G:G,list!B:D,3,FALSE)</f>
        <v>#N/A</v>
      </c>
    </row>
    <row r="61" spans="2:17" ht="18" hidden="1" customHeight="1">
      <c r="B61" s="563">
        <v>56</v>
      </c>
      <c r="C61" s="564" t="str">
        <f>VLOOKUP(G:G,list!B:D,2,FALSE)</f>
        <v>원작료</v>
      </c>
      <c r="D61" s="564" t="s">
        <v>78</v>
      </c>
      <c r="E61" s="564" t="s">
        <v>9</v>
      </c>
      <c r="F61" s="564" t="s">
        <v>126</v>
      </c>
      <c r="G61" s="564" t="s">
        <v>364</v>
      </c>
      <c r="H61" s="565">
        <v>44691</v>
      </c>
      <c r="I61" s="564" t="s">
        <v>377</v>
      </c>
      <c r="J61" s="586">
        <v>3480341.4</v>
      </c>
      <c r="K61" s="567" t="s">
        <v>207</v>
      </c>
      <c r="L61" s="568">
        <v>2088206</v>
      </c>
      <c r="M61" s="569">
        <v>0.1</v>
      </c>
      <c r="N61" s="573">
        <f t="shared" si="4"/>
        <v>208820.6</v>
      </c>
      <c r="O61" s="570">
        <f t="shared" si="3"/>
        <v>1879385.4</v>
      </c>
      <c r="P61" s="575"/>
      <c r="Q61" s="572" t="str">
        <f>VLOOKUP(G:G,list!B:D,3,FALSE)</f>
        <v>Y</v>
      </c>
    </row>
    <row r="62" spans="2:17" ht="18" hidden="1" customHeight="1">
      <c r="B62" s="563">
        <v>57</v>
      </c>
      <c r="C62" s="564" t="str">
        <f>VLOOKUP(G:G,list!B:D,2,FALSE)</f>
        <v>원작료</v>
      </c>
      <c r="D62" s="564" t="s">
        <v>78</v>
      </c>
      <c r="E62" s="564" t="s">
        <v>9</v>
      </c>
      <c r="F62" s="564" t="s">
        <v>126</v>
      </c>
      <c r="G62" s="564" t="s">
        <v>363</v>
      </c>
      <c r="H62" s="565">
        <v>44709</v>
      </c>
      <c r="I62" s="564" t="s">
        <v>377</v>
      </c>
      <c r="J62" s="586">
        <v>7728258.7999999998</v>
      </c>
      <c r="K62" s="567" t="s">
        <v>207</v>
      </c>
      <c r="L62" s="568">
        <v>4636956</v>
      </c>
      <c r="M62" s="569">
        <v>0.11</v>
      </c>
      <c r="N62" s="570">
        <f>L62*M62</f>
        <v>510065.16</v>
      </c>
      <c r="O62" s="570">
        <f>L62-N62</f>
        <v>4126890.84</v>
      </c>
      <c r="P62" s="575"/>
      <c r="Q62" s="572" t="str">
        <f>VLOOKUP(G:G,list!B:D,3,FALSE)</f>
        <v>N</v>
      </c>
    </row>
    <row r="63" spans="2:17" ht="18" hidden="1" customHeight="1">
      <c r="B63" s="563">
        <v>58</v>
      </c>
      <c r="C63" s="564" t="e">
        <f>VLOOKUP(G:G,list!B:D,2,FALSE)</f>
        <v>#N/A</v>
      </c>
      <c r="D63" s="564" t="s">
        <v>78</v>
      </c>
      <c r="E63" s="564" t="s">
        <v>9</v>
      </c>
      <c r="F63" s="564" t="s">
        <v>126</v>
      </c>
      <c r="G63" s="564" t="s">
        <v>374</v>
      </c>
      <c r="H63" s="565">
        <v>44737</v>
      </c>
      <c r="I63" s="564" t="s">
        <v>377</v>
      </c>
      <c r="J63" s="586">
        <v>67124736.099999994</v>
      </c>
      <c r="K63" s="567" t="s">
        <v>207</v>
      </c>
      <c r="L63" s="568">
        <v>40274843</v>
      </c>
      <c r="M63" s="569">
        <v>0.1</v>
      </c>
      <c r="N63" s="570">
        <f t="shared" si="4"/>
        <v>4027484.3000000003</v>
      </c>
      <c r="O63" s="570">
        <f t="shared" si="3"/>
        <v>36247358.700000003</v>
      </c>
      <c r="P63" s="575"/>
      <c r="Q63" s="572" t="e">
        <f>VLOOKUP(G:G,list!B:D,3,FALSE)</f>
        <v>#N/A</v>
      </c>
    </row>
    <row r="64" spans="2:17" ht="18" hidden="1" customHeight="1">
      <c r="B64" s="563">
        <v>59</v>
      </c>
      <c r="C64" s="564" t="e">
        <f>VLOOKUP(G:G,list!B:D,2,FALSE)</f>
        <v>#N/A</v>
      </c>
      <c r="D64" s="564" t="s">
        <v>78</v>
      </c>
      <c r="E64" s="564" t="s">
        <v>9</v>
      </c>
      <c r="F64" s="564" t="s">
        <v>126</v>
      </c>
      <c r="G64" s="564" t="s">
        <v>375</v>
      </c>
      <c r="H64" s="565">
        <v>44741</v>
      </c>
      <c r="I64" s="564" t="s">
        <v>377</v>
      </c>
      <c r="J64" s="586">
        <v>47094483.100000001</v>
      </c>
      <c r="K64" s="567" t="s">
        <v>207</v>
      </c>
      <c r="L64" s="568">
        <v>28256689</v>
      </c>
      <c r="M64" s="569">
        <v>0.1</v>
      </c>
      <c r="N64" s="570">
        <f t="shared" si="4"/>
        <v>2825668.9000000004</v>
      </c>
      <c r="O64" s="570">
        <f t="shared" si="3"/>
        <v>25431020.100000001</v>
      </c>
      <c r="P64" s="575"/>
      <c r="Q64" s="572" t="e">
        <f>VLOOKUP(G:G,list!B:D,3,FALSE)</f>
        <v>#N/A</v>
      </c>
    </row>
    <row r="65" spans="2:17" ht="18" hidden="1" customHeight="1">
      <c r="B65" s="563">
        <v>60</v>
      </c>
      <c r="C65" s="564" t="e">
        <f>VLOOKUP(G:G,list!B:D,2,FALSE)</f>
        <v>#N/A</v>
      </c>
      <c r="D65" s="564" t="s">
        <v>78</v>
      </c>
      <c r="E65" s="564" t="s">
        <v>9</v>
      </c>
      <c r="F65" s="564" t="s">
        <v>126</v>
      </c>
      <c r="G65" s="564" t="s">
        <v>407</v>
      </c>
      <c r="H65" s="565">
        <v>44757</v>
      </c>
      <c r="I65" s="564" t="s">
        <v>377</v>
      </c>
      <c r="J65" s="586">
        <v>20747264.699999999</v>
      </c>
      <c r="K65" s="567" t="s">
        <v>207</v>
      </c>
      <c r="L65" s="568">
        <v>12448357</v>
      </c>
      <c r="M65" s="569">
        <v>0.12</v>
      </c>
      <c r="N65" s="570">
        <f t="shared" si="4"/>
        <v>1493802.8399999999</v>
      </c>
      <c r="O65" s="570">
        <f t="shared" si="3"/>
        <v>10954554.16</v>
      </c>
      <c r="P65" s="575" t="s">
        <v>287</v>
      </c>
      <c r="Q65" s="572"/>
    </row>
    <row r="66" spans="2:17" ht="18" hidden="1" customHeight="1">
      <c r="B66" s="563">
        <v>61</v>
      </c>
      <c r="C66" s="564" t="e">
        <f>VLOOKUP(G:G,list!B:D,2,FALSE)</f>
        <v>#N/A</v>
      </c>
      <c r="D66" s="564" t="s">
        <v>78</v>
      </c>
      <c r="E66" s="564" t="s">
        <v>9</v>
      </c>
      <c r="F66" s="564" t="s">
        <v>126</v>
      </c>
      <c r="G66" s="564" t="s">
        <v>408</v>
      </c>
      <c r="H66" s="565">
        <v>44768</v>
      </c>
      <c r="I66" s="564" t="s">
        <v>377</v>
      </c>
      <c r="J66" s="586">
        <v>68719619.599999994</v>
      </c>
      <c r="K66" s="567" t="s">
        <v>207</v>
      </c>
      <c r="L66" s="568">
        <v>41231772</v>
      </c>
      <c r="M66" s="569">
        <v>0.1</v>
      </c>
      <c r="N66" s="570">
        <f t="shared" si="4"/>
        <v>4123177.2</v>
      </c>
      <c r="O66" s="570">
        <f t="shared" si="3"/>
        <v>37108594.799999997</v>
      </c>
      <c r="P66" s="575" t="s">
        <v>287</v>
      </c>
      <c r="Q66" s="572"/>
    </row>
    <row r="67" spans="2:17" ht="18" hidden="1" customHeight="1">
      <c r="B67" s="563">
        <v>62</v>
      </c>
      <c r="C67" s="587" t="e">
        <f>VLOOKUP(G:G,list!B:D,2,FALSE)</f>
        <v>#N/A</v>
      </c>
      <c r="D67" s="587" t="s">
        <v>78</v>
      </c>
      <c r="E67" s="587" t="s">
        <v>9</v>
      </c>
      <c r="F67" s="587" t="s">
        <v>126</v>
      </c>
      <c r="G67" s="587" t="s">
        <v>409</v>
      </c>
      <c r="H67" s="588">
        <v>44770</v>
      </c>
      <c r="I67" s="587" t="s">
        <v>377</v>
      </c>
      <c r="J67" s="589">
        <v>19415231.699999999</v>
      </c>
      <c r="K67" s="590" t="s">
        <v>207</v>
      </c>
      <c r="L67" s="591">
        <v>11649138</v>
      </c>
      <c r="M67" s="592">
        <v>0.1</v>
      </c>
      <c r="N67" s="593">
        <f t="shared" si="4"/>
        <v>1164913.8</v>
      </c>
      <c r="O67" s="593">
        <f t="shared" si="3"/>
        <v>10484224.199999999</v>
      </c>
      <c r="P67" s="596" t="s">
        <v>495</v>
      </c>
      <c r="Q67" s="595"/>
    </row>
    <row r="68" spans="2:17" ht="18" hidden="1" customHeight="1">
      <c r="B68" s="563">
        <v>63</v>
      </c>
      <c r="C68" s="587" t="e">
        <f>VLOOKUP(G:G,list!B:D,2,FALSE)</f>
        <v>#N/A</v>
      </c>
      <c r="D68" s="587" t="s">
        <v>78</v>
      </c>
      <c r="E68" s="587" t="s">
        <v>9</v>
      </c>
      <c r="F68" s="587" t="s">
        <v>126</v>
      </c>
      <c r="G68" s="587" t="s">
        <v>410</v>
      </c>
      <c r="H68" s="588">
        <v>44774</v>
      </c>
      <c r="I68" s="587" t="s">
        <v>377</v>
      </c>
      <c r="J68" s="589">
        <v>594206.69999999995</v>
      </c>
      <c r="K68" s="590" t="s">
        <v>207</v>
      </c>
      <c r="L68" s="591">
        <v>356523</v>
      </c>
      <c r="M68" s="592">
        <v>0.1</v>
      </c>
      <c r="N68" s="593">
        <f t="shared" si="4"/>
        <v>35652.300000000003</v>
      </c>
      <c r="O68" s="593">
        <f t="shared" si="3"/>
        <v>320870.7</v>
      </c>
      <c r="P68" s="596" t="s">
        <v>495</v>
      </c>
      <c r="Q68" s="595"/>
    </row>
    <row r="69" spans="2:17" ht="18" hidden="1" customHeight="1">
      <c r="B69" s="563">
        <v>64</v>
      </c>
      <c r="C69" s="564" t="e">
        <f>VLOOKUP(G:G,list!B:D,2,FALSE)</f>
        <v>#N/A</v>
      </c>
      <c r="D69" s="564" t="s">
        <v>78</v>
      </c>
      <c r="E69" s="564" t="s">
        <v>115</v>
      </c>
      <c r="F69" s="564" t="s">
        <v>126</v>
      </c>
      <c r="G69" s="564" t="s">
        <v>382</v>
      </c>
      <c r="H69" s="565">
        <v>44328</v>
      </c>
      <c r="I69" s="564" t="s">
        <v>377</v>
      </c>
      <c r="J69" s="586">
        <v>66944.7</v>
      </c>
      <c r="K69" s="567" t="s">
        <v>208</v>
      </c>
      <c r="L69" s="568">
        <v>46862</v>
      </c>
      <c r="M69" s="569" t="s">
        <v>203</v>
      </c>
      <c r="N69" s="573">
        <v>0</v>
      </c>
      <c r="O69" s="570">
        <f t="shared" ref="O69:O92" si="5">L69-N69</f>
        <v>46862</v>
      </c>
      <c r="P69" s="575"/>
      <c r="Q69" s="572" t="e">
        <f>VLOOKUP(G:G,list!B:D,3,FALSE)</f>
        <v>#N/A</v>
      </c>
    </row>
    <row r="70" spans="2:17" ht="18" hidden="1" customHeight="1">
      <c r="B70" s="563">
        <v>65</v>
      </c>
      <c r="C70" s="564" t="e">
        <f>VLOOKUP(G:G,list!B:D,2,FALSE)</f>
        <v>#N/A</v>
      </c>
      <c r="D70" s="564" t="s">
        <v>78</v>
      </c>
      <c r="E70" s="564" t="s">
        <v>115</v>
      </c>
      <c r="F70" s="564" t="s">
        <v>248</v>
      </c>
      <c r="G70" s="564" t="s">
        <v>256</v>
      </c>
      <c r="H70" s="565">
        <v>44327</v>
      </c>
      <c r="I70" s="564" t="s">
        <v>377</v>
      </c>
      <c r="J70" s="586">
        <v>118864</v>
      </c>
      <c r="K70" s="567" t="s">
        <v>370</v>
      </c>
      <c r="L70" s="568">
        <v>83207</v>
      </c>
      <c r="M70" s="569">
        <v>0.1</v>
      </c>
      <c r="N70" s="570">
        <f>L70*M70</f>
        <v>8320.7000000000007</v>
      </c>
      <c r="O70" s="570">
        <f t="shared" si="5"/>
        <v>74886.3</v>
      </c>
      <c r="P70" s="576"/>
      <c r="Q70" s="572" t="e">
        <f>VLOOKUP(G:G,list!B:D,3,FALSE)</f>
        <v>#N/A</v>
      </c>
    </row>
    <row r="71" spans="2:17" ht="18" hidden="1" customHeight="1">
      <c r="B71" s="563">
        <v>66</v>
      </c>
      <c r="C71" s="564" t="e">
        <f>VLOOKUP(G:G,list!B:D,2,FALSE)</f>
        <v>#N/A</v>
      </c>
      <c r="D71" s="564" t="s">
        <v>78</v>
      </c>
      <c r="E71" s="564" t="s">
        <v>115</v>
      </c>
      <c r="F71" s="564" t="s">
        <v>248</v>
      </c>
      <c r="G71" s="564" t="s">
        <v>204</v>
      </c>
      <c r="H71" s="565">
        <v>44328</v>
      </c>
      <c r="I71" s="564" t="s">
        <v>377</v>
      </c>
      <c r="J71" s="586">
        <v>123465</v>
      </c>
      <c r="K71" s="567" t="s">
        <v>370</v>
      </c>
      <c r="L71" s="568">
        <v>86425</v>
      </c>
      <c r="M71" s="569">
        <v>0.1</v>
      </c>
      <c r="N71" s="573">
        <f>L71*M71</f>
        <v>8642.5</v>
      </c>
      <c r="O71" s="570">
        <f t="shared" si="5"/>
        <v>77782.5</v>
      </c>
      <c r="P71" s="576"/>
      <c r="Q71" s="572" t="e">
        <f>VLOOKUP(G:G,list!B:D,3,FALSE)</f>
        <v>#N/A</v>
      </c>
    </row>
    <row r="72" spans="2:17" ht="18" hidden="1" customHeight="1">
      <c r="B72" s="563">
        <v>67</v>
      </c>
      <c r="C72" s="564" t="e">
        <f>VLOOKUP(G:G,list!B:D,2,FALSE)</f>
        <v>#N/A</v>
      </c>
      <c r="D72" s="564" t="s">
        <v>78</v>
      </c>
      <c r="E72" s="564" t="s">
        <v>115</v>
      </c>
      <c r="F72" s="564" t="s">
        <v>248</v>
      </c>
      <c r="G72" s="564" t="s">
        <v>258</v>
      </c>
      <c r="H72" s="565">
        <v>44329</v>
      </c>
      <c r="I72" s="564" t="s">
        <v>377</v>
      </c>
      <c r="J72" s="586">
        <v>665091.5</v>
      </c>
      <c r="K72" s="567" t="s">
        <v>370</v>
      </c>
      <c r="L72" s="568">
        <v>465564</v>
      </c>
      <c r="M72" s="569">
        <v>0.1</v>
      </c>
      <c r="N72" s="573">
        <f>L72*M72</f>
        <v>46556.4</v>
      </c>
      <c r="O72" s="570">
        <f t="shared" si="5"/>
        <v>419007.6</v>
      </c>
      <c r="P72" s="576"/>
      <c r="Q72" s="572" t="e">
        <f>VLOOKUP(G:G,list!B:D,3,FALSE)</f>
        <v>#N/A</v>
      </c>
    </row>
    <row r="73" spans="2:17" ht="18" hidden="1" customHeight="1">
      <c r="B73" s="563">
        <v>68</v>
      </c>
      <c r="C73" s="564" t="e">
        <f>VLOOKUP(G:G,list!B:D,2,FALSE)</f>
        <v>#N/A</v>
      </c>
      <c r="D73" s="564" t="s">
        <v>78</v>
      </c>
      <c r="E73" s="564" t="s">
        <v>9</v>
      </c>
      <c r="F73" s="564" t="s">
        <v>248</v>
      </c>
      <c r="G73" s="564" t="s">
        <v>383</v>
      </c>
      <c r="H73" s="565">
        <v>44152</v>
      </c>
      <c r="I73" s="564" t="s">
        <v>377</v>
      </c>
      <c r="J73" s="586">
        <v>411018.3</v>
      </c>
      <c r="K73" s="567" t="s">
        <v>369</v>
      </c>
      <c r="L73" s="568">
        <v>246612</v>
      </c>
      <c r="M73" s="569">
        <v>0.1</v>
      </c>
      <c r="N73" s="573">
        <f>L73*M73</f>
        <v>24661.200000000001</v>
      </c>
      <c r="O73" s="570">
        <f t="shared" si="5"/>
        <v>221950.8</v>
      </c>
      <c r="P73" s="575"/>
      <c r="Q73" s="572" t="e">
        <f>VLOOKUP(G:G,list!B:D,3,FALSE)</f>
        <v>#N/A</v>
      </c>
    </row>
    <row r="74" spans="2:17" ht="18" hidden="1" customHeight="1">
      <c r="B74" s="563">
        <v>69</v>
      </c>
      <c r="C74" s="564" t="e">
        <f>VLOOKUP(G:G,list!B:D,2,FALSE)</f>
        <v>#N/A</v>
      </c>
      <c r="D74" s="564" t="s">
        <v>78</v>
      </c>
      <c r="E74" s="564" t="s">
        <v>9</v>
      </c>
      <c r="F74" s="564" t="s">
        <v>248</v>
      </c>
      <c r="G74" s="564" t="s">
        <v>381</v>
      </c>
      <c r="H74" s="565">
        <v>44246</v>
      </c>
      <c r="I74" s="564" t="s">
        <v>377</v>
      </c>
      <c r="J74" s="586">
        <v>160182.20000000001</v>
      </c>
      <c r="K74" s="567" t="s">
        <v>369</v>
      </c>
      <c r="L74" s="568">
        <v>96110</v>
      </c>
      <c r="M74" s="569">
        <v>0.1</v>
      </c>
      <c r="N74" s="573">
        <f>L74*M74</f>
        <v>9611</v>
      </c>
      <c r="O74" s="570">
        <f t="shared" si="5"/>
        <v>86499</v>
      </c>
      <c r="P74" s="576"/>
      <c r="Q74" s="572" t="e">
        <f>VLOOKUP(G:G,list!B:D,3,FALSE)</f>
        <v>#N/A</v>
      </c>
    </row>
    <row r="75" spans="2:17" ht="18" hidden="1" customHeight="1">
      <c r="B75" s="563">
        <v>70</v>
      </c>
      <c r="C75" s="564" t="str">
        <f>VLOOKUP(G:G,list!B:D,2,FALSE)</f>
        <v>외부제작</v>
      </c>
      <c r="D75" s="564" t="s">
        <v>78</v>
      </c>
      <c r="E75" s="564" t="s">
        <v>9</v>
      </c>
      <c r="F75" s="564" t="s">
        <v>248</v>
      </c>
      <c r="G75" s="564" t="s">
        <v>277</v>
      </c>
      <c r="H75" s="565">
        <v>44629</v>
      </c>
      <c r="I75" s="564" t="s">
        <v>377</v>
      </c>
      <c r="J75" s="586">
        <v>3006098.5</v>
      </c>
      <c r="K75" s="567" t="s">
        <v>207</v>
      </c>
      <c r="L75" s="568">
        <v>1803659</v>
      </c>
      <c r="M75" s="597">
        <f>-N75</f>
        <v>0</v>
      </c>
      <c r="N75" s="573">
        <v>0</v>
      </c>
      <c r="O75" s="570">
        <f t="shared" si="5"/>
        <v>1803659</v>
      </c>
      <c r="P75" s="575"/>
      <c r="Q75" s="572" t="str">
        <f>VLOOKUP(G:G,list!B:D,3,FALSE)</f>
        <v>N</v>
      </c>
    </row>
    <row r="76" spans="2:17" ht="18" hidden="1" customHeight="1">
      <c r="B76" s="563">
        <v>71</v>
      </c>
      <c r="C76" s="587" t="e">
        <f>VLOOKUP(G:G,list!B:D,2,FALSE)</f>
        <v>#N/A</v>
      </c>
      <c r="D76" s="587" t="s">
        <v>78</v>
      </c>
      <c r="E76" s="587" t="s">
        <v>9</v>
      </c>
      <c r="F76" s="587" t="s">
        <v>371</v>
      </c>
      <c r="G76" s="587" t="s">
        <v>373</v>
      </c>
      <c r="H76" s="588">
        <v>44735</v>
      </c>
      <c r="I76" s="587" t="s">
        <v>377</v>
      </c>
      <c r="J76" s="589">
        <v>53155598.700000003</v>
      </c>
      <c r="K76" s="590" t="s">
        <v>207</v>
      </c>
      <c r="L76" s="591">
        <v>31893360</v>
      </c>
      <c r="M76" s="592">
        <v>0.1</v>
      </c>
      <c r="N76" s="598">
        <f t="shared" ref="N76:N83" si="6">L76*M76</f>
        <v>3189336</v>
      </c>
      <c r="O76" s="593">
        <f t="shared" si="5"/>
        <v>28704024</v>
      </c>
      <c r="P76" s="596" t="s">
        <v>494</v>
      </c>
      <c r="Q76" s="595" t="e">
        <f>VLOOKUP(G:G,list!B:D,3,FALSE)</f>
        <v>#N/A</v>
      </c>
    </row>
    <row r="77" spans="2:17" ht="18" hidden="1" customHeight="1">
      <c r="B77" s="563">
        <v>72</v>
      </c>
      <c r="C77" s="564" t="e">
        <f>VLOOKUP(G:G,list!B:D,2,FALSE)</f>
        <v>#N/A</v>
      </c>
      <c r="D77" s="564" t="s">
        <v>78</v>
      </c>
      <c r="E77" s="564" t="s">
        <v>9</v>
      </c>
      <c r="F77" s="564" t="s">
        <v>175</v>
      </c>
      <c r="G77" s="564" t="s">
        <v>212</v>
      </c>
      <c r="H77" s="565">
        <v>44268</v>
      </c>
      <c r="I77" s="564" t="s">
        <v>377</v>
      </c>
      <c r="J77" s="586">
        <v>5430763.5</v>
      </c>
      <c r="K77" s="567" t="s">
        <v>369</v>
      </c>
      <c r="L77" s="568">
        <v>3258457</v>
      </c>
      <c r="M77" s="569">
        <v>0.1</v>
      </c>
      <c r="N77" s="573">
        <f t="shared" si="6"/>
        <v>325845.7</v>
      </c>
      <c r="O77" s="570">
        <f t="shared" si="5"/>
        <v>2932611.3</v>
      </c>
      <c r="P77" s="576"/>
      <c r="Q77" s="572" t="e">
        <f>VLOOKUP(G:G,list!B:D,3,FALSE)</f>
        <v>#N/A</v>
      </c>
    </row>
    <row r="78" spans="2:17" ht="18" hidden="1" customHeight="1">
      <c r="B78" s="563">
        <v>73</v>
      </c>
      <c r="C78" s="564" t="e">
        <f>VLOOKUP(G:G,list!B:D,2,FALSE)</f>
        <v>#N/A</v>
      </c>
      <c r="D78" s="564" t="s">
        <v>78</v>
      </c>
      <c r="E78" s="564" t="s">
        <v>115</v>
      </c>
      <c r="F78" s="564" t="s">
        <v>172</v>
      </c>
      <c r="G78" s="564" t="s">
        <v>204</v>
      </c>
      <c r="H78" s="565">
        <v>44379</v>
      </c>
      <c r="I78" s="564" t="s">
        <v>377</v>
      </c>
      <c r="J78" s="586">
        <v>92180</v>
      </c>
      <c r="K78" s="567">
        <v>0.6</v>
      </c>
      <c r="L78" s="568">
        <v>55308</v>
      </c>
      <c r="M78" s="569">
        <v>0.1</v>
      </c>
      <c r="N78" s="573">
        <f t="shared" si="6"/>
        <v>5530.8</v>
      </c>
      <c r="O78" s="570">
        <f t="shared" si="5"/>
        <v>49777.2</v>
      </c>
      <c r="P78" s="576"/>
      <c r="Q78" s="572" t="e">
        <f>VLOOKUP(G:G,list!B:D,3,FALSE)</f>
        <v>#N/A</v>
      </c>
    </row>
    <row r="79" spans="2:17" ht="18" hidden="1" customHeight="1">
      <c r="B79" s="563">
        <v>74</v>
      </c>
      <c r="C79" s="564" t="e">
        <f>VLOOKUP(G:G,list!B:D,2,FALSE)</f>
        <v>#N/A</v>
      </c>
      <c r="D79" s="564" t="s">
        <v>78</v>
      </c>
      <c r="E79" s="564" t="s">
        <v>115</v>
      </c>
      <c r="F79" s="564" t="s">
        <v>172</v>
      </c>
      <c r="G79" s="564" t="s">
        <v>256</v>
      </c>
      <c r="H79" s="565">
        <v>44385</v>
      </c>
      <c r="I79" s="564" t="s">
        <v>377</v>
      </c>
      <c r="J79" s="586">
        <v>47535</v>
      </c>
      <c r="K79" s="567">
        <v>0.6</v>
      </c>
      <c r="L79" s="568">
        <v>28521</v>
      </c>
      <c r="M79" s="569">
        <v>0.1</v>
      </c>
      <c r="N79" s="570">
        <f t="shared" si="6"/>
        <v>2852.1000000000004</v>
      </c>
      <c r="O79" s="570">
        <f t="shared" si="5"/>
        <v>25668.9</v>
      </c>
      <c r="P79" s="576"/>
      <c r="Q79" s="572" t="e">
        <f>VLOOKUP(G:G,list!B:D,3,FALSE)</f>
        <v>#N/A</v>
      </c>
    </row>
    <row r="80" spans="2:17" ht="18" hidden="1" customHeight="1">
      <c r="B80" s="563">
        <v>75</v>
      </c>
      <c r="C80" s="564" t="e">
        <f>VLOOKUP(G:G,list!B:D,2,FALSE)</f>
        <v>#N/A</v>
      </c>
      <c r="D80" s="564" t="s">
        <v>78</v>
      </c>
      <c r="E80" s="564" t="s">
        <v>115</v>
      </c>
      <c r="F80" s="564" t="s">
        <v>172</v>
      </c>
      <c r="G80" s="564" t="s">
        <v>258</v>
      </c>
      <c r="H80" s="565">
        <v>44362</v>
      </c>
      <c r="I80" s="564" t="s">
        <v>377</v>
      </c>
      <c r="J80" s="599">
        <v>386865</v>
      </c>
      <c r="K80" s="567">
        <v>0.6</v>
      </c>
      <c r="L80" s="568">
        <v>232119</v>
      </c>
      <c r="M80" s="569">
        <v>0.1</v>
      </c>
      <c r="N80" s="573">
        <f t="shared" si="6"/>
        <v>23211.9</v>
      </c>
      <c r="O80" s="570">
        <f t="shared" si="5"/>
        <v>208907.1</v>
      </c>
      <c r="P80" s="575"/>
      <c r="Q80" s="572" t="e">
        <f>VLOOKUP(G:G,list!B:D,3,FALSE)</f>
        <v>#N/A</v>
      </c>
    </row>
    <row r="81" spans="2:17" ht="18" hidden="1" customHeight="1">
      <c r="B81" s="563">
        <v>76</v>
      </c>
      <c r="C81" s="564" t="e">
        <f>VLOOKUP(G:G,list!B:D,2,FALSE)</f>
        <v>#N/A</v>
      </c>
      <c r="D81" s="564" t="s">
        <v>78</v>
      </c>
      <c r="E81" s="564" t="s">
        <v>115</v>
      </c>
      <c r="F81" s="564" t="s">
        <v>269</v>
      </c>
      <c r="G81" s="564" t="s">
        <v>256</v>
      </c>
      <c r="H81" s="565">
        <v>44553</v>
      </c>
      <c r="I81" s="564" t="s">
        <v>377</v>
      </c>
      <c r="J81" s="586">
        <v>500</v>
      </c>
      <c r="K81" s="567">
        <v>0.7</v>
      </c>
      <c r="L81" s="568">
        <v>350</v>
      </c>
      <c r="M81" s="569">
        <v>0.1</v>
      </c>
      <c r="N81" s="570">
        <f t="shared" si="6"/>
        <v>35</v>
      </c>
      <c r="O81" s="570">
        <f t="shared" si="5"/>
        <v>315</v>
      </c>
      <c r="P81" s="574"/>
      <c r="Q81" s="572" t="e">
        <f>VLOOKUP(G:G,list!B:D,3,FALSE)</f>
        <v>#N/A</v>
      </c>
    </row>
    <row r="82" spans="2:17" ht="18" hidden="1" customHeight="1">
      <c r="B82" s="563">
        <v>77</v>
      </c>
      <c r="C82" s="564" t="e">
        <f>VLOOKUP(G:G,list!B:D,2,FALSE)</f>
        <v>#N/A</v>
      </c>
      <c r="D82" s="564" t="s">
        <v>78</v>
      </c>
      <c r="E82" s="564" t="s">
        <v>115</v>
      </c>
      <c r="F82" s="564" t="s">
        <v>269</v>
      </c>
      <c r="G82" s="564" t="s">
        <v>204</v>
      </c>
      <c r="H82" s="565">
        <v>44554</v>
      </c>
      <c r="I82" s="564" t="s">
        <v>377</v>
      </c>
      <c r="J82" s="586">
        <v>3400</v>
      </c>
      <c r="K82" s="567">
        <v>0.7</v>
      </c>
      <c r="L82" s="568">
        <v>2380</v>
      </c>
      <c r="M82" s="569">
        <v>0.1</v>
      </c>
      <c r="N82" s="573">
        <f t="shared" si="6"/>
        <v>238</v>
      </c>
      <c r="O82" s="570">
        <f t="shared" si="5"/>
        <v>2142</v>
      </c>
      <c r="P82" s="575"/>
      <c r="Q82" s="572" t="e">
        <f>VLOOKUP(G:G,list!B:D,3,FALSE)</f>
        <v>#N/A</v>
      </c>
    </row>
    <row r="83" spans="2:17" ht="18" hidden="1" customHeight="1">
      <c r="B83" s="563">
        <v>78</v>
      </c>
      <c r="C83" s="564" t="e">
        <f>VLOOKUP(G:G,list!B:D,2,FALSE)</f>
        <v>#N/A</v>
      </c>
      <c r="D83" s="564" t="s">
        <v>78</v>
      </c>
      <c r="E83" s="564" t="s">
        <v>115</v>
      </c>
      <c r="F83" s="564" t="s">
        <v>269</v>
      </c>
      <c r="G83" s="564" t="s">
        <v>258</v>
      </c>
      <c r="H83" s="565">
        <v>44554</v>
      </c>
      <c r="I83" s="564" t="s">
        <v>377</v>
      </c>
      <c r="J83" s="586">
        <v>3300</v>
      </c>
      <c r="K83" s="567">
        <v>0.7</v>
      </c>
      <c r="L83" s="568">
        <v>2310</v>
      </c>
      <c r="M83" s="569">
        <v>0.1</v>
      </c>
      <c r="N83" s="573">
        <f t="shared" si="6"/>
        <v>231</v>
      </c>
      <c r="O83" s="570">
        <f t="shared" si="5"/>
        <v>2079</v>
      </c>
      <c r="P83" s="574"/>
      <c r="Q83" s="572" t="e">
        <f>VLOOKUP(G:G,list!B:D,3,FALSE)</f>
        <v>#N/A</v>
      </c>
    </row>
    <row r="84" spans="2:17" ht="18" hidden="1" customHeight="1">
      <c r="B84" s="563">
        <v>79</v>
      </c>
      <c r="C84" s="564" t="e">
        <f>VLOOKUP(G:G,list!B:D,2,FALSE)</f>
        <v>#N/A</v>
      </c>
      <c r="D84" s="564" t="s">
        <v>78</v>
      </c>
      <c r="E84" s="564" t="s">
        <v>115</v>
      </c>
      <c r="F84" s="564" t="s">
        <v>269</v>
      </c>
      <c r="G84" s="564" t="s">
        <v>202</v>
      </c>
      <c r="H84" s="565">
        <v>44609</v>
      </c>
      <c r="I84" s="564" t="s">
        <v>377</v>
      </c>
      <c r="J84" s="586">
        <v>1500</v>
      </c>
      <c r="K84" s="567">
        <v>0.7</v>
      </c>
      <c r="L84" s="568">
        <v>1050</v>
      </c>
      <c r="M84" s="569" t="s">
        <v>203</v>
      </c>
      <c r="N84" s="570">
        <v>0</v>
      </c>
      <c r="O84" s="570">
        <f t="shared" si="5"/>
        <v>1050</v>
      </c>
      <c r="P84" s="574"/>
      <c r="Q84" s="572" t="e">
        <f>VLOOKUP(G:G,list!B:D,3,FALSE)</f>
        <v>#N/A</v>
      </c>
    </row>
    <row r="85" spans="2:17" ht="18" hidden="1" customHeight="1">
      <c r="B85" s="563">
        <v>80</v>
      </c>
      <c r="C85" s="564" t="str">
        <f>VLOOKUP(G:G,list!B:D,2,FALSE)</f>
        <v>작가기획</v>
      </c>
      <c r="D85" s="564" t="s">
        <v>78</v>
      </c>
      <c r="E85" s="564" t="s">
        <v>9</v>
      </c>
      <c r="F85" s="564" t="s">
        <v>131</v>
      </c>
      <c r="G85" s="564" t="s">
        <v>210</v>
      </c>
      <c r="H85" s="565">
        <v>44333</v>
      </c>
      <c r="I85" s="564" t="s">
        <v>377</v>
      </c>
      <c r="J85" s="586">
        <v>45600</v>
      </c>
      <c r="K85" s="567">
        <v>0.5</v>
      </c>
      <c r="L85" s="568">
        <v>22800</v>
      </c>
      <c r="M85" s="569" t="s">
        <v>203</v>
      </c>
      <c r="N85" s="570">
        <v>0</v>
      </c>
      <c r="O85" s="570">
        <f t="shared" si="5"/>
        <v>22800</v>
      </c>
      <c r="P85" s="576"/>
      <c r="Q85" s="572" t="str">
        <f>VLOOKUP(G:G,list!B:D,3,FALSE)</f>
        <v>N</v>
      </c>
    </row>
    <row r="86" spans="2:17" ht="18" hidden="1" customHeight="1">
      <c r="B86" s="563">
        <v>81</v>
      </c>
      <c r="C86" s="564" t="str">
        <f>VLOOKUP(G:G,list!B:D,2,FALSE)</f>
        <v>작가기획</v>
      </c>
      <c r="D86" s="564" t="s">
        <v>177</v>
      </c>
      <c r="E86" s="564" t="s">
        <v>9</v>
      </c>
      <c r="F86" s="564" t="s">
        <v>246</v>
      </c>
      <c r="G86" s="564" t="s">
        <v>180</v>
      </c>
      <c r="H86" s="565">
        <v>44505</v>
      </c>
      <c r="I86" s="564" t="s">
        <v>427</v>
      </c>
      <c r="J86" s="586">
        <v>1082978</v>
      </c>
      <c r="K86" s="567">
        <v>0.4</v>
      </c>
      <c r="L86" s="568">
        <v>433191</v>
      </c>
      <c r="M86" s="569" t="s">
        <v>203</v>
      </c>
      <c r="N86" s="570">
        <v>0</v>
      </c>
      <c r="O86" s="570">
        <f t="shared" si="5"/>
        <v>433191</v>
      </c>
      <c r="P86" s="576"/>
      <c r="Q86" s="572"/>
    </row>
    <row r="87" spans="2:17" ht="18" hidden="1" customHeight="1">
      <c r="B87" s="563">
        <v>82</v>
      </c>
      <c r="C87" s="564" t="e">
        <f>VLOOKUP(G:G,list!B:D,2,FALSE)</f>
        <v>#N/A</v>
      </c>
      <c r="D87" s="564" t="s">
        <v>177</v>
      </c>
      <c r="E87" s="564" t="s">
        <v>9</v>
      </c>
      <c r="F87" s="564" t="s">
        <v>257</v>
      </c>
      <c r="G87" s="564" t="s">
        <v>179</v>
      </c>
      <c r="H87" s="565">
        <v>44419</v>
      </c>
      <c r="I87" s="564" t="s">
        <v>377</v>
      </c>
      <c r="J87" s="599">
        <v>9278387</v>
      </c>
      <c r="K87" s="600">
        <v>0.28000008425415068</v>
      </c>
      <c r="L87" s="568">
        <v>2597949</v>
      </c>
      <c r="M87" s="569">
        <v>0.1</v>
      </c>
      <c r="N87" s="573">
        <f t="shared" ref="N87:N98" si="7">L87*M87</f>
        <v>259794.90000000002</v>
      </c>
      <c r="O87" s="570">
        <f t="shared" si="5"/>
        <v>2338154.1</v>
      </c>
      <c r="P87" s="575" t="s">
        <v>85</v>
      </c>
      <c r="Q87" s="572" t="e">
        <f>VLOOKUP(G:G,list!B:D,3,FALSE)</f>
        <v>#N/A</v>
      </c>
    </row>
    <row r="88" spans="2:17" ht="18" hidden="1" customHeight="1">
      <c r="B88" s="563">
        <v>83</v>
      </c>
      <c r="C88" s="564" t="e">
        <f>VLOOKUP(G:G,list!B:D,2,FALSE)</f>
        <v>#N/A</v>
      </c>
      <c r="D88" s="564" t="s">
        <v>177</v>
      </c>
      <c r="E88" s="564" t="s">
        <v>9</v>
      </c>
      <c r="F88" s="564" t="s">
        <v>257</v>
      </c>
      <c r="G88" s="564" t="s">
        <v>212</v>
      </c>
      <c r="H88" s="565">
        <v>44477</v>
      </c>
      <c r="I88" s="564" t="s">
        <v>411</v>
      </c>
      <c r="J88" s="599">
        <v>3666032</v>
      </c>
      <c r="K88" s="601">
        <v>0.24500002911191202</v>
      </c>
      <c r="L88" s="568">
        <v>898178</v>
      </c>
      <c r="M88" s="569">
        <v>0.1</v>
      </c>
      <c r="N88" s="573">
        <f t="shared" si="7"/>
        <v>89817.8</v>
      </c>
      <c r="O88" s="570">
        <f t="shared" si="5"/>
        <v>808360.2</v>
      </c>
      <c r="P88" s="602"/>
      <c r="Q88" s="572" t="e">
        <f>VLOOKUP(G:G,list!B:D,3,FALSE)</f>
        <v>#N/A</v>
      </c>
    </row>
    <row r="89" spans="2:17" ht="18" hidden="1" customHeight="1">
      <c r="B89" s="563">
        <v>84</v>
      </c>
      <c r="C89" s="564" t="e">
        <f>VLOOKUP(G:G,list!B:D,2,FALSE)</f>
        <v>#N/A</v>
      </c>
      <c r="D89" s="564" t="s">
        <v>177</v>
      </c>
      <c r="E89" s="564" t="s">
        <v>9</v>
      </c>
      <c r="F89" s="564" t="s">
        <v>257</v>
      </c>
      <c r="G89" s="564" t="s">
        <v>335</v>
      </c>
      <c r="H89" s="565">
        <v>44636</v>
      </c>
      <c r="I89" s="564" t="s">
        <v>411</v>
      </c>
      <c r="J89" s="599">
        <v>1136600</v>
      </c>
      <c r="K89" s="600">
        <v>0.35</v>
      </c>
      <c r="L89" s="568">
        <v>397810</v>
      </c>
      <c r="M89" s="569">
        <v>0.1</v>
      </c>
      <c r="N89" s="570">
        <f t="shared" si="7"/>
        <v>39781</v>
      </c>
      <c r="O89" s="570">
        <f t="shared" si="5"/>
        <v>358029</v>
      </c>
      <c r="P89" s="602"/>
      <c r="Q89" s="572" t="e">
        <f>VLOOKUP(G:G,list!B:D,3,FALSE)</f>
        <v>#N/A</v>
      </c>
    </row>
    <row r="90" spans="2:17" ht="18" hidden="1" customHeight="1">
      <c r="B90" s="563">
        <v>85</v>
      </c>
      <c r="C90" s="564" t="e">
        <f>VLOOKUP(G:G,list!B:D,2,FALSE)</f>
        <v>#N/A</v>
      </c>
      <c r="D90" s="564" t="s">
        <v>177</v>
      </c>
      <c r="E90" s="564" t="s">
        <v>9</v>
      </c>
      <c r="F90" s="564" t="s">
        <v>257</v>
      </c>
      <c r="G90" s="564" t="s">
        <v>336</v>
      </c>
      <c r="H90" s="565">
        <v>44676</v>
      </c>
      <c r="I90" s="564" t="s">
        <v>411</v>
      </c>
      <c r="J90" s="599">
        <v>1364036</v>
      </c>
      <c r="K90" s="601">
        <v>0.27999936182708907</v>
      </c>
      <c r="L90" s="568">
        <v>381930</v>
      </c>
      <c r="M90" s="569">
        <v>0.1</v>
      </c>
      <c r="N90" s="570">
        <f t="shared" si="7"/>
        <v>38193</v>
      </c>
      <c r="O90" s="570">
        <f t="shared" si="5"/>
        <v>343737</v>
      </c>
      <c r="P90" s="575"/>
      <c r="Q90" s="572" t="e">
        <f>VLOOKUP(G:G,list!B:D,3,FALSE)</f>
        <v>#N/A</v>
      </c>
    </row>
    <row r="91" spans="2:17" ht="18" hidden="1" customHeight="1">
      <c r="B91" s="563">
        <v>86</v>
      </c>
      <c r="C91" s="564" t="e">
        <f>VLOOKUP(G:G,list!B:D,2,FALSE)</f>
        <v>#N/A</v>
      </c>
      <c r="D91" s="564" t="s">
        <v>23</v>
      </c>
      <c r="E91" s="564" t="s">
        <v>62</v>
      </c>
      <c r="F91" s="564" t="s">
        <v>213</v>
      </c>
      <c r="G91" s="564" t="s">
        <v>10</v>
      </c>
      <c r="H91" s="565">
        <v>44356</v>
      </c>
      <c r="I91" s="564" t="s">
        <v>368</v>
      </c>
      <c r="J91" s="599">
        <v>7570683</v>
      </c>
      <c r="K91" s="600">
        <v>0.3</v>
      </c>
      <c r="L91" s="568">
        <v>2271205</v>
      </c>
      <c r="M91" s="569">
        <v>0.1</v>
      </c>
      <c r="N91" s="570">
        <f>L91*M91</f>
        <v>227120.5</v>
      </c>
      <c r="O91" s="570">
        <f t="shared" si="5"/>
        <v>2044084.5</v>
      </c>
      <c r="P91" s="575" t="s">
        <v>307</v>
      </c>
      <c r="Q91" s="572"/>
    </row>
    <row r="92" spans="2:17" ht="18" hidden="1" customHeight="1">
      <c r="B92" s="563">
        <v>87</v>
      </c>
      <c r="C92" s="564" t="e">
        <f>VLOOKUP(G:G,list!B:D,2,FALSE)</f>
        <v>#N/A</v>
      </c>
      <c r="D92" s="564" t="s">
        <v>23</v>
      </c>
      <c r="E92" s="564" t="s">
        <v>62</v>
      </c>
      <c r="F92" s="564" t="s">
        <v>213</v>
      </c>
      <c r="G92" s="564" t="s">
        <v>17</v>
      </c>
      <c r="H92" s="565">
        <v>44598</v>
      </c>
      <c r="I92" s="564" t="s">
        <v>368</v>
      </c>
      <c r="J92" s="599">
        <v>3986963</v>
      </c>
      <c r="K92" s="600">
        <v>0.3</v>
      </c>
      <c r="L92" s="568">
        <v>1196089</v>
      </c>
      <c r="M92" s="569">
        <v>0.12</v>
      </c>
      <c r="N92" s="573">
        <f t="shared" si="7"/>
        <v>143530.68</v>
      </c>
      <c r="O92" s="570">
        <f t="shared" si="5"/>
        <v>1052558.32</v>
      </c>
      <c r="P92" s="575" t="s">
        <v>307</v>
      </c>
      <c r="Q92" s="572"/>
    </row>
    <row r="93" spans="2:17" ht="18" hidden="1" customHeight="1">
      <c r="B93" s="563">
        <v>88</v>
      </c>
      <c r="C93" s="564" t="e">
        <f>VLOOKUP(G:G,list!B:D,2,FALSE)</f>
        <v>#N/A</v>
      </c>
      <c r="D93" s="564" t="s">
        <v>183</v>
      </c>
      <c r="E93" s="564" t="s">
        <v>62</v>
      </c>
      <c r="F93" s="564" t="s">
        <v>213</v>
      </c>
      <c r="G93" s="564" t="s">
        <v>10</v>
      </c>
      <c r="H93" s="565">
        <v>44456</v>
      </c>
      <c r="I93" s="564" t="s">
        <v>368</v>
      </c>
      <c r="J93" s="599">
        <v>615597</v>
      </c>
      <c r="K93" s="600">
        <v>0.3</v>
      </c>
      <c r="L93" s="568">
        <v>184679</v>
      </c>
      <c r="M93" s="569">
        <v>0.1</v>
      </c>
      <c r="N93" s="570">
        <f>L93*M93</f>
        <v>18467.900000000001</v>
      </c>
      <c r="O93" s="570">
        <f t="shared" ref="O93:O96" si="8">L93-N93</f>
        <v>166211.1</v>
      </c>
      <c r="P93" s="575" t="s">
        <v>307</v>
      </c>
      <c r="Q93" s="572"/>
    </row>
    <row r="94" spans="2:17" ht="18" hidden="1" customHeight="1">
      <c r="B94" s="563">
        <v>89</v>
      </c>
      <c r="C94" s="564" t="e">
        <f>VLOOKUP(G:G,list!B:D,2,FALSE)</f>
        <v>#N/A</v>
      </c>
      <c r="D94" s="564" t="s">
        <v>183</v>
      </c>
      <c r="E94" s="564" t="s">
        <v>62</v>
      </c>
      <c r="F94" s="564" t="s">
        <v>213</v>
      </c>
      <c r="G94" s="564" t="s">
        <v>59</v>
      </c>
      <c r="H94" s="565">
        <v>44661</v>
      </c>
      <c r="I94" s="564" t="s">
        <v>368</v>
      </c>
      <c r="J94" s="599">
        <v>1502227</v>
      </c>
      <c r="K94" s="600">
        <v>0.3</v>
      </c>
      <c r="L94" s="568">
        <v>450668</v>
      </c>
      <c r="M94" s="569">
        <v>0.1</v>
      </c>
      <c r="N94" s="570">
        <f t="shared" si="7"/>
        <v>45066.8</v>
      </c>
      <c r="O94" s="570">
        <f t="shared" si="8"/>
        <v>405601.2</v>
      </c>
      <c r="P94" s="575" t="s">
        <v>307</v>
      </c>
      <c r="Q94" s="572"/>
    </row>
    <row r="95" spans="2:17" ht="18" hidden="1" customHeight="1">
      <c r="B95" s="563">
        <v>90</v>
      </c>
      <c r="C95" s="564" t="e">
        <f>VLOOKUP(G:G,list!B:D,2,FALSE)</f>
        <v>#N/A</v>
      </c>
      <c r="D95" s="564" t="s">
        <v>183</v>
      </c>
      <c r="E95" s="564" t="s">
        <v>62</v>
      </c>
      <c r="F95" s="564" t="s">
        <v>213</v>
      </c>
      <c r="G95" s="564" t="s">
        <v>57</v>
      </c>
      <c r="H95" s="565">
        <v>44691</v>
      </c>
      <c r="I95" s="564" t="s">
        <v>368</v>
      </c>
      <c r="J95" s="599">
        <v>280360</v>
      </c>
      <c r="K95" s="600">
        <v>0.3</v>
      </c>
      <c r="L95" s="568">
        <v>84108</v>
      </c>
      <c r="M95" s="569">
        <v>0.1</v>
      </c>
      <c r="N95" s="570">
        <f t="shared" si="7"/>
        <v>8410.8000000000011</v>
      </c>
      <c r="O95" s="570">
        <f t="shared" si="8"/>
        <v>75697.2</v>
      </c>
      <c r="P95" s="575" t="s">
        <v>432</v>
      </c>
      <c r="Q95" s="572"/>
    </row>
    <row r="96" spans="2:17" ht="18" hidden="1" customHeight="1">
      <c r="B96" s="563">
        <v>91</v>
      </c>
      <c r="C96" s="564" t="e">
        <f>VLOOKUP(G:G,list!B:D,2,FALSE)</f>
        <v>#N/A</v>
      </c>
      <c r="D96" s="564" t="s">
        <v>183</v>
      </c>
      <c r="E96" s="564" t="s">
        <v>62</v>
      </c>
      <c r="F96" s="564" t="s">
        <v>213</v>
      </c>
      <c r="G96" s="564" t="s">
        <v>173</v>
      </c>
      <c r="H96" s="565">
        <v>44720</v>
      </c>
      <c r="I96" s="564" t="s">
        <v>368</v>
      </c>
      <c r="J96" s="599">
        <v>2447173</v>
      </c>
      <c r="K96" s="600">
        <v>0.3</v>
      </c>
      <c r="L96" s="568">
        <v>734152</v>
      </c>
      <c r="M96" s="569">
        <v>0.1</v>
      </c>
      <c r="N96" s="570">
        <f t="shared" si="7"/>
        <v>73415.199999999997</v>
      </c>
      <c r="O96" s="570">
        <f t="shared" si="8"/>
        <v>660736.80000000005</v>
      </c>
      <c r="P96" s="575" t="s">
        <v>337</v>
      </c>
      <c r="Q96" s="572"/>
    </row>
    <row r="97" spans="2:17" ht="18" hidden="1" customHeight="1">
      <c r="B97" s="563">
        <v>92</v>
      </c>
      <c r="C97" s="564" t="e">
        <f>VLOOKUP(G:G,list!B:D,2,FALSE)</f>
        <v>#N/A</v>
      </c>
      <c r="D97" s="564" t="s">
        <v>66</v>
      </c>
      <c r="E97" s="564" t="s">
        <v>64</v>
      </c>
      <c r="F97" s="564" t="s">
        <v>65</v>
      </c>
      <c r="G97" s="564" t="s">
        <v>152</v>
      </c>
      <c r="H97" s="565">
        <v>44235</v>
      </c>
      <c r="I97" s="564" t="s">
        <v>377</v>
      </c>
      <c r="J97" s="599">
        <v>533905</v>
      </c>
      <c r="K97" s="603">
        <v>0.4</v>
      </c>
      <c r="L97" s="568">
        <v>213562</v>
      </c>
      <c r="M97" s="569">
        <v>0.12</v>
      </c>
      <c r="N97" s="573">
        <f t="shared" si="7"/>
        <v>25627.439999999999</v>
      </c>
      <c r="O97" s="570">
        <f t="shared" ref="O97:O115" si="9">L97-N97</f>
        <v>187934.56</v>
      </c>
      <c r="P97" s="576"/>
      <c r="Q97" s="572" t="e">
        <f>VLOOKUP(G:G,list!B:D,3,FALSE)</f>
        <v>#N/A</v>
      </c>
    </row>
    <row r="98" spans="2:17" ht="18" hidden="1" customHeight="1">
      <c r="B98" s="563">
        <v>93</v>
      </c>
      <c r="C98" s="564" t="e">
        <f>VLOOKUP(G:G,list!B:D,2,FALSE)</f>
        <v>#N/A</v>
      </c>
      <c r="D98" s="564" t="s">
        <v>66</v>
      </c>
      <c r="E98" s="564" t="s">
        <v>64</v>
      </c>
      <c r="F98" s="564" t="s">
        <v>65</v>
      </c>
      <c r="G98" s="564" t="s">
        <v>179</v>
      </c>
      <c r="H98" s="565">
        <v>44198</v>
      </c>
      <c r="I98" s="564" t="s">
        <v>377</v>
      </c>
      <c r="J98" s="599">
        <v>494848</v>
      </c>
      <c r="K98" s="603">
        <v>0.4</v>
      </c>
      <c r="L98" s="568">
        <v>197939</v>
      </c>
      <c r="M98" s="569">
        <v>0.1</v>
      </c>
      <c r="N98" s="573">
        <f t="shared" si="7"/>
        <v>19793.900000000001</v>
      </c>
      <c r="O98" s="570">
        <f t="shared" si="9"/>
        <v>178145.1</v>
      </c>
      <c r="P98" s="575" t="s">
        <v>85</v>
      </c>
      <c r="Q98" s="572" t="e">
        <f>VLOOKUP(G:G,list!B:D,3,FALSE)</f>
        <v>#N/A</v>
      </c>
    </row>
    <row r="99" spans="2:17" ht="18" hidden="1" customHeight="1">
      <c r="B99" s="563">
        <v>94</v>
      </c>
      <c r="C99" s="564" t="e">
        <f>VLOOKUP(G:G,list!B:D,2,FALSE)</f>
        <v>#N/A</v>
      </c>
      <c r="D99" s="564" t="s">
        <v>66</v>
      </c>
      <c r="E99" s="564" t="s">
        <v>64</v>
      </c>
      <c r="F99" s="564" t="s">
        <v>65</v>
      </c>
      <c r="G99" s="564" t="s">
        <v>147</v>
      </c>
      <c r="H99" s="565">
        <v>44288</v>
      </c>
      <c r="I99" s="564" t="s">
        <v>377</v>
      </c>
      <c r="J99" s="599">
        <v>274918</v>
      </c>
      <c r="K99" s="603">
        <v>0.4</v>
      </c>
      <c r="L99" s="568">
        <v>109967</v>
      </c>
      <c r="M99" s="569" t="s">
        <v>203</v>
      </c>
      <c r="N99" s="573">
        <v>0</v>
      </c>
      <c r="O99" s="570">
        <f t="shared" si="9"/>
        <v>109967</v>
      </c>
      <c r="P99" s="576"/>
      <c r="Q99" s="572" t="e">
        <f>VLOOKUP(G:G,list!B:D,3,FALSE)</f>
        <v>#N/A</v>
      </c>
    </row>
    <row r="100" spans="2:17" ht="18" hidden="1" customHeight="1">
      <c r="B100" s="563">
        <v>95</v>
      </c>
      <c r="C100" s="564" t="e">
        <f>VLOOKUP(G:G,list!B:D,2,FALSE)</f>
        <v>#N/A</v>
      </c>
      <c r="D100" s="564" t="s">
        <v>66</v>
      </c>
      <c r="E100" s="564" t="s">
        <v>64</v>
      </c>
      <c r="F100" s="564" t="s">
        <v>65</v>
      </c>
      <c r="G100" s="564" t="s">
        <v>187</v>
      </c>
      <c r="H100" s="565">
        <v>44289</v>
      </c>
      <c r="I100" s="564" t="s">
        <v>377</v>
      </c>
      <c r="J100" s="599">
        <v>283693</v>
      </c>
      <c r="K100" s="603">
        <v>0.4</v>
      </c>
      <c r="L100" s="568">
        <v>113477</v>
      </c>
      <c r="M100" s="569" t="s">
        <v>203</v>
      </c>
      <c r="N100" s="573">
        <v>0</v>
      </c>
      <c r="O100" s="570">
        <f t="shared" si="9"/>
        <v>113477</v>
      </c>
      <c r="P100" s="575"/>
      <c r="Q100" s="572" t="e">
        <f>VLOOKUP(G:G,list!B:D,3,FALSE)</f>
        <v>#N/A</v>
      </c>
    </row>
    <row r="101" spans="2:17" ht="18" hidden="1" customHeight="1">
      <c r="B101" s="563">
        <v>96</v>
      </c>
      <c r="C101" s="564" t="e">
        <f>VLOOKUP(G:G,list!B:D,2,FALSE)</f>
        <v>#N/A</v>
      </c>
      <c r="D101" s="564" t="s">
        <v>66</v>
      </c>
      <c r="E101" s="564" t="s">
        <v>64</v>
      </c>
      <c r="F101" s="564" t="s">
        <v>65</v>
      </c>
      <c r="G101" s="564" t="s">
        <v>74</v>
      </c>
      <c r="H101" s="565">
        <v>44246</v>
      </c>
      <c r="I101" s="564" t="s">
        <v>377</v>
      </c>
      <c r="J101" s="599">
        <v>216533</v>
      </c>
      <c r="K101" s="603">
        <v>0.4</v>
      </c>
      <c r="L101" s="568">
        <v>86613</v>
      </c>
      <c r="M101" s="569">
        <v>0.1</v>
      </c>
      <c r="N101" s="570">
        <f>L101*M101</f>
        <v>8661.3000000000011</v>
      </c>
      <c r="O101" s="570">
        <f t="shared" si="9"/>
        <v>77951.7</v>
      </c>
      <c r="P101" s="576"/>
      <c r="Q101" s="572" t="e">
        <f>VLOOKUP(G:G,list!B:D,3,FALSE)</f>
        <v>#N/A</v>
      </c>
    </row>
    <row r="102" spans="2:17" ht="18" hidden="1" customHeight="1">
      <c r="B102" s="563">
        <v>97</v>
      </c>
      <c r="C102" s="564" t="e">
        <f>VLOOKUP(G:G,list!B:D,2,FALSE)</f>
        <v>#N/A</v>
      </c>
      <c r="D102" s="564" t="s">
        <v>66</v>
      </c>
      <c r="E102" s="564" t="s">
        <v>64</v>
      </c>
      <c r="F102" s="564" t="s">
        <v>65</v>
      </c>
      <c r="G102" s="564" t="s">
        <v>188</v>
      </c>
      <c r="H102" s="565">
        <v>44415</v>
      </c>
      <c r="I102" s="564" t="s">
        <v>377</v>
      </c>
      <c r="J102" s="599">
        <v>272195</v>
      </c>
      <c r="K102" s="603">
        <v>0.4</v>
      </c>
      <c r="L102" s="568">
        <v>108878</v>
      </c>
      <c r="M102" s="569" t="s">
        <v>203</v>
      </c>
      <c r="N102" s="573">
        <v>0</v>
      </c>
      <c r="O102" s="570">
        <f t="shared" si="9"/>
        <v>108878</v>
      </c>
      <c r="P102" s="576"/>
      <c r="Q102" s="572" t="e">
        <f>VLOOKUP(G:G,list!B:D,3,FALSE)</f>
        <v>#N/A</v>
      </c>
    </row>
    <row r="103" spans="2:17" ht="18" hidden="1" customHeight="1">
      <c r="B103" s="563">
        <v>98</v>
      </c>
      <c r="C103" s="564" t="str">
        <f>VLOOKUP(G:G,list!B:D,2,FALSE)</f>
        <v>원작료</v>
      </c>
      <c r="D103" s="564" t="s">
        <v>66</v>
      </c>
      <c r="E103" s="564" t="s">
        <v>64</v>
      </c>
      <c r="F103" s="564" t="s">
        <v>65</v>
      </c>
      <c r="G103" s="564" t="s">
        <v>151</v>
      </c>
      <c r="H103" s="565">
        <v>44586</v>
      </c>
      <c r="I103" s="564" t="s">
        <v>377</v>
      </c>
      <c r="J103" s="599">
        <v>576963</v>
      </c>
      <c r="K103" s="603">
        <v>0.4</v>
      </c>
      <c r="L103" s="568">
        <v>230785</v>
      </c>
      <c r="M103" s="569">
        <v>0.1</v>
      </c>
      <c r="N103" s="570">
        <f>L103*M103</f>
        <v>23078.5</v>
      </c>
      <c r="O103" s="570">
        <f>L103-N103</f>
        <v>207706.5</v>
      </c>
      <c r="P103" s="576"/>
      <c r="Q103" s="572" t="str">
        <f>VLOOKUP(G:G,list!B:D,3,FALSE)</f>
        <v>Y</v>
      </c>
    </row>
    <row r="104" spans="2:17" ht="18" hidden="1" customHeight="1">
      <c r="B104" s="563">
        <v>99</v>
      </c>
      <c r="C104" s="564" t="e">
        <f>VLOOKUP(G:G,list!B:D,2,FALSE)</f>
        <v>#N/A</v>
      </c>
      <c r="D104" s="564" t="s">
        <v>66</v>
      </c>
      <c r="E104" s="564" t="s">
        <v>64</v>
      </c>
      <c r="F104" s="564" t="s">
        <v>65</v>
      </c>
      <c r="G104" s="564" t="s">
        <v>153</v>
      </c>
      <c r="H104" s="565">
        <v>44702</v>
      </c>
      <c r="I104" s="564" t="s">
        <v>377</v>
      </c>
      <c r="J104" s="599">
        <v>523923</v>
      </c>
      <c r="K104" s="603">
        <v>0.4</v>
      </c>
      <c r="L104" s="568">
        <v>209569</v>
      </c>
      <c r="M104" s="569">
        <v>0.1</v>
      </c>
      <c r="N104" s="570">
        <f t="shared" ref="N104:N115" si="10">L104*M104</f>
        <v>20956.900000000001</v>
      </c>
      <c r="O104" s="570">
        <f t="shared" si="9"/>
        <v>188612.1</v>
      </c>
      <c r="P104" s="575"/>
      <c r="Q104" s="572" t="e">
        <f>VLOOKUP(G:G,list!B:D,3,FALSE)</f>
        <v>#N/A</v>
      </c>
    </row>
    <row r="105" spans="2:17" ht="18" hidden="1" customHeight="1">
      <c r="B105" s="563">
        <v>100</v>
      </c>
      <c r="C105" s="564" t="e">
        <f>VLOOKUP(G:G,list!B:D,2,FALSE)</f>
        <v>#N/A</v>
      </c>
      <c r="D105" s="564" t="s">
        <v>69</v>
      </c>
      <c r="E105" s="564" t="s">
        <v>68</v>
      </c>
      <c r="F105" s="564" t="s">
        <v>70</v>
      </c>
      <c r="G105" s="564" t="s">
        <v>179</v>
      </c>
      <c r="H105" s="565">
        <v>44293</v>
      </c>
      <c r="I105" s="564" t="s">
        <v>368</v>
      </c>
      <c r="J105" s="599">
        <v>7982</v>
      </c>
      <c r="K105" s="600">
        <v>0.5</v>
      </c>
      <c r="L105" s="568">
        <v>3990.9867741935482</v>
      </c>
      <c r="M105" s="569">
        <v>0.1</v>
      </c>
      <c r="N105" s="573">
        <f t="shared" si="10"/>
        <v>399.09867741935483</v>
      </c>
      <c r="O105" s="570">
        <f t="shared" si="9"/>
        <v>3591.8880967741934</v>
      </c>
      <c r="P105" s="575" t="s">
        <v>85</v>
      </c>
      <c r="Q105" s="572" t="e">
        <f>VLOOKUP(G:G,list!B:D,3,FALSE)</f>
        <v>#N/A</v>
      </c>
    </row>
    <row r="106" spans="2:17" ht="18" hidden="1" customHeight="1">
      <c r="B106" s="563">
        <v>101</v>
      </c>
      <c r="C106" s="564" t="e">
        <f>VLOOKUP(G:G,list!B:D,2,FALSE)</f>
        <v>#N/A</v>
      </c>
      <c r="D106" s="564" t="s">
        <v>69</v>
      </c>
      <c r="E106" s="564" t="s">
        <v>68</v>
      </c>
      <c r="F106" s="564" t="s">
        <v>70</v>
      </c>
      <c r="G106" s="564" t="s">
        <v>74</v>
      </c>
      <c r="H106" s="565">
        <v>44341</v>
      </c>
      <c r="I106" s="564" t="s">
        <v>368</v>
      </c>
      <c r="J106" s="599">
        <v>2716</v>
      </c>
      <c r="K106" s="600">
        <v>0.5</v>
      </c>
      <c r="L106" s="568">
        <v>1357.7583870967742</v>
      </c>
      <c r="M106" s="569">
        <v>0.1</v>
      </c>
      <c r="N106" s="570">
        <f t="shared" si="10"/>
        <v>135.77583870967743</v>
      </c>
      <c r="O106" s="570">
        <f t="shared" si="9"/>
        <v>1221.9825483870968</v>
      </c>
      <c r="P106" s="602"/>
      <c r="Q106" s="572" t="e">
        <f>VLOOKUP(G:G,list!B:D,3,FALSE)</f>
        <v>#N/A</v>
      </c>
    </row>
    <row r="107" spans="2:17" ht="18" hidden="1" customHeight="1">
      <c r="B107" s="563">
        <v>102</v>
      </c>
      <c r="C107" s="564" t="e">
        <f>VLOOKUP(G:G,list!B:D,2,FALSE)</f>
        <v>#N/A</v>
      </c>
      <c r="D107" s="564" t="s">
        <v>69</v>
      </c>
      <c r="E107" s="564" t="s">
        <v>68</v>
      </c>
      <c r="F107" s="564" t="s">
        <v>70</v>
      </c>
      <c r="G107" s="564" t="s">
        <v>152</v>
      </c>
      <c r="H107" s="565">
        <v>44291</v>
      </c>
      <c r="I107" s="564" t="s">
        <v>368</v>
      </c>
      <c r="J107" s="599">
        <v>2139</v>
      </c>
      <c r="K107" s="600">
        <v>0.5</v>
      </c>
      <c r="L107" s="568">
        <v>1069.7490322580645</v>
      </c>
      <c r="M107" s="569">
        <v>0.12</v>
      </c>
      <c r="N107" s="573">
        <f t="shared" si="10"/>
        <v>128.36988387096773</v>
      </c>
      <c r="O107" s="570">
        <f t="shared" si="9"/>
        <v>941.37914838709685</v>
      </c>
      <c r="P107" s="602"/>
      <c r="Q107" s="572" t="e">
        <f>VLOOKUP(G:G,list!B:D,3,FALSE)</f>
        <v>#N/A</v>
      </c>
    </row>
    <row r="108" spans="2:17" ht="18" hidden="1" customHeight="1">
      <c r="B108" s="563">
        <v>103</v>
      </c>
      <c r="C108" s="564" t="e">
        <f>VLOOKUP(G:G,list!B:D,2,FALSE)</f>
        <v>#N/A</v>
      </c>
      <c r="D108" s="564" t="s">
        <v>69</v>
      </c>
      <c r="E108" s="564" t="s">
        <v>68</v>
      </c>
      <c r="F108" s="564" t="s">
        <v>70</v>
      </c>
      <c r="G108" s="564" t="s">
        <v>153</v>
      </c>
      <c r="H108" s="565">
        <v>44410</v>
      </c>
      <c r="I108" s="564" t="s">
        <v>368</v>
      </c>
      <c r="J108" s="599">
        <v>905</v>
      </c>
      <c r="K108" s="600">
        <v>0.5</v>
      </c>
      <c r="L108" s="568">
        <v>452.58612903225804</v>
      </c>
      <c r="M108" s="569">
        <v>0.1</v>
      </c>
      <c r="N108" s="570">
        <f t="shared" si="10"/>
        <v>45.25861290322581</v>
      </c>
      <c r="O108" s="570">
        <f t="shared" si="9"/>
        <v>407.32751612903223</v>
      </c>
      <c r="P108" s="573"/>
      <c r="Q108" s="572" t="e">
        <f>VLOOKUP(G:G,list!B:D,3,FALSE)</f>
        <v>#N/A</v>
      </c>
    </row>
    <row r="109" spans="2:17" ht="18" hidden="1" customHeight="1">
      <c r="B109" s="563">
        <v>104</v>
      </c>
      <c r="C109" s="564" t="str">
        <f>VLOOKUP(G:G,list!B:D,2,FALSE)</f>
        <v>원작료</v>
      </c>
      <c r="D109" s="564" t="s">
        <v>69</v>
      </c>
      <c r="E109" s="564" t="s">
        <v>68</v>
      </c>
      <c r="F109" s="564" t="s">
        <v>70</v>
      </c>
      <c r="G109" s="564" t="s">
        <v>151</v>
      </c>
      <c r="H109" s="565">
        <v>44524</v>
      </c>
      <c r="I109" s="564" t="s">
        <v>368</v>
      </c>
      <c r="J109" s="599">
        <v>2633</v>
      </c>
      <c r="K109" s="600">
        <v>0.5</v>
      </c>
      <c r="L109" s="568">
        <v>1316.6141935483872</v>
      </c>
      <c r="M109" s="569">
        <v>0.1</v>
      </c>
      <c r="N109" s="570">
        <f>L109*M109</f>
        <v>131.66141935483873</v>
      </c>
      <c r="O109" s="570">
        <f>L109-N109</f>
        <v>1184.9527741935485</v>
      </c>
      <c r="P109" s="571"/>
      <c r="Q109" s="572" t="str">
        <f>VLOOKUP(G:G,list!B:D,3,FALSE)</f>
        <v>Y</v>
      </c>
    </row>
    <row r="110" spans="2:17" ht="18" hidden="1" customHeight="1">
      <c r="B110" s="563">
        <v>105</v>
      </c>
      <c r="C110" s="564" t="e">
        <f>VLOOKUP(G:G,list!B:D,2,FALSE)</f>
        <v>#N/A</v>
      </c>
      <c r="D110" s="564" t="s">
        <v>27</v>
      </c>
      <c r="E110" s="564" t="s">
        <v>62</v>
      </c>
      <c r="F110" s="564" t="s">
        <v>326</v>
      </c>
      <c r="G110" s="564" t="s">
        <v>43</v>
      </c>
      <c r="H110" s="565">
        <v>44408</v>
      </c>
      <c r="I110" s="564" t="s">
        <v>323</v>
      </c>
      <c r="J110" s="599">
        <v>25138824</v>
      </c>
      <c r="K110" s="601">
        <v>0.245</v>
      </c>
      <c r="L110" s="568">
        <v>5543110</v>
      </c>
      <c r="M110" s="569">
        <v>0.1</v>
      </c>
      <c r="N110" s="573">
        <f t="shared" si="10"/>
        <v>554311</v>
      </c>
      <c r="O110" s="570">
        <f t="shared" si="9"/>
        <v>4988799</v>
      </c>
      <c r="P110" s="571"/>
      <c r="Q110" s="572"/>
    </row>
    <row r="111" spans="2:17" ht="18" hidden="1" customHeight="1">
      <c r="B111" s="563">
        <v>106</v>
      </c>
      <c r="C111" s="564" t="e">
        <f>VLOOKUP(G:G,list!B:D,2,FALSE)</f>
        <v>#N/A</v>
      </c>
      <c r="D111" s="564" t="s">
        <v>27</v>
      </c>
      <c r="E111" s="564" t="s">
        <v>62</v>
      </c>
      <c r="F111" s="564" t="s">
        <v>326</v>
      </c>
      <c r="G111" s="564" t="s">
        <v>43</v>
      </c>
      <c r="H111" s="565">
        <v>44408</v>
      </c>
      <c r="I111" s="564" t="s">
        <v>351</v>
      </c>
      <c r="J111" s="599">
        <v>23872639</v>
      </c>
      <c r="K111" s="601">
        <v>0.245</v>
      </c>
      <c r="L111" s="568">
        <v>5263916</v>
      </c>
      <c r="M111" s="569">
        <v>0.1</v>
      </c>
      <c r="N111" s="573">
        <f t="shared" si="10"/>
        <v>526391.6</v>
      </c>
      <c r="O111" s="570">
        <f t="shared" si="9"/>
        <v>4737524.4000000004</v>
      </c>
      <c r="P111" s="571"/>
      <c r="Q111" s="572"/>
    </row>
    <row r="112" spans="2:17" ht="18" hidden="1" customHeight="1">
      <c r="B112" s="563">
        <v>107</v>
      </c>
      <c r="C112" s="564" t="e">
        <f>VLOOKUP(G:G,list!B:D,2,FALSE)</f>
        <v>#N/A</v>
      </c>
      <c r="D112" s="564" t="s">
        <v>27</v>
      </c>
      <c r="E112" s="564" t="s">
        <v>62</v>
      </c>
      <c r="F112" s="564" t="s">
        <v>326</v>
      </c>
      <c r="G112" s="564" t="s">
        <v>43</v>
      </c>
      <c r="H112" s="565">
        <v>44408</v>
      </c>
      <c r="I112" s="564" t="s">
        <v>368</v>
      </c>
      <c r="J112" s="599">
        <v>22760307</v>
      </c>
      <c r="K112" s="601">
        <v>0.245</v>
      </c>
      <c r="L112" s="568">
        <v>5018647</v>
      </c>
      <c r="M112" s="569">
        <v>0.1</v>
      </c>
      <c r="N112" s="573">
        <f t="shared" si="10"/>
        <v>501864.7</v>
      </c>
      <c r="O112" s="570">
        <f t="shared" si="9"/>
        <v>4516782.3</v>
      </c>
      <c r="P112" s="571"/>
      <c r="Q112" s="572"/>
    </row>
    <row r="113" spans="2:17" ht="18" hidden="1" customHeight="1">
      <c r="B113" s="563">
        <v>108</v>
      </c>
      <c r="C113" s="564" t="e">
        <f>VLOOKUP(G:G,list!B:D,2,FALSE)</f>
        <v>#N/A</v>
      </c>
      <c r="D113" s="564" t="s">
        <v>27</v>
      </c>
      <c r="E113" s="564" t="s">
        <v>62</v>
      </c>
      <c r="F113" s="564" t="s">
        <v>422</v>
      </c>
      <c r="G113" s="564" t="s">
        <v>43</v>
      </c>
      <c r="H113" s="565">
        <v>44614</v>
      </c>
      <c r="I113" s="564" t="s">
        <v>323</v>
      </c>
      <c r="J113" s="599">
        <v>347434</v>
      </c>
      <c r="K113" s="601">
        <v>0.245</v>
      </c>
      <c r="L113" s="568">
        <v>76609</v>
      </c>
      <c r="M113" s="569">
        <v>0.1</v>
      </c>
      <c r="N113" s="573">
        <f t="shared" si="10"/>
        <v>7660.9000000000005</v>
      </c>
      <c r="O113" s="570">
        <f t="shared" si="9"/>
        <v>68948.100000000006</v>
      </c>
      <c r="P113" s="571"/>
      <c r="Q113" s="572"/>
    </row>
    <row r="114" spans="2:17" ht="18" hidden="1" customHeight="1">
      <c r="B114" s="563">
        <v>109</v>
      </c>
      <c r="C114" s="564" t="e">
        <f>VLOOKUP(G:G,list!B:D,2,FALSE)</f>
        <v>#N/A</v>
      </c>
      <c r="D114" s="564" t="s">
        <v>27</v>
      </c>
      <c r="E114" s="564" t="s">
        <v>62</v>
      </c>
      <c r="F114" s="564" t="s">
        <v>422</v>
      </c>
      <c r="G114" s="564" t="s">
        <v>43</v>
      </c>
      <c r="H114" s="565">
        <v>44614</v>
      </c>
      <c r="I114" s="564" t="s">
        <v>351</v>
      </c>
      <c r="J114" s="599">
        <v>277601</v>
      </c>
      <c r="K114" s="601">
        <v>0.245</v>
      </c>
      <c r="L114" s="568">
        <v>61211</v>
      </c>
      <c r="M114" s="569">
        <v>0.1</v>
      </c>
      <c r="N114" s="573">
        <f t="shared" si="10"/>
        <v>6121.1</v>
      </c>
      <c r="O114" s="570">
        <f t="shared" si="9"/>
        <v>55089.9</v>
      </c>
      <c r="P114" s="571"/>
      <c r="Q114" s="572"/>
    </row>
    <row r="115" spans="2:17" ht="18" hidden="1" customHeight="1">
      <c r="B115" s="563">
        <v>110</v>
      </c>
      <c r="C115" s="564" t="e">
        <f>VLOOKUP(G:G,list!B:D,2,FALSE)</f>
        <v>#N/A</v>
      </c>
      <c r="D115" s="564" t="s">
        <v>27</v>
      </c>
      <c r="E115" s="564" t="s">
        <v>62</v>
      </c>
      <c r="F115" s="564" t="s">
        <v>422</v>
      </c>
      <c r="G115" s="564" t="s">
        <v>43</v>
      </c>
      <c r="H115" s="565">
        <v>44614</v>
      </c>
      <c r="I115" s="564" t="s">
        <v>368</v>
      </c>
      <c r="J115" s="599">
        <v>1052766</v>
      </c>
      <c r="K115" s="601">
        <v>0.245</v>
      </c>
      <c r="L115" s="568">
        <v>232134</v>
      </c>
      <c r="M115" s="569">
        <v>0.1</v>
      </c>
      <c r="N115" s="573">
        <f t="shared" si="10"/>
        <v>23213.4</v>
      </c>
      <c r="O115" s="570">
        <f t="shared" si="9"/>
        <v>208920.6</v>
      </c>
      <c r="P115" s="571"/>
      <c r="Q115" s="572"/>
    </row>
    <row r="116" spans="2:17" ht="18" hidden="1" customHeight="1">
      <c r="B116" s="563">
        <v>111</v>
      </c>
      <c r="C116" s="564" t="e">
        <f>VLOOKUP(G:G,list!B:D,2,FALSE)</f>
        <v>#N/A</v>
      </c>
      <c r="D116" s="564" t="s">
        <v>27</v>
      </c>
      <c r="E116" s="564" t="s">
        <v>62</v>
      </c>
      <c r="F116" s="564" t="s">
        <v>213</v>
      </c>
      <c r="G116" s="564" t="s">
        <v>10</v>
      </c>
      <c r="H116" s="565">
        <v>44395</v>
      </c>
      <c r="I116" s="564" t="s">
        <v>368</v>
      </c>
      <c r="J116" s="599">
        <v>18107020</v>
      </c>
      <c r="K116" s="600">
        <v>0.3</v>
      </c>
      <c r="L116" s="568">
        <v>5432106</v>
      </c>
      <c r="M116" s="569">
        <v>0.1</v>
      </c>
      <c r="N116" s="570">
        <f>L116*M116</f>
        <v>543210.6</v>
      </c>
      <c r="O116" s="570">
        <f t="shared" ref="O116:O117" si="11">L116-N116</f>
        <v>4888895.4000000004</v>
      </c>
      <c r="P116" s="575" t="s">
        <v>307</v>
      </c>
      <c r="Q116" s="572"/>
    </row>
    <row r="117" spans="2:17" ht="18" hidden="1" customHeight="1">
      <c r="B117" s="563">
        <v>112</v>
      </c>
      <c r="C117" s="564" t="e">
        <f>VLOOKUP(G:G,list!B:D,2,FALSE)</f>
        <v>#N/A</v>
      </c>
      <c r="D117" s="564" t="s">
        <v>27</v>
      </c>
      <c r="E117" s="564" t="s">
        <v>62</v>
      </c>
      <c r="F117" s="564" t="s">
        <v>213</v>
      </c>
      <c r="G117" s="564" t="s">
        <v>11</v>
      </c>
      <c r="H117" s="565">
        <v>44420</v>
      </c>
      <c r="I117" s="564" t="s">
        <v>368</v>
      </c>
      <c r="J117" s="599">
        <v>3068297</v>
      </c>
      <c r="K117" s="600">
        <v>0.3</v>
      </c>
      <c r="L117" s="568">
        <v>920489</v>
      </c>
      <c r="M117" s="569" t="s">
        <v>203</v>
      </c>
      <c r="N117" s="570">
        <v>0</v>
      </c>
      <c r="O117" s="570">
        <f t="shared" si="11"/>
        <v>920489</v>
      </c>
      <c r="P117" s="575" t="s">
        <v>307</v>
      </c>
      <c r="Q117" s="572"/>
    </row>
    <row r="118" spans="2:17" ht="18" hidden="1" customHeight="1">
      <c r="B118" s="563">
        <v>113</v>
      </c>
      <c r="C118" s="564" t="e">
        <f>VLOOKUP(G:G,list!B:D,2,FALSE)</f>
        <v>#N/A</v>
      </c>
      <c r="D118" s="564" t="s">
        <v>27</v>
      </c>
      <c r="E118" s="564" t="s">
        <v>62</v>
      </c>
      <c r="F118" s="564" t="s">
        <v>213</v>
      </c>
      <c r="G118" s="564" t="s">
        <v>17</v>
      </c>
      <c r="H118" s="565">
        <v>44486</v>
      </c>
      <c r="I118" s="564" t="s">
        <v>368</v>
      </c>
      <c r="J118" s="599">
        <v>15742450</v>
      </c>
      <c r="K118" s="600">
        <v>0.3</v>
      </c>
      <c r="L118" s="568">
        <v>4722735</v>
      </c>
      <c r="M118" s="569">
        <v>0.12</v>
      </c>
      <c r="N118" s="573">
        <f>L118*M118</f>
        <v>566728.19999999995</v>
      </c>
      <c r="O118" s="570">
        <f t="shared" ref="O118:O119" si="12">L118-N118</f>
        <v>4156006.8</v>
      </c>
      <c r="P118" s="575" t="s">
        <v>307</v>
      </c>
      <c r="Q118" s="572"/>
    </row>
    <row r="119" spans="2:17" ht="18" hidden="1" customHeight="1">
      <c r="B119" s="563">
        <v>114</v>
      </c>
      <c r="C119" s="564" t="e">
        <f>VLOOKUP(G:G,list!B:D,2,FALSE)</f>
        <v>#N/A</v>
      </c>
      <c r="D119" s="564" t="s">
        <v>27</v>
      </c>
      <c r="E119" s="564" t="s">
        <v>62</v>
      </c>
      <c r="F119" s="564" t="s">
        <v>213</v>
      </c>
      <c r="G119" s="564" t="s">
        <v>11</v>
      </c>
      <c r="H119" s="565">
        <v>44637</v>
      </c>
      <c r="I119" s="564" t="s">
        <v>351</v>
      </c>
      <c r="J119" s="599">
        <v>78350</v>
      </c>
      <c r="K119" s="600">
        <v>0.3</v>
      </c>
      <c r="L119" s="568">
        <v>23505</v>
      </c>
      <c r="M119" s="569" t="s">
        <v>203</v>
      </c>
      <c r="N119" s="570">
        <v>0</v>
      </c>
      <c r="O119" s="570">
        <f t="shared" si="12"/>
        <v>23505</v>
      </c>
      <c r="P119" s="575" t="s">
        <v>283</v>
      </c>
      <c r="Q119" s="572"/>
    </row>
    <row r="120" spans="2:17" ht="18" hidden="1" customHeight="1">
      <c r="B120" s="563">
        <v>115</v>
      </c>
      <c r="C120" s="564" t="e">
        <f>VLOOKUP(G:G,list!B:D,2,FALSE)</f>
        <v>#N/A</v>
      </c>
      <c r="D120" s="564" t="s">
        <v>27</v>
      </c>
      <c r="E120" s="564" t="s">
        <v>62</v>
      </c>
      <c r="F120" s="564" t="s">
        <v>213</v>
      </c>
      <c r="G120" s="564" t="s">
        <v>17</v>
      </c>
      <c r="H120" s="565">
        <v>44486</v>
      </c>
      <c r="I120" s="564" t="s">
        <v>351</v>
      </c>
      <c r="J120" s="599">
        <v>439657</v>
      </c>
      <c r="K120" s="600">
        <v>0.3</v>
      </c>
      <c r="L120" s="568">
        <v>131897</v>
      </c>
      <c r="M120" s="569">
        <v>0.12</v>
      </c>
      <c r="N120" s="573">
        <f t="shared" ref="N120:N125" si="13">L120*M120</f>
        <v>15827.64</v>
      </c>
      <c r="O120" s="570">
        <f t="shared" ref="O120:O121" si="14">L120-N120</f>
        <v>116069.36</v>
      </c>
      <c r="P120" s="575" t="s">
        <v>283</v>
      </c>
      <c r="Q120" s="572"/>
    </row>
    <row r="121" spans="2:17" ht="18" hidden="1" customHeight="1">
      <c r="B121" s="563">
        <v>116</v>
      </c>
      <c r="C121" s="564" t="e">
        <f>VLOOKUP(G:G,list!B:D,2,FALSE)</f>
        <v>#N/A</v>
      </c>
      <c r="D121" s="564" t="s">
        <v>27</v>
      </c>
      <c r="E121" s="564" t="s">
        <v>62</v>
      </c>
      <c r="F121" s="564" t="s">
        <v>213</v>
      </c>
      <c r="G121" s="564" t="s">
        <v>12</v>
      </c>
      <c r="H121" s="565">
        <v>44544</v>
      </c>
      <c r="I121" s="564" t="s">
        <v>351</v>
      </c>
      <c r="J121" s="599">
        <v>125640</v>
      </c>
      <c r="K121" s="600">
        <v>0.3</v>
      </c>
      <c r="L121" s="568">
        <v>37692</v>
      </c>
      <c r="M121" s="569">
        <v>0.1</v>
      </c>
      <c r="N121" s="570">
        <f t="shared" si="13"/>
        <v>3769.2000000000003</v>
      </c>
      <c r="O121" s="570">
        <f t="shared" si="14"/>
        <v>33922.800000000003</v>
      </c>
      <c r="P121" s="575" t="s">
        <v>283</v>
      </c>
      <c r="Q121" s="572"/>
    </row>
    <row r="122" spans="2:17" ht="18" hidden="1" customHeight="1">
      <c r="B122" s="563">
        <v>117</v>
      </c>
      <c r="C122" s="564" t="e">
        <f>VLOOKUP(G:G,list!B:D,2,FALSE)</f>
        <v>#N/A</v>
      </c>
      <c r="D122" s="564" t="s">
        <v>182</v>
      </c>
      <c r="E122" s="564" t="s">
        <v>9</v>
      </c>
      <c r="F122" s="564" t="s">
        <v>384</v>
      </c>
      <c r="G122" s="564" t="s">
        <v>179</v>
      </c>
      <c r="H122" s="565">
        <v>44180</v>
      </c>
      <c r="I122" s="564" t="s">
        <v>368</v>
      </c>
      <c r="J122" s="599">
        <v>714710</v>
      </c>
      <c r="K122" s="600">
        <v>0.5</v>
      </c>
      <c r="L122" s="568">
        <v>357355</v>
      </c>
      <c r="M122" s="569">
        <v>0.1</v>
      </c>
      <c r="N122" s="573">
        <f t="shared" si="13"/>
        <v>35735.5</v>
      </c>
      <c r="O122" s="570">
        <f t="shared" ref="O122:O154" si="15">L122-N122</f>
        <v>321619.5</v>
      </c>
      <c r="P122" s="575" t="s">
        <v>85</v>
      </c>
      <c r="Q122" s="572" t="e">
        <f>VLOOKUP(G:G,list!B:D,3,FALSE)</f>
        <v>#N/A</v>
      </c>
    </row>
    <row r="123" spans="2:17" ht="18" hidden="1" customHeight="1">
      <c r="B123" s="563">
        <v>118</v>
      </c>
      <c r="C123" s="564" t="e">
        <f>VLOOKUP(G:G,list!B:D,2,FALSE)</f>
        <v>#N/A</v>
      </c>
      <c r="D123" s="564" t="s">
        <v>182</v>
      </c>
      <c r="E123" s="564" t="s">
        <v>9</v>
      </c>
      <c r="F123" s="564" t="s">
        <v>384</v>
      </c>
      <c r="G123" s="564" t="s">
        <v>152</v>
      </c>
      <c r="H123" s="565">
        <v>44180</v>
      </c>
      <c r="I123" s="564" t="s">
        <v>368</v>
      </c>
      <c r="J123" s="599">
        <v>62828</v>
      </c>
      <c r="K123" s="600">
        <v>0.5</v>
      </c>
      <c r="L123" s="568">
        <v>31414</v>
      </c>
      <c r="M123" s="569">
        <v>0.12</v>
      </c>
      <c r="N123" s="573">
        <f t="shared" si="13"/>
        <v>3769.68</v>
      </c>
      <c r="O123" s="570">
        <f t="shared" si="15"/>
        <v>27644.32</v>
      </c>
      <c r="P123" s="573"/>
      <c r="Q123" s="572" t="e">
        <f>VLOOKUP(G:G,list!B:D,3,FALSE)</f>
        <v>#N/A</v>
      </c>
    </row>
    <row r="124" spans="2:17" ht="18" hidden="1" customHeight="1">
      <c r="B124" s="563">
        <v>119</v>
      </c>
      <c r="C124" s="564" t="e">
        <f>VLOOKUP(G:G,list!B:D,2,FALSE)</f>
        <v>#N/A</v>
      </c>
      <c r="D124" s="564" t="s">
        <v>182</v>
      </c>
      <c r="E124" s="564" t="s">
        <v>9</v>
      </c>
      <c r="F124" s="564" t="s">
        <v>384</v>
      </c>
      <c r="G124" s="564" t="s">
        <v>153</v>
      </c>
      <c r="H124" s="565">
        <v>44180</v>
      </c>
      <c r="I124" s="564" t="s">
        <v>368</v>
      </c>
      <c r="J124" s="599">
        <v>82753</v>
      </c>
      <c r="K124" s="600">
        <v>0.5</v>
      </c>
      <c r="L124" s="568">
        <v>41376.5</v>
      </c>
      <c r="M124" s="569">
        <v>0.1</v>
      </c>
      <c r="N124" s="570">
        <f t="shared" si="13"/>
        <v>4137.6500000000005</v>
      </c>
      <c r="O124" s="570">
        <f t="shared" si="15"/>
        <v>37238.85</v>
      </c>
      <c r="P124" s="573"/>
      <c r="Q124" s="572" t="e">
        <f>VLOOKUP(G:G,list!B:D,3,FALSE)</f>
        <v>#N/A</v>
      </c>
    </row>
    <row r="125" spans="2:17" ht="18" hidden="1" customHeight="1">
      <c r="B125" s="563">
        <v>120</v>
      </c>
      <c r="C125" s="564" t="e">
        <f>VLOOKUP(G:G,list!B:D,2,FALSE)</f>
        <v>#N/A</v>
      </c>
      <c r="D125" s="564" t="s">
        <v>182</v>
      </c>
      <c r="E125" s="564" t="s">
        <v>9</v>
      </c>
      <c r="F125" s="564" t="s">
        <v>384</v>
      </c>
      <c r="G125" s="564" t="s">
        <v>74</v>
      </c>
      <c r="H125" s="565">
        <v>44180</v>
      </c>
      <c r="I125" s="564" t="s">
        <v>368</v>
      </c>
      <c r="J125" s="599">
        <v>249464</v>
      </c>
      <c r="K125" s="600">
        <v>0.5</v>
      </c>
      <c r="L125" s="568">
        <v>124732</v>
      </c>
      <c r="M125" s="569">
        <v>0.1</v>
      </c>
      <c r="N125" s="570">
        <f t="shared" si="13"/>
        <v>12473.2</v>
      </c>
      <c r="O125" s="570">
        <f t="shared" si="15"/>
        <v>112258.8</v>
      </c>
      <c r="P125" s="575"/>
      <c r="Q125" s="572" t="e">
        <f>VLOOKUP(G:G,list!B:D,3,FALSE)</f>
        <v>#N/A</v>
      </c>
    </row>
    <row r="126" spans="2:17" ht="18" hidden="1" customHeight="1">
      <c r="B126" s="563">
        <v>121</v>
      </c>
      <c r="C126" s="564" t="str">
        <f>VLOOKUP(G:G,list!B:D,2,FALSE)</f>
        <v>작가기획</v>
      </c>
      <c r="D126" s="564" t="s">
        <v>182</v>
      </c>
      <c r="E126" s="564" t="s">
        <v>9</v>
      </c>
      <c r="F126" s="564" t="s">
        <v>384</v>
      </c>
      <c r="G126" s="564" t="s">
        <v>180</v>
      </c>
      <c r="H126" s="565">
        <v>44180</v>
      </c>
      <c r="I126" s="564" t="s">
        <v>368</v>
      </c>
      <c r="J126" s="599">
        <v>1429865</v>
      </c>
      <c r="K126" s="600">
        <v>0.5</v>
      </c>
      <c r="L126" s="568">
        <v>714932.5</v>
      </c>
      <c r="M126" s="569" t="s">
        <v>203</v>
      </c>
      <c r="N126" s="570">
        <v>0</v>
      </c>
      <c r="O126" s="570">
        <f t="shared" si="15"/>
        <v>714932.5</v>
      </c>
      <c r="P126" s="573"/>
      <c r="Q126" s="572" t="str">
        <f>VLOOKUP(G:G,list!B:D,3,FALSE)</f>
        <v>Y</v>
      </c>
    </row>
    <row r="127" spans="2:17" ht="18" hidden="1" customHeight="1">
      <c r="B127" s="563">
        <v>122</v>
      </c>
      <c r="C127" s="564" t="str">
        <f>VLOOKUP(G:G,list!B:D,2,FALSE)</f>
        <v>작가기획</v>
      </c>
      <c r="D127" s="564" t="s">
        <v>182</v>
      </c>
      <c r="E127" s="564" t="s">
        <v>9</v>
      </c>
      <c r="F127" s="564" t="s">
        <v>384</v>
      </c>
      <c r="G127" s="564" t="s">
        <v>139</v>
      </c>
      <c r="H127" s="565">
        <v>44180</v>
      </c>
      <c r="I127" s="564" t="s">
        <v>368</v>
      </c>
      <c r="J127" s="599">
        <v>59645</v>
      </c>
      <c r="K127" s="600">
        <v>0.5</v>
      </c>
      <c r="L127" s="568">
        <v>29822.5</v>
      </c>
      <c r="M127" s="569" t="s">
        <v>203</v>
      </c>
      <c r="N127" s="573">
        <v>0</v>
      </c>
      <c r="O127" s="570">
        <f>L127-N127</f>
        <v>29822.5</v>
      </c>
      <c r="P127" s="573"/>
      <c r="Q127" s="572" t="str">
        <f>VLOOKUP(G:G,list!B:D,3,FALSE)</f>
        <v>Y</v>
      </c>
    </row>
    <row r="128" spans="2:17" ht="18" hidden="1" customHeight="1">
      <c r="B128" s="563">
        <v>123</v>
      </c>
      <c r="C128" s="564" t="str">
        <f>VLOOKUP(G:G,list!B:D,2,FALSE)</f>
        <v>원작료</v>
      </c>
      <c r="D128" s="564" t="s">
        <v>182</v>
      </c>
      <c r="E128" s="564" t="s">
        <v>9</v>
      </c>
      <c r="F128" s="564" t="s">
        <v>384</v>
      </c>
      <c r="G128" s="564" t="s">
        <v>151</v>
      </c>
      <c r="H128" s="565">
        <v>44207</v>
      </c>
      <c r="I128" s="564" t="s">
        <v>368</v>
      </c>
      <c r="J128" s="599">
        <v>115765</v>
      </c>
      <c r="K128" s="600">
        <v>0.5</v>
      </c>
      <c r="L128" s="568">
        <v>57882.5</v>
      </c>
      <c r="M128" s="569">
        <v>0.1</v>
      </c>
      <c r="N128" s="570">
        <f>L128*M128</f>
        <v>5788.25</v>
      </c>
      <c r="O128" s="570">
        <f>L128-N128</f>
        <v>52094.25</v>
      </c>
      <c r="P128" s="541"/>
      <c r="Q128" s="572" t="str">
        <f>VLOOKUP(G:G,list!B:D,3,FALSE)</f>
        <v>Y</v>
      </c>
    </row>
    <row r="129" spans="2:17" ht="18" hidden="1" customHeight="1">
      <c r="B129" s="563">
        <v>124</v>
      </c>
      <c r="C129" s="564" t="e">
        <f>VLOOKUP(G:G,list!B:D,2,FALSE)</f>
        <v>#N/A</v>
      </c>
      <c r="D129" s="564" t="s">
        <v>182</v>
      </c>
      <c r="E129" s="564" t="s">
        <v>9</v>
      </c>
      <c r="F129" s="564" t="s">
        <v>384</v>
      </c>
      <c r="G129" s="564" t="s">
        <v>225</v>
      </c>
      <c r="H129" s="565">
        <v>44357</v>
      </c>
      <c r="I129" s="564" t="s">
        <v>368</v>
      </c>
      <c r="J129" s="599">
        <v>12759</v>
      </c>
      <c r="K129" s="600">
        <v>0.5</v>
      </c>
      <c r="L129" s="568">
        <v>6379.5</v>
      </c>
      <c r="M129" s="569">
        <v>0.1</v>
      </c>
      <c r="N129" s="570">
        <f>L129*M129</f>
        <v>637.95000000000005</v>
      </c>
      <c r="O129" s="570">
        <f t="shared" ref="O129:O139" si="16">L129-N129</f>
        <v>5741.55</v>
      </c>
      <c r="P129" s="575"/>
      <c r="Q129" s="572" t="e">
        <f>VLOOKUP(G:G,list!B:D,3,FALSE)</f>
        <v>#N/A</v>
      </c>
    </row>
    <row r="130" spans="2:17" ht="18" hidden="1" customHeight="1">
      <c r="B130" s="563">
        <v>125</v>
      </c>
      <c r="C130" s="564" t="e">
        <f>VLOOKUP(G:G,list!B:D,2,FALSE)</f>
        <v>#N/A</v>
      </c>
      <c r="D130" s="564" t="s">
        <v>182</v>
      </c>
      <c r="E130" s="564" t="s">
        <v>9</v>
      </c>
      <c r="F130" s="564" t="s">
        <v>384</v>
      </c>
      <c r="G130" s="564" t="s">
        <v>226</v>
      </c>
      <c r="H130" s="565">
        <v>44371</v>
      </c>
      <c r="I130" s="564" t="s">
        <v>368</v>
      </c>
      <c r="J130" s="599">
        <v>25637</v>
      </c>
      <c r="K130" s="600">
        <v>0.5</v>
      </c>
      <c r="L130" s="568">
        <v>12818.5</v>
      </c>
      <c r="M130" s="569">
        <v>0.1</v>
      </c>
      <c r="N130" s="570">
        <f>L130*M130</f>
        <v>1281.8500000000001</v>
      </c>
      <c r="O130" s="570">
        <f>L130-N130</f>
        <v>11536.65</v>
      </c>
      <c r="P130" s="575"/>
      <c r="Q130" s="572" t="e">
        <f>VLOOKUP(G:G,list!B:D,3,FALSE)</f>
        <v>#N/A</v>
      </c>
    </row>
    <row r="131" spans="2:17" ht="18" hidden="1" customHeight="1">
      <c r="B131" s="563">
        <v>126</v>
      </c>
      <c r="C131" s="564" t="e">
        <f>VLOOKUP(G:G,list!B:D,2,FALSE)</f>
        <v>#N/A</v>
      </c>
      <c r="D131" s="564" t="s">
        <v>182</v>
      </c>
      <c r="E131" s="564" t="s">
        <v>9</v>
      </c>
      <c r="F131" s="564" t="s">
        <v>384</v>
      </c>
      <c r="G131" s="564" t="s">
        <v>191</v>
      </c>
      <c r="H131" s="565">
        <v>44372</v>
      </c>
      <c r="I131" s="564" t="s">
        <v>368</v>
      </c>
      <c r="J131" s="599">
        <v>339696</v>
      </c>
      <c r="K131" s="600">
        <v>0.5</v>
      </c>
      <c r="L131" s="568">
        <v>169848</v>
      </c>
      <c r="M131" s="569">
        <v>0.1</v>
      </c>
      <c r="N131" s="573">
        <f t="shared" ref="N131:N133" si="17">L131*M131</f>
        <v>16984.8</v>
      </c>
      <c r="O131" s="570">
        <f t="shared" si="16"/>
        <v>152863.20000000001</v>
      </c>
      <c r="P131" s="573"/>
      <c r="Q131" s="572" t="e">
        <f>VLOOKUP(G:G,list!B:D,3,FALSE)</f>
        <v>#N/A</v>
      </c>
    </row>
    <row r="132" spans="2:17" ht="18" hidden="1" customHeight="1">
      <c r="B132" s="563">
        <v>127</v>
      </c>
      <c r="C132" s="564" t="e">
        <f>VLOOKUP(G:G,list!B:D,2,FALSE)</f>
        <v>#N/A</v>
      </c>
      <c r="D132" s="564" t="s">
        <v>182</v>
      </c>
      <c r="E132" s="564" t="s">
        <v>9</v>
      </c>
      <c r="F132" s="564" t="s">
        <v>384</v>
      </c>
      <c r="G132" s="564" t="s">
        <v>336</v>
      </c>
      <c r="H132" s="565">
        <v>44392</v>
      </c>
      <c r="I132" s="564" t="s">
        <v>368</v>
      </c>
      <c r="J132" s="599">
        <v>604447</v>
      </c>
      <c r="K132" s="600">
        <v>0.5</v>
      </c>
      <c r="L132" s="568">
        <v>302223.5</v>
      </c>
      <c r="M132" s="569">
        <v>0.1</v>
      </c>
      <c r="N132" s="570">
        <f>L132*M132</f>
        <v>30222.350000000002</v>
      </c>
      <c r="O132" s="570">
        <f t="shared" si="16"/>
        <v>272001.15000000002</v>
      </c>
      <c r="P132" s="573"/>
      <c r="Q132" s="572" t="e">
        <f>VLOOKUP(G:G,list!B:D,3,FALSE)</f>
        <v>#N/A</v>
      </c>
    </row>
    <row r="133" spans="2:17" ht="18" hidden="1" customHeight="1">
      <c r="B133" s="563">
        <v>128</v>
      </c>
      <c r="C133" s="564" t="e">
        <f>VLOOKUP(G:G,list!B:D,2,FALSE)</f>
        <v>#N/A</v>
      </c>
      <c r="D133" s="564" t="s">
        <v>182</v>
      </c>
      <c r="E133" s="564" t="s">
        <v>9</v>
      </c>
      <c r="F133" s="564" t="s">
        <v>384</v>
      </c>
      <c r="G133" s="564" t="s">
        <v>385</v>
      </c>
      <c r="H133" s="565">
        <v>44439</v>
      </c>
      <c r="I133" s="564" t="s">
        <v>368</v>
      </c>
      <c r="J133" s="599">
        <v>1205</v>
      </c>
      <c r="K133" s="600">
        <v>0.5</v>
      </c>
      <c r="L133" s="568">
        <v>602.5</v>
      </c>
      <c r="M133" s="569">
        <v>0.1</v>
      </c>
      <c r="N133" s="573">
        <f t="shared" si="17"/>
        <v>60.25</v>
      </c>
      <c r="O133" s="570">
        <f t="shared" si="16"/>
        <v>542.25</v>
      </c>
      <c r="P133" s="573"/>
      <c r="Q133" s="572" t="e">
        <f>VLOOKUP(G:G,list!B:D,3,FALSE)</f>
        <v>#N/A</v>
      </c>
    </row>
    <row r="134" spans="2:17" ht="18" hidden="1" customHeight="1">
      <c r="B134" s="563">
        <v>129</v>
      </c>
      <c r="C134" s="564" t="e">
        <f>VLOOKUP(G:G,list!B:D,2,FALSE)</f>
        <v>#N/A</v>
      </c>
      <c r="D134" s="564" t="s">
        <v>182</v>
      </c>
      <c r="E134" s="564" t="s">
        <v>9</v>
      </c>
      <c r="F134" s="564" t="s">
        <v>384</v>
      </c>
      <c r="G134" s="564" t="s">
        <v>335</v>
      </c>
      <c r="H134" s="565">
        <v>44674</v>
      </c>
      <c r="I134" s="564" t="s">
        <v>368</v>
      </c>
      <c r="J134" s="599">
        <v>2260550</v>
      </c>
      <c r="K134" s="600">
        <v>0.5</v>
      </c>
      <c r="L134" s="568">
        <v>1130275</v>
      </c>
      <c r="M134" s="569">
        <v>0.1</v>
      </c>
      <c r="N134" s="570">
        <f>L134*M134</f>
        <v>113027.5</v>
      </c>
      <c r="O134" s="570">
        <f t="shared" si="16"/>
        <v>1017247.5</v>
      </c>
      <c r="P134" s="575"/>
      <c r="Q134" s="572" t="e">
        <f>VLOOKUP(G:G,list!B:D,3,FALSE)</f>
        <v>#N/A</v>
      </c>
    </row>
    <row r="135" spans="2:17" ht="18" hidden="1" customHeight="1">
      <c r="B135" s="563">
        <v>130</v>
      </c>
      <c r="C135" s="564" t="e">
        <f>VLOOKUP(G:G,list!B:D,2,FALSE)</f>
        <v>#N/A</v>
      </c>
      <c r="D135" s="564" t="s">
        <v>182</v>
      </c>
      <c r="E135" s="564" t="s">
        <v>115</v>
      </c>
      <c r="F135" s="564" t="s">
        <v>384</v>
      </c>
      <c r="G135" s="564" t="s">
        <v>147</v>
      </c>
      <c r="H135" s="565">
        <v>44180</v>
      </c>
      <c r="I135" s="564" t="s">
        <v>368</v>
      </c>
      <c r="J135" s="599">
        <v>446986</v>
      </c>
      <c r="K135" s="600">
        <v>0.5</v>
      </c>
      <c r="L135" s="568">
        <v>223493</v>
      </c>
      <c r="M135" s="569" t="s">
        <v>203</v>
      </c>
      <c r="N135" s="573">
        <v>0</v>
      </c>
      <c r="O135" s="570">
        <f>L135-N135</f>
        <v>223493</v>
      </c>
      <c r="P135" s="573"/>
      <c r="Q135" s="572" t="e">
        <f>VLOOKUP(G:G,list!B:D,3,FALSE)</f>
        <v>#N/A</v>
      </c>
    </row>
    <row r="136" spans="2:17" ht="18" hidden="1" customHeight="1">
      <c r="B136" s="563">
        <v>131</v>
      </c>
      <c r="C136" s="564" t="e">
        <f>VLOOKUP(G:G,list!B:D,2,FALSE)</f>
        <v>#N/A</v>
      </c>
      <c r="D136" s="564" t="s">
        <v>182</v>
      </c>
      <c r="E136" s="564" t="s">
        <v>115</v>
      </c>
      <c r="F136" s="564" t="s">
        <v>384</v>
      </c>
      <c r="G136" s="564" t="s">
        <v>204</v>
      </c>
      <c r="H136" s="565">
        <v>44365</v>
      </c>
      <c r="I136" s="564" t="s">
        <v>368</v>
      </c>
      <c r="J136" s="599">
        <v>61400</v>
      </c>
      <c r="K136" s="600">
        <v>0.5</v>
      </c>
      <c r="L136" s="568">
        <v>30700</v>
      </c>
      <c r="M136" s="569">
        <v>0.1</v>
      </c>
      <c r="N136" s="573">
        <f t="shared" ref="N136" si="18">L136*M136</f>
        <v>3070</v>
      </c>
      <c r="O136" s="570">
        <f t="shared" si="16"/>
        <v>27630</v>
      </c>
      <c r="P136" s="573"/>
      <c r="Q136" s="572" t="e">
        <f>VLOOKUP(G:G,list!B:D,3,FALSE)</f>
        <v>#N/A</v>
      </c>
    </row>
    <row r="137" spans="2:17" ht="18" hidden="1" customHeight="1">
      <c r="B137" s="563">
        <v>132</v>
      </c>
      <c r="C137" s="564" t="e">
        <f>VLOOKUP(G:G,list!B:D,2,FALSE)</f>
        <v>#N/A</v>
      </c>
      <c r="D137" s="564" t="s">
        <v>182</v>
      </c>
      <c r="E137" s="564" t="s">
        <v>115</v>
      </c>
      <c r="F137" s="564" t="s">
        <v>384</v>
      </c>
      <c r="G137" s="564" t="s">
        <v>202</v>
      </c>
      <c r="H137" s="565">
        <v>44463</v>
      </c>
      <c r="I137" s="564" t="s">
        <v>368</v>
      </c>
      <c r="J137" s="599">
        <v>115765</v>
      </c>
      <c r="K137" s="600">
        <v>0.5</v>
      </c>
      <c r="L137" s="568">
        <v>57882.5</v>
      </c>
      <c r="M137" s="569" t="s">
        <v>203</v>
      </c>
      <c r="N137" s="570">
        <v>0</v>
      </c>
      <c r="O137" s="570">
        <f t="shared" si="16"/>
        <v>57882.5</v>
      </c>
      <c r="P137" s="573"/>
      <c r="Q137" s="572" t="e">
        <f>VLOOKUP(G:G,list!B:D,3,FALSE)</f>
        <v>#N/A</v>
      </c>
    </row>
    <row r="138" spans="2:17" ht="18" hidden="1" customHeight="1">
      <c r="B138" s="563">
        <v>133</v>
      </c>
      <c r="C138" s="564" t="e">
        <f>VLOOKUP(G:G,list!B:D,2,FALSE)</f>
        <v>#N/A</v>
      </c>
      <c r="D138" s="564" t="s">
        <v>182</v>
      </c>
      <c r="E138" s="564" t="s">
        <v>115</v>
      </c>
      <c r="F138" s="564" t="s">
        <v>384</v>
      </c>
      <c r="G138" s="564" t="s">
        <v>258</v>
      </c>
      <c r="H138" s="565">
        <v>44491</v>
      </c>
      <c r="I138" s="564" t="s">
        <v>368</v>
      </c>
      <c r="J138" s="599">
        <v>70321</v>
      </c>
      <c r="K138" s="600">
        <v>0.5</v>
      </c>
      <c r="L138" s="568">
        <v>35160.5</v>
      </c>
      <c r="M138" s="569">
        <v>0.1</v>
      </c>
      <c r="N138" s="573">
        <f>L138*M138</f>
        <v>3516.05</v>
      </c>
      <c r="O138" s="570">
        <f t="shared" si="16"/>
        <v>31644.45</v>
      </c>
      <c r="P138" s="575"/>
      <c r="Q138" s="572" t="e">
        <f>VLOOKUP(G:G,list!B:D,3,FALSE)</f>
        <v>#N/A</v>
      </c>
    </row>
    <row r="139" spans="2:17" ht="18" hidden="1" customHeight="1">
      <c r="B139" s="563">
        <v>134</v>
      </c>
      <c r="C139" s="564" t="e">
        <f>VLOOKUP(G:G,list!B:D,2,FALSE)</f>
        <v>#N/A</v>
      </c>
      <c r="D139" s="564" t="s">
        <v>182</v>
      </c>
      <c r="E139" s="564" t="s">
        <v>115</v>
      </c>
      <c r="F139" s="564" t="s">
        <v>384</v>
      </c>
      <c r="G139" s="564" t="s">
        <v>256</v>
      </c>
      <c r="H139" s="565">
        <v>44693</v>
      </c>
      <c r="I139" s="564" t="s">
        <v>368</v>
      </c>
      <c r="J139" s="599">
        <v>10349</v>
      </c>
      <c r="K139" s="600">
        <v>0.5</v>
      </c>
      <c r="L139" s="568">
        <v>5174.5</v>
      </c>
      <c r="M139" s="569">
        <v>0.1</v>
      </c>
      <c r="N139" s="573">
        <f>L139*M139</f>
        <v>517.45000000000005</v>
      </c>
      <c r="O139" s="570">
        <f t="shared" si="16"/>
        <v>4657.05</v>
      </c>
      <c r="P139" s="575"/>
      <c r="Q139" s="572" t="e">
        <f>VLOOKUP(G:G,list!B:D,3,FALSE)</f>
        <v>#N/A</v>
      </c>
    </row>
    <row r="140" spans="2:17" ht="18" hidden="1" customHeight="1">
      <c r="B140" s="563">
        <v>135</v>
      </c>
      <c r="C140" s="564" t="e">
        <f>VLOOKUP(G:G,list!B:D,2,FALSE)</f>
        <v>#N/A</v>
      </c>
      <c r="D140" s="564" t="s">
        <v>182</v>
      </c>
      <c r="E140" s="564" t="s">
        <v>115</v>
      </c>
      <c r="F140" s="564" t="s">
        <v>283</v>
      </c>
      <c r="G140" s="564" t="s">
        <v>54</v>
      </c>
      <c r="H140" s="565">
        <v>44276</v>
      </c>
      <c r="I140" s="564" t="s">
        <v>323</v>
      </c>
      <c r="J140" s="599">
        <v>195660</v>
      </c>
      <c r="K140" s="600">
        <v>0.5</v>
      </c>
      <c r="L140" s="568">
        <v>97830</v>
      </c>
      <c r="M140" s="569">
        <v>0.1</v>
      </c>
      <c r="N140" s="570">
        <f t="shared" ref="N140:N143" si="19">L140*M140</f>
        <v>9783</v>
      </c>
      <c r="O140" s="570">
        <f t="shared" si="15"/>
        <v>88047</v>
      </c>
      <c r="P140" s="575"/>
      <c r="Q140" s="572" t="e">
        <f>VLOOKUP(G:G,list!B:D,3,FALSE)</f>
        <v>#N/A</v>
      </c>
    </row>
    <row r="141" spans="2:17" ht="18" hidden="1" customHeight="1">
      <c r="B141" s="563">
        <v>136</v>
      </c>
      <c r="C141" s="564" t="e">
        <f>VLOOKUP(G:G,list!B:D,2,FALSE)</f>
        <v>#N/A</v>
      </c>
      <c r="D141" s="564" t="s">
        <v>182</v>
      </c>
      <c r="E141" s="564" t="s">
        <v>115</v>
      </c>
      <c r="F141" s="564" t="s">
        <v>283</v>
      </c>
      <c r="G141" s="564" t="s">
        <v>29</v>
      </c>
      <c r="H141" s="565">
        <v>44277</v>
      </c>
      <c r="I141" s="564" t="s">
        <v>323</v>
      </c>
      <c r="J141" s="599">
        <v>793980</v>
      </c>
      <c r="K141" s="600">
        <v>0.5</v>
      </c>
      <c r="L141" s="568">
        <v>396990</v>
      </c>
      <c r="M141" s="569">
        <v>0.1</v>
      </c>
      <c r="N141" s="570">
        <f t="shared" si="19"/>
        <v>39699</v>
      </c>
      <c r="O141" s="570">
        <f t="shared" si="15"/>
        <v>357291</v>
      </c>
      <c r="P141" s="575"/>
      <c r="Q141" s="572" t="e">
        <f>VLOOKUP(G:G,list!B:D,3,FALSE)</f>
        <v>#N/A</v>
      </c>
    </row>
    <row r="142" spans="2:17" ht="18" hidden="1" customHeight="1">
      <c r="B142" s="563">
        <v>137</v>
      </c>
      <c r="C142" s="564" t="e">
        <f>VLOOKUP(G:G,list!B:D,2,FALSE)</f>
        <v>#N/A</v>
      </c>
      <c r="D142" s="564" t="s">
        <v>182</v>
      </c>
      <c r="E142" s="564" t="s">
        <v>115</v>
      </c>
      <c r="F142" s="564" t="s">
        <v>283</v>
      </c>
      <c r="G142" s="564" t="s">
        <v>28</v>
      </c>
      <c r="H142" s="565">
        <v>44280</v>
      </c>
      <c r="I142" s="564" t="s">
        <v>323</v>
      </c>
      <c r="J142" s="599">
        <v>1616760</v>
      </c>
      <c r="K142" s="600">
        <v>0.5</v>
      </c>
      <c r="L142" s="568">
        <v>808380</v>
      </c>
      <c r="M142" s="569">
        <v>0.12</v>
      </c>
      <c r="N142" s="573">
        <f t="shared" si="19"/>
        <v>97005.599999999991</v>
      </c>
      <c r="O142" s="570">
        <f t="shared" si="15"/>
        <v>711374.4</v>
      </c>
      <c r="P142" s="575"/>
      <c r="Q142" s="572" t="e">
        <f>VLOOKUP(G:G,list!B:D,3,FALSE)</f>
        <v>#N/A</v>
      </c>
    </row>
    <row r="143" spans="2:17" ht="18" hidden="1" customHeight="1">
      <c r="B143" s="563">
        <v>138</v>
      </c>
      <c r="C143" s="564" t="e">
        <f>VLOOKUP(G:G,list!B:D,2,FALSE)</f>
        <v>#N/A</v>
      </c>
      <c r="D143" s="564" t="s">
        <v>182</v>
      </c>
      <c r="E143" s="564" t="s">
        <v>115</v>
      </c>
      <c r="F143" s="564" t="s">
        <v>283</v>
      </c>
      <c r="G143" s="564" t="s">
        <v>42</v>
      </c>
      <c r="H143" s="565">
        <v>44290</v>
      </c>
      <c r="I143" s="564" t="s">
        <v>323</v>
      </c>
      <c r="J143" s="599">
        <v>5513400</v>
      </c>
      <c r="K143" s="600">
        <v>0.5</v>
      </c>
      <c r="L143" s="568">
        <v>2756700</v>
      </c>
      <c r="M143" s="569">
        <v>0.1</v>
      </c>
      <c r="N143" s="573">
        <f t="shared" si="19"/>
        <v>275670</v>
      </c>
      <c r="O143" s="570">
        <f t="shared" si="15"/>
        <v>2481030</v>
      </c>
      <c r="P143" s="575" t="s">
        <v>85</v>
      </c>
      <c r="Q143" s="572" t="e">
        <f>VLOOKUP(G:G,list!B:D,3,FALSE)</f>
        <v>#N/A</v>
      </c>
    </row>
    <row r="144" spans="2:17" ht="18" hidden="1" customHeight="1">
      <c r="B144" s="563">
        <v>139</v>
      </c>
      <c r="C144" s="564" t="str">
        <f>VLOOKUP(G:G,list!B:D,2,FALSE)</f>
        <v>원작료</v>
      </c>
      <c r="D144" s="564" t="s">
        <v>182</v>
      </c>
      <c r="E144" s="564" t="s">
        <v>115</v>
      </c>
      <c r="F144" s="564" t="s">
        <v>283</v>
      </c>
      <c r="G144" s="564" t="s">
        <v>30</v>
      </c>
      <c r="H144" s="565">
        <v>44358</v>
      </c>
      <c r="I144" s="564" t="s">
        <v>323</v>
      </c>
      <c r="J144" s="599">
        <v>432540</v>
      </c>
      <c r="K144" s="600">
        <v>0.5</v>
      </c>
      <c r="L144" s="568">
        <v>216270</v>
      </c>
      <c r="M144" s="569">
        <v>0.1</v>
      </c>
      <c r="N144" s="570">
        <f>L144*M144</f>
        <v>21627</v>
      </c>
      <c r="O144" s="570">
        <f>L144-N144</f>
        <v>194643</v>
      </c>
      <c r="P144" s="575"/>
      <c r="Q144" s="572" t="str">
        <f>VLOOKUP(G:G,list!B:D,3,FALSE)</f>
        <v>Y</v>
      </c>
    </row>
    <row r="145" spans="2:17" ht="18" hidden="1" customHeight="1">
      <c r="B145" s="563">
        <v>140</v>
      </c>
      <c r="C145" s="564" t="e">
        <f>VLOOKUP(G:G,list!B:D,2,FALSE)</f>
        <v>#N/A</v>
      </c>
      <c r="D145" s="564" t="s">
        <v>182</v>
      </c>
      <c r="E145" s="564" t="s">
        <v>115</v>
      </c>
      <c r="F145" s="564" t="s">
        <v>283</v>
      </c>
      <c r="G145" s="564" t="s">
        <v>55</v>
      </c>
      <c r="H145" s="565">
        <v>44668</v>
      </c>
      <c r="I145" s="564" t="s">
        <v>323</v>
      </c>
      <c r="J145" s="599">
        <v>761580</v>
      </c>
      <c r="K145" s="600">
        <v>0.5</v>
      </c>
      <c r="L145" s="568">
        <v>380790</v>
      </c>
      <c r="M145" s="569">
        <v>0.1</v>
      </c>
      <c r="N145" s="570">
        <f>L145*M145</f>
        <v>38079</v>
      </c>
      <c r="O145" s="570">
        <f>L145-N145</f>
        <v>342711</v>
      </c>
      <c r="P145" s="575"/>
      <c r="Q145" s="572"/>
    </row>
    <row r="146" spans="2:17" ht="18" hidden="1" customHeight="1">
      <c r="B146" s="563">
        <v>141</v>
      </c>
      <c r="C146" s="564" t="e">
        <f>VLOOKUP(G:G,list!B:D,2,FALSE)</f>
        <v>#N/A</v>
      </c>
      <c r="D146" s="564" t="s">
        <v>182</v>
      </c>
      <c r="E146" s="564" t="s">
        <v>115</v>
      </c>
      <c r="F146" s="564" t="s">
        <v>283</v>
      </c>
      <c r="G146" s="564" t="s">
        <v>53</v>
      </c>
      <c r="H146" s="565">
        <v>44271</v>
      </c>
      <c r="I146" s="564" t="s">
        <v>323</v>
      </c>
      <c r="J146" s="599">
        <v>2333520</v>
      </c>
      <c r="K146" s="600">
        <v>0.5</v>
      </c>
      <c r="L146" s="568">
        <v>1166760</v>
      </c>
      <c r="M146" s="569" t="s">
        <v>203</v>
      </c>
      <c r="N146" s="573">
        <v>0</v>
      </c>
      <c r="O146" s="570">
        <f t="shared" si="15"/>
        <v>1166760</v>
      </c>
      <c r="P146" s="575"/>
      <c r="Q146" s="572" t="e">
        <f>VLOOKUP(G:G,list!B:D,3,FALSE)</f>
        <v>#N/A</v>
      </c>
    </row>
    <row r="147" spans="2:17" ht="18" hidden="1" customHeight="1">
      <c r="B147" s="563">
        <v>142</v>
      </c>
      <c r="C147" s="564" t="e">
        <f>VLOOKUP(G:G,list!B:D,2,FALSE)</f>
        <v>#N/A</v>
      </c>
      <c r="D147" s="564" t="s">
        <v>182</v>
      </c>
      <c r="E147" s="564" t="s">
        <v>115</v>
      </c>
      <c r="F147" s="564" t="s">
        <v>283</v>
      </c>
      <c r="G147" s="564" t="s">
        <v>57</v>
      </c>
      <c r="H147" s="565">
        <v>44384</v>
      </c>
      <c r="I147" s="564" t="s">
        <v>323</v>
      </c>
      <c r="J147" s="599">
        <v>1118880</v>
      </c>
      <c r="K147" s="600">
        <v>0.5</v>
      </c>
      <c r="L147" s="568">
        <v>559440</v>
      </c>
      <c r="M147" s="569">
        <v>0.1</v>
      </c>
      <c r="N147" s="570">
        <f t="shared" ref="N147:N152" si="20">L147*M147</f>
        <v>55944</v>
      </c>
      <c r="O147" s="570">
        <f t="shared" si="15"/>
        <v>503496</v>
      </c>
      <c r="P147" s="575"/>
      <c r="Q147" s="572" t="e">
        <f>VLOOKUP(G:G,list!B:D,3,FALSE)</f>
        <v>#N/A</v>
      </c>
    </row>
    <row r="148" spans="2:17" ht="18" hidden="1" customHeight="1">
      <c r="B148" s="563">
        <v>143</v>
      </c>
      <c r="C148" s="564" t="e">
        <f>VLOOKUP(G:G,list!B:D,2,FALSE)</f>
        <v>#N/A</v>
      </c>
      <c r="D148" s="564" t="s">
        <v>182</v>
      </c>
      <c r="E148" s="564" t="s">
        <v>115</v>
      </c>
      <c r="F148" s="564" t="s">
        <v>283</v>
      </c>
      <c r="G148" s="564" t="s">
        <v>191</v>
      </c>
      <c r="H148" s="565">
        <v>44391</v>
      </c>
      <c r="I148" s="564" t="s">
        <v>323</v>
      </c>
      <c r="J148" s="599">
        <v>1180800</v>
      </c>
      <c r="K148" s="600">
        <v>0.5</v>
      </c>
      <c r="L148" s="568">
        <v>590400</v>
      </c>
      <c r="M148" s="569">
        <v>0.1</v>
      </c>
      <c r="N148" s="573">
        <f t="shared" si="20"/>
        <v>59040</v>
      </c>
      <c r="O148" s="570">
        <f t="shared" si="15"/>
        <v>531360</v>
      </c>
      <c r="P148" s="575"/>
      <c r="Q148" s="572" t="e">
        <f>VLOOKUP(G:G,list!B:D,3,FALSE)</f>
        <v>#N/A</v>
      </c>
    </row>
    <row r="149" spans="2:17" ht="18" hidden="1" customHeight="1">
      <c r="B149" s="563">
        <v>144</v>
      </c>
      <c r="C149" s="564" t="e">
        <f>VLOOKUP(G:G,list!B:D,2,FALSE)</f>
        <v>#N/A</v>
      </c>
      <c r="D149" s="564" t="s">
        <v>182</v>
      </c>
      <c r="E149" s="564" t="s">
        <v>115</v>
      </c>
      <c r="F149" s="564" t="s">
        <v>386</v>
      </c>
      <c r="G149" s="564" t="s">
        <v>74</v>
      </c>
      <c r="H149" s="565">
        <v>44612</v>
      </c>
      <c r="I149" s="564" t="s">
        <v>323</v>
      </c>
      <c r="J149" s="599">
        <v>33695</v>
      </c>
      <c r="K149" s="600">
        <v>0.5</v>
      </c>
      <c r="L149" s="568">
        <v>16847.5</v>
      </c>
      <c r="M149" s="569">
        <v>0.1</v>
      </c>
      <c r="N149" s="570">
        <f t="shared" si="20"/>
        <v>1684.75</v>
      </c>
      <c r="O149" s="570">
        <f t="shared" si="15"/>
        <v>15162.75</v>
      </c>
      <c r="P149" s="575"/>
      <c r="Q149" s="572" t="e">
        <f>VLOOKUP(G:G,list!B:D,3,FALSE)</f>
        <v>#N/A</v>
      </c>
    </row>
    <row r="150" spans="2:17" ht="18" hidden="1" customHeight="1">
      <c r="B150" s="563">
        <v>145</v>
      </c>
      <c r="C150" s="564" t="e">
        <f>VLOOKUP(G:G,list!B:D,2,FALSE)</f>
        <v>#N/A</v>
      </c>
      <c r="D150" s="564" t="s">
        <v>182</v>
      </c>
      <c r="E150" s="564" t="s">
        <v>115</v>
      </c>
      <c r="F150" s="564" t="s">
        <v>386</v>
      </c>
      <c r="G150" s="564" t="s">
        <v>153</v>
      </c>
      <c r="H150" s="565">
        <v>44604</v>
      </c>
      <c r="I150" s="564" t="s">
        <v>323</v>
      </c>
      <c r="J150" s="599">
        <v>1556939</v>
      </c>
      <c r="K150" s="600">
        <v>0.5</v>
      </c>
      <c r="L150" s="568">
        <v>778469.5</v>
      </c>
      <c r="M150" s="569">
        <v>0.1</v>
      </c>
      <c r="N150" s="570">
        <f t="shared" si="20"/>
        <v>77846.95</v>
      </c>
      <c r="O150" s="570">
        <f t="shared" si="15"/>
        <v>700622.55</v>
      </c>
      <c r="P150" s="575"/>
      <c r="Q150" s="572" t="e">
        <f>VLOOKUP(G:G,list!B:D,3,FALSE)</f>
        <v>#N/A</v>
      </c>
    </row>
    <row r="151" spans="2:17" ht="18" hidden="1" customHeight="1">
      <c r="B151" s="563">
        <v>146</v>
      </c>
      <c r="C151" s="564" t="e">
        <f>VLOOKUP(G:G,list!B:D,2,FALSE)</f>
        <v>#N/A</v>
      </c>
      <c r="D151" s="564" t="s">
        <v>182</v>
      </c>
      <c r="E151" s="564" t="s">
        <v>115</v>
      </c>
      <c r="F151" s="564" t="s">
        <v>386</v>
      </c>
      <c r="G151" s="564" t="s">
        <v>152</v>
      </c>
      <c r="H151" s="565">
        <v>44621</v>
      </c>
      <c r="I151" s="564" t="s">
        <v>323</v>
      </c>
      <c r="J151" s="599">
        <v>1863908</v>
      </c>
      <c r="K151" s="600">
        <v>0.5</v>
      </c>
      <c r="L151" s="568">
        <v>931954</v>
      </c>
      <c r="M151" s="569">
        <v>0.12</v>
      </c>
      <c r="N151" s="573">
        <f t="shared" si="20"/>
        <v>111834.48</v>
      </c>
      <c r="O151" s="570">
        <f t="shared" si="15"/>
        <v>820119.52</v>
      </c>
      <c r="P151" s="575"/>
      <c r="Q151" s="572" t="e">
        <f>VLOOKUP(G:G,list!B:D,3,FALSE)</f>
        <v>#N/A</v>
      </c>
    </row>
    <row r="152" spans="2:17" ht="18" hidden="1" customHeight="1">
      <c r="B152" s="563">
        <v>147</v>
      </c>
      <c r="C152" s="564" t="e">
        <f>VLOOKUP(G:G,list!B:D,2,FALSE)</f>
        <v>#N/A</v>
      </c>
      <c r="D152" s="564" t="s">
        <v>182</v>
      </c>
      <c r="E152" s="564" t="s">
        <v>115</v>
      </c>
      <c r="F152" s="564" t="s">
        <v>386</v>
      </c>
      <c r="G152" s="564" t="s">
        <v>179</v>
      </c>
      <c r="H152" s="565">
        <v>44596</v>
      </c>
      <c r="I152" s="564" t="s">
        <v>323</v>
      </c>
      <c r="J152" s="599">
        <v>2010440</v>
      </c>
      <c r="K152" s="600">
        <v>0.5</v>
      </c>
      <c r="L152" s="568">
        <v>1005220</v>
      </c>
      <c r="M152" s="569">
        <v>0.1</v>
      </c>
      <c r="N152" s="573">
        <f t="shared" si="20"/>
        <v>100522</v>
      </c>
      <c r="O152" s="570">
        <f t="shared" si="15"/>
        <v>904698</v>
      </c>
      <c r="P152" s="575" t="s">
        <v>367</v>
      </c>
      <c r="Q152" s="572" t="e">
        <f>VLOOKUP(G:G,list!B:D,3,FALSE)</f>
        <v>#N/A</v>
      </c>
    </row>
    <row r="153" spans="2:17" ht="18" hidden="1" customHeight="1">
      <c r="B153" s="563">
        <v>148</v>
      </c>
      <c r="C153" s="564" t="str">
        <f>VLOOKUP(G:G,list!B:D,2,FALSE)</f>
        <v>원작료</v>
      </c>
      <c r="D153" s="564" t="s">
        <v>182</v>
      </c>
      <c r="E153" s="564" t="s">
        <v>115</v>
      </c>
      <c r="F153" s="564" t="s">
        <v>386</v>
      </c>
      <c r="G153" s="564" t="s">
        <v>151</v>
      </c>
      <c r="H153" s="565">
        <v>44591</v>
      </c>
      <c r="I153" s="564" t="s">
        <v>323</v>
      </c>
      <c r="J153" s="599">
        <v>325898</v>
      </c>
      <c r="K153" s="600">
        <v>0.5</v>
      </c>
      <c r="L153" s="568">
        <v>162949</v>
      </c>
      <c r="M153" s="569">
        <v>0.1</v>
      </c>
      <c r="N153" s="570">
        <f>L153*M153</f>
        <v>16294.900000000001</v>
      </c>
      <c r="O153" s="570">
        <f>L153-N153</f>
        <v>146654.1</v>
      </c>
      <c r="P153" s="575"/>
      <c r="Q153" s="572" t="str">
        <f>VLOOKUP(G:G,list!B:D,3,FALSE)</f>
        <v>Y</v>
      </c>
    </row>
    <row r="154" spans="2:17" ht="18" hidden="1" customHeight="1">
      <c r="B154" s="563">
        <v>149</v>
      </c>
      <c r="C154" s="564" t="str">
        <f>VLOOKUP(G:G,list!B:D,2,FALSE)</f>
        <v>작가기획</v>
      </c>
      <c r="D154" s="564" t="s">
        <v>182</v>
      </c>
      <c r="E154" s="564" t="s">
        <v>115</v>
      </c>
      <c r="F154" s="564" t="s">
        <v>386</v>
      </c>
      <c r="G154" s="564" t="s">
        <v>180</v>
      </c>
      <c r="H154" s="565">
        <v>44643</v>
      </c>
      <c r="I154" s="564" t="s">
        <v>323</v>
      </c>
      <c r="J154" s="599">
        <v>499249</v>
      </c>
      <c r="K154" s="600">
        <v>0.5</v>
      </c>
      <c r="L154" s="568">
        <v>249624.5</v>
      </c>
      <c r="M154" s="569" t="s">
        <v>203</v>
      </c>
      <c r="N154" s="570">
        <v>0</v>
      </c>
      <c r="O154" s="570">
        <f t="shared" si="15"/>
        <v>249624.5</v>
      </c>
      <c r="P154" s="575"/>
      <c r="Q154" s="572" t="str">
        <f>VLOOKUP(G:G,list!B:D,3,FALSE)</f>
        <v>Y</v>
      </c>
    </row>
    <row r="155" spans="2:17" ht="18" hidden="1" customHeight="1">
      <c r="B155" s="563">
        <v>150</v>
      </c>
      <c r="C155" s="564" t="e">
        <f>VLOOKUP(G:G,list!B:D,2,FALSE)</f>
        <v>#N/A</v>
      </c>
      <c r="D155" s="564" t="s">
        <v>182</v>
      </c>
      <c r="E155" s="564" t="s">
        <v>115</v>
      </c>
      <c r="F155" s="564" t="s">
        <v>386</v>
      </c>
      <c r="G155" s="564" t="s">
        <v>226</v>
      </c>
      <c r="H155" s="565">
        <v>44633</v>
      </c>
      <c r="I155" s="564" t="s">
        <v>323</v>
      </c>
      <c r="J155" s="599">
        <v>10579</v>
      </c>
      <c r="K155" s="600">
        <v>0.5</v>
      </c>
      <c r="L155" s="568">
        <v>5289.5</v>
      </c>
      <c r="M155" s="569">
        <v>0.1</v>
      </c>
      <c r="N155" s="570">
        <f>L155*M155</f>
        <v>528.95000000000005</v>
      </c>
      <c r="O155" s="570">
        <f>L155-N155</f>
        <v>4760.55</v>
      </c>
      <c r="P155" s="575"/>
      <c r="Q155" s="572" t="e">
        <f>VLOOKUP(G:G,list!B:D,3,FALSE)</f>
        <v>#N/A</v>
      </c>
    </row>
    <row r="156" spans="2:17" ht="18" hidden="1" customHeight="1">
      <c r="B156" s="563">
        <v>151</v>
      </c>
      <c r="C156" s="564" t="e">
        <f>VLOOKUP(G:G,list!B:D,2,FALSE)</f>
        <v>#N/A</v>
      </c>
      <c r="D156" s="564" t="s">
        <v>182</v>
      </c>
      <c r="E156" s="564" t="s">
        <v>115</v>
      </c>
      <c r="F156" s="564" t="s">
        <v>386</v>
      </c>
      <c r="G156" s="564" t="s">
        <v>204</v>
      </c>
      <c r="H156" s="565">
        <v>44615</v>
      </c>
      <c r="I156" s="564" t="s">
        <v>323</v>
      </c>
      <c r="J156" s="599">
        <v>1459866</v>
      </c>
      <c r="K156" s="600">
        <v>0.5</v>
      </c>
      <c r="L156" s="568">
        <v>729933</v>
      </c>
      <c r="M156" s="569">
        <v>0.1</v>
      </c>
      <c r="N156" s="573">
        <f>L156*M156</f>
        <v>72993.3</v>
      </c>
      <c r="O156" s="570">
        <f t="shared" ref="O156:O162" si="21">L156-N156</f>
        <v>656939.69999999995</v>
      </c>
      <c r="P156" s="575"/>
      <c r="Q156" s="572" t="e">
        <f>VLOOKUP(G:G,list!B:D,3,FALSE)</f>
        <v>#N/A</v>
      </c>
    </row>
    <row r="157" spans="2:17" ht="18" hidden="1" customHeight="1">
      <c r="B157" s="563">
        <v>152</v>
      </c>
      <c r="C157" s="564" t="str">
        <f>VLOOKUP(G:G,list!B:D,2,FALSE)</f>
        <v>작가기획</v>
      </c>
      <c r="D157" s="564" t="s">
        <v>182</v>
      </c>
      <c r="E157" s="564" t="s">
        <v>115</v>
      </c>
      <c r="F157" s="564" t="s">
        <v>386</v>
      </c>
      <c r="G157" s="564" t="s">
        <v>139</v>
      </c>
      <c r="H157" s="565">
        <v>44643</v>
      </c>
      <c r="I157" s="564" t="s">
        <v>323</v>
      </c>
      <c r="J157" s="599">
        <v>38615</v>
      </c>
      <c r="K157" s="600">
        <v>0.5</v>
      </c>
      <c r="L157" s="568">
        <v>19307.5</v>
      </c>
      <c r="M157" s="569" t="s">
        <v>203</v>
      </c>
      <c r="N157" s="573">
        <v>0</v>
      </c>
      <c r="O157" s="570">
        <f>L157-N157</f>
        <v>19307.5</v>
      </c>
      <c r="P157" s="575"/>
      <c r="Q157" s="572" t="str">
        <f>VLOOKUP(G:G,list!B:D,3,FALSE)</f>
        <v>Y</v>
      </c>
    </row>
    <row r="158" spans="2:17" ht="18" hidden="1" customHeight="1">
      <c r="B158" s="563">
        <v>153</v>
      </c>
      <c r="C158" s="564" t="e">
        <f>VLOOKUP(G:G,list!B:D,2,FALSE)</f>
        <v>#N/A</v>
      </c>
      <c r="D158" s="564" t="s">
        <v>182</v>
      </c>
      <c r="E158" s="564" t="s">
        <v>115</v>
      </c>
      <c r="F158" s="564" t="s">
        <v>386</v>
      </c>
      <c r="G158" s="564" t="s">
        <v>147</v>
      </c>
      <c r="H158" s="565">
        <v>44593</v>
      </c>
      <c r="I158" s="564" t="s">
        <v>323</v>
      </c>
      <c r="J158" s="599">
        <v>228689</v>
      </c>
      <c r="K158" s="600">
        <v>0.5</v>
      </c>
      <c r="L158" s="568">
        <v>114344.5</v>
      </c>
      <c r="M158" s="569" t="s">
        <v>203</v>
      </c>
      <c r="N158" s="573">
        <v>0</v>
      </c>
      <c r="O158" s="570">
        <f t="shared" si="21"/>
        <v>114344.5</v>
      </c>
      <c r="P158" s="575"/>
      <c r="Q158" s="572" t="e">
        <f>VLOOKUP(G:G,list!B:D,3,FALSE)</f>
        <v>#N/A</v>
      </c>
    </row>
    <row r="159" spans="2:17" ht="18" hidden="1" customHeight="1">
      <c r="B159" s="563">
        <v>154</v>
      </c>
      <c r="C159" s="564" t="e">
        <f>VLOOKUP(G:G,list!B:D,2,FALSE)</f>
        <v>#N/A</v>
      </c>
      <c r="D159" s="564" t="s">
        <v>182</v>
      </c>
      <c r="E159" s="564" t="s">
        <v>115</v>
      </c>
      <c r="F159" s="564" t="s">
        <v>386</v>
      </c>
      <c r="G159" s="564" t="s">
        <v>191</v>
      </c>
      <c r="H159" s="565">
        <v>44599</v>
      </c>
      <c r="I159" s="564" t="s">
        <v>323</v>
      </c>
      <c r="J159" s="599">
        <v>4328870</v>
      </c>
      <c r="K159" s="600">
        <v>0.5</v>
      </c>
      <c r="L159" s="568">
        <v>2164435</v>
      </c>
      <c r="M159" s="569">
        <v>0.1</v>
      </c>
      <c r="N159" s="573">
        <f t="shared" ref="N159" si="22">L159*M159</f>
        <v>216443.5</v>
      </c>
      <c r="O159" s="570">
        <f t="shared" si="21"/>
        <v>1947991.5</v>
      </c>
      <c r="P159" s="575"/>
      <c r="Q159" s="572"/>
    </row>
    <row r="160" spans="2:17" ht="18" hidden="1" customHeight="1">
      <c r="B160" s="563">
        <v>155</v>
      </c>
      <c r="C160" s="564" t="e">
        <f>VLOOKUP(G:G,list!B:D,2,FALSE)</f>
        <v>#N/A</v>
      </c>
      <c r="D160" s="564" t="s">
        <v>182</v>
      </c>
      <c r="E160" s="564" t="s">
        <v>115</v>
      </c>
      <c r="F160" s="564" t="s">
        <v>330</v>
      </c>
      <c r="G160" s="564" t="s">
        <v>19</v>
      </c>
      <c r="H160" s="565">
        <v>44463</v>
      </c>
      <c r="I160" s="564" t="s">
        <v>327</v>
      </c>
      <c r="J160" s="599">
        <v>88084.02</v>
      </c>
      <c r="K160" s="600">
        <v>0.5</v>
      </c>
      <c r="L160" s="568">
        <v>44042.01</v>
      </c>
      <c r="M160" s="569" t="s">
        <v>203</v>
      </c>
      <c r="N160" s="570">
        <v>0</v>
      </c>
      <c r="O160" s="570">
        <f t="shared" si="21"/>
        <v>44042.01</v>
      </c>
      <c r="P160" s="575"/>
      <c r="Q160" s="572"/>
    </row>
    <row r="161" spans="2:17" ht="18" hidden="1" customHeight="1">
      <c r="B161" s="563">
        <v>156</v>
      </c>
      <c r="C161" s="564" t="e">
        <f>VLOOKUP(G:G,list!B:D,2,FALSE)</f>
        <v>#N/A</v>
      </c>
      <c r="D161" s="564" t="s">
        <v>182</v>
      </c>
      <c r="E161" s="564" t="s">
        <v>115</v>
      </c>
      <c r="F161" s="564" t="s">
        <v>330</v>
      </c>
      <c r="G161" s="564" t="s">
        <v>19</v>
      </c>
      <c r="H161" s="565">
        <v>44463</v>
      </c>
      <c r="I161" s="564" t="s">
        <v>328</v>
      </c>
      <c r="J161" s="599">
        <v>105251.82</v>
      </c>
      <c r="K161" s="600">
        <v>0.5</v>
      </c>
      <c r="L161" s="568">
        <v>52625.91</v>
      </c>
      <c r="M161" s="569" t="s">
        <v>203</v>
      </c>
      <c r="N161" s="570">
        <v>0</v>
      </c>
      <c r="O161" s="570">
        <f t="shared" si="21"/>
        <v>52625.91</v>
      </c>
      <c r="P161" s="575"/>
      <c r="Q161" s="572"/>
    </row>
    <row r="162" spans="2:17" ht="18" hidden="1" customHeight="1">
      <c r="B162" s="563">
        <v>157</v>
      </c>
      <c r="C162" s="564" t="e">
        <f>VLOOKUP(G:G,list!B:D,2,FALSE)</f>
        <v>#N/A</v>
      </c>
      <c r="D162" s="564" t="s">
        <v>182</v>
      </c>
      <c r="E162" s="564" t="s">
        <v>115</v>
      </c>
      <c r="F162" s="564" t="s">
        <v>330</v>
      </c>
      <c r="G162" s="564" t="s">
        <v>19</v>
      </c>
      <c r="H162" s="565">
        <v>44463</v>
      </c>
      <c r="I162" s="564" t="s">
        <v>325</v>
      </c>
      <c r="J162" s="599">
        <v>60351.420000000006</v>
      </c>
      <c r="K162" s="600">
        <v>0.5</v>
      </c>
      <c r="L162" s="568">
        <v>30175.710000000003</v>
      </c>
      <c r="M162" s="569" t="s">
        <v>203</v>
      </c>
      <c r="N162" s="573">
        <v>0</v>
      </c>
      <c r="O162" s="570">
        <f t="shared" si="21"/>
        <v>30175.710000000003</v>
      </c>
      <c r="P162" s="575"/>
      <c r="Q162" s="572"/>
    </row>
    <row r="163" spans="2:17" ht="18" hidden="1" customHeight="1">
      <c r="B163" s="563">
        <v>158</v>
      </c>
      <c r="C163" s="564" t="e">
        <f>VLOOKUP(G:G,list!B:D,2,FALSE)</f>
        <v>#N/A</v>
      </c>
      <c r="D163" s="564" t="s">
        <v>182</v>
      </c>
      <c r="E163" s="564" t="s">
        <v>9</v>
      </c>
      <c r="F163" s="564" t="s">
        <v>330</v>
      </c>
      <c r="G163" s="564" t="s">
        <v>59</v>
      </c>
      <c r="H163" s="565">
        <v>44391</v>
      </c>
      <c r="I163" s="564" t="s">
        <v>327</v>
      </c>
      <c r="J163" s="599">
        <v>1523239.48</v>
      </c>
      <c r="K163" s="600">
        <v>0.5</v>
      </c>
      <c r="L163" s="568">
        <v>761619.74</v>
      </c>
      <c r="M163" s="569">
        <v>0.1</v>
      </c>
      <c r="N163" s="570">
        <f t="shared" ref="N163:N165" si="23">L163*M163</f>
        <v>76161.974000000002</v>
      </c>
      <c r="O163" s="570">
        <f t="shared" ref="O163:O165" si="24">L163-N163</f>
        <v>685457.76599999995</v>
      </c>
      <c r="P163" s="575"/>
      <c r="Q163" s="572"/>
    </row>
    <row r="164" spans="2:17" ht="18" hidden="1" customHeight="1">
      <c r="B164" s="563">
        <v>159</v>
      </c>
      <c r="C164" s="564" t="e">
        <f>VLOOKUP(G:G,list!B:D,2,FALSE)</f>
        <v>#N/A</v>
      </c>
      <c r="D164" s="564" t="s">
        <v>182</v>
      </c>
      <c r="E164" s="564" t="s">
        <v>9</v>
      </c>
      <c r="F164" s="564" t="s">
        <v>330</v>
      </c>
      <c r="G164" s="564" t="s">
        <v>59</v>
      </c>
      <c r="H164" s="565">
        <v>44391</v>
      </c>
      <c r="I164" s="564" t="s">
        <v>328</v>
      </c>
      <c r="J164" s="599">
        <v>492082.08</v>
      </c>
      <c r="K164" s="600">
        <v>0.5</v>
      </c>
      <c r="L164" s="568">
        <v>246041.04</v>
      </c>
      <c r="M164" s="569">
        <v>0.1</v>
      </c>
      <c r="N164" s="570">
        <f t="shared" si="23"/>
        <v>24604.104000000003</v>
      </c>
      <c r="O164" s="570">
        <f t="shared" si="24"/>
        <v>221436.93600000002</v>
      </c>
      <c r="P164" s="575"/>
      <c r="Q164" s="572"/>
    </row>
    <row r="165" spans="2:17" ht="18" hidden="1" customHeight="1">
      <c r="B165" s="563">
        <v>160</v>
      </c>
      <c r="C165" s="564" t="e">
        <f>VLOOKUP(G:G,list!B:D,2,FALSE)</f>
        <v>#N/A</v>
      </c>
      <c r="D165" s="564" t="s">
        <v>182</v>
      </c>
      <c r="E165" s="564" t="s">
        <v>9</v>
      </c>
      <c r="F165" s="564" t="s">
        <v>330</v>
      </c>
      <c r="G165" s="564" t="s">
        <v>59</v>
      </c>
      <c r="H165" s="565">
        <v>44391</v>
      </c>
      <c r="I165" s="564" t="s">
        <v>325</v>
      </c>
      <c r="J165" s="599">
        <v>630966.55999999994</v>
      </c>
      <c r="K165" s="600">
        <v>0.5</v>
      </c>
      <c r="L165" s="568">
        <v>315483.27999999997</v>
      </c>
      <c r="M165" s="569">
        <v>0.1</v>
      </c>
      <c r="N165" s="570">
        <f t="shared" si="23"/>
        <v>31548.327999999998</v>
      </c>
      <c r="O165" s="570">
        <f t="shared" si="24"/>
        <v>283934.95199999999</v>
      </c>
      <c r="P165" s="575"/>
      <c r="Q165" s="572"/>
    </row>
    <row r="166" spans="2:17" ht="18" hidden="1" customHeight="1">
      <c r="B166" s="563">
        <v>161</v>
      </c>
      <c r="C166" s="564" t="e">
        <f>VLOOKUP(G:G,list!B:D,2,FALSE)</f>
        <v>#N/A</v>
      </c>
      <c r="D166" s="564" t="s">
        <v>313</v>
      </c>
      <c r="E166" s="564" t="s">
        <v>9</v>
      </c>
      <c r="F166" s="564" t="s">
        <v>213</v>
      </c>
      <c r="G166" s="564" t="s">
        <v>10</v>
      </c>
      <c r="H166" s="565">
        <v>44653</v>
      </c>
      <c r="I166" s="564" t="s">
        <v>368</v>
      </c>
      <c r="J166" s="599">
        <v>1040313</v>
      </c>
      <c r="K166" s="600">
        <v>0.3</v>
      </c>
      <c r="L166" s="568">
        <v>312094</v>
      </c>
      <c r="M166" s="569">
        <v>0.1</v>
      </c>
      <c r="N166" s="570">
        <f>L166*M166</f>
        <v>31209.4</v>
      </c>
      <c r="O166" s="570">
        <f t="shared" ref="O166:O167" si="25">L166-N166</f>
        <v>280884.59999999998</v>
      </c>
      <c r="P166" s="575" t="s">
        <v>307</v>
      </c>
      <c r="Q166" s="572"/>
    </row>
    <row r="167" spans="2:17" ht="18" hidden="1" customHeight="1">
      <c r="B167" s="563">
        <v>162</v>
      </c>
      <c r="C167" s="564" t="e">
        <f>VLOOKUP(G:G,list!B:D,2,FALSE)</f>
        <v>#N/A</v>
      </c>
      <c r="D167" s="564" t="s">
        <v>313</v>
      </c>
      <c r="E167" s="564" t="s">
        <v>9</v>
      </c>
      <c r="F167" s="564" t="s">
        <v>213</v>
      </c>
      <c r="G167" s="564" t="s">
        <v>17</v>
      </c>
      <c r="H167" s="565">
        <v>44642</v>
      </c>
      <c r="I167" s="564" t="s">
        <v>368</v>
      </c>
      <c r="J167" s="599">
        <v>2143337</v>
      </c>
      <c r="K167" s="600">
        <v>0.3</v>
      </c>
      <c r="L167" s="568">
        <v>643001</v>
      </c>
      <c r="M167" s="569">
        <v>0.12</v>
      </c>
      <c r="N167" s="573">
        <f>L167*M167</f>
        <v>77160.12</v>
      </c>
      <c r="O167" s="570">
        <f t="shared" si="25"/>
        <v>565840.88</v>
      </c>
      <c r="P167" s="575" t="s">
        <v>307</v>
      </c>
      <c r="Q167" s="572"/>
    </row>
    <row r="168" spans="2:17" ht="18" hidden="1" customHeight="1">
      <c r="B168" s="563">
        <v>163</v>
      </c>
      <c r="C168" s="564" t="e">
        <f>VLOOKUP(G:G,list!B:D,2,FALSE)</f>
        <v>#N/A</v>
      </c>
      <c r="D168" s="564" t="s">
        <v>313</v>
      </c>
      <c r="E168" s="564" t="s">
        <v>9</v>
      </c>
      <c r="F168" s="564" t="s">
        <v>213</v>
      </c>
      <c r="G168" s="564" t="s">
        <v>55</v>
      </c>
      <c r="H168" s="565">
        <v>44666</v>
      </c>
      <c r="I168" s="564" t="s">
        <v>368</v>
      </c>
      <c r="J168" s="599">
        <v>40187</v>
      </c>
      <c r="K168" s="600">
        <v>0.3</v>
      </c>
      <c r="L168" s="568">
        <v>12056</v>
      </c>
      <c r="M168" s="569">
        <v>0.1</v>
      </c>
      <c r="N168" s="570">
        <f>L168*M168</f>
        <v>1205.6000000000001</v>
      </c>
      <c r="O168" s="570">
        <f>L168-N168</f>
        <v>10850.4</v>
      </c>
      <c r="P168" s="575" t="s">
        <v>307</v>
      </c>
      <c r="Q168" s="572"/>
    </row>
    <row r="169" spans="2:17" ht="18" hidden="1" customHeight="1">
      <c r="B169" s="563">
        <v>164</v>
      </c>
      <c r="C169" s="564" t="e">
        <f>VLOOKUP(G:G,list!B:D,2,FALSE)</f>
        <v>#N/A</v>
      </c>
      <c r="D169" s="564" t="s">
        <v>189</v>
      </c>
      <c r="E169" s="564" t="s">
        <v>9</v>
      </c>
      <c r="F169" s="564" t="s">
        <v>213</v>
      </c>
      <c r="G169" s="564" t="s">
        <v>10</v>
      </c>
      <c r="H169" s="565">
        <v>44366</v>
      </c>
      <c r="I169" s="564" t="s">
        <v>368</v>
      </c>
      <c r="J169" s="599">
        <v>13350957</v>
      </c>
      <c r="K169" s="600">
        <v>0.3</v>
      </c>
      <c r="L169" s="568">
        <v>4005287</v>
      </c>
      <c r="M169" s="569">
        <v>0.1</v>
      </c>
      <c r="N169" s="570">
        <f>L169*M169</f>
        <v>400528.7</v>
      </c>
      <c r="O169" s="570">
        <f t="shared" ref="O169:O170" si="26">L169-N169</f>
        <v>3604758.3</v>
      </c>
      <c r="P169" s="575" t="s">
        <v>307</v>
      </c>
      <c r="Q169" s="572"/>
    </row>
    <row r="170" spans="2:17" ht="18" hidden="1" customHeight="1">
      <c r="B170" s="563">
        <v>165</v>
      </c>
      <c r="C170" s="564" t="e">
        <f>VLOOKUP(G:G,list!B:D,2,FALSE)</f>
        <v>#N/A</v>
      </c>
      <c r="D170" s="564" t="s">
        <v>189</v>
      </c>
      <c r="E170" s="564" t="s">
        <v>9</v>
      </c>
      <c r="F170" s="564" t="s">
        <v>213</v>
      </c>
      <c r="G170" s="564" t="s">
        <v>17</v>
      </c>
      <c r="H170" s="565">
        <v>44466</v>
      </c>
      <c r="I170" s="564" t="s">
        <v>368</v>
      </c>
      <c r="J170" s="599">
        <v>6425487</v>
      </c>
      <c r="K170" s="600">
        <v>0.3</v>
      </c>
      <c r="L170" s="568">
        <v>1927646</v>
      </c>
      <c r="M170" s="569">
        <v>0.12</v>
      </c>
      <c r="N170" s="573">
        <f t="shared" ref="N170:N178" si="27">L170*M170</f>
        <v>231317.52</v>
      </c>
      <c r="O170" s="570">
        <f t="shared" si="26"/>
        <v>1696328.48</v>
      </c>
      <c r="P170" s="575" t="s">
        <v>307</v>
      </c>
      <c r="Q170" s="572"/>
    </row>
    <row r="171" spans="2:17" ht="18" hidden="1" customHeight="1">
      <c r="B171" s="563">
        <v>166</v>
      </c>
      <c r="C171" s="564" t="e">
        <f>VLOOKUP(G:G,list!B:D,2,FALSE)</f>
        <v>#N/A</v>
      </c>
      <c r="D171" s="564" t="s">
        <v>189</v>
      </c>
      <c r="E171" s="564" t="s">
        <v>9</v>
      </c>
      <c r="F171" s="564" t="s">
        <v>41</v>
      </c>
      <c r="G171" s="564" t="s">
        <v>179</v>
      </c>
      <c r="H171" s="565">
        <v>44114</v>
      </c>
      <c r="I171" s="564" t="s">
        <v>368</v>
      </c>
      <c r="J171" s="586">
        <v>14913</v>
      </c>
      <c r="K171" s="567">
        <v>0.8</v>
      </c>
      <c r="L171" s="568">
        <v>11930</v>
      </c>
      <c r="M171" s="569">
        <v>0.1</v>
      </c>
      <c r="N171" s="573">
        <f t="shared" si="27"/>
        <v>1193</v>
      </c>
      <c r="O171" s="570">
        <f>L171-N171</f>
        <v>10737</v>
      </c>
      <c r="P171" s="575" t="s">
        <v>85</v>
      </c>
      <c r="Q171" s="572" t="e">
        <f>VLOOKUP(G:G,list!B:D,3,FALSE)</f>
        <v>#N/A</v>
      </c>
    </row>
    <row r="172" spans="2:17" ht="18" hidden="1" customHeight="1">
      <c r="B172" s="563">
        <v>167</v>
      </c>
      <c r="C172" s="564" t="e">
        <f>VLOOKUP(G:G,list!B:D,2,FALSE)</f>
        <v>#N/A</v>
      </c>
      <c r="D172" s="564" t="s">
        <v>189</v>
      </c>
      <c r="E172" s="564" t="s">
        <v>9</v>
      </c>
      <c r="F172" s="564" t="s">
        <v>41</v>
      </c>
      <c r="G172" s="564" t="s">
        <v>153</v>
      </c>
      <c r="H172" s="565">
        <v>44122</v>
      </c>
      <c r="I172" s="564" t="s">
        <v>368</v>
      </c>
      <c r="J172" s="586">
        <v>33975</v>
      </c>
      <c r="K172" s="567">
        <v>0.8</v>
      </c>
      <c r="L172" s="568">
        <v>27180</v>
      </c>
      <c r="M172" s="569">
        <v>0.1</v>
      </c>
      <c r="N172" s="570">
        <f t="shared" si="27"/>
        <v>2718</v>
      </c>
      <c r="O172" s="570">
        <f>L172-N172</f>
        <v>24462</v>
      </c>
      <c r="P172" s="576"/>
      <c r="Q172" s="572" t="e">
        <f>VLOOKUP(G:G,list!B:D,3,FALSE)</f>
        <v>#N/A</v>
      </c>
    </row>
    <row r="173" spans="2:17" ht="18" hidden="1" customHeight="1">
      <c r="B173" s="563">
        <v>168</v>
      </c>
      <c r="C173" s="564" t="e">
        <f>VLOOKUP(G:G,list!B:D,2,FALSE)</f>
        <v>#N/A</v>
      </c>
      <c r="D173" s="564" t="s">
        <v>189</v>
      </c>
      <c r="E173" s="564" t="s">
        <v>9</v>
      </c>
      <c r="F173" s="564" t="s">
        <v>41</v>
      </c>
      <c r="G173" s="564" t="s">
        <v>152</v>
      </c>
      <c r="H173" s="565">
        <v>44250</v>
      </c>
      <c r="I173" s="564" t="s">
        <v>368</v>
      </c>
      <c r="J173" s="586">
        <v>65283</v>
      </c>
      <c r="K173" s="567">
        <v>0.8</v>
      </c>
      <c r="L173" s="568">
        <v>52226</v>
      </c>
      <c r="M173" s="569">
        <v>0.12</v>
      </c>
      <c r="N173" s="573">
        <f t="shared" si="27"/>
        <v>6267.12</v>
      </c>
      <c r="O173" s="570">
        <f>L173-N173</f>
        <v>45958.879999999997</v>
      </c>
      <c r="P173" s="576"/>
      <c r="Q173" s="572" t="e">
        <f>VLOOKUP(G:G,list!B:D,3,FALSE)</f>
        <v>#N/A</v>
      </c>
    </row>
    <row r="174" spans="2:17" ht="18" hidden="1" customHeight="1">
      <c r="B174" s="563">
        <v>169</v>
      </c>
      <c r="C174" s="564" t="str">
        <f>VLOOKUP(G:G,list!B:D,2,FALSE)</f>
        <v>원작료</v>
      </c>
      <c r="D174" s="564" t="s">
        <v>189</v>
      </c>
      <c r="E174" s="564" t="s">
        <v>9</v>
      </c>
      <c r="F174" s="564" t="s">
        <v>41</v>
      </c>
      <c r="G174" s="564" t="s">
        <v>151</v>
      </c>
      <c r="H174" s="565">
        <v>44265</v>
      </c>
      <c r="I174" s="564" t="s">
        <v>368</v>
      </c>
      <c r="J174" s="586">
        <v>39012</v>
      </c>
      <c r="K174" s="567">
        <v>0.8</v>
      </c>
      <c r="L174" s="568">
        <v>31209</v>
      </c>
      <c r="M174" s="569">
        <v>0.1</v>
      </c>
      <c r="N174" s="570">
        <f>L174*M174</f>
        <v>3120.9</v>
      </c>
      <c r="O174" s="570">
        <f>L174-N174</f>
        <v>28088.1</v>
      </c>
      <c r="P174" s="604"/>
      <c r="Q174" s="572" t="str">
        <f>VLOOKUP(G:G,list!B:D,3,FALSE)</f>
        <v>Y</v>
      </c>
    </row>
    <row r="175" spans="2:17" ht="18" hidden="1" customHeight="1">
      <c r="B175" s="563">
        <v>170</v>
      </c>
      <c r="C175" s="564" t="e">
        <f>VLOOKUP(G:G,list!B:D,2,FALSE)</f>
        <v>#N/A</v>
      </c>
      <c r="D175" s="564" t="s">
        <v>251</v>
      </c>
      <c r="E175" s="564" t="s">
        <v>9</v>
      </c>
      <c r="F175" s="564" t="s">
        <v>41</v>
      </c>
      <c r="G175" s="564" t="s">
        <v>212</v>
      </c>
      <c r="H175" s="565">
        <v>44327</v>
      </c>
      <c r="I175" s="564" t="s">
        <v>368</v>
      </c>
      <c r="J175" s="586">
        <v>81332</v>
      </c>
      <c r="K175" s="567">
        <v>0.8</v>
      </c>
      <c r="L175" s="568">
        <v>65065</v>
      </c>
      <c r="M175" s="569">
        <v>0.1</v>
      </c>
      <c r="N175" s="573">
        <f t="shared" si="27"/>
        <v>6506.5</v>
      </c>
      <c r="O175" s="570">
        <f t="shared" ref="O175:O178" si="28">L175-N175</f>
        <v>58558.5</v>
      </c>
      <c r="P175" s="604"/>
      <c r="Q175" s="572" t="e">
        <f>VLOOKUP(G:G,list!B:D,3,FALSE)</f>
        <v>#N/A</v>
      </c>
    </row>
    <row r="176" spans="2:17" ht="18" hidden="1" customHeight="1">
      <c r="B176" s="563">
        <v>171</v>
      </c>
      <c r="C176" s="564" t="e">
        <f>VLOOKUP(G:G,list!B:D,2,FALSE)</f>
        <v>#N/A</v>
      </c>
      <c r="D176" s="564" t="s">
        <v>189</v>
      </c>
      <c r="E176" s="564" t="s">
        <v>9</v>
      </c>
      <c r="F176" s="564" t="s">
        <v>257</v>
      </c>
      <c r="G176" s="564" t="s">
        <v>42</v>
      </c>
      <c r="H176" s="565">
        <v>44678</v>
      </c>
      <c r="I176" s="564" t="s">
        <v>418</v>
      </c>
      <c r="J176" s="586">
        <v>3534</v>
      </c>
      <c r="K176" s="567">
        <v>0.35000108854200684</v>
      </c>
      <c r="L176" s="568">
        <v>1237</v>
      </c>
      <c r="M176" s="569">
        <v>0.1</v>
      </c>
      <c r="N176" s="573">
        <f t="shared" si="27"/>
        <v>123.7</v>
      </c>
      <c r="O176" s="570">
        <f t="shared" si="28"/>
        <v>1113.3</v>
      </c>
      <c r="P176" s="575" t="s">
        <v>85</v>
      </c>
      <c r="Q176" s="572"/>
    </row>
    <row r="177" spans="2:17" ht="18" hidden="1" customHeight="1">
      <c r="B177" s="563">
        <v>172</v>
      </c>
      <c r="C177" s="564" t="e">
        <f>VLOOKUP(G:G,list!B:D,2,FALSE)</f>
        <v>#N/A</v>
      </c>
      <c r="D177" s="564" t="s">
        <v>189</v>
      </c>
      <c r="E177" s="564" t="s">
        <v>9</v>
      </c>
      <c r="F177" s="564" t="s">
        <v>257</v>
      </c>
      <c r="G177" s="564" t="s">
        <v>42</v>
      </c>
      <c r="H177" s="565">
        <v>44678</v>
      </c>
      <c r="I177" s="564" t="s">
        <v>420</v>
      </c>
      <c r="J177" s="586">
        <v>50685</v>
      </c>
      <c r="K177" s="567">
        <v>0.35000108854200684</v>
      </c>
      <c r="L177" s="568">
        <v>17739</v>
      </c>
      <c r="M177" s="569">
        <v>0.1</v>
      </c>
      <c r="N177" s="573">
        <f t="shared" si="27"/>
        <v>1773.9</v>
      </c>
      <c r="O177" s="570">
        <f t="shared" si="28"/>
        <v>15965.1</v>
      </c>
      <c r="P177" s="575" t="s">
        <v>85</v>
      </c>
      <c r="Q177" s="572"/>
    </row>
    <row r="178" spans="2:17" ht="18" hidden="1" customHeight="1">
      <c r="B178" s="563">
        <v>173</v>
      </c>
      <c r="C178" s="564" t="e">
        <f>VLOOKUP(G:G,list!B:D,2,FALSE)</f>
        <v>#N/A</v>
      </c>
      <c r="D178" s="564" t="s">
        <v>189</v>
      </c>
      <c r="E178" s="564" t="s">
        <v>9</v>
      </c>
      <c r="F178" s="564" t="s">
        <v>257</v>
      </c>
      <c r="G178" s="564" t="s">
        <v>42</v>
      </c>
      <c r="H178" s="565">
        <v>44678</v>
      </c>
      <c r="I178" s="564" t="s">
        <v>416</v>
      </c>
      <c r="J178" s="586">
        <v>75219</v>
      </c>
      <c r="K178" s="567">
        <v>0.35000108854200684</v>
      </c>
      <c r="L178" s="568">
        <v>26327</v>
      </c>
      <c r="M178" s="569">
        <v>0.1</v>
      </c>
      <c r="N178" s="573">
        <f t="shared" si="27"/>
        <v>2632.7000000000003</v>
      </c>
      <c r="O178" s="570">
        <f t="shared" si="28"/>
        <v>23694.3</v>
      </c>
      <c r="P178" s="575" t="s">
        <v>85</v>
      </c>
      <c r="Q178" s="572"/>
    </row>
    <row r="179" spans="2:17" ht="18" hidden="1" customHeight="1">
      <c r="B179" s="563">
        <v>174</v>
      </c>
      <c r="C179" s="564" t="e">
        <f>VLOOKUP(G:G,list!B:D,2,FALSE)</f>
        <v>#N/A</v>
      </c>
      <c r="D179" s="564" t="s">
        <v>189</v>
      </c>
      <c r="E179" s="564" t="s">
        <v>9</v>
      </c>
      <c r="F179" s="564" t="s">
        <v>257</v>
      </c>
      <c r="G179" s="564" t="s">
        <v>173</v>
      </c>
      <c r="H179" s="565">
        <v>44678</v>
      </c>
      <c r="I179" s="564" t="s">
        <v>417</v>
      </c>
      <c r="J179" s="586">
        <v>486</v>
      </c>
      <c r="K179" s="567">
        <v>0.35000108854200684</v>
      </c>
      <c r="L179" s="568">
        <v>170</v>
      </c>
      <c r="M179" s="569">
        <v>0.1</v>
      </c>
      <c r="N179" s="570">
        <f t="shared" ref="N179:N181" si="29">L179*M179</f>
        <v>17</v>
      </c>
      <c r="O179" s="570">
        <f t="shared" ref="O179:O181" si="30">L179-N179</f>
        <v>153</v>
      </c>
      <c r="P179" s="604"/>
      <c r="Q179" s="572"/>
    </row>
    <row r="180" spans="2:17" ht="18" hidden="1" customHeight="1">
      <c r="B180" s="563">
        <v>175</v>
      </c>
      <c r="C180" s="564" t="e">
        <f>VLOOKUP(G:G,list!B:D,2,FALSE)</f>
        <v>#N/A</v>
      </c>
      <c r="D180" s="564" t="s">
        <v>189</v>
      </c>
      <c r="E180" s="564" t="s">
        <v>9</v>
      </c>
      <c r="F180" s="564" t="s">
        <v>257</v>
      </c>
      <c r="G180" s="564" t="s">
        <v>173</v>
      </c>
      <c r="H180" s="565">
        <v>44678</v>
      </c>
      <c r="I180" s="564" t="s">
        <v>419</v>
      </c>
      <c r="J180" s="586">
        <v>30281</v>
      </c>
      <c r="K180" s="567">
        <v>0.35000108854200684</v>
      </c>
      <c r="L180" s="568">
        <v>10598</v>
      </c>
      <c r="M180" s="569">
        <v>0.1</v>
      </c>
      <c r="N180" s="570">
        <f t="shared" si="29"/>
        <v>1059.8</v>
      </c>
      <c r="O180" s="570">
        <f t="shared" si="30"/>
        <v>9538.2000000000007</v>
      </c>
      <c r="P180" s="604"/>
      <c r="Q180" s="572"/>
    </row>
    <row r="181" spans="2:17" ht="18" hidden="1" customHeight="1">
      <c r="B181" s="563">
        <v>176</v>
      </c>
      <c r="C181" s="564" t="e">
        <f>VLOOKUP(G:G,list!B:D,2,FALSE)</f>
        <v>#N/A</v>
      </c>
      <c r="D181" s="564" t="s">
        <v>189</v>
      </c>
      <c r="E181" s="564" t="s">
        <v>9</v>
      </c>
      <c r="F181" s="564" t="s">
        <v>257</v>
      </c>
      <c r="G181" s="564" t="s">
        <v>173</v>
      </c>
      <c r="H181" s="565">
        <v>44678</v>
      </c>
      <c r="I181" s="564" t="s">
        <v>415</v>
      </c>
      <c r="J181" s="586">
        <v>25293</v>
      </c>
      <c r="K181" s="567">
        <v>0.35000108854200684</v>
      </c>
      <c r="L181" s="568">
        <v>8853</v>
      </c>
      <c r="M181" s="569">
        <v>0.1</v>
      </c>
      <c r="N181" s="570">
        <f t="shared" si="29"/>
        <v>885.30000000000007</v>
      </c>
      <c r="O181" s="570">
        <f t="shared" si="30"/>
        <v>7967.7</v>
      </c>
      <c r="P181" s="604"/>
      <c r="Q181" s="572"/>
    </row>
    <row r="182" spans="2:17" ht="18" hidden="1" customHeight="1">
      <c r="B182" s="563">
        <v>177</v>
      </c>
      <c r="C182" s="564" t="e">
        <f>VLOOKUP(G:G,list!B:D,2,FALSE)</f>
        <v>#N/A</v>
      </c>
      <c r="D182" s="564" t="s">
        <v>189</v>
      </c>
      <c r="E182" s="564" t="s">
        <v>9</v>
      </c>
      <c r="F182" s="564" t="s">
        <v>257</v>
      </c>
      <c r="G182" s="564" t="s">
        <v>59</v>
      </c>
      <c r="H182" s="565">
        <v>44685</v>
      </c>
      <c r="I182" s="564" t="s">
        <v>419</v>
      </c>
      <c r="J182" s="586">
        <v>583868</v>
      </c>
      <c r="K182" s="567">
        <v>0.35000108854200684</v>
      </c>
      <c r="L182" s="568">
        <v>204354</v>
      </c>
      <c r="M182" s="569">
        <v>0.1</v>
      </c>
      <c r="N182" s="570">
        <f t="shared" ref="N182:N183" si="31">L182*M182</f>
        <v>20435.400000000001</v>
      </c>
      <c r="O182" s="570">
        <f t="shared" ref="O182:O183" si="32">L182-N182</f>
        <v>183918.6</v>
      </c>
      <c r="P182" s="604"/>
      <c r="Q182" s="572"/>
    </row>
    <row r="183" spans="2:17" ht="18" hidden="1" customHeight="1">
      <c r="B183" s="563">
        <v>178</v>
      </c>
      <c r="C183" s="564" t="e">
        <f>VLOOKUP(G:G,list!B:D,2,FALSE)</f>
        <v>#N/A</v>
      </c>
      <c r="D183" s="564" t="s">
        <v>189</v>
      </c>
      <c r="E183" s="564" t="s">
        <v>9</v>
      </c>
      <c r="F183" s="564" t="s">
        <v>257</v>
      </c>
      <c r="G183" s="564" t="s">
        <v>59</v>
      </c>
      <c r="H183" s="565">
        <v>44685</v>
      </c>
      <c r="I183" s="564" t="s">
        <v>415</v>
      </c>
      <c r="J183" s="586">
        <v>239411</v>
      </c>
      <c r="K183" s="567">
        <v>0.35000108854200684</v>
      </c>
      <c r="L183" s="568">
        <v>83794</v>
      </c>
      <c r="M183" s="569">
        <v>0.1</v>
      </c>
      <c r="N183" s="570">
        <f t="shared" si="31"/>
        <v>8379.4</v>
      </c>
      <c r="O183" s="570">
        <f t="shared" si="32"/>
        <v>75414.600000000006</v>
      </c>
      <c r="P183" s="604"/>
      <c r="Q183" s="572"/>
    </row>
    <row r="184" spans="2:17" ht="18" hidden="1" customHeight="1">
      <c r="B184" s="563">
        <v>179</v>
      </c>
      <c r="C184" s="564" t="e">
        <f>VLOOKUP(G:G,list!B:D,2,FALSE)</f>
        <v>#N/A</v>
      </c>
      <c r="D184" s="564" t="s">
        <v>189</v>
      </c>
      <c r="E184" s="564" t="s">
        <v>9</v>
      </c>
      <c r="F184" s="564" t="s">
        <v>257</v>
      </c>
      <c r="G184" s="564" t="s">
        <v>179</v>
      </c>
      <c r="H184" s="565">
        <v>44678</v>
      </c>
      <c r="I184" s="564" t="s">
        <v>411</v>
      </c>
      <c r="J184" s="586">
        <v>1750014</v>
      </c>
      <c r="K184" s="567">
        <v>0.35000108854200684</v>
      </c>
      <c r="L184" s="568">
        <v>612505</v>
      </c>
      <c r="M184" s="569">
        <v>0.1</v>
      </c>
      <c r="N184" s="573">
        <f t="shared" ref="N184:N190" si="33">L184*M184</f>
        <v>61250.5</v>
      </c>
      <c r="O184" s="570">
        <f>L184-N184</f>
        <v>551254.5</v>
      </c>
      <c r="P184" s="575" t="s">
        <v>356</v>
      </c>
      <c r="Q184" s="572" t="e">
        <f>VLOOKUP(G:G,list!B:D,3,FALSE)</f>
        <v>#N/A</v>
      </c>
    </row>
    <row r="185" spans="2:17" ht="18" hidden="1" customHeight="1">
      <c r="B185" s="563">
        <v>180</v>
      </c>
      <c r="C185" s="564" t="e">
        <f>VLOOKUP(G:G,list!B:D,2,FALSE)</f>
        <v>#N/A</v>
      </c>
      <c r="D185" s="564" t="s">
        <v>189</v>
      </c>
      <c r="E185" s="564" t="s">
        <v>9</v>
      </c>
      <c r="F185" s="564" t="s">
        <v>257</v>
      </c>
      <c r="G185" s="564" t="s">
        <v>43</v>
      </c>
      <c r="H185" s="565">
        <v>44742</v>
      </c>
      <c r="I185" s="564" t="s">
        <v>411</v>
      </c>
      <c r="J185" s="586">
        <v>755265</v>
      </c>
      <c r="K185" s="567">
        <v>0.28000000000000003</v>
      </c>
      <c r="L185" s="568">
        <v>211474</v>
      </c>
      <c r="M185" s="569">
        <v>0.1</v>
      </c>
      <c r="N185" s="573">
        <f t="shared" si="33"/>
        <v>21147.4</v>
      </c>
      <c r="O185" s="570">
        <f t="shared" ref="O185:O186" si="34">L185-N185</f>
        <v>190326.6</v>
      </c>
      <c r="P185" s="575" t="s">
        <v>287</v>
      </c>
      <c r="Q185" s="572"/>
    </row>
    <row r="186" spans="2:17" ht="18" hidden="1" customHeight="1">
      <c r="B186" s="563">
        <v>181</v>
      </c>
      <c r="C186" s="564" t="e">
        <f>VLOOKUP(G:G,list!B:D,2,FALSE)</f>
        <v>#N/A</v>
      </c>
      <c r="D186" s="564" t="s">
        <v>189</v>
      </c>
      <c r="E186" s="564" t="s">
        <v>9</v>
      </c>
      <c r="F186" s="564" t="s">
        <v>257</v>
      </c>
      <c r="G186" s="564" t="s">
        <v>335</v>
      </c>
      <c r="H186" s="565">
        <v>44678</v>
      </c>
      <c r="I186" s="564" t="s">
        <v>411</v>
      </c>
      <c r="J186" s="586">
        <v>303285</v>
      </c>
      <c r="K186" s="567">
        <v>0.35000092343655598</v>
      </c>
      <c r="L186" s="568">
        <v>106150</v>
      </c>
      <c r="M186" s="569">
        <v>0.1</v>
      </c>
      <c r="N186" s="570">
        <f t="shared" si="33"/>
        <v>10615</v>
      </c>
      <c r="O186" s="570">
        <f t="shared" si="34"/>
        <v>95535</v>
      </c>
      <c r="P186" s="575"/>
      <c r="Q186" s="572" t="e">
        <f>VLOOKUP(G:G,list!B:D,3,FALSE)</f>
        <v>#N/A</v>
      </c>
    </row>
    <row r="187" spans="2:17" ht="18" hidden="1" customHeight="1">
      <c r="B187" s="563">
        <v>182</v>
      </c>
      <c r="C187" s="564" t="e">
        <f>VLOOKUP(G:G,list!B:D,2,FALSE)</f>
        <v>#N/A</v>
      </c>
      <c r="D187" s="564" t="s">
        <v>189</v>
      </c>
      <c r="E187" s="564" t="s">
        <v>9</v>
      </c>
      <c r="F187" s="564" t="s">
        <v>257</v>
      </c>
      <c r="G187" s="564" t="s">
        <v>336</v>
      </c>
      <c r="H187" s="565">
        <v>44685</v>
      </c>
      <c r="I187" s="564" t="s">
        <v>411</v>
      </c>
      <c r="J187" s="586">
        <v>2747075</v>
      </c>
      <c r="K187" s="567">
        <v>0.35000008474455208</v>
      </c>
      <c r="L187" s="568">
        <v>961477</v>
      </c>
      <c r="M187" s="569">
        <v>0.1</v>
      </c>
      <c r="N187" s="570">
        <f t="shared" si="33"/>
        <v>96147.700000000012</v>
      </c>
      <c r="O187" s="570">
        <f t="shared" ref="O187:O190" si="35">L187-N187</f>
        <v>865329.3</v>
      </c>
      <c r="P187" s="575"/>
      <c r="Q187" s="572" t="e">
        <f>VLOOKUP(G:G,list!B:D,3,FALSE)</f>
        <v>#N/A</v>
      </c>
    </row>
    <row r="188" spans="2:17" ht="18" hidden="1" customHeight="1">
      <c r="B188" s="563">
        <v>183</v>
      </c>
      <c r="C188" s="564" t="str">
        <f>VLOOKUP(G:G,list!B:D,2,FALSE)</f>
        <v>원작료</v>
      </c>
      <c r="D188" s="564" t="s">
        <v>189</v>
      </c>
      <c r="E188" s="564" t="s">
        <v>9</v>
      </c>
      <c r="F188" s="564" t="s">
        <v>257</v>
      </c>
      <c r="G188" s="564" t="s">
        <v>30</v>
      </c>
      <c r="H188" s="565">
        <v>44742</v>
      </c>
      <c r="I188" s="564" t="s">
        <v>411</v>
      </c>
      <c r="J188" s="586">
        <v>355473</v>
      </c>
      <c r="K188" s="567">
        <v>0.35000008474455208</v>
      </c>
      <c r="L188" s="568">
        <v>124415</v>
      </c>
      <c r="M188" s="569">
        <v>0.1</v>
      </c>
      <c r="N188" s="570">
        <f>L188*M188</f>
        <v>12441.5</v>
      </c>
      <c r="O188" s="570">
        <f>L188-N188</f>
        <v>111973.5</v>
      </c>
      <c r="P188" s="575" t="s">
        <v>354</v>
      </c>
      <c r="Q188" s="572"/>
    </row>
    <row r="189" spans="2:17" ht="18" hidden="1" customHeight="1">
      <c r="B189" s="563">
        <v>184</v>
      </c>
      <c r="C189" s="564" t="e">
        <f>VLOOKUP(G:G,list!B:D,2,FALSE)</f>
        <v>#N/A</v>
      </c>
      <c r="D189" s="564" t="s">
        <v>189</v>
      </c>
      <c r="E189" s="564" t="s">
        <v>9</v>
      </c>
      <c r="F189" s="564" t="s">
        <v>257</v>
      </c>
      <c r="G189" s="564" t="s">
        <v>28</v>
      </c>
      <c r="H189" s="565">
        <v>44742</v>
      </c>
      <c r="I189" s="564" t="s">
        <v>411</v>
      </c>
      <c r="J189" s="586">
        <v>691660</v>
      </c>
      <c r="K189" s="567">
        <v>0.35000008474455208</v>
      </c>
      <c r="L189" s="568">
        <v>242081</v>
      </c>
      <c r="M189" s="569">
        <v>0.12</v>
      </c>
      <c r="N189" s="570">
        <f t="shared" si="33"/>
        <v>29049.719999999998</v>
      </c>
      <c r="O189" s="570">
        <f t="shared" si="35"/>
        <v>213031.28</v>
      </c>
      <c r="P189" s="575" t="s">
        <v>354</v>
      </c>
      <c r="Q189" s="572"/>
    </row>
    <row r="190" spans="2:17" ht="18" hidden="1" customHeight="1">
      <c r="B190" s="563">
        <v>185</v>
      </c>
      <c r="C190" s="564" t="e">
        <f>VLOOKUP(G:G,list!B:D,2,FALSE)</f>
        <v>#N/A</v>
      </c>
      <c r="D190" s="564" t="s">
        <v>189</v>
      </c>
      <c r="E190" s="564" t="s">
        <v>9</v>
      </c>
      <c r="F190" s="564" t="s">
        <v>257</v>
      </c>
      <c r="G190" s="564" t="s">
        <v>29</v>
      </c>
      <c r="H190" s="565">
        <v>44742</v>
      </c>
      <c r="I190" s="564" t="s">
        <v>411</v>
      </c>
      <c r="J190" s="586">
        <v>170833</v>
      </c>
      <c r="K190" s="567">
        <v>0.35000008474455208</v>
      </c>
      <c r="L190" s="568">
        <v>59792</v>
      </c>
      <c r="M190" s="569">
        <v>0.1</v>
      </c>
      <c r="N190" s="570">
        <f t="shared" si="33"/>
        <v>5979.2000000000007</v>
      </c>
      <c r="O190" s="570">
        <f t="shared" si="35"/>
        <v>53812.800000000003</v>
      </c>
      <c r="P190" s="575" t="s">
        <v>354</v>
      </c>
      <c r="Q190" s="572"/>
    </row>
    <row r="191" spans="2:17" ht="18" hidden="1" customHeight="1">
      <c r="B191" s="563">
        <v>186</v>
      </c>
      <c r="C191" s="564" t="e">
        <f>VLOOKUP(G:G,list!B:D,2,FALSE)</f>
        <v>#N/A</v>
      </c>
      <c r="D191" s="564" t="s">
        <v>72</v>
      </c>
      <c r="E191" s="564" t="s">
        <v>9</v>
      </c>
      <c r="F191" s="564" t="s">
        <v>184</v>
      </c>
      <c r="G191" s="564" t="s">
        <v>10</v>
      </c>
      <c r="H191" s="565">
        <v>44466</v>
      </c>
      <c r="I191" s="564" t="s">
        <v>351</v>
      </c>
      <c r="J191" s="586">
        <v>112906827</v>
      </c>
      <c r="K191" s="567">
        <v>0.3</v>
      </c>
      <c r="L191" s="568">
        <v>33872048</v>
      </c>
      <c r="M191" s="569">
        <v>0.1</v>
      </c>
      <c r="N191" s="570">
        <f>L191*M191</f>
        <v>3387204.8000000003</v>
      </c>
      <c r="O191" s="570">
        <f t="shared" ref="O191:O192" si="36">L191-N191</f>
        <v>30484843.199999999</v>
      </c>
      <c r="P191" s="575" t="s">
        <v>282</v>
      </c>
      <c r="Q191" s="572"/>
    </row>
    <row r="192" spans="2:17" ht="18" hidden="1" customHeight="1">
      <c r="B192" s="563">
        <v>187</v>
      </c>
      <c r="C192" s="564" t="e">
        <f>VLOOKUP(G:G,list!B:D,2,FALSE)</f>
        <v>#N/A</v>
      </c>
      <c r="D192" s="564" t="s">
        <v>72</v>
      </c>
      <c r="E192" s="564" t="s">
        <v>9</v>
      </c>
      <c r="F192" s="564" t="s">
        <v>184</v>
      </c>
      <c r="G192" s="564" t="s">
        <v>11</v>
      </c>
      <c r="H192" s="565">
        <v>44468</v>
      </c>
      <c r="I192" s="564" t="s">
        <v>351</v>
      </c>
      <c r="J192" s="586">
        <v>210110</v>
      </c>
      <c r="K192" s="567">
        <v>0.3</v>
      </c>
      <c r="L192" s="568">
        <v>63033</v>
      </c>
      <c r="M192" s="569" t="s">
        <v>203</v>
      </c>
      <c r="N192" s="570">
        <v>0</v>
      </c>
      <c r="O192" s="570">
        <f t="shared" si="36"/>
        <v>63033</v>
      </c>
      <c r="P192" s="575" t="s">
        <v>282</v>
      </c>
      <c r="Q192" s="572"/>
    </row>
    <row r="193" spans="2:17" ht="18" hidden="1" customHeight="1">
      <c r="B193" s="563">
        <v>188</v>
      </c>
      <c r="C193" s="564" t="e">
        <f>VLOOKUP(G:G,list!B:D,2,FALSE)</f>
        <v>#N/A</v>
      </c>
      <c r="D193" s="564" t="s">
        <v>72</v>
      </c>
      <c r="E193" s="564" t="s">
        <v>9</v>
      </c>
      <c r="F193" s="564" t="s">
        <v>184</v>
      </c>
      <c r="G193" s="564" t="s">
        <v>17</v>
      </c>
      <c r="H193" s="565">
        <v>44498</v>
      </c>
      <c r="I193" s="564" t="s">
        <v>351</v>
      </c>
      <c r="J193" s="586">
        <v>29982607</v>
      </c>
      <c r="K193" s="567">
        <v>0.3</v>
      </c>
      <c r="L193" s="568">
        <v>8994782</v>
      </c>
      <c r="M193" s="569">
        <v>0.12</v>
      </c>
      <c r="N193" s="573">
        <f t="shared" ref="N193:N198" si="37">L193*M193</f>
        <v>1079373.8399999999</v>
      </c>
      <c r="O193" s="570">
        <f t="shared" ref="O193:O194" si="38">L193-N193</f>
        <v>7915408.1600000001</v>
      </c>
      <c r="P193" s="575" t="s">
        <v>282</v>
      </c>
      <c r="Q193" s="572"/>
    </row>
    <row r="194" spans="2:17" ht="18" hidden="1" customHeight="1">
      <c r="B194" s="563">
        <v>189</v>
      </c>
      <c r="C194" s="564" t="e">
        <f>VLOOKUP(G:G,list!B:D,2,FALSE)</f>
        <v>#N/A</v>
      </c>
      <c r="D194" s="564" t="s">
        <v>72</v>
      </c>
      <c r="E194" s="564" t="s">
        <v>9</v>
      </c>
      <c r="F194" s="564" t="s">
        <v>184</v>
      </c>
      <c r="G194" s="564" t="s">
        <v>12</v>
      </c>
      <c r="H194" s="565">
        <v>44552</v>
      </c>
      <c r="I194" s="564" t="s">
        <v>351</v>
      </c>
      <c r="J194" s="586">
        <v>1404507</v>
      </c>
      <c r="K194" s="567">
        <v>0.3</v>
      </c>
      <c r="L194" s="568">
        <v>421352</v>
      </c>
      <c r="M194" s="569">
        <v>0.1</v>
      </c>
      <c r="N194" s="570">
        <f t="shared" si="37"/>
        <v>42135.200000000004</v>
      </c>
      <c r="O194" s="570">
        <f t="shared" si="38"/>
        <v>379216.8</v>
      </c>
      <c r="P194" s="575" t="s">
        <v>282</v>
      </c>
      <c r="Q194" s="572"/>
    </row>
    <row r="195" spans="2:17" ht="18" hidden="1" customHeight="1">
      <c r="B195" s="563">
        <v>190</v>
      </c>
      <c r="C195" s="564" t="e">
        <f>VLOOKUP(G:G,list!B:D,2,FALSE)</f>
        <v>#N/A</v>
      </c>
      <c r="D195" s="564" t="s">
        <v>72</v>
      </c>
      <c r="E195" s="564" t="s">
        <v>9</v>
      </c>
      <c r="F195" s="564" t="s">
        <v>73</v>
      </c>
      <c r="G195" s="564" t="s">
        <v>179</v>
      </c>
      <c r="H195" s="565">
        <v>44198</v>
      </c>
      <c r="I195" s="564" t="s">
        <v>368</v>
      </c>
      <c r="J195" s="599">
        <v>55645979</v>
      </c>
      <c r="K195" s="605">
        <v>0.224</v>
      </c>
      <c r="L195" s="568">
        <v>11218234</v>
      </c>
      <c r="M195" s="569">
        <v>0.1</v>
      </c>
      <c r="N195" s="573">
        <f t="shared" si="37"/>
        <v>1121823.4000000001</v>
      </c>
      <c r="O195" s="570">
        <f t="shared" ref="O195:O207" si="39">L195-N195</f>
        <v>10096410.6</v>
      </c>
      <c r="P195" s="575" t="s">
        <v>85</v>
      </c>
      <c r="Q195" s="572" t="e">
        <f>VLOOKUP(G:G,list!B:D,3,FALSE)</f>
        <v>#N/A</v>
      </c>
    </row>
    <row r="196" spans="2:17" ht="18" hidden="1" customHeight="1">
      <c r="B196" s="563">
        <v>191</v>
      </c>
      <c r="C196" s="564" t="e">
        <f>VLOOKUP(G:G,list!B:D,2,FALSE)</f>
        <v>#N/A</v>
      </c>
      <c r="D196" s="564" t="s">
        <v>72</v>
      </c>
      <c r="E196" s="564" t="s">
        <v>9</v>
      </c>
      <c r="F196" s="564" t="s">
        <v>73</v>
      </c>
      <c r="G196" s="564" t="s">
        <v>152</v>
      </c>
      <c r="H196" s="565">
        <v>44228</v>
      </c>
      <c r="I196" s="564" t="s">
        <v>368</v>
      </c>
      <c r="J196" s="599">
        <v>10786502</v>
      </c>
      <c r="K196" s="605">
        <v>0.224</v>
      </c>
      <c r="L196" s="568">
        <v>2174564</v>
      </c>
      <c r="M196" s="569">
        <v>0.12</v>
      </c>
      <c r="N196" s="573">
        <f t="shared" si="37"/>
        <v>260947.68</v>
      </c>
      <c r="O196" s="570">
        <f t="shared" si="39"/>
        <v>1913616.32</v>
      </c>
      <c r="P196" s="573"/>
      <c r="Q196" s="572" t="e">
        <f>VLOOKUP(G:G,list!B:D,3,FALSE)</f>
        <v>#N/A</v>
      </c>
    </row>
    <row r="197" spans="2:17" ht="18" hidden="1" customHeight="1">
      <c r="B197" s="563">
        <v>192</v>
      </c>
      <c r="C197" s="564" t="e">
        <f>VLOOKUP(G:G,list!B:D,2,FALSE)</f>
        <v>#N/A</v>
      </c>
      <c r="D197" s="564" t="s">
        <v>72</v>
      </c>
      <c r="E197" s="564" t="s">
        <v>9</v>
      </c>
      <c r="F197" s="564" t="s">
        <v>73</v>
      </c>
      <c r="G197" s="564" t="s">
        <v>74</v>
      </c>
      <c r="H197" s="565">
        <v>44265</v>
      </c>
      <c r="I197" s="564" t="s">
        <v>368</v>
      </c>
      <c r="J197" s="599">
        <v>1035476</v>
      </c>
      <c r="K197" s="605">
        <v>0.224</v>
      </c>
      <c r="L197" s="568">
        <v>208753</v>
      </c>
      <c r="M197" s="569">
        <v>0.1</v>
      </c>
      <c r="N197" s="570">
        <f t="shared" si="37"/>
        <v>20875.300000000003</v>
      </c>
      <c r="O197" s="570">
        <f t="shared" si="39"/>
        <v>187877.7</v>
      </c>
      <c r="P197" s="573"/>
      <c r="Q197" s="572" t="e">
        <f>VLOOKUP(G:G,list!B:D,3,FALSE)</f>
        <v>#N/A</v>
      </c>
    </row>
    <row r="198" spans="2:17" ht="18" hidden="1" customHeight="1">
      <c r="B198" s="563">
        <v>193</v>
      </c>
      <c r="C198" s="564" t="e">
        <f>VLOOKUP(G:G,list!B:D,2,FALSE)</f>
        <v>#N/A</v>
      </c>
      <c r="D198" s="564" t="s">
        <v>72</v>
      </c>
      <c r="E198" s="564" t="s">
        <v>9</v>
      </c>
      <c r="F198" s="564" t="s">
        <v>73</v>
      </c>
      <c r="G198" s="564" t="s">
        <v>153</v>
      </c>
      <c r="H198" s="565">
        <v>44315</v>
      </c>
      <c r="I198" s="564" t="s">
        <v>368</v>
      </c>
      <c r="J198" s="599">
        <v>6411061</v>
      </c>
      <c r="K198" s="605">
        <v>0.224</v>
      </c>
      <c r="L198" s="568">
        <v>1292472</v>
      </c>
      <c r="M198" s="569">
        <v>0.1</v>
      </c>
      <c r="N198" s="570">
        <f t="shared" si="37"/>
        <v>129247.20000000001</v>
      </c>
      <c r="O198" s="570">
        <f t="shared" si="39"/>
        <v>1163224.8</v>
      </c>
      <c r="P198" s="575"/>
      <c r="Q198" s="572" t="e">
        <f>VLOOKUP(G:G,list!B:D,3,FALSE)</f>
        <v>#N/A</v>
      </c>
    </row>
    <row r="199" spans="2:17" ht="18" hidden="1" customHeight="1">
      <c r="B199" s="563">
        <v>194</v>
      </c>
      <c r="C199" s="564" t="str">
        <f>VLOOKUP(G:G,list!B:D,2,FALSE)</f>
        <v>원작료</v>
      </c>
      <c r="D199" s="564" t="s">
        <v>72</v>
      </c>
      <c r="E199" s="564" t="s">
        <v>9</v>
      </c>
      <c r="F199" s="564" t="s">
        <v>73</v>
      </c>
      <c r="G199" s="564" t="s">
        <v>151</v>
      </c>
      <c r="H199" s="565">
        <v>44359</v>
      </c>
      <c r="I199" s="564" t="s">
        <v>368</v>
      </c>
      <c r="J199" s="599">
        <v>7983112</v>
      </c>
      <c r="K199" s="605">
        <v>0.224</v>
      </c>
      <c r="L199" s="568">
        <v>1609403</v>
      </c>
      <c r="M199" s="569">
        <v>0.1</v>
      </c>
      <c r="N199" s="570">
        <f>(L199-1000000)*10%</f>
        <v>60940.3</v>
      </c>
      <c r="O199" s="570">
        <f>L199-N199</f>
        <v>1548462.7</v>
      </c>
      <c r="P199" s="576" t="s">
        <v>263</v>
      </c>
      <c r="Q199" s="572" t="str">
        <f>VLOOKUP(G:G,list!B:D,3,FALSE)</f>
        <v>Y</v>
      </c>
    </row>
    <row r="200" spans="2:17" ht="18" hidden="1" customHeight="1">
      <c r="B200" s="563">
        <v>195</v>
      </c>
      <c r="C200" s="564" t="e">
        <f>VLOOKUP(G:G,list!B:D,2,FALSE)</f>
        <v>#N/A</v>
      </c>
      <c r="D200" s="564" t="s">
        <v>72</v>
      </c>
      <c r="E200" s="564" t="s">
        <v>9</v>
      </c>
      <c r="F200" s="564" t="s">
        <v>73</v>
      </c>
      <c r="G200" s="564" t="s">
        <v>212</v>
      </c>
      <c r="H200" s="565">
        <v>44378</v>
      </c>
      <c r="I200" s="564" t="s">
        <v>368</v>
      </c>
      <c r="J200" s="599">
        <v>107425284</v>
      </c>
      <c r="K200" s="605">
        <v>0.24</v>
      </c>
      <c r="L200" s="568">
        <v>23203870</v>
      </c>
      <c r="M200" s="569">
        <v>0.1</v>
      </c>
      <c r="N200" s="573">
        <f>L200*M200</f>
        <v>2320387</v>
      </c>
      <c r="O200" s="570">
        <f t="shared" si="39"/>
        <v>20883483</v>
      </c>
      <c r="P200" s="573"/>
      <c r="Q200" s="572" t="e">
        <f>VLOOKUP(G:G,list!B:D,3,FALSE)</f>
        <v>#N/A</v>
      </c>
    </row>
    <row r="201" spans="2:17" ht="18" hidden="1" customHeight="1">
      <c r="B201" s="563">
        <v>196</v>
      </c>
      <c r="C201" s="564" t="e">
        <f>VLOOKUP(G:G,list!B:D,2,FALSE)</f>
        <v>#N/A</v>
      </c>
      <c r="D201" s="564" t="s">
        <v>72</v>
      </c>
      <c r="E201" s="564" t="s">
        <v>9</v>
      </c>
      <c r="F201" s="564" t="s">
        <v>73</v>
      </c>
      <c r="G201" s="564" t="s">
        <v>147</v>
      </c>
      <c r="H201" s="565">
        <v>44435</v>
      </c>
      <c r="I201" s="564" t="s">
        <v>368</v>
      </c>
      <c r="J201" s="599">
        <v>2684595</v>
      </c>
      <c r="K201" s="605">
        <v>0.224</v>
      </c>
      <c r="L201" s="568">
        <v>541215</v>
      </c>
      <c r="M201" s="569" t="s">
        <v>203</v>
      </c>
      <c r="N201" s="573">
        <v>0</v>
      </c>
      <c r="O201" s="570">
        <f>L201-N201</f>
        <v>541215</v>
      </c>
      <c r="P201" s="573"/>
      <c r="Q201" s="572" t="e">
        <f>VLOOKUP(G:G,list!B:D,3,FALSE)</f>
        <v>#N/A</v>
      </c>
    </row>
    <row r="202" spans="2:17" ht="18" hidden="1" customHeight="1">
      <c r="B202" s="563">
        <v>197</v>
      </c>
      <c r="C202" s="564" t="e">
        <f>VLOOKUP(G:G,list!B:D,2,FALSE)</f>
        <v>#N/A</v>
      </c>
      <c r="D202" s="564" t="s">
        <v>72</v>
      </c>
      <c r="E202" s="564" t="s">
        <v>9</v>
      </c>
      <c r="F202" s="564" t="s">
        <v>73</v>
      </c>
      <c r="G202" s="564" t="s">
        <v>225</v>
      </c>
      <c r="H202" s="565">
        <v>44479</v>
      </c>
      <c r="I202" s="564" t="s">
        <v>368</v>
      </c>
      <c r="J202" s="599">
        <v>1235971</v>
      </c>
      <c r="K202" s="605">
        <v>0.224</v>
      </c>
      <c r="L202" s="568">
        <v>249173</v>
      </c>
      <c r="M202" s="569">
        <v>0.1</v>
      </c>
      <c r="N202" s="570">
        <f>L202*M202</f>
        <v>24917.300000000003</v>
      </c>
      <c r="O202" s="570">
        <f>L202-N202</f>
        <v>224255.7</v>
      </c>
      <c r="P202" s="573"/>
      <c r="Q202" s="572" t="e">
        <f>VLOOKUP(G:G,list!B:D,3,FALSE)</f>
        <v>#N/A</v>
      </c>
    </row>
    <row r="203" spans="2:17" ht="18" hidden="1" customHeight="1">
      <c r="B203" s="563">
        <v>198</v>
      </c>
      <c r="C203" s="564" t="e">
        <f>VLOOKUP(G:G,list!B:D,2,FALSE)</f>
        <v>#N/A</v>
      </c>
      <c r="D203" s="564" t="s">
        <v>72</v>
      </c>
      <c r="E203" s="564" t="s">
        <v>9</v>
      </c>
      <c r="F203" s="564" t="s">
        <v>73</v>
      </c>
      <c r="G203" s="564" t="s">
        <v>336</v>
      </c>
      <c r="H203" s="565">
        <v>44597</v>
      </c>
      <c r="I203" s="564" t="s">
        <v>368</v>
      </c>
      <c r="J203" s="599">
        <v>66912860</v>
      </c>
      <c r="K203" s="605">
        <v>0.224</v>
      </c>
      <c r="L203" s="568">
        <v>13489635</v>
      </c>
      <c r="M203" s="569">
        <v>0.1</v>
      </c>
      <c r="N203" s="570">
        <f>L203*M203</f>
        <v>1348963.5</v>
      </c>
      <c r="O203" s="570">
        <f t="shared" si="39"/>
        <v>12140671.5</v>
      </c>
      <c r="P203" s="571"/>
      <c r="Q203" s="572" t="e">
        <f>VLOOKUP(G:G,list!B:D,3,FALSE)</f>
        <v>#N/A</v>
      </c>
    </row>
    <row r="204" spans="2:17" ht="18" hidden="1" customHeight="1">
      <c r="B204" s="563">
        <v>199</v>
      </c>
      <c r="C204" s="564" t="e">
        <f>VLOOKUP(G:G,list!B:D,2,FALSE)</f>
        <v>#N/A</v>
      </c>
      <c r="D204" s="564" t="s">
        <v>72</v>
      </c>
      <c r="E204" s="564" t="s">
        <v>9</v>
      </c>
      <c r="F204" s="564" t="s">
        <v>73</v>
      </c>
      <c r="G204" s="564" t="s">
        <v>191</v>
      </c>
      <c r="H204" s="565">
        <v>44629</v>
      </c>
      <c r="I204" s="564" t="s">
        <v>368</v>
      </c>
      <c r="J204" s="599">
        <v>38863294</v>
      </c>
      <c r="K204" s="605">
        <v>0.224</v>
      </c>
      <c r="L204" s="568">
        <v>7834844</v>
      </c>
      <c r="M204" s="569">
        <v>0.1</v>
      </c>
      <c r="N204" s="573">
        <f t="shared" ref="N204" si="40">L204*M204</f>
        <v>783484.4</v>
      </c>
      <c r="O204" s="570">
        <f t="shared" si="39"/>
        <v>7051359.5999999996</v>
      </c>
      <c r="P204" s="575"/>
      <c r="Q204" s="572" t="e">
        <f>VLOOKUP(G:G,list!B:D,3,FALSE)</f>
        <v>#N/A</v>
      </c>
    </row>
    <row r="205" spans="2:17" ht="18" hidden="1" customHeight="1">
      <c r="B205" s="563">
        <v>200</v>
      </c>
      <c r="C205" s="564" t="e">
        <f>VLOOKUP(G:G,list!B:D,2,FALSE)</f>
        <v>#N/A</v>
      </c>
      <c r="D205" s="564" t="s">
        <v>72</v>
      </c>
      <c r="E205" s="564" t="s">
        <v>9</v>
      </c>
      <c r="F205" s="564" t="s">
        <v>73</v>
      </c>
      <c r="G205" s="564" t="s">
        <v>335</v>
      </c>
      <c r="H205" s="565">
        <v>44694</v>
      </c>
      <c r="I205" s="564" t="s">
        <v>368</v>
      </c>
      <c r="J205" s="599">
        <v>59557289</v>
      </c>
      <c r="K205" s="605">
        <v>0.224</v>
      </c>
      <c r="L205" s="568">
        <v>12006749</v>
      </c>
      <c r="M205" s="569">
        <v>0.1</v>
      </c>
      <c r="N205" s="570">
        <f t="shared" ref="N205:N210" si="41">L205*M205</f>
        <v>1200674.9000000001</v>
      </c>
      <c r="O205" s="570">
        <f t="shared" si="39"/>
        <v>10806074.1</v>
      </c>
      <c r="P205" s="575"/>
      <c r="Q205" s="572" t="e">
        <f>VLOOKUP(G:G,list!B:D,3,FALSE)</f>
        <v>#N/A</v>
      </c>
    </row>
    <row r="206" spans="2:17" ht="18" hidden="1" customHeight="1">
      <c r="B206" s="563">
        <v>201</v>
      </c>
      <c r="C206" s="564" t="e">
        <f>VLOOKUP(G:G,list!B:D,2,FALSE)</f>
        <v>#N/A</v>
      </c>
      <c r="D206" s="564" t="s">
        <v>79</v>
      </c>
      <c r="E206" s="564" t="s">
        <v>9</v>
      </c>
      <c r="F206" s="564" t="s">
        <v>260</v>
      </c>
      <c r="G206" s="564" t="s">
        <v>258</v>
      </c>
      <c r="H206" s="565">
        <v>44492</v>
      </c>
      <c r="I206" s="564" t="s">
        <v>368</v>
      </c>
      <c r="J206" s="599">
        <v>159783</v>
      </c>
      <c r="K206" s="603">
        <v>0.5</v>
      </c>
      <c r="L206" s="568">
        <v>67289</v>
      </c>
      <c r="M206" s="569">
        <v>0.1</v>
      </c>
      <c r="N206" s="573">
        <f t="shared" si="41"/>
        <v>6728.9000000000005</v>
      </c>
      <c r="O206" s="570">
        <f t="shared" si="39"/>
        <v>60560.1</v>
      </c>
      <c r="P206" s="602"/>
      <c r="Q206" s="572" t="e">
        <f>VLOOKUP(G:G,list!B:D,3,FALSE)</f>
        <v>#N/A</v>
      </c>
    </row>
    <row r="207" spans="2:17" ht="18" hidden="1" customHeight="1">
      <c r="B207" s="563">
        <v>202</v>
      </c>
      <c r="C207" s="564" t="e">
        <f>VLOOKUP(G:G,list!B:D,2,FALSE)</f>
        <v>#N/A</v>
      </c>
      <c r="D207" s="564" t="s">
        <v>22</v>
      </c>
      <c r="E207" s="564" t="s">
        <v>62</v>
      </c>
      <c r="F207" s="564" t="s">
        <v>421</v>
      </c>
      <c r="G207" s="564" t="s">
        <v>173</v>
      </c>
      <c r="H207" s="565">
        <v>44531</v>
      </c>
      <c r="I207" s="564" t="s">
        <v>323</v>
      </c>
      <c r="J207" s="599">
        <v>1485525</v>
      </c>
      <c r="K207" s="603">
        <v>0.28000000000000003</v>
      </c>
      <c r="L207" s="568">
        <v>343625</v>
      </c>
      <c r="M207" s="569">
        <v>0.1</v>
      </c>
      <c r="N207" s="570">
        <f t="shared" si="41"/>
        <v>34362.5</v>
      </c>
      <c r="O207" s="570">
        <f t="shared" si="39"/>
        <v>309262.5</v>
      </c>
      <c r="P207" s="602"/>
      <c r="Q207" s="572"/>
    </row>
    <row r="208" spans="2:17" ht="18" hidden="1" customHeight="1">
      <c r="B208" s="563">
        <v>203</v>
      </c>
      <c r="C208" s="564" t="e">
        <f>VLOOKUP(G:G,list!B:D,2,FALSE)</f>
        <v>#N/A</v>
      </c>
      <c r="D208" s="564" t="s">
        <v>22</v>
      </c>
      <c r="E208" s="564" t="s">
        <v>62</v>
      </c>
      <c r="F208" s="564" t="s">
        <v>421</v>
      </c>
      <c r="G208" s="564" t="s">
        <v>43</v>
      </c>
      <c r="H208" s="565">
        <v>44534</v>
      </c>
      <c r="I208" s="564" t="s">
        <v>323</v>
      </c>
      <c r="J208" s="599">
        <v>21443507</v>
      </c>
      <c r="K208" s="605">
        <v>0.245</v>
      </c>
      <c r="L208" s="568">
        <v>4273689</v>
      </c>
      <c r="M208" s="569">
        <v>0.1</v>
      </c>
      <c r="N208" s="573">
        <f t="shared" si="41"/>
        <v>427368.9</v>
      </c>
      <c r="O208" s="570">
        <f t="shared" ref="O208" si="42">L208-N208</f>
        <v>3846320.1</v>
      </c>
      <c r="P208" s="602"/>
      <c r="Q208" s="572"/>
    </row>
    <row r="209" spans="2:17" ht="18" hidden="1" customHeight="1">
      <c r="B209" s="563">
        <v>204</v>
      </c>
      <c r="C209" s="564" t="e">
        <f>VLOOKUP(G:G,list!B:D,2,FALSE)</f>
        <v>#N/A</v>
      </c>
      <c r="D209" s="564" t="s">
        <v>22</v>
      </c>
      <c r="E209" s="564" t="s">
        <v>62</v>
      </c>
      <c r="F209" s="564" t="s">
        <v>421</v>
      </c>
      <c r="G209" s="564" t="s">
        <v>57</v>
      </c>
      <c r="H209" s="565">
        <v>44552</v>
      </c>
      <c r="I209" s="564" t="s">
        <v>323</v>
      </c>
      <c r="J209" s="599">
        <v>606757</v>
      </c>
      <c r="K209" s="603">
        <v>0.28000000000000003</v>
      </c>
      <c r="L209" s="568">
        <v>138201</v>
      </c>
      <c r="M209" s="569">
        <v>0.1</v>
      </c>
      <c r="N209" s="570">
        <f t="shared" si="41"/>
        <v>13820.1</v>
      </c>
      <c r="O209" s="570">
        <f t="shared" ref="O209" si="43">L209-N209</f>
        <v>124380.9</v>
      </c>
      <c r="P209" s="602" t="s">
        <v>433</v>
      </c>
      <c r="Q209" s="572"/>
    </row>
    <row r="210" spans="2:17" ht="18" hidden="1" customHeight="1">
      <c r="B210" s="563">
        <v>205</v>
      </c>
      <c r="C210" s="564" t="e">
        <f>VLOOKUP(G:G,list!B:D,2,FALSE)</f>
        <v>#N/A</v>
      </c>
      <c r="D210" s="564" t="s">
        <v>22</v>
      </c>
      <c r="E210" s="564" t="s">
        <v>62</v>
      </c>
      <c r="F210" s="564" t="s">
        <v>421</v>
      </c>
      <c r="G210" s="564" t="s">
        <v>59</v>
      </c>
      <c r="H210" s="565">
        <v>44611</v>
      </c>
      <c r="I210" s="564" t="s">
        <v>323</v>
      </c>
      <c r="J210" s="599">
        <v>4763893</v>
      </c>
      <c r="K210" s="603">
        <v>0.28000000000000003</v>
      </c>
      <c r="L210" s="568">
        <v>1101964</v>
      </c>
      <c r="M210" s="569">
        <v>0.1</v>
      </c>
      <c r="N210" s="570">
        <f t="shared" si="41"/>
        <v>110196.40000000001</v>
      </c>
      <c r="O210" s="570">
        <f t="shared" ref="O210:O211" si="44">L210-N210</f>
        <v>991767.6</v>
      </c>
      <c r="P210" s="602"/>
      <c r="Q210" s="572"/>
    </row>
    <row r="211" spans="2:17" ht="18" hidden="1" customHeight="1">
      <c r="B211" s="563">
        <v>206</v>
      </c>
      <c r="C211" s="564" t="e">
        <f>VLOOKUP(G:G,list!B:D,2,FALSE)</f>
        <v>#N/A</v>
      </c>
      <c r="D211" s="564" t="s">
        <v>22</v>
      </c>
      <c r="E211" s="564" t="s">
        <v>62</v>
      </c>
      <c r="F211" s="564" t="s">
        <v>421</v>
      </c>
      <c r="G211" s="564" t="s">
        <v>191</v>
      </c>
      <c r="H211" s="565">
        <v>44625</v>
      </c>
      <c r="I211" s="564" t="s">
        <v>323</v>
      </c>
      <c r="J211" s="599">
        <v>1737532</v>
      </c>
      <c r="K211" s="603">
        <v>0.28000000000000003</v>
      </c>
      <c r="L211" s="568">
        <v>401100</v>
      </c>
      <c r="M211" s="569">
        <v>0.1</v>
      </c>
      <c r="N211" s="573">
        <f t="shared" ref="N211" si="45">L211*M211</f>
        <v>40110</v>
      </c>
      <c r="O211" s="570">
        <f t="shared" si="44"/>
        <v>360990</v>
      </c>
      <c r="P211" s="602"/>
      <c r="Q211" s="572"/>
    </row>
    <row r="212" spans="2:17" ht="18" hidden="1" customHeight="1">
      <c r="B212" s="563">
        <v>207</v>
      </c>
      <c r="C212" s="564" t="e">
        <f>VLOOKUP(G:G,list!B:D,2,FALSE)</f>
        <v>#N/A</v>
      </c>
      <c r="D212" s="564" t="s">
        <v>22</v>
      </c>
      <c r="E212" s="564" t="s">
        <v>62</v>
      </c>
      <c r="F212" s="564" t="s">
        <v>421</v>
      </c>
      <c r="G212" s="564" t="s">
        <v>173</v>
      </c>
      <c r="H212" s="565">
        <v>44531</v>
      </c>
      <c r="I212" s="564" t="s">
        <v>351</v>
      </c>
      <c r="J212" s="599">
        <v>1601275</v>
      </c>
      <c r="K212" s="603">
        <v>0.28000000000000003</v>
      </c>
      <c r="L212" s="568">
        <v>376365</v>
      </c>
      <c r="M212" s="569">
        <v>0.1</v>
      </c>
      <c r="N212" s="570">
        <f>L212*M212</f>
        <v>37636.5</v>
      </c>
      <c r="O212" s="570">
        <f t="shared" ref="O212" si="46">L212-N212</f>
        <v>338728.5</v>
      </c>
      <c r="P212" s="602"/>
      <c r="Q212" s="572"/>
    </row>
    <row r="213" spans="2:17" ht="18" hidden="1" customHeight="1">
      <c r="B213" s="563">
        <v>208</v>
      </c>
      <c r="C213" s="564" t="e">
        <f>VLOOKUP(G:G,list!B:D,2,FALSE)</f>
        <v>#N/A</v>
      </c>
      <c r="D213" s="564" t="s">
        <v>22</v>
      </c>
      <c r="E213" s="564" t="s">
        <v>62</v>
      </c>
      <c r="F213" s="564" t="s">
        <v>421</v>
      </c>
      <c r="G213" s="564" t="s">
        <v>43</v>
      </c>
      <c r="H213" s="565">
        <v>44534</v>
      </c>
      <c r="I213" s="564" t="s">
        <v>351</v>
      </c>
      <c r="J213" s="599">
        <v>15330903</v>
      </c>
      <c r="K213" s="605">
        <v>0.245</v>
      </c>
      <c r="L213" s="568">
        <v>3104650</v>
      </c>
      <c r="M213" s="569">
        <v>0.1</v>
      </c>
      <c r="N213" s="573">
        <f>L213*M213</f>
        <v>310465</v>
      </c>
      <c r="O213" s="570">
        <f t="shared" ref="O213" si="47">L213-N213</f>
        <v>2794185</v>
      </c>
      <c r="P213" s="602"/>
      <c r="Q213" s="572"/>
    </row>
    <row r="214" spans="2:17" ht="18" hidden="1" customHeight="1">
      <c r="B214" s="563">
        <v>209</v>
      </c>
      <c r="C214" s="564" t="e">
        <f>VLOOKUP(G:G,list!B:D,2,FALSE)</f>
        <v>#N/A</v>
      </c>
      <c r="D214" s="564" t="s">
        <v>22</v>
      </c>
      <c r="E214" s="564" t="s">
        <v>62</v>
      </c>
      <c r="F214" s="564" t="s">
        <v>421</v>
      </c>
      <c r="G214" s="564" t="s">
        <v>57</v>
      </c>
      <c r="H214" s="565">
        <v>44552</v>
      </c>
      <c r="I214" s="564" t="s">
        <v>351</v>
      </c>
      <c r="J214" s="599">
        <v>455760</v>
      </c>
      <c r="K214" s="603">
        <v>0.28000000000000003</v>
      </c>
      <c r="L214" s="568">
        <v>105480</v>
      </c>
      <c r="M214" s="569">
        <v>0.1</v>
      </c>
      <c r="N214" s="570">
        <f>L214*M214</f>
        <v>10548</v>
      </c>
      <c r="O214" s="570">
        <f t="shared" ref="O214" si="48">L214-N214</f>
        <v>94932</v>
      </c>
      <c r="P214" s="602" t="s">
        <v>433</v>
      </c>
      <c r="Q214" s="572"/>
    </row>
    <row r="215" spans="2:17" ht="18" hidden="1" customHeight="1">
      <c r="B215" s="563">
        <v>210</v>
      </c>
      <c r="C215" s="564" t="e">
        <f>VLOOKUP(G:G,list!B:D,2,FALSE)</f>
        <v>#N/A</v>
      </c>
      <c r="D215" s="564" t="s">
        <v>22</v>
      </c>
      <c r="E215" s="564" t="s">
        <v>62</v>
      </c>
      <c r="F215" s="564" t="s">
        <v>421</v>
      </c>
      <c r="G215" s="564" t="s">
        <v>59</v>
      </c>
      <c r="H215" s="565">
        <v>44611</v>
      </c>
      <c r="I215" s="564" t="s">
        <v>351</v>
      </c>
      <c r="J215" s="599">
        <v>5981554</v>
      </c>
      <c r="K215" s="603">
        <v>0.28000000000000003</v>
      </c>
      <c r="L215" s="568">
        <v>1405909</v>
      </c>
      <c r="M215" s="569">
        <v>0.1</v>
      </c>
      <c r="N215" s="570">
        <f>L215*M215</f>
        <v>140590.9</v>
      </c>
      <c r="O215" s="570">
        <f t="shared" ref="O215:O216" si="49">L215-N215</f>
        <v>1265318.1000000001</v>
      </c>
      <c r="P215" s="602"/>
      <c r="Q215" s="572"/>
    </row>
    <row r="216" spans="2:17" ht="18" hidden="1" customHeight="1">
      <c r="B216" s="563">
        <v>211</v>
      </c>
      <c r="C216" s="564" t="e">
        <f>VLOOKUP(G:G,list!B:D,2,FALSE)</f>
        <v>#N/A</v>
      </c>
      <c r="D216" s="564" t="s">
        <v>22</v>
      </c>
      <c r="E216" s="564" t="s">
        <v>62</v>
      </c>
      <c r="F216" s="564" t="s">
        <v>421</v>
      </c>
      <c r="G216" s="564" t="s">
        <v>191</v>
      </c>
      <c r="H216" s="565">
        <v>44625</v>
      </c>
      <c r="I216" s="564" t="s">
        <v>351</v>
      </c>
      <c r="J216" s="599">
        <v>1643630</v>
      </c>
      <c r="K216" s="603">
        <v>0.28000000000000003</v>
      </c>
      <c r="L216" s="568">
        <v>385533</v>
      </c>
      <c r="M216" s="569">
        <v>0.1</v>
      </c>
      <c r="N216" s="573">
        <f t="shared" ref="N216" si="50">L216*M216</f>
        <v>38553.300000000003</v>
      </c>
      <c r="O216" s="570">
        <f t="shared" si="49"/>
        <v>346979.7</v>
      </c>
      <c r="P216" s="602"/>
      <c r="Q216" s="572"/>
    </row>
    <row r="217" spans="2:17" ht="18" hidden="1" customHeight="1">
      <c r="B217" s="563">
        <v>212</v>
      </c>
      <c r="C217" s="564" t="e">
        <f>VLOOKUP(G:G,list!B:D,2,FALSE)</f>
        <v>#N/A</v>
      </c>
      <c r="D217" s="564" t="s">
        <v>22</v>
      </c>
      <c r="E217" s="564" t="s">
        <v>62</v>
      </c>
      <c r="F217" s="564" t="s">
        <v>421</v>
      </c>
      <c r="G217" s="564" t="s">
        <v>173</v>
      </c>
      <c r="H217" s="565">
        <v>44531</v>
      </c>
      <c r="I217" s="564" t="s">
        <v>368</v>
      </c>
      <c r="J217" s="599">
        <v>1009118</v>
      </c>
      <c r="K217" s="603">
        <v>0.28000000000000003</v>
      </c>
      <c r="L217" s="568">
        <v>234820</v>
      </c>
      <c r="M217" s="569">
        <v>0.1</v>
      </c>
      <c r="N217" s="570">
        <f>L217*M217</f>
        <v>23482</v>
      </c>
      <c r="O217" s="570">
        <f t="shared" ref="O217" si="51">L217-N217</f>
        <v>211338</v>
      </c>
      <c r="P217" s="602"/>
      <c r="Q217" s="572"/>
    </row>
    <row r="218" spans="2:17" ht="18" hidden="1" customHeight="1">
      <c r="B218" s="563">
        <v>213</v>
      </c>
      <c r="C218" s="564" t="e">
        <f>VLOOKUP(G:G,list!B:D,2,FALSE)</f>
        <v>#N/A</v>
      </c>
      <c r="D218" s="564" t="s">
        <v>22</v>
      </c>
      <c r="E218" s="564" t="s">
        <v>62</v>
      </c>
      <c r="F218" s="564" t="s">
        <v>421</v>
      </c>
      <c r="G218" s="564" t="s">
        <v>43</v>
      </c>
      <c r="H218" s="565">
        <v>44534</v>
      </c>
      <c r="I218" s="564" t="s">
        <v>368</v>
      </c>
      <c r="J218" s="599">
        <v>8651395</v>
      </c>
      <c r="K218" s="605">
        <v>0.245</v>
      </c>
      <c r="L218" s="568">
        <v>1734530</v>
      </c>
      <c r="M218" s="569">
        <v>0.1</v>
      </c>
      <c r="N218" s="573">
        <f>L218*M218</f>
        <v>173453</v>
      </c>
      <c r="O218" s="570">
        <f t="shared" ref="O218" si="52">L218-N218</f>
        <v>1561077</v>
      </c>
      <c r="P218" s="602"/>
      <c r="Q218" s="572"/>
    </row>
    <row r="219" spans="2:17" ht="18" hidden="1" customHeight="1">
      <c r="B219" s="563">
        <v>214</v>
      </c>
      <c r="C219" s="564" t="e">
        <f>VLOOKUP(G:G,list!B:D,2,FALSE)</f>
        <v>#N/A</v>
      </c>
      <c r="D219" s="564" t="s">
        <v>22</v>
      </c>
      <c r="E219" s="564" t="s">
        <v>62</v>
      </c>
      <c r="F219" s="564" t="s">
        <v>421</v>
      </c>
      <c r="G219" s="564" t="s">
        <v>57</v>
      </c>
      <c r="H219" s="565">
        <v>44552</v>
      </c>
      <c r="I219" s="564" t="s">
        <v>368</v>
      </c>
      <c r="J219" s="599">
        <v>396929</v>
      </c>
      <c r="K219" s="603">
        <v>0.28000000000000003</v>
      </c>
      <c r="L219" s="568">
        <v>90949</v>
      </c>
      <c r="M219" s="569">
        <v>0.1</v>
      </c>
      <c r="N219" s="570">
        <f>L219*M219</f>
        <v>9094.9</v>
      </c>
      <c r="O219" s="570">
        <f t="shared" ref="O219" si="53">L219-N219</f>
        <v>81854.100000000006</v>
      </c>
      <c r="P219" s="602" t="s">
        <v>433</v>
      </c>
      <c r="Q219" s="572"/>
    </row>
    <row r="220" spans="2:17" ht="18" hidden="1" customHeight="1">
      <c r="B220" s="563">
        <v>215</v>
      </c>
      <c r="C220" s="564" t="e">
        <f>VLOOKUP(G:G,list!B:D,2,FALSE)</f>
        <v>#N/A</v>
      </c>
      <c r="D220" s="564" t="s">
        <v>22</v>
      </c>
      <c r="E220" s="564" t="s">
        <v>62</v>
      </c>
      <c r="F220" s="564" t="s">
        <v>421</v>
      </c>
      <c r="G220" s="564" t="s">
        <v>59</v>
      </c>
      <c r="H220" s="565">
        <v>44611</v>
      </c>
      <c r="I220" s="564" t="s">
        <v>368</v>
      </c>
      <c r="J220" s="599">
        <v>3232674</v>
      </c>
      <c r="K220" s="603">
        <v>0.28000000000000003</v>
      </c>
      <c r="L220" s="568">
        <v>752239</v>
      </c>
      <c r="M220" s="569">
        <v>0.1</v>
      </c>
      <c r="N220" s="570">
        <f>L220*M220</f>
        <v>75223.900000000009</v>
      </c>
      <c r="O220" s="570">
        <f t="shared" ref="O220:O221" si="54">L220-N220</f>
        <v>677015.1</v>
      </c>
      <c r="P220" s="602"/>
      <c r="Q220" s="572"/>
    </row>
    <row r="221" spans="2:17" ht="18" hidden="1" customHeight="1">
      <c r="B221" s="563">
        <v>216</v>
      </c>
      <c r="C221" s="564" t="e">
        <f>VLOOKUP(G:G,list!B:D,2,FALSE)</f>
        <v>#N/A</v>
      </c>
      <c r="D221" s="564" t="s">
        <v>22</v>
      </c>
      <c r="E221" s="564" t="s">
        <v>62</v>
      </c>
      <c r="F221" s="564" t="s">
        <v>421</v>
      </c>
      <c r="G221" s="564" t="s">
        <v>191</v>
      </c>
      <c r="H221" s="565">
        <v>44625</v>
      </c>
      <c r="I221" s="564" t="s">
        <v>368</v>
      </c>
      <c r="J221" s="599">
        <v>1167890</v>
      </c>
      <c r="K221" s="603">
        <v>0.28000000000000003</v>
      </c>
      <c r="L221" s="568">
        <v>271213</v>
      </c>
      <c r="M221" s="569">
        <v>0.1</v>
      </c>
      <c r="N221" s="573">
        <f t="shared" ref="N221" si="55">L221*M221</f>
        <v>27121.300000000003</v>
      </c>
      <c r="O221" s="570">
        <f t="shared" si="54"/>
        <v>244091.7</v>
      </c>
      <c r="P221" s="602"/>
      <c r="Q221" s="572"/>
    </row>
    <row r="222" spans="2:17" ht="18" hidden="1" customHeight="1">
      <c r="B222" s="563">
        <v>217</v>
      </c>
      <c r="C222" s="564" t="e">
        <f>VLOOKUP(G:G,list!B:D,2,FALSE)</f>
        <v>#N/A</v>
      </c>
      <c r="D222" s="564" t="s">
        <v>22</v>
      </c>
      <c r="E222" s="564" t="s">
        <v>62</v>
      </c>
      <c r="F222" s="564" t="s">
        <v>213</v>
      </c>
      <c r="G222" s="564" t="s">
        <v>10</v>
      </c>
      <c r="H222" s="565">
        <v>44356</v>
      </c>
      <c r="I222" s="564" t="s">
        <v>368</v>
      </c>
      <c r="J222" s="599">
        <v>892520</v>
      </c>
      <c r="K222" s="603">
        <v>0.3</v>
      </c>
      <c r="L222" s="568">
        <v>267756</v>
      </c>
      <c r="M222" s="569">
        <v>0.1</v>
      </c>
      <c r="N222" s="570">
        <f>L222*M222</f>
        <v>26775.600000000002</v>
      </c>
      <c r="O222" s="570">
        <f t="shared" ref="O222:O223" si="56">L222-N222</f>
        <v>240980.4</v>
      </c>
      <c r="P222" s="602" t="s">
        <v>425</v>
      </c>
      <c r="Q222" s="572"/>
    </row>
    <row r="223" spans="2:17" ht="18" hidden="1" customHeight="1">
      <c r="B223" s="563">
        <v>218</v>
      </c>
      <c r="C223" s="564" t="e">
        <f>VLOOKUP(G:G,list!B:D,2,FALSE)</f>
        <v>#N/A</v>
      </c>
      <c r="D223" s="564" t="s">
        <v>22</v>
      </c>
      <c r="E223" s="564" t="s">
        <v>62</v>
      </c>
      <c r="F223" s="564" t="s">
        <v>213</v>
      </c>
      <c r="G223" s="564" t="s">
        <v>11</v>
      </c>
      <c r="H223" s="565">
        <v>44381</v>
      </c>
      <c r="I223" s="564" t="s">
        <v>368</v>
      </c>
      <c r="J223" s="599">
        <v>80943</v>
      </c>
      <c r="K223" s="603">
        <v>0.3</v>
      </c>
      <c r="L223" s="568">
        <v>24283</v>
      </c>
      <c r="M223" s="569" t="s">
        <v>203</v>
      </c>
      <c r="N223" s="573">
        <v>0</v>
      </c>
      <c r="O223" s="570">
        <f t="shared" si="56"/>
        <v>24283</v>
      </c>
      <c r="P223" s="602" t="s">
        <v>425</v>
      </c>
      <c r="Q223" s="572"/>
    </row>
    <row r="224" spans="2:17" ht="18" hidden="1" customHeight="1">
      <c r="B224" s="563">
        <v>219</v>
      </c>
      <c r="C224" s="564" t="e">
        <f>VLOOKUP(G:G,list!B:D,2,FALSE)</f>
        <v>#N/A</v>
      </c>
      <c r="D224" s="564" t="s">
        <v>22</v>
      </c>
      <c r="E224" s="564" t="s">
        <v>62</v>
      </c>
      <c r="F224" s="564" t="s">
        <v>213</v>
      </c>
      <c r="G224" s="564" t="s">
        <v>12</v>
      </c>
      <c r="H224" s="565">
        <v>44364</v>
      </c>
      <c r="I224" s="564" t="s">
        <v>368</v>
      </c>
      <c r="J224" s="599">
        <v>0</v>
      </c>
      <c r="K224" s="603">
        <v>0.3</v>
      </c>
      <c r="L224" s="568">
        <v>0</v>
      </c>
      <c r="M224" s="569">
        <v>0.1</v>
      </c>
      <c r="N224" s="570">
        <f>L224*M224</f>
        <v>0</v>
      </c>
      <c r="O224" s="570">
        <f t="shared" ref="O224" si="57">L224-N224</f>
        <v>0</v>
      </c>
      <c r="P224" s="602" t="s">
        <v>426</v>
      </c>
      <c r="Q224" s="572"/>
    </row>
    <row r="225" spans="2:17" ht="18" hidden="1" customHeight="1">
      <c r="B225" s="563">
        <v>220</v>
      </c>
      <c r="C225" s="564" t="e">
        <f>VLOOKUP(G:G,list!B:D,2,FALSE)</f>
        <v>#N/A</v>
      </c>
      <c r="D225" s="564" t="s">
        <v>22</v>
      </c>
      <c r="E225" s="564" t="s">
        <v>62</v>
      </c>
      <c r="F225" s="564" t="s">
        <v>213</v>
      </c>
      <c r="G225" s="564" t="s">
        <v>17</v>
      </c>
      <c r="H225" s="565">
        <v>44477</v>
      </c>
      <c r="I225" s="564" t="s">
        <v>368</v>
      </c>
      <c r="J225" s="599">
        <v>87930</v>
      </c>
      <c r="K225" s="603">
        <v>0.3</v>
      </c>
      <c r="L225" s="568">
        <v>26379</v>
      </c>
      <c r="M225" s="569">
        <v>0.12</v>
      </c>
      <c r="N225" s="573">
        <f>L225*M225</f>
        <v>3165.48</v>
      </c>
      <c r="O225" s="570">
        <f t="shared" ref="O225" si="58">L225-N225</f>
        <v>23213.52</v>
      </c>
      <c r="P225" s="602" t="s">
        <v>425</v>
      </c>
      <c r="Q225" s="572"/>
    </row>
    <row r="226" spans="2:17" ht="18" hidden="1" customHeight="1">
      <c r="B226" s="563">
        <v>221</v>
      </c>
      <c r="C226" s="564" t="e">
        <f>VLOOKUP(G:G,list!B:D,2,FALSE)</f>
        <v>#N/A</v>
      </c>
      <c r="D226" s="564" t="s">
        <v>32</v>
      </c>
      <c r="E226" s="564" t="s">
        <v>62</v>
      </c>
      <c r="F226" s="564" t="s">
        <v>213</v>
      </c>
      <c r="G226" s="564" t="s">
        <v>10</v>
      </c>
      <c r="H226" s="565">
        <v>44396</v>
      </c>
      <c r="I226" s="564" t="s">
        <v>368</v>
      </c>
      <c r="J226" s="599">
        <v>7716813</v>
      </c>
      <c r="K226" s="603">
        <v>0.3</v>
      </c>
      <c r="L226" s="568">
        <v>2315044</v>
      </c>
      <c r="M226" s="569">
        <v>0.1</v>
      </c>
      <c r="N226" s="570">
        <f>L226*M226</f>
        <v>231504.40000000002</v>
      </c>
      <c r="O226" s="570">
        <f t="shared" ref="O226" si="59">L226-N226</f>
        <v>2083539.6</v>
      </c>
      <c r="P226" s="575" t="s">
        <v>307</v>
      </c>
      <c r="Q226" s="572"/>
    </row>
    <row r="227" spans="2:17" ht="18" hidden="1" customHeight="1">
      <c r="B227" s="563">
        <v>222</v>
      </c>
      <c r="C227" s="564" t="e">
        <f>VLOOKUP(G:G,list!B:D,2,FALSE)</f>
        <v>#N/A</v>
      </c>
      <c r="D227" s="564" t="s">
        <v>32</v>
      </c>
      <c r="E227" s="564" t="s">
        <v>62</v>
      </c>
      <c r="F227" s="564" t="s">
        <v>213</v>
      </c>
      <c r="G227" s="564" t="s">
        <v>11</v>
      </c>
      <c r="H227" s="565">
        <v>44370</v>
      </c>
      <c r="I227" s="564" t="s">
        <v>368</v>
      </c>
      <c r="J227" s="599">
        <v>191887</v>
      </c>
      <c r="K227" s="603">
        <v>0.3</v>
      </c>
      <c r="L227" s="568">
        <v>57566</v>
      </c>
      <c r="M227" s="569" t="s">
        <v>203</v>
      </c>
      <c r="N227" s="573">
        <v>0</v>
      </c>
      <c r="O227" s="570">
        <f>L227-N227</f>
        <v>57566</v>
      </c>
      <c r="P227" s="575" t="s">
        <v>307</v>
      </c>
      <c r="Q227" s="572"/>
    </row>
    <row r="228" spans="2:17" ht="18" hidden="1" customHeight="1">
      <c r="B228" s="563">
        <v>223</v>
      </c>
      <c r="C228" s="564" t="e">
        <f>VLOOKUP(G:G,list!B:D,2,FALSE)</f>
        <v>#N/A</v>
      </c>
      <c r="D228" s="564" t="s">
        <v>32</v>
      </c>
      <c r="E228" s="564" t="s">
        <v>62</v>
      </c>
      <c r="F228" s="564" t="s">
        <v>213</v>
      </c>
      <c r="G228" s="564" t="s">
        <v>17</v>
      </c>
      <c r="H228" s="565">
        <v>44497</v>
      </c>
      <c r="I228" s="564" t="s">
        <v>368</v>
      </c>
      <c r="J228" s="599">
        <v>3885863</v>
      </c>
      <c r="K228" s="603">
        <v>0.3</v>
      </c>
      <c r="L228" s="568">
        <v>1165759</v>
      </c>
      <c r="M228" s="569">
        <v>0.12</v>
      </c>
      <c r="N228" s="573">
        <f>L228*M228</f>
        <v>139891.07999999999</v>
      </c>
      <c r="O228" s="570">
        <f t="shared" ref="O228" si="60">L228-N228</f>
        <v>1025867.92</v>
      </c>
      <c r="P228" s="575" t="s">
        <v>307</v>
      </c>
      <c r="Q228" s="572"/>
    </row>
    <row r="229" spans="2:17" ht="18" hidden="1" customHeight="1">
      <c r="B229" s="563">
        <v>224</v>
      </c>
      <c r="C229" s="564" t="e">
        <f>VLOOKUP(G:G,list!B:D,2,FALSE)</f>
        <v>#N/A</v>
      </c>
      <c r="D229" s="564" t="s">
        <v>32</v>
      </c>
      <c r="E229" s="564" t="s">
        <v>115</v>
      </c>
      <c r="F229" s="564" t="s">
        <v>31</v>
      </c>
      <c r="G229" s="564" t="s">
        <v>152</v>
      </c>
      <c r="H229" s="565">
        <v>44096</v>
      </c>
      <c r="I229" s="564" t="s">
        <v>368</v>
      </c>
      <c r="J229" s="599">
        <v>314509</v>
      </c>
      <c r="K229" s="603">
        <v>0.4</v>
      </c>
      <c r="L229" s="568">
        <v>119522</v>
      </c>
      <c r="M229" s="569">
        <v>0.12</v>
      </c>
      <c r="N229" s="573">
        <f t="shared" ref="N229:N236" si="61">L229*M229</f>
        <v>14342.64</v>
      </c>
      <c r="O229" s="570">
        <f t="shared" ref="O229:O240" si="62">L229-N229</f>
        <v>105179.36</v>
      </c>
      <c r="P229" s="576"/>
      <c r="Q229" s="572" t="e">
        <f>VLOOKUP(G:G,list!B:D,3,FALSE)</f>
        <v>#N/A</v>
      </c>
    </row>
    <row r="230" spans="2:17" ht="18" hidden="1" customHeight="1">
      <c r="B230" s="563">
        <v>225</v>
      </c>
      <c r="C230" s="564" t="e">
        <f>VLOOKUP(G:G,list!B:D,2,FALSE)</f>
        <v>#N/A</v>
      </c>
      <c r="D230" s="564" t="s">
        <v>32</v>
      </c>
      <c r="E230" s="564" t="s">
        <v>115</v>
      </c>
      <c r="F230" s="564" t="s">
        <v>31</v>
      </c>
      <c r="G230" s="564" t="s">
        <v>153</v>
      </c>
      <c r="H230" s="565">
        <v>44137</v>
      </c>
      <c r="I230" s="564" t="s">
        <v>368</v>
      </c>
      <c r="J230" s="599">
        <v>192637</v>
      </c>
      <c r="K230" s="603">
        <v>0.4</v>
      </c>
      <c r="L230" s="568">
        <v>73192</v>
      </c>
      <c r="M230" s="569">
        <v>0.1</v>
      </c>
      <c r="N230" s="570">
        <f t="shared" si="61"/>
        <v>7319.2000000000007</v>
      </c>
      <c r="O230" s="570">
        <f t="shared" si="62"/>
        <v>65872.800000000003</v>
      </c>
      <c r="P230" s="576"/>
      <c r="Q230" s="572" t="e">
        <f>VLOOKUP(G:G,list!B:D,3,FALSE)</f>
        <v>#N/A</v>
      </c>
    </row>
    <row r="231" spans="2:17" ht="18" hidden="1" customHeight="1">
      <c r="B231" s="563">
        <v>226</v>
      </c>
      <c r="C231" s="564" t="str">
        <f>VLOOKUP(G:G,list!B:D,2,FALSE)</f>
        <v>원작료</v>
      </c>
      <c r="D231" s="564" t="s">
        <v>32</v>
      </c>
      <c r="E231" s="564" t="s">
        <v>115</v>
      </c>
      <c r="F231" s="564" t="s">
        <v>31</v>
      </c>
      <c r="G231" s="564" t="s">
        <v>151</v>
      </c>
      <c r="H231" s="565">
        <v>44239</v>
      </c>
      <c r="I231" s="564" t="s">
        <v>368</v>
      </c>
      <c r="J231" s="599">
        <v>1013156</v>
      </c>
      <c r="K231" s="603">
        <v>0.4</v>
      </c>
      <c r="L231" s="568">
        <v>385006</v>
      </c>
      <c r="M231" s="569">
        <v>0.1</v>
      </c>
      <c r="N231" s="570">
        <f>L231*M231</f>
        <v>38500.6</v>
      </c>
      <c r="O231" s="570">
        <f>L231-N231</f>
        <v>346505.4</v>
      </c>
      <c r="P231" s="575"/>
      <c r="Q231" s="572" t="str">
        <f>VLOOKUP(G:G,list!B:D,3,FALSE)</f>
        <v>Y</v>
      </c>
    </row>
    <row r="232" spans="2:17" ht="18" hidden="1" customHeight="1">
      <c r="B232" s="563">
        <v>227</v>
      </c>
      <c r="C232" s="564" t="e">
        <f>VLOOKUP(G:G,list!B:D,2,FALSE)</f>
        <v>#N/A</v>
      </c>
      <c r="D232" s="564" t="s">
        <v>32</v>
      </c>
      <c r="E232" s="564" t="s">
        <v>115</v>
      </c>
      <c r="F232" s="564" t="s">
        <v>31</v>
      </c>
      <c r="G232" s="564" t="s">
        <v>256</v>
      </c>
      <c r="H232" s="565">
        <v>44487</v>
      </c>
      <c r="I232" s="564" t="s">
        <v>368</v>
      </c>
      <c r="J232" s="599">
        <v>44350</v>
      </c>
      <c r="K232" s="603">
        <v>0.4</v>
      </c>
      <c r="L232" s="568">
        <v>16861</v>
      </c>
      <c r="M232" s="569">
        <v>0.1</v>
      </c>
      <c r="N232" s="570">
        <f t="shared" si="61"/>
        <v>1686.1000000000001</v>
      </c>
      <c r="O232" s="570">
        <f t="shared" si="62"/>
        <v>15174.9</v>
      </c>
      <c r="P232" s="573"/>
      <c r="Q232" s="572" t="e">
        <f>VLOOKUP(G:G,list!B:D,3,FALSE)</f>
        <v>#N/A</v>
      </c>
    </row>
    <row r="233" spans="2:17" ht="18" hidden="1" customHeight="1">
      <c r="B233" s="563">
        <v>228</v>
      </c>
      <c r="C233" s="564" t="e">
        <f>VLOOKUP(G:G,list!B:D,2,FALSE)</f>
        <v>#N/A</v>
      </c>
      <c r="D233" s="564" t="s">
        <v>32</v>
      </c>
      <c r="E233" s="564" t="s">
        <v>115</v>
      </c>
      <c r="F233" s="564" t="s">
        <v>31</v>
      </c>
      <c r="G233" s="564" t="s">
        <v>204</v>
      </c>
      <c r="H233" s="565">
        <v>44453</v>
      </c>
      <c r="I233" s="564" t="s">
        <v>368</v>
      </c>
      <c r="J233" s="599">
        <v>18432</v>
      </c>
      <c r="K233" s="603">
        <v>0.4</v>
      </c>
      <c r="L233" s="568">
        <v>7000</v>
      </c>
      <c r="M233" s="569">
        <v>0.1</v>
      </c>
      <c r="N233" s="573">
        <f t="shared" si="61"/>
        <v>700</v>
      </c>
      <c r="O233" s="570">
        <f t="shared" si="62"/>
        <v>6300</v>
      </c>
      <c r="P233" s="602"/>
      <c r="Q233" s="572" t="e">
        <f>VLOOKUP(G:G,list!B:D,3,FALSE)</f>
        <v>#N/A</v>
      </c>
    </row>
    <row r="234" spans="2:17" ht="18" hidden="1" customHeight="1">
      <c r="B234" s="563">
        <v>229</v>
      </c>
      <c r="C234" s="564" t="e">
        <f>VLOOKUP(G:G,list!B:D,2,FALSE)</f>
        <v>#N/A</v>
      </c>
      <c r="D234" s="564" t="s">
        <v>32</v>
      </c>
      <c r="E234" s="564" t="s">
        <v>115</v>
      </c>
      <c r="F234" s="564" t="s">
        <v>31</v>
      </c>
      <c r="G234" s="564" t="s">
        <v>258</v>
      </c>
      <c r="H234" s="565">
        <v>44470</v>
      </c>
      <c r="I234" s="564" t="s">
        <v>368</v>
      </c>
      <c r="J234" s="599">
        <v>163795</v>
      </c>
      <c r="K234" s="603">
        <v>0.4</v>
      </c>
      <c r="L234" s="568">
        <v>62245</v>
      </c>
      <c r="M234" s="569">
        <v>0.1</v>
      </c>
      <c r="N234" s="573">
        <f t="shared" si="61"/>
        <v>6224.5</v>
      </c>
      <c r="O234" s="570">
        <f t="shared" si="62"/>
        <v>56020.5</v>
      </c>
      <c r="P234" s="571"/>
      <c r="Q234" s="572" t="e">
        <f>VLOOKUP(G:G,list!B:D,3,FALSE)</f>
        <v>#N/A</v>
      </c>
    </row>
    <row r="235" spans="2:17" ht="18" hidden="1" customHeight="1">
      <c r="B235" s="563">
        <v>230</v>
      </c>
      <c r="C235" s="564" t="e">
        <f>VLOOKUP(G:G,list!B:D,2,FALSE)</f>
        <v>#N/A</v>
      </c>
      <c r="D235" s="564" t="s">
        <v>32</v>
      </c>
      <c r="E235" s="564" t="s">
        <v>115</v>
      </c>
      <c r="F235" s="564" t="s">
        <v>31</v>
      </c>
      <c r="G235" s="564" t="s">
        <v>19</v>
      </c>
      <c r="H235" s="565">
        <v>44714</v>
      </c>
      <c r="I235" s="564" t="s">
        <v>368</v>
      </c>
      <c r="J235" s="599">
        <v>155594</v>
      </c>
      <c r="K235" s="603">
        <v>0.45</v>
      </c>
      <c r="L235" s="568">
        <v>66512</v>
      </c>
      <c r="M235" s="569" t="s">
        <v>203</v>
      </c>
      <c r="N235" s="573">
        <v>0</v>
      </c>
      <c r="O235" s="570">
        <f t="shared" si="62"/>
        <v>66512</v>
      </c>
      <c r="P235" s="571" t="s">
        <v>287</v>
      </c>
      <c r="Q235" s="572"/>
    </row>
    <row r="236" spans="2:17" ht="18" hidden="1" customHeight="1">
      <c r="B236" s="563">
        <v>231</v>
      </c>
      <c r="C236" s="564" t="e">
        <f>VLOOKUP(G:G,list!B:D,2,FALSE)</f>
        <v>#N/A</v>
      </c>
      <c r="D236" s="564" t="s">
        <v>32</v>
      </c>
      <c r="E236" s="564" t="s">
        <v>9</v>
      </c>
      <c r="F236" s="564" t="s">
        <v>257</v>
      </c>
      <c r="G236" s="564" t="s">
        <v>179</v>
      </c>
      <c r="H236" s="565">
        <v>44354</v>
      </c>
      <c r="I236" s="564" t="s">
        <v>411</v>
      </c>
      <c r="J236" s="599">
        <v>19111642</v>
      </c>
      <c r="K236" s="600">
        <v>0.27999995826320889</v>
      </c>
      <c r="L236" s="568">
        <v>5351260</v>
      </c>
      <c r="M236" s="569">
        <v>0.1</v>
      </c>
      <c r="N236" s="573">
        <f t="shared" si="61"/>
        <v>535126</v>
      </c>
      <c r="O236" s="570">
        <f t="shared" si="62"/>
        <v>4816134</v>
      </c>
      <c r="P236" s="575" t="s">
        <v>85</v>
      </c>
      <c r="Q236" s="572" t="e">
        <f>VLOOKUP(G:G,list!B:D,3,FALSE)</f>
        <v>#N/A</v>
      </c>
    </row>
    <row r="237" spans="2:17" ht="18" hidden="1" customHeight="1">
      <c r="B237" s="563">
        <v>232</v>
      </c>
      <c r="C237" s="564" t="e">
        <f>VLOOKUP(G:G,list!B:D,2,FALSE)</f>
        <v>#N/A</v>
      </c>
      <c r="D237" s="564" t="s">
        <v>32</v>
      </c>
      <c r="E237" s="564" t="s">
        <v>9</v>
      </c>
      <c r="F237" s="564" t="s">
        <v>257</v>
      </c>
      <c r="G237" s="564" t="s">
        <v>212</v>
      </c>
      <c r="H237" s="565">
        <v>44507</v>
      </c>
      <c r="I237" s="564" t="s">
        <v>411</v>
      </c>
      <c r="J237" s="599">
        <v>3540308</v>
      </c>
      <c r="K237" s="601">
        <v>0.24499999976453651</v>
      </c>
      <c r="L237" s="568">
        <v>867375</v>
      </c>
      <c r="M237" s="569">
        <v>0.1</v>
      </c>
      <c r="N237" s="573">
        <f>L237*M237</f>
        <v>86737.5</v>
      </c>
      <c r="O237" s="570">
        <f t="shared" si="62"/>
        <v>780637.5</v>
      </c>
      <c r="P237" s="602"/>
      <c r="Q237" s="572" t="e">
        <f>VLOOKUP(G:G,list!B:D,3,FALSE)</f>
        <v>#N/A</v>
      </c>
    </row>
    <row r="238" spans="2:17" ht="18" hidden="1" customHeight="1">
      <c r="B238" s="563">
        <v>233</v>
      </c>
      <c r="C238" s="564" t="e">
        <f>VLOOKUP(G:G,list!B:D,2,FALSE)</f>
        <v>#N/A</v>
      </c>
      <c r="D238" s="564" t="s">
        <v>32</v>
      </c>
      <c r="E238" s="564" t="s">
        <v>9</v>
      </c>
      <c r="F238" s="564" t="s">
        <v>257</v>
      </c>
      <c r="G238" s="564" t="s">
        <v>335</v>
      </c>
      <c r="H238" s="565">
        <v>44698</v>
      </c>
      <c r="I238" s="564" t="s">
        <v>411</v>
      </c>
      <c r="J238" s="599">
        <v>2551257</v>
      </c>
      <c r="K238" s="600">
        <v>0.35000007927805654</v>
      </c>
      <c r="L238" s="568">
        <v>892941</v>
      </c>
      <c r="M238" s="569">
        <v>0.1</v>
      </c>
      <c r="N238" s="570">
        <f>L238*M238</f>
        <v>89294.1</v>
      </c>
      <c r="O238" s="570">
        <f t="shared" si="62"/>
        <v>803646.9</v>
      </c>
      <c r="P238" s="575"/>
      <c r="Q238" s="572" t="e">
        <f>VLOOKUP(G:G,list!B:D,3,FALSE)</f>
        <v>#N/A</v>
      </c>
    </row>
    <row r="239" spans="2:17" ht="18" hidden="1" customHeight="1">
      <c r="B239" s="563">
        <v>234</v>
      </c>
      <c r="C239" s="564" t="e">
        <f>VLOOKUP(G:G,list!B:D,2,FALSE)</f>
        <v>#N/A</v>
      </c>
      <c r="D239" s="564" t="s">
        <v>32</v>
      </c>
      <c r="E239" s="564" t="s">
        <v>9</v>
      </c>
      <c r="F239" s="564" t="s">
        <v>257</v>
      </c>
      <c r="G239" s="564" t="s">
        <v>336</v>
      </c>
      <c r="H239" s="565">
        <v>44692</v>
      </c>
      <c r="I239" s="564" t="s">
        <v>411</v>
      </c>
      <c r="J239" s="599">
        <v>7874424</v>
      </c>
      <c r="K239" s="600">
        <v>0.34999998924602366</v>
      </c>
      <c r="L239" s="568">
        <v>2756049</v>
      </c>
      <c r="M239" s="569">
        <v>0.1</v>
      </c>
      <c r="N239" s="570">
        <f>L239*M239</f>
        <v>275604.90000000002</v>
      </c>
      <c r="O239" s="570">
        <f t="shared" si="62"/>
        <v>2480444.1</v>
      </c>
      <c r="P239" s="575"/>
      <c r="Q239" s="572" t="e">
        <f>VLOOKUP(G:G,list!B:D,3,FALSE)</f>
        <v>#N/A</v>
      </c>
    </row>
    <row r="240" spans="2:17" ht="18" hidden="1" customHeight="1">
      <c r="B240" s="563">
        <v>235</v>
      </c>
      <c r="C240" s="564" t="e">
        <f>VLOOKUP(G:G,list!B:D,2,FALSE)</f>
        <v>#N/A</v>
      </c>
      <c r="D240" s="564" t="s">
        <v>32</v>
      </c>
      <c r="E240" s="564" t="s">
        <v>9</v>
      </c>
      <c r="F240" s="564" t="s">
        <v>257</v>
      </c>
      <c r="G240" s="564" t="s">
        <v>54</v>
      </c>
      <c r="H240" s="565">
        <v>44753</v>
      </c>
      <c r="I240" s="564" t="s">
        <v>411</v>
      </c>
      <c r="J240" s="599">
        <v>4156881</v>
      </c>
      <c r="K240" s="600">
        <v>0.28000000000000003</v>
      </c>
      <c r="L240" s="568">
        <v>1163927</v>
      </c>
      <c r="M240" s="569">
        <v>0.1</v>
      </c>
      <c r="N240" s="570">
        <f>L240*M240</f>
        <v>116392.70000000001</v>
      </c>
      <c r="O240" s="570">
        <f t="shared" si="62"/>
        <v>1047534.3</v>
      </c>
      <c r="P240" s="575" t="s">
        <v>287</v>
      </c>
      <c r="Q240" s="572"/>
    </row>
    <row r="241" spans="2:17" ht="18" hidden="1" customHeight="1">
      <c r="B241" s="563">
        <v>236</v>
      </c>
      <c r="C241" s="564" t="str">
        <f>VLOOKUP(G:G,list!B:D,2,FALSE)</f>
        <v>작가기획</v>
      </c>
      <c r="D241" s="564" t="s">
        <v>32</v>
      </c>
      <c r="E241" s="564" t="s">
        <v>9</v>
      </c>
      <c r="F241" s="564" t="s">
        <v>154</v>
      </c>
      <c r="G241" s="564" t="s">
        <v>180</v>
      </c>
      <c r="H241" s="565">
        <v>44106</v>
      </c>
      <c r="I241" s="564" t="s">
        <v>368</v>
      </c>
      <c r="J241" s="599">
        <v>867664</v>
      </c>
      <c r="K241" s="606">
        <v>0.4</v>
      </c>
      <c r="L241" s="568">
        <v>329712</v>
      </c>
      <c r="M241" s="569" t="s">
        <v>203</v>
      </c>
      <c r="N241" s="570">
        <v>0</v>
      </c>
      <c r="O241" s="570">
        <f>L241-N241</f>
        <v>329712</v>
      </c>
      <c r="P241" s="602"/>
      <c r="Q241" s="572" t="str">
        <f>VLOOKUP(G:G,list!B:D,3,FALSE)</f>
        <v>Y</v>
      </c>
    </row>
    <row r="242" spans="2:17" ht="18" hidden="1" customHeight="1">
      <c r="B242" s="563">
        <v>237</v>
      </c>
      <c r="C242" s="564" t="str">
        <f>VLOOKUP(G:G,list!B:D,2,FALSE)</f>
        <v>작가기획</v>
      </c>
      <c r="D242" s="564" t="s">
        <v>32</v>
      </c>
      <c r="E242" s="564" t="s">
        <v>9</v>
      </c>
      <c r="F242" s="564" t="s">
        <v>154</v>
      </c>
      <c r="G242" s="564" t="s">
        <v>139</v>
      </c>
      <c r="H242" s="565">
        <v>44113</v>
      </c>
      <c r="I242" s="564" t="s">
        <v>368</v>
      </c>
      <c r="J242" s="599">
        <v>46146</v>
      </c>
      <c r="K242" s="606">
        <v>0.4</v>
      </c>
      <c r="L242" s="568">
        <v>17536</v>
      </c>
      <c r="M242" s="569" t="s">
        <v>203</v>
      </c>
      <c r="N242" s="570">
        <v>0</v>
      </c>
      <c r="O242" s="570">
        <f>L242-N242</f>
        <v>17536</v>
      </c>
      <c r="P242" s="602"/>
      <c r="Q242" s="572" t="str">
        <f>VLOOKUP(G:G,list!B:D,3,FALSE)</f>
        <v>Y</v>
      </c>
    </row>
    <row r="243" spans="2:17" ht="18" hidden="1" customHeight="1">
      <c r="B243" s="563">
        <v>238</v>
      </c>
      <c r="C243" s="564" t="e">
        <f>VLOOKUP(G:G,list!B:D,2,FALSE)</f>
        <v>#N/A</v>
      </c>
      <c r="D243" s="564" t="s">
        <v>32</v>
      </c>
      <c r="E243" s="564" t="s">
        <v>115</v>
      </c>
      <c r="F243" s="564" t="s">
        <v>154</v>
      </c>
      <c r="G243" s="564" t="s">
        <v>258</v>
      </c>
      <c r="H243" s="565">
        <v>44386</v>
      </c>
      <c r="I243" s="564" t="s">
        <v>368</v>
      </c>
      <c r="J243" s="599">
        <v>496983</v>
      </c>
      <c r="K243" s="606">
        <v>0.4</v>
      </c>
      <c r="L243" s="568">
        <v>188854</v>
      </c>
      <c r="M243" s="569">
        <v>0.1</v>
      </c>
      <c r="N243" s="573">
        <f>L243*M243</f>
        <v>18885.400000000001</v>
      </c>
      <c r="O243" s="570">
        <f>L243-N243</f>
        <v>169968.6</v>
      </c>
      <c r="P243" s="602"/>
      <c r="Q243" s="572" t="e">
        <f>VLOOKUP(G:G,list!B:D,3,FALSE)</f>
        <v>#N/A</v>
      </c>
    </row>
    <row r="244" spans="2:17" ht="18" hidden="1" customHeight="1">
      <c r="B244" s="563">
        <v>239</v>
      </c>
      <c r="C244" s="564" t="e">
        <f>VLOOKUP(G:G,list!B:D,2,FALSE)</f>
        <v>#N/A</v>
      </c>
      <c r="D244" s="564" t="s">
        <v>67</v>
      </c>
      <c r="E244" s="564" t="s">
        <v>9</v>
      </c>
      <c r="F244" s="564" t="s">
        <v>213</v>
      </c>
      <c r="G244" s="564" t="s">
        <v>10</v>
      </c>
      <c r="H244" s="565">
        <v>44516</v>
      </c>
      <c r="I244" s="564" t="s">
        <v>368</v>
      </c>
      <c r="J244" s="599">
        <v>7081483</v>
      </c>
      <c r="K244" s="606">
        <v>0.3</v>
      </c>
      <c r="L244" s="568">
        <v>2124445</v>
      </c>
      <c r="M244" s="569">
        <v>0.1</v>
      </c>
      <c r="N244" s="570">
        <f>L244*M244</f>
        <v>212444.5</v>
      </c>
      <c r="O244" s="570">
        <f t="shared" ref="O244:O245" si="63">L244-N244</f>
        <v>1912000.5</v>
      </c>
      <c r="P244" s="575" t="s">
        <v>307</v>
      </c>
      <c r="Q244" s="572"/>
    </row>
    <row r="245" spans="2:17" ht="18" hidden="1" customHeight="1">
      <c r="B245" s="563">
        <v>240</v>
      </c>
      <c r="C245" s="564" t="e">
        <f>VLOOKUP(G:G,list!B:D,2,FALSE)</f>
        <v>#N/A</v>
      </c>
      <c r="D245" s="564" t="s">
        <v>67</v>
      </c>
      <c r="E245" s="564" t="s">
        <v>9</v>
      </c>
      <c r="F245" s="564" t="s">
        <v>213</v>
      </c>
      <c r="G245" s="564" t="s">
        <v>191</v>
      </c>
      <c r="H245" s="565">
        <v>44581</v>
      </c>
      <c r="I245" s="564" t="s">
        <v>368</v>
      </c>
      <c r="J245" s="599">
        <v>3907877</v>
      </c>
      <c r="K245" s="606">
        <v>0.3</v>
      </c>
      <c r="L245" s="568">
        <v>1172363</v>
      </c>
      <c r="M245" s="569">
        <v>0.1</v>
      </c>
      <c r="N245" s="573">
        <f t="shared" ref="N245" si="64">L245*M245</f>
        <v>117236.3</v>
      </c>
      <c r="O245" s="570">
        <f t="shared" si="63"/>
        <v>1055126.7</v>
      </c>
      <c r="P245" s="575" t="s">
        <v>307</v>
      </c>
      <c r="Q245" s="572"/>
    </row>
    <row r="246" spans="2:17" ht="18" hidden="1" customHeight="1">
      <c r="B246" s="563">
        <v>241</v>
      </c>
      <c r="C246" s="564" t="e">
        <f>VLOOKUP(G:G,list!B:D,2,FALSE)</f>
        <v>#N/A</v>
      </c>
      <c r="D246" s="564" t="s">
        <v>67</v>
      </c>
      <c r="E246" s="564" t="s">
        <v>9</v>
      </c>
      <c r="F246" s="564" t="s">
        <v>213</v>
      </c>
      <c r="G246" s="564" t="s">
        <v>59</v>
      </c>
      <c r="H246" s="565">
        <v>44582</v>
      </c>
      <c r="I246" s="564" t="s">
        <v>368</v>
      </c>
      <c r="J246" s="599">
        <v>6579107</v>
      </c>
      <c r="K246" s="606">
        <v>0.3</v>
      </c>
      <c r="L246" s="568">
        <v>1973732</v>
      </c>
      <c r="M246" s="569">
        <v>0.1</v>
      </c>
      <c r="N246" s="570">
        <f>L246*M246</f>
        <v>197373.2</v>
      </c>
      <c r="O246" s="570">
        <f t="shared" ref="O246" si="65">L246-N246</f>
        <v>1776358.8</v>
      </c>
      <c r="P246" s="575" t="s">
        <v>307</v>
      </c>
      <c r="Q246" s="572"/>
    </row>
    <row r="247" spans="2:17" ht="18" hidden="1" customHeight="1">
      <c r="B247" s="563">
        <v>242</v>
      </c>
      <c r="C247" s="564" t="e">
        <f>VLOOKUP(G:G,list!B:D,2,FALSE)</f>
        <v>#N/A</v>
      </c>
      <c r="D247" s="564" t="s">
        <v>67</v>
      </c>
      <c r="E247" s="564" t="s">
        <v>9</v>
      </c>
      <c r="F247" s="564" t="s">
        <v>213</v>
      </c>
      <c r="G247" s="564" t="s">
        <v>57</v>
      </c>
      <c r="H247" s="565">
        <v>44627</v>
      </c>
      <c r="I247" s="564" t="s">
        <v>368</v>
      </c>
      <c r="J247" s="599">
        <v>402660</v>
      </c>
      <c r="K247" s="606">
        <v>0.3</v>
      </c>
      <c r="L247" s="568">
        <v>120798</v>
      </c>
      <c r="M247" s="569">
        <v>0.1</v>
      </c>
      <c r="N247" s="570">
        <f>L247*M247</f>
        <v>12079.800000000001</v>
      </c>
      <c r="O247" s="570">
        <f>L247-N247</f>
        <v>108718.2</v>
      </c>
      <c r="P247" s="575" t="s">
        <v>307</v>
      </c>
      <c r="Q247" s="572"/>
    </row>
    <row r="248" spans="2:17" ht="18" hidden="1" customHeight="1">
      <c r="B248" s="563">
        <v>243</v>
      </c>
      <c r="C248" s="564" t="e">
        <f>VLOOKUP(G:G,list!B:D,2,FALSE)</f>
        <v>#N/A</v>
      </c>
      <c r="D248" s="564" t="s">
        <v>67</v>
      </c>
      <c r="E248" s="564" t="s">
        <v>9</v>
      </c>
      <c r="F248" s="564" t="s">
        <v>65</v>
      </c>
      <c r="G248" s="564" t="s">
        <v>152</v>
      </c>
      <c r="H248" s="565">
        <v>44105</v>
      </c>
      <c r="I248" s="564" t="s">
        <v>377</v>
      </c>
      <c r="J248" s="599">
        <v>832688</v>
      </c>
      <c r="K248" s="603">
        <v>0.4</v>
      </c>
      <c r="L248" s="568">
        <v>333075</v>
      </c>
      <c r="M248" s="569">
        <v>0.12</v>
      </c>
      <c r="N248" s="573">
        <f>L248*M248</f>
        <v>39969</v>
      </c>
      <c r="O248" s="570">
        <f t="shared" ref="O248:O258" si="66">L248-N248</f>
        <v>293106</v>
      </c>
      <c r="P248" s="576"/>
      <c r="Q248" s="572" t="e">
        <f>VLOOKUP(G:G,list!B:D,3,FALSE)</f>
        <v>#N/A</v>
      </c>
    </row>
    <row r="249" spans="2:17" ht="18" hidden="1" customHeight="1">
      <c r="B249" s="563">
        <v>244</v>
      </c>
      <c r="C249" s="564" t="e">
        <f>VLOOKUP(G:G,list!B:D,2,FALSE)</f>
        <v>#N/A</v>
      </c>
      <c r="D249" s="564" t="s">
        <v>67</v>
      </c>
      <c r="E249" s="564" t="s">
        <v>9</v>
      </c>
      <c r="F249" s="564" t="s">
        <v>65</v>
      </c>
      <c r="G249" s="564" t="s">
        <v>153</v>
      </c>
      <c r="H249" s="565">
        <v>44111</v>
      </c>
      <c r="I249" s="564" t="s">
        <v>377</v>
      </c>
      <c r="J249" s="599">
        <v>1429650</v>
      </c>
      <c r="K249" s="603">
        <v>0.4</v>
      </c>
      <c r="L249" s="568">
        <v>571860</v>
      </c>
      <c r="M249" s="569">
        <v>0.1</v>
      </c>
      <c r="N249" s="570">
        <f>L249*M249</f>
        <v>57186</v>
      </c>
      <c r="O249" s="570">
        <f t="shared" si="66"/>
        <v>514674</v>
      </c>
      <c r="P249" s="576"/>
      <c r="Q249" s="572" t="e">
        <f>VLOOKUP(G:G,list!B:D,3,FALSE)</f>
        <v>#N/A</v>
      </c>
    </row>
    <row r="250" spans="2:17" ht="18" hidden="1" customHeight="1">
      <c r="B250" s="563">
        <v>245</v>
      </c>
      <c r="C250" s="564" t="str">
        <f>VLOOKUP(G:G,list!B:D,2,FALSE)</f>
        <v>작가기획</v>
      </c>
      <c r="D250" s="564" t="s">
        <v>67</v>
      </c>
      <c r="E250" s="564" t="s">
        <v>9</v>
      </c>
      <c r="F250" s="564" t="s">
        <v>65</v>
      </c>
      <c r="G250" s="564" t="s">
        <v>139</v>
      </c>
      <c r="H250" s="565">
        <v>43921</v>
      </c>
      <c r="I250" s="564" t="s">
        <v>377</v>
      </c>
      <c r="J250" s="599">
        <v>256433</v>
      </c>
      <c r="K250" s="603">
        <v>0.4</v>
      </c>
      <c r="L250" s="568">
        <v>102573</v>
      </c>
      <c r="M250" s="569" t="s">
        <v>203</v>
      </c>
      <c r="N250" s="573">
        <v>0</v>
      </c>
      <c r="O250" s="570">
        <f>L250-N250</f>
        <v>102573</v>
      </c>
      <c r="P250" s="575"/>
      <c r="Q250" s="572" t="str">
        <f>VLOOKUP(G:G,list!B:D,3,FALSE)</f>
        <v>Y</v>
      </c>
    </row>
    <row r="251" spans="2:17" ht="18" hidden="1" customHeight="1">
      <c r="B251" s="563">
        <v>246</v>
      </c>
      <c r="C251" s="564" t="str">
        <f>VLOOKUP(G:G,list!B:D,2,FALSE)</f>
        <v>작가기획</v>
      </c>
      <c r="D251" s="564" t="s">
        <v>67</v>
      </c>
      <c r="E251" s="564" t="s">
        <v>9</v>
      </c>
      <c r="F251" s="564" t="s">
        <v>65</v>
      </c>
      <c r="G251" s="564" t="s">
        <v>180</v>
      </c>
      <c r="H251" s="565">
        <v>43941</v>
      </c>
      <c r="I251" s="564" t="s">
        <v>377</v>
      </c>
      <c r="J251" s="599">
        <v>1767963</v>
      </c>
      <c r="K251" s="603">
        <v>0.4</v>
      </c>
      <c r="L251" s="568">
        <v>707185</v>
      </c>
      <c r="M251" s="569" t="s">
        <v>203</v>
      </c>
      <c r="N251" s="570">
        <v>0</v>
      </c>
      <c r="O251" s="570">
        <f t="shared" si="66"/>
        <v>707185</v>
      </c>
      <c r="P251" s="575"/>
      <c r="Q251" s="572" t="str">
        <f>VLOOKUP(G:G,list!B:D,3,FALSE)</f>
        <v>Y</v>
      </c>
    </row>
    <row r="252" spans="2:17" ht="18" hidden="1" customHeight="1">
      <c r="B252" s="563">
        <v>247</v>
      </c>
      <c r="C252" s="564" t="str">
        <f>VLOOKUP(G:G,list!B:D,2,FALSE)</f>
        <v>원작료</v>
      </c>
      <c r="D252" s="564" t="s">
        <v>67</v>
      </c>
      <c r="E252" s="564" t="s">
        <v>64</v>
      </c>
      <c r="F252" s="564" t="s">
        <v>65</v>
      </c>
      <c r="G252" s="564" t="s">
        <v>151</v>
      </c>
      <c r="H252" s="565">
        <v>44258</v>
      </c>
      <c r="I252" s="564" t="s">
        <v>377</v>
      </c>
      <c r="J252" s="599">
        <v>1261318</v>
      </c>
      <c r="K252" s="603">
        <v>0.4</v>
      </c>
      <c r="L252" s="568">
        <v>504527</v>
      </c>
      <c r="M252" s="569">
        <v>0.1</v>
      </c>
      <c r="N252" s="570">
        <f>L252*M252</f>
        <v>50452.700000000004</v>
      </c>
      <c r="O252" s="570">
        <f t="shared" si="66"/>
        <v>454074.3</v>
      </c>
      <c r="P252" s="576"/>
      <c r="Q252" s="572" t="str">
        <f>VLOOKUP(G:G,list!B:D,3,FALSE)</f>
        <v>Y</v>
      </c>
    </row>
    <row r="253" spans="2:17" ht="18" hidden="1" customHeight="1">
      <c r="B253" s="563">
        <v>248</v>
      </c>
      <c r="C253" s="564" t="e">
        <f>VLOOKUP(G:G,list!B:D,2,FALSE)</f>
        <v>#N/A</v>
      </c>
      <c r="D253" s="564" t="s">
        <v>67</v>
      </c>
      <c r="E253" s="564" t="s">
        <v>64</v>
      </c>
      <c r="F253" s="564" t="s">
        <v>65</v>
      </c>
      <c r="G253" s="564" t="s">
        <v>179</v>
      </c>
      <c r="H253" s="565">
        <v>44233</v>
      </c>
      <c r="I253" s="564" t="s">
        <v>377</v>
      </c>
      <c r="J253" s="599">
        <v>2431245</v>
      </c>
      <c r="K253" s="603">
        <v>0.4</v>
      </c>
      <c r="L253" s="568">
        <v>972498</v>
      </c>
      <c r="M253" s="569">
        <v>0.1</v>
      </c>
      <c r="N253" s="573">
        <f>L253*M253</f>
        <v>97249.8</v>
      </c>
      <c r="O253" s="570">
        <f t="shared" si="66"/>
        <v>875248.2</v>
      </c>
      <c r="P253" s="575" t="s">
        <v>85</v>
      </c>
      <c r="Q253" s="572" t="e">
        <f>VLOOKUP(G:G,list!B:D,3,FALSE)</f>
        <v>#N/A</v>
      </c>
    </row>
    <row r="254" spans="2:17" ht="18" hidden="1" customHeight="1">
      <c r="B254" s="563">
        <v>249</v>
      </c>
      <c r="C254" s="564" t="e">
        <f>VLOOKUP(G:G,list!B:D,2,FALSE)</f>
        <v>#N/A</v>
      </c>
      <c r="D254" s="564" t="s">
        <v>67</v>
      </c>
      <c r="E254" s="564" t="s">
        <v>64</v>
      </c>
      <c r="F254" s="564" t="s">
        <v>65</v>
      </c>
      <c r="G254" s="564" t="s">
        <v>74</v>
      </c>
      <c r="H254" s="565">
        <v>44254</v>
      </c>
      <c r="I254" s="564" t="s">
        <v>377</v>
      </c>
      <c r="J254" s="599">
        <v>259355</v>
      </c>
      <c r="K254" s="603">
        <v>0.4</v>
      </c>
      <c r="L254" s="568">
        <v>103742</v>
      </c>
      <c r="M254" s="569">
        <v>0.1</v>
      </c>
      <c r="N254" s="570">
        <f>L254*M254</f>
        <v>10374.200000000001</v>
      </c>
      <c r="O254" s="570">
        <f t="shared" si="66"/>
        <v>93367.8</v>
      </c>
      <c r="P254" s="576"/>
      <c r="Q254" s="572" t="e">
        <f>VLOOKUP(G:G,list!B:D,3,FALSE)</f>
        <v>#N/A</v>
      </c>
    </row>
    <row r="255" spans="2:17" ht="18" hidden="1" customHeight="1">
      <c r="B255" s="563">
        <v>250</v>
      </c>
      <c r="C255" s="564" t="e">
        <f>VLOOKUP(G:G,list!B:D,2,FALSE)</f>
        <v>#N/A</v>
      </c>
      <c r="D255" s="564" t="s">
        <v>67</v>
      </c>
      <c r="E255" s="564" t="s">
        <v>64</v>
      </c>
      <c r="F255" s="564" t="s">
        <v>65</v>
      </c>
      <c r="G255" s="564" t="s">
        <v>147</v>
      </c>
      <c r="H255" s="565">
        <v>44260</v>
      </c>
      <c r="I255" s="564" t="s">
        <v>377</v>
      </c>
      <c r="J255" s="599">
        <v>506915</v>
      </c>
      <c r="K255" s="603">
        <v>0.4</v>
      </c>
      <c r="L255" s="568">
        <v>202766</v>
      </c>
      <c r="M255" s="569" t="s">
        <v>203</v>
      </c>
      <c r="N255" s="573">
        <v>0</v>
      </c>
      <c r="O255" s="570">
        <f t="shared" si="66"/>
        <v>202766</v>
      </c>
      <c r="P255" s="576"/>
      <c r="Q255" s="572" t="e">
        <f>VLOOKUP(G:G,list!B:D,3,FALSE)</f>
        <v>#N/A</v>
      </c>
    </row>
    <row r="256" spans="2:17" ht="18" hidden="1" customHeight="1">
      <c r="B256" s="563">
        <v>251</v>
      </c>
      <c r="C256" s="564" t="e">
        <f>VLOOKUP(G:G,list!B:D,2,FALSE)</f>
        <v>#N/A</v>
      </c>
      <c r="D256" s="564" t="s">
        <v>67</v>
      </c>
      <c r="E256" s="564" t="s">
        <v>64</v>
      </c>
      <c r="F256" s="564" t="s">
        <v>65</v>
      </c>
      <c r="G256" s="564" t="s">
        <v>187</v>
      </c>
      <c r="H256" s="565">
        <v>44289</v>
      </c>
      <c r="I256" s="564" t="s">
        <v>377</v>
      </c>
      <c r="J256" s="599">
        <v>333978</v>
      </c>
      <c r="K256" s="603">
        <v>0.4</v>
      </c>
      <c r="L256" s="568">
        <v>133591</v>
      </c>
      <c r="M256" s="569" t="s">
        <v>203</v>
      </c>
      <c r="N256" s="573">
        <v>0</v>
      </c>
      <c r="O256" s="570">
        <f t="shared" si="66"/>
        <v>133591</v>
      </c>
      <c r="P256" s="576"/>
      <c r="Q256" s="572" t="e">
        <f>VLOOKUP(G:G,list!B:D,3,FALSE)</f>
        <v>#N/A</v>
      </c>
    </row>
    <row r="257" spans="2:17" ht="18" hidden="1" customHeight="1">
      <c r="B257" s="563">
        <v>252</v>
      </c>
      <c r="C257" s="564" t="e">
        <f>VLOOKUP(G:G,list!B:D,2,FALSE)</f>
        <v>#N/A</v>
      </c>
      <c r="D257" s="564" t="s">
        <v>67</v>
      </c>
      <c r="E257" s="564" t="s">
        <v>64</v>
      </c>
      <c r="F257" s="564" t="s">
        <v>65</v>
      </c>
      <c r="G257" s="564" t="s">
        <v>188</v>
      </c>
      <c r="H257" s="565">
        <v>44449</v>
      </c>
      <c r="I257" s="564" t="s">
        <v>377</v>
      </c>
      <c r="J257" s="599">
        <v>5733595</v>
      </c>
      <c r="K257" s="603">
        <v>0.4</v>
      </c>
      <c r="L257" s="568">
        <v>2293438</v>
      </c>
      <c r="M257" s="569" t="s">
        <v>203</v>
      </c>
      <c r="N257" s="573">
        <v>0</v>
      </c>
      <c r="O257" s="570">
        <f t="shared" si="66"/>
        <v>2293438</v>
      </c>
      <c r="P257" s="575"/>
      <c r="Q257" s="572" t="e">
        <f>VLOOKUP(G:G,list!B:D,3,FALSE)</f>
        <v>#N/A</v>
      </c>
    </row>
    <row r="258" spans="2:17" ht="18" hidden="1" customHeight="1">
      <c r="B258" s="563">
        <v>253</v>
      </c>
      <c r="C258" s="564" t="e">
        <f>VLOOKUP(G:G,list!B:D,2,FALSE)</f>
        <v>#N/A</v>
      </c>
      <c r="D258" s="564" t="s">
        <v>182</v>
      </c>
      <c r="E258" s="564" t="s">
        <v>9</v>
      </c>
      <c r="F258" s="564" t="s">
        <v>264</v>
      </c>
      <c r="G258" s="564" t="s">
        <v>279</v>
      </c>
      <c r="H258" s="565">
        <v>44772</v>
      </c>
      <c r="I258" s="564" t="s">
        <v>428</v>
      </c>
      <c r="J258" s="599">
        <v>1800000</v>
      </c>
      <c r="K258" s="603" t="s">
        <v>203</v>
      </c>
      <c r="L258" s="568">
        <v>1800000</v>
      </c>
      <c r="M258" s="569">
        <v>0.1</v>
      </c>
      <c r="N258" s="573">
        <f>L258*M258</f>
        <v>180000</v>
      </c>
      <c r="O258" s="570">
        <f t="shared" si="66"/>
        <v>1620000</v>
      </c>
      <c r="P258" s="575" t="s">
        <v>429</v>
      </c>
      <c r="Q258" s="572" t="e">
        <f>VLOOKUP(G:G,list!B:D,3,FALSE)</f>
        <v>#N/A</v>
      </c>
    </row>
    <row r="259" spans="2:17">
      <c r="B259" s="52"/>
      <c r="C259" s="430"/>
      <c r="D259" s="430"/>
      <c r="E259" s="431"/>
      <c r="F259" s="430"/>
      <c r="G259" s="432"/>
      <c r="H259" s="433"/>
      <c r="I259" s="434"/>
      <c r="J259" s="435"/>
      <c r="K259" s="436"/>
      <c r="L259" s="467"/>
      <c r="M259" s="438"/>
      <c r="N259" s="439"/>
      <c r="O259" s="440"/>
      <c r="P259" s="441"/>
      <c r="Q259" s="486"/>
    </row>
    <row r="260" spans="2:17" s="7" customFormat="1">
      <c r="B260" s="534" t="s">
        <v>387</v>
      </c>
      <c r="C260" s="535"/>
      <c r="D260" s="535"/>
      <c r="E260" s="536"/>
      <c r="F260" s="535"/>
      <c r="G260" s="535"/>
      <c r="H260" s="311"/>
      <c r="I260" s="311"/>
      <c r="J260" s="311"/>
      <c r="K260" s="311"/>
      <c r="L260" s="311"/>
      <c r="M260" s="424"/>
      <c r="N260"/>
      <c r="O260" s="333"/>
      <c r="P260" s="18"/>
      <c r="Q260" s="484"/>
    </row>
    <row r="261" spans="2:17" s="7" customFormat="1">
      <c r="B261" s="537" t="s">
        <v>299</v>
      </c>
      <c r="C261" s="535"/>
      <c r="D261" s="535"/>
      <c r="E261" s="536"/>
      <c r="F261" s="535"/>
      <c r="G261" s="535"/>
      <c r="H261" s="311"/>
      <c r="I261" s="311"/>
      <c r="J261" s="311"/>
      <c r="K261" s="311"/>
      <c r="L261" s="311"/>
      <c r="M261" s="424"/>
      <c r="N261"/>
      <c r="O261" s="333"/>
      <c r="P261" s="18"/>
      <c r="Q261" s="484"/>
    </row>
    <row r="262" spans="2:17" s="7" customFormat="1">
      <c r="B262" s="537" t="s">
        <v>302</v>
      </c>
      <c r="C262" s="535"/>
      <c r="D262" s="535"/>
      <c r="E262" s="536"/>
      <c r="F262" s="535"/>
      <c r="G262" s="535"/>
      <c r="H262" s="311"/>
      <c r="I262" s="311"/>
      <c r="J262" s="311"/>
      <c r="K262" s="311"/>
      <c r="L262" s="311"/>
      <c r="M262" s="424"/>
      <c r="N262"/>
      <c r="O262" s="333"/>
      <c r="P262" s="18"/>
      <c r="Q262" s="484"/>
    </row>
    <row r="263" spans="2:17" s="7" customFormat="1">
      <c r="B263" s="538" t="s">
        <v>303</v>
      </c>
      <c r="C263" s="535"/>
      <c r="D263" s="535"/>
      <c r="E263" s="536"/>
      <c r="F263" s="535"/>
      <c r="G263" s="535"/>
      <c r="H263" s="311"/>
      <c r="I263" s="311"/>
      <c r="J263" s="311"/>
      <c r="K263" s="311"/>
      <c r="L263" s="311"/>
      <c r="M263" s="424"/>
      <c r="N263"/>
      <c r="O263" s="333"/>
      <c r="P263" s="18"/>
      <c r="Q263" s="484"/>
    </row>
    <row r="264" spans="2:17" ht="15" customHeight="1">
      <c r="B264" s="537" t="s">
        <v>340</v>
      </c>
      <c r="C264" s="535"/>
      <c r="D264" s="535"/>
      <c r="E264" s="536"/>
      <c r="F264" s="535"/>
      <c r="G264" s="535"/>
      <c r="H264" s="311"/>
      <c r="I264" s="311"/>
      <c r="J264" s="311"/>
      <c r="K264" s="311"/>
    </row>
    <row r="265" spans="2:17">
      <c r="B265" s="609" t="s">
        <v>463</v>
      </c>
      <c r="C265" s="535"/>
      <c r="D265" s="535"/>
      <c r="E265" s="535"/>
      <c r="F265" s="535"/>
      <c r="G265" s="535"/>
      <c r="H265" s="311"/>
      <c r="I265" s="311"/>
      <c r="J265" s="311"/>
      <c r="K265" s="311"/>
    </row>
    <row r="266" spans="2:17">
      <c r="B266" s="609" t="s">
        <v>464</v>
      </c>
      <c r="C266" s="535"/>
      <c r="D266" s="535"/>
      <c r="E266" s="535"/>
      <c r="F266" s="535"/>
      <c r="G266" s="535"/>
      <c r="H266" s="311"/>
      <c r="I266" s="311"/>
      <c r="J266" s="311"/>
      <c r="K266" s="311"/>
    </row>
    <row r="267" spans="2:17">
      <c r="B267" s="609" t="s">
        <v>465</v>
      </c>
      <c r="C267" s="535"/>
      <c r="D267" s="535"/>
      <c r="E267" s="535"/>
      <c r="F267" s="535"/>
      <c r="G267" s="535"/>
      <c r="H267" s="311"/>
      <c r="I267" s="311"/>
      <c r="J267" s="311"/>
      <c r="K267" s="311"/>
    </row>
    <row r="268" spans="2:17">
      <c r="B268" s="609" t="s">
        <v>466</v>
      </c>
      <c r="C268" s="535"/>
      <c r="D268" s="535"/>
      <c r="E268" s="535"/>
      <c r="F268" s="535"/>
      <c r="G268" s="535"/>
      <c r="J268" s="7"/>
    </row>
    <row r="269" spans="2:17">
      <c r="B269" s="537" t="s">
        <v>404</v>
      </c>
      <c r="C269" s="535"/>
      <c r="D269" s="535"/>
      <c r="E269" s="536"/>
      <c r="F269" s="535"/>
      <c r="G269" s="535"/>
      <c r="H269" s="311"/>
      <c r="I269" s="311"/>
      <c r="J269" s="311"/>
      <c r="K269" s="311"/>
    </row>
    <row r="270" spans="2:17">
      <c r="B270" s="537" t="s">
        <v>431</v>
      </c>
      <c r="C270" s="535"/>
      <c r="D270" s="535"/>
      <c r="E270" s="536"/>
      <c r="F270" s="535"/>
      <c r="G270" s="535"/>
      <c r="H270" s="311"/>
      <c r="I270" s="311"/>
      <c r="J270" s="311"/>
      <c r="K270" s="311"/>
    </row>
    <row r="271" spans="2:17">
      <c r="J271" s="7"/>
    </row>
    <row r="272" spans="2:17">
      <c r="J272" s="7"/>
    </row>
    <row r="273" spans="5:17">
      <c r="J273" s="7"/>
    </row>
    <row r="274" spans="5:17">
      <c r="J274" s="7"/>
    </row>
    <row r="275" spans="5:17" s="7" customFormat="1">
      <c r="E275" s="186"/>
      <c r="H275"/>
      <c r="I275"/>
      <c r="L275" s="311"/>
      <c r="M275" s="424"/>
      <c r="N275"/>
      <c r="O275" s="333"/>
      <c r="P275" s="18"/>
      <c r="Q275" s="484"/>
    </row>
    <row r="276" spans="5:17" s="7" customFormat="1">
      <c r="E276" s="186"/>
      <c r="H276"/>
      <c r="I276"/>
      <c r="L276" s="311"/>
      <c r="M276" s="424"/>
      <c r="N276"/>
      <c r="O276" s="333"/>
      <c r="P276" s="18"/>
      <c r="Q276" s="484"/>
    </row>
    <row r="277" spans="5:17" s="7" customFormat="1">
      <c r="E277" s="186"/>
      <c r="H277"/>
      <c r="I277"/>
      <c r="L277" s="311"/>
      <c r="M277" s="424"/>
      <c r="N277"/>
      <c r="O277" s="333"/>
      <c r="P277" s="18"/>
      <c r="Q277" s="484"/>
    </row>
    <row r="278" spans="5:17" s="7" customFormat="1">
      <c r="E278" s="186"/>
      <c r="H278"/>
      <c r="I278"/>
      <c r="L278" s="311"/>
      <c r="M278" s="424"/>
      <c r="N278"/>
      <c r="O278" s="333"/>
      <c r="P278" s="18"/>
      <c r="Q278" s="484"/>
    </row>
    <row r="279" spans="5:17" s="7" customFormat="1">
      <c r="E279" s="186"/>
      <c r="H279"/>
      <c r="I279"/>
      <c r="L279" s="311"/>
      <c r="M279" s="424"/>
      <c r="N279"/>
      <c r="O279" s="333"/>
      <c r="P279" s="18"/>
      <c r="Q279" s="484"/>
    </row>
    <row r="280" spans="5:17" s="7" customFormat="1">
      <c r="E280" s="186"/>
      <c r="H280"/>
      <c r="I280"/>
      <c r="L280" s="311"/>
      <c r="M280" s="424"/>
      <c r="N280"/>
      <c r="O280" s="333"/>
      <c r="P280" s="18"/>
      <c r="Q280" s="484"/>
    </row>
    <row r="281" spans="5:17" s="7" customFormat="1">
      <c r="E281" s="186"/>
      <c r="H281"/>
      <c r="I281"/>
      <c r="L281" s="311"/>
      <c r="M281" s="424"/>
      <c r="N281"/>
      <c r="O281" s="333"/>
      <c r="P281" s="18"/>
      <c r="Q281" s="484"/>
    </row>
    <row r="282" spans="5:17" s="7" customFormat="1">
      <c r="E282" s="186"/>
      <c r="H282"/>
      <c r="I282"/>
      <c r="L282" s="311"/>
      <c r="M282" s="424"/>
      <c r="N282"/>
      <c r="O282" s="333"/>
      <c r="P282" s="18"/>
      <c r="Q282" s="484"/>
    </row>
    <row r="283" spans="5:17" s="7" customFormat="1">
      <c r="E283" s="186"/>
      <c r="H283"/>
      <c r="I283"/>
      <c r="L283" s="311"/>
      <c r="M283" s="424"/>
      <c r="N283"/>
      <c r="O283" s="333"/>
      <c r="P283" s="18"/>
      <c r="Q283" s="484"/>
    </row>
    <row r="284" spans="5:17" s="7" customFormat="1">
      <c r="E284" s="186"/>
      <c r="H284"/>
      <c r="I284"/>
      <c r="L284" s="311"/>
      <c r="M284" s="424"/>
      <c r="N284"/>
      <c r="O284" s="333"/>
      <c r="P284" s="18"/>
      <c r="Q284" s="484"/>
    </row>
    <row r="285" spans="5:17" s="7" customFormat="1">
      <c r="E285" s="186"/>
      <c r="H285"/>
      <c r="I285"/>
      <c r="L285" s="311"/>
      <c r="M285" s="424"/>
      <c r="N285"/>
      <c r="O285" s="333"/>
      <c r="P285" s="18"/>
      <c r="Q285" s="484"/>
    </row>
    <row r="286" spans="5:17" s="7" customFormat="1">
      <c r="E286" s="186"/>
      <c r="H286"/>
      <c r="I286"/>
      <c r="L286" s="311"/>
      <c r="M286" s="424"/>
      <c r="N286"/>
      <c r="O286" s="333"/>
      <c r="P286" s="18"/>
      <c r="Q286" s="484"/>
    </row>
    <row r="287" spans="5:17" s="7" customFormat="1">
      <c r="E287" s="186"/>
      <c r="H287"/>
      <c r="I287"/>
      <c r="L287" s="311"/>
      <c r="M287" s="424"/>
      <c r="N287"/>
      <c r="O287" s="333"/>
      <c r="P287" s="18"/>
      <c r="Q287" s="484"/>
    </row>
    <row r="288" spans="5:17" s="7" customFormat="1">
      <c r="E288" s="186"/>
      <c r="H288"/>
      <c r="I288"/>
      <c r="L288" s="311"/>
      <c r="M288" s="424"/>
      <c r="N288"/>
      <c r="O288" s="333"/>
      <c r="P288" s="18"/>
      <c r="Q288" s="484"/>
    </row>
    <row r="289" spans="5:17" s="7" customFormat="1">
      <c r="E289" s="186"/>
      <c r="H289"/>
      <c r="I289"/>
      <c r="L289" s="311"/>
      <c r="M289" s="424"/>
      <c r="N289"/>
      <c r="O289" s="333"/>
      <c r="P289" s="18"/>
      <c r="Q289" s="484"/>
    </row>
  </sheetData>
  <autoFilter ref="A5:Q258" xr:uid="{C10520CE-9959-41F0-AE47-7F44CCD1A9A0}">
    <filterColumn colId="5">
      <filters>
        <filter val="레진코믹스"/>
      </filters>
    </filterColumn>
  </autoFilter>
  <mergeCells count="1">
    <mergeCell ref="P2:Q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7AEE-C2EC-4491-A4F3-C0CEC4CF9A04}">
  <dimension ref="B1:Q221"/>
  <sheetViews>
    <sheetView showGridLines="0" zoomScaleNormal="100" workbookViewId="0">
      <pane xSplit="7" ySplit="5" topLeftCell="H164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4.3984375" style="7" customWidth="1"/>
    <col min="3" max="3" width="13" style="7" customWidth="1"/>
    <col min="4" max="4" width="7.59765625" style="7" customWidth="1"/>
    <col min="5" max="5" width="7.3984375" style="186" customWidth="1"/>
    <col min="6" max="6" width="16.19921875" style="7" customWidth="1"/>
    <col min="7" max="7" width="28" style="7" customWidth="1"/>
    <col min="8" max="8" width="10.59765625" customWidth="1"/>
    <col min="9" max="9" width="11.8984375" customWidth="1"/>
    <col min="10" max="10" width="17.09765625" customWidth="1"/>
    <col min="11" max="11" width="9" style="7" customWidth="1"/>
    <col min="12" max="12" width="13.59765625" style="311" customWidth="1"/>
    <col min="13" max="13" width="8.5" style="424" customWidth="1"/>
    <col min="14" max="14" width="13.59765625" customWidth="1"/>
    <col min="15" max="15" width="13.59765625" style="333" customWidth="1"/>
    <col min="16" max="16" width="54.8984375" style="18" bestFit="1" customWidth="1"/>
    <col min="17" max="17" width="30.59765625" style="484" bestFit="1" customWidth="1"/>
  </cols>
  <sheetData>
    <row r="1" spans="2:17" ht="7.5" customHeight="1"/>
    <row r="2" spans="2:17" ht="30" customHeight="1">
      <c r="B2" s="461" t="s">
        <v>379</v>
      </c>
      <c r="C2" s="461"/>
      <c r="D2" s="461"/>
      <c r="E2" s="462"/>
      <c r="F2" s="461"/>
      <c r="G2" s="463"/>
      <c r="J2" s="410"/>
      <c r="K2" s="410"/>
      <c r="M2" s="522"/>
      <c r="N2" s="522"/>
      <c r="O2" s="464"/>
      <c r="P2" s="683"/>
      <c r="Q2" s="684"/>
    </row>
    <row r="3" spans="2:17" ht="16.5" customHeight="1">
      <c r="B3" s="460" t="s">
        <v>378</v>
      </c>
      <c r="L3" s="466"/>
      <c r="M3" s="521"/>
      <c r="N3" s="521"/>
      <c r="O3" s="465"/>
    </row>
    <row r="4" spans="2:17" ht="18" customHeight="1">
      <c r="E4" s="7"/>
      <c r="H4" s="7"/>
      <c r="I4" s="482" t="s">
        <v>391</v>
      </c>
      <c r="J4" s="480">
        <f>SUBTOTAL(109,J6:J1048576)</f>
        <v>1436942205.6111999</v>
      </c>
      <c r="K4" s="481"/>
      <c r="L4" s="480">
        <f>SUBTOTAL(109,L6:L1048576)</f>
        <v>621295681.55393541</v>
      </c>
      <c r="M4" s="481"/>
      <c r="N4" s="483">
        <f>SUBTOTAL(109,N6:N1048576)</f>
        <v>60199209.450061917</v>
      </c>
      <c r="O4" s="482">
        <f>SUBTOTAL(109,O6:O1048576)</f>
        <v>561096472.10387313</v>
      </c>
      <c r="Q4" s="485"/>
    </row>
    <row r="5" spans="2:17" s="9" customFormat="1" ht="32.25" customHeight="1">
      <c r="B5" s="468" t="s">
        <v>7</v>
      </c>
      <c r="C5" s="468" t="s">
        <v>345</v>
      </c>
      <c r="D5" s="469" t="s">
        <v>388</v>
      </c>
      <c r="E5" s="470" t="s">
        <v>389</v>
      </c>
      <c r="F5" s="471" t="s">
        <v>0</v>
      </c>
      <c r="G5" s="471" t="s">
        <v>4</v>
      </c>
      <c r="H5" s="472" t="s">
        <v>5</v>
      </c>
      <c r="I5" s="475" t="s">
        <v>390</v>
      </c>
      <c r="J5" s="475" t="s">
        <v>397</v>
      </c>
      <c r="K5" s="475" t="s">
        <v>395</v>
      </c>
      <c r="L5" s="476" t="s">
        <v>396</v>
      </c>
      <c r="M5" s="477" t="s">
        <v>394</v>
      </c>
      <c r="N5" s="478" t="s">
        <v>392</v>
      </c>
      <c r="O5" s="479" t="s">
        <v>393</v>
      </c>
      <c r="P5" s="473" t="s">
        <v>82</v>
      </c>
      <c r="Q5" s="473" t="s">
        <v>402</v>
      </c>
    </row>
    <row r="6" spans="2:17" ht="18" customHeight="1">
      <c r="B6" s="490">
        <v>1</v>
      </c>
      <c r="C6" s="491" t="e">
        <f>VLOOKUP(G:G,list!B:D,2,FALSE)</f>
        <v>#N/A</v>
      </c>
      <c r="D6" s="491" t="s">
        <v>78</v>
      </c>
      <c r="E6" s="491" t="s">
        <v>115</v>
      </c>
      <c r="F6" s="491" t="s">
        <v>268</v>
      </c>
      <c r="G6" s="491" t="s">
        <v>256</v>
      </c>
      <c r="H6" s="492">
        <v>44553</v>
      </c>
      <c r="I6" s="491" t="s">
        <v>368</v>
      </c>
      <c r="J6" s="493">
        <v>1800</v>
      </c>
      <c r="K6" s="494" t="s">
        <v>271</v>
      </c>
      <c r="L6" s="495">
        <v>1060</v>
      </c>
      <c r="M6" s="496">
        <v>0.1</v>
      </c>
      <c r="N6" s="497">
        <f>L6*M6</f>
        <v>106</v>
      </c>
      <c r="O6" s="497">
        <f t="shared" ref="O6:O53" si="0">L6-N6</f>
        <v>954</v>
      </c>
      <c r="P6" s="498"/>
      <c r="Q6" s="499" t="e">
        <f>VLOOKUP(G:G,list!B:D,3,FALSE)</f>
        <v>#N/A</v>
      </c>
    </row>
    <row r="7" spans="2:17" ht="18" customHeight="1">
      <c r="B7" s="490">
        <v>2</v>
      </c>
      <c r="C7" s="491" t="e">
        <f>VLOOKUP(G:G,list!B:D,2,FALSE)</f>
        <v>#N/A</v>
      </c>
      <c r="D7" s="491" t="s">
        <v>78</v>
      </c>
      <c r="E7" s="491" t="s">
        <v>115</v>
      </c>
      <c r="F7" s="491" t="s">
        <v>268</v>
      </c>
      <c r="G7" s="491" t="s">
        <v>204</v>
      </c>
      <c r="H7" s="492">
        <v>44554</v>
      </c>
      <c r="I7" s="491" t="s">
        <v>368</v>
      </c>
      <c r="J7" s="493">
        <v>7000</v>
      </c>
      <c r="K7" s="494" t="s">
        <v>271</v>
      </c>
      <c r="L7" s="495">
        <v>4900</v>
      </c>
      <c r="M7" s="496">
        <v>0.1</v>
      </c>
      <c r="N7" s="500">
        <f>L7*M7</f>
        <v>490</v>
      </c>
      <c r="O7" s="497">
        <f t="shared" si="0"/>
        <v>4410</v>
      </c>
      <c r="P7" s="498"/>
      <c r="Q7" s="499" t="e">
        <f>VLOOKUP(G:G,list!B:D,3,FALSE)</f>
        <v>#N/A</v>
      </c>
    </row>
    <row r="8" spans="2:17" ht="18" customHeight="1">
      <c r="B8" s="490">
        <v>3</v>
      </c>
      <c r="C8" s="491" t="e">
        <f>VLOOKUP(G:G,list!B:D,2,FALSE)</f>
        <v>#N/A</v>
      </c>
      <c r="D8" s="491" t="s">
        <v>78</v>
      </c>
      <c r="E8" s="491" t="s">
        <v>115</v>
      </c>
      <c r="F8" s="491" t="s">
        <v>268</v>
      </c>
      <c r="G8" s="491" t="s">
        <v>202</v>
      </c>
      <c r="H8" s="492">
        <v>44609</v>
      </c>
      <c r="I8" s="491" t="s">
        <v>368</v>
      </c>
      <c r="J8" s="493">
        <v>30300</v>
      </c>
      <c r="K8" s="494" t="s">
        <v>271</v>
      </c>
      <c r="L8" s="495">
        <v>20850</v>
      </c>
      <c r="M8" s="496" t="s">
        <v>203</v>
      </c>
      <c r="N8" s="500">
        <v>0</v>
      </c>
      <c r="O8" s="497">
        <f t="shared" si="0"/>
        <v>20850</v>
      </c>
      <c r="P8" s="501"/>
      <c r="Q8" s="499" t="e">
        <f>VLOOKUP(G:G,list!B:D,3,FALSE)</f>
        <v>#N/A</v>
      </c>
    </row>
    <row r="9" spans="2:17" ht="18" customHeight="1">
      <c r="B9" s="490">
        <v>4</v>
      </c>
      <c r="C9" s="491" t="e">
        <f>VLOOKUP(G:G,list!B:D,2,FALSE)</f>
        <v>#N/A</v>
      </c>
      <c r="D9" s="491" t="s">
        <v>78</v>
      </c>
      <c r="E9" s="491" t="s">
        <v>9</v>
      </c>
      <c r="F9" s="491" t="s">
        <v>242</v>
      </c>
      <c r="G9" s="491" t="s">
        <v>135</v>
      </c>
      <c r="H9" s="492">
        <v>44308</v>
      </c>
      <c r="I9" s="491" t="s">
        <v>368</v>
      </c>
      <c r="J9" s="493">
        <v>4297193</v>
      </c>
      <c r="K9" s="494">
        <v>0.6</v>
      </c>
      <c r="L9" s="495">
        <v>2578316</v>
      </c>
      <c r="M9" s="496" t="s">
        <v>203</v>
      </c>
      <c r="N9" s="497">
        <v>0</v>
      </c>
      <c r="O9" s="497">
        <f t="shared" si="0"/>
        <v>2578316</v>
      </c>
      <c r="P9" s="474"/>
      <c r="Q9" s="499" t="e">
        <f>VLOOKUP(G:G,list!B:D,3,FALSE)</f>
        <v>#N/A</v>
      </c>
    </row>
    <row r="10" spans="2:17" ht="18" customHeight="1">
      <c r="B10" s="490">
        <v>5</v>
      </c>
      <c r="C10" s="491" t="e">
        <f>VLOOKUP(G:G,list!B:D,2,FALSE)</f>
        <v>#N/A</v>
      </c>
      <c r="D10" s="491" t="s">
        <v>78</v>
      </c>
      <c r="E10" s="491" t="s">
        <v>9</v>
      </c>
      <c r="F10" s="491" t="s">
        <v>242</v>
      </c>
      <c r="G10" s="491" t="s">
        <v>218</v>
      </c>
      <c r="H10" s="492">
        <v>44309</v>
      </c>
      <c r="I10" s="491" t="s">
        <v>368</v>
      </c>
      <c r="J10" s="493">
        <v>100344577</v>
      </c>
      <c r="K10" s="494">
        <v>0.6</v>
      </c>
      <c r="L10" s="495">
        <v>60206746</v>
      </c>
      <c r="M10" s="496">
        <v>0.1</v>
      </c>
      <c r="N10" s="497">
        <f>L10*M10</f>
        <v>6020674.6000000006</v>
      </c>
      <c r="O10" s="497">
        <f t="shared" si="0"/>
        <v>54186071.399999999</v>
      </c>
      <c r="P10" s="502"/>
      <c r="Q10" s="499" t="e">
        <f>VLOOKUP(G:G,list!B:D,3,FALSE)</f>
        <v>#N/A</v>
      </c>
    </row>
    <row r="11" spans="2:17" ht="18" customHeight="1">
      <c r="B11" s="490">
        <v>6</v>
      </c>
      <c r="C11" s="491" t="e">
        <f>VLOOKUP(G:G,list!B:D,2,FALSE)</f>
        <v>#N/A</v>
      </c>
      <c r="D11" s="491" t="s">
        <v>78</v>
      </c>
      <c r="E11" s="491" t="s">
        <v>9</v>
      </c>
      <c r="F11" s="491" t="s">
        <v>242</v>
      </c>
      <c r="G11" s="491" t="s">
        <v>136</v>
      </c>
      <c r="H11" s="492">
        <v>44240</v>
      </c>
      <c r="I11" s="491" t="s">
        <v>368</v>
      </c>
      <c r="J11" s="503">
        <v>955865</v>
      </c>
      <c r="K11" s="494">
        <v>0.6</v>
      </c>
      <c r="L11" s="495">
        <v>573519</v>
      </c>
      <c r="M11" s="496">
        <v>0.1</v>
      </c>
      <c r="N11" s="497">
        <f>L11*M11</f>
        <v>57351.9</v>
      </c>
      <c r="O11" s="497">
        <f t="shared" si="0"/>
        <v>516167.1</v>
      </c>
      <c r="P11" s="504"/>
      <c r="Q11" s="499" t="e">
        <f>VLOOKUP(G:G,list!B:D,3,FALSE)</f>
        <v>#N/A</v>
      </c>
    </row>
    <row r="12" spans="2:17" ht="18" customHeight="1">
      <c r="B12" s="490">
        <v>7</v>
      </c>
      <c r="C12" s="491" t="e">
        <f>VLOOKUP(G:G,list!B:D,2,FALSE)</f>
        <v>#N/A</v>
      </c>
      <c r="D12" s="491" t="s">
        <v>78</v>
      </c>
      <c r="E12" s="491" t="s">
        <v>9</v>
      </c>
      <c r="F12" s="491" t="s">
        <v>242</v>
      </c>
      <c r="G12" s="491" t="s">
        <v>190</v>
      </c>
      <c r="H12" s="492">
        <v>44391</v>
      </c>
      <c r="I12" s="491" t="s">
        <v>368</v>
      </c>
      <c r="J12" s="505">
        <v>28013278</v>
      </c>
      <c r="K12" s="506">
        <v>0.6</v>
      </c>
      <c r="L12" s="495">
        <v>16807967</v>
      </c>
      <c r="M12" s="496">
        <v>0.12</v>
      </c>
      <c r="N12" s="500">
        <f>L12*M12</f>
        <v>2016956.04</v>
      </c>
      <c r="O12" s="497">
        <f t="shared" si="0"/>
        <v>14791010.960000001</v>
      </c>
      <c r="P12" s="502"/>
      <c r="Q12" s="499" t="e">
        <f>VLOOKUP(G:G,list!B:D,3,FALSE)</f>
        <v>#N/A</v>
      </c>
    </row>
    <row r="13" spans="2:17" ht="18" customHeight="1">
      <c r="B13" s="490">
        <v>8</v>
      </c>
      <c r="C13" s="491" t="e">
        <f>VLOOKUP(G:G,list!B:D,2,FALSE)</f>
        <v>#N/A</v>
      </c>
      <c r="D13" s="491" t="s">
        <v>78</v>
      </c>
      <c r="E13" s="491" t="s">
        <v>9</v>
      </c>
      <c r="F13" s="491" t="s">
        <v>242</v>
      </c>
      <c r="G13" s="491" t="s">
        <v>276</v>
      </c>
      <c r="H13" s="492">
        <v>44603</v>
      </c>
      <c r="I13" s="491" t="s">
        <v>368</v>
      </c>
      <c r="J13" s="505">
        <v>3465766</v>
      </c>
      <c r="K13" s="506">
        <v>0.6</v>
      </c>
      <c r="L13" s="495">
        <v>2079460</v>
      </c>
      <c r="M13" s="496" t="s">
        <v>203</v>
      </c>
      <c r="N13" s="500">
        <v>0</v>
      </c>
      <c r="O13" s="497">
        <f t="shared" si="0"/>
        <v>2079460</v>
      </c>
      <c r="P13" s="504"/>
      <c r="Q13" s="499" t="e">
        <f>VLOOKUP(G:G,list!B:D,3,FALSE)</f>
        <v>#N/A</v>
      </c>
    </row>
    <row r="14" spans="2:17" ht="18" customHeight="1">
      <c r="B14" s="490">
        <v>9</v>
      </c>
      <c r="C14" s="491" t="e">
        <f>VLOOKUP(G:G,list!B:D,2,FALSE)</f>
        <v>#N/A</v>
      </c>
      <c r="D14" s="491" t="s">
        <v>78</v>
      </c>
      <c r="E14" s="491" t="s">
        <v>9</v>
      </c>
      <c r="F14" s="491" t="s">
        <v>242</v>
      </c>
      <c r="G14" s="491" t="s">
        <v>362</v>
      </c>
      <c r="H14" s="492">
        <v>44703</v>
      </c>
      <c r="I14" s="491" t="s">
        <v>368</v>
      </c>
      <c r="J14" s="505">
        <v>16408052</v>
      </c>
      <c r="K14" s="506">
        <v>0.6</v>
      </c>
      <c r="L14" s="495">
        <v>9844831</v>
      </c>
      <c r="M14" s="496">
        <v>0.1</v>
      </c>
      <c r="N14" s="500">
        <f>L14*M14</f>
        <v>984483.10000000009</v>
      </c>
      <c r="O14" s="497">
        <f>L14-N14</f>
        <v>8860347.9000000004</v>
      </c>
      <c r="P14" s="504"/>
      <c r="Q14" s="499" t="e">
        <f>VLOOKUP(G:G,list!B:D,3,FALSE)</f>
        <v>#N/A</v>
      </c>
    </row>
    <row r="15" spans="2:17" ht="18" customHeight="1">
      <c r="B15" s="490">
        <v>10</v>
      </c>
      <c r="C15" s="491" t="e">
        <f>VLOOKUP(G:G,list!B:D,2,FALSE)</f>
        <v>#N/A</v>
      </c>
      <c r="D15" s="491" t="s">
        <v>78</v>
      </c>
      <c r="E15" s="491" t="s">
        <v>115</v>
      </c>
      <c r="F15" s="491" t="s">
        <v>242</v>
      </c>
      <c r="G15" s="491" t="s">
        <v>204</v>
      </c>
      <c r="H15" s="492">
        <v>44428</v>
      </c>
      <c r="I15" s="491" t="s">
        <v>368</v>
      </c>
      <c r="J15" s="507">
        <v>374662</v>
      </c>
      <c r="K15" s="508">
        <v>0.7</v>
      </c>
      <c r="L15" s="495">
        <v>262262</v>
      </c>
      <c r="M15" s="496">
        <v>0.1</v>
      </c>
      <c r="N15" s="500">
        <f>L15*M15</f>
        <v>26226.2</v>
      </c>
      <c r="O15" s="497">
        <f t="shared" si="0"/>
        <v>236035.8</v>
      </c>
      <c r="P15" s="509"/>
      <c r="Q15" s="499" t="e">
        <f>VLOOKUP(G:G,list!B:D,3,FALSE)</f>
        <v>#N/A</v>
      </c>
    </row>
    <row r="16" spans="2:17" ht="18" customHeight="1">
      <c r="B16" s="490">
        <v>11</v>
      </c>
      <c r="C16" s="491" t="e">
        <f>VLOOKUP(G:G,list!B:D,2,FALSE)</f>
        <v>#N/A</v>
      </c>
      <c r="D16" s="491" t="s">
        <v>78</v>
      </c>
      <c r="E16" s="491" t="s">
        <v>115</v>
      </c>
      <c r="F16" s="491" t="s">
        <v>242</v>
      </c>
      <c r="G16" s="491" t="s">
        <v>202</v>
      </c>
      <c r="H16" s="492">
        <v>44525</v>
      </c>
      <c r="I16" s="491" t="s">
        <v>368</v>
      </c>
      <c r="J16" s="503">
        <v>44480</v>
      </c>
      <c r="K16" s="494">
        <v>0.7</v>
      </c>
      <c r="L16" s="495">
        <v>31136</v>
      </c>
      <c r="M16" s="496" t="s">
        <v>203</v>
      </c>
      <c r="N16" s="497">
        <v>0</v>
      </c>
      <c r="O16" s="497">
        <f t="shared" si="0"/>
        <v>31136</v>
      </c>
      <c r="P16" s="509"/>
      <c r="Q16" s="499" t="e">
        <f>VLOOKUP(G:G,list!B:D,3,FALSE)</f>
        <v>#N/A</v>
      </c>
    </row>
    <row r="17" spans="2:17" ht="18" customHeight="1">
      <c r="B17" s="490">
        <v>12</v>
      </c>
      <c r="C17" s="491" t="str">
        <f>VLOOKUP(G:G,list!B:D,2,FALSE)</f>
        <v>작가기획</v>
      </c>
      <c r="D17" s="491" t="s">
        <v>78</v>
      </c>
      <c r="E17" s="491" t="s">
        <v>9</v>
      </c>
      <c r="F17" s="491" t="s">
        <v>272</v>
      </c>
      <c r="G17" s="491" t="s">
        <v>139</v>
      </c>
      <c r="H17" s="492">
        <v>44513</v>
      </c>
      <c r="I17" s="491" t="s">
        <v>351</v>
      </c>
      <c r="J17" s="503">
        <v>1890</v>
      </c>
      <c r="K17" s="494">
        <v>0.5</v>
      </c>
      <c r="L17" s="495">
        <v>945</v>
      </c>
      <c r="M17" s="496" t="s">
        <v>203</v>
      </c>
      <c r="N17" s="497">
        <v>0</v>
      </c>
      <c r="O17" s="497">
        <f t="shared" si="0"/>
        <v>945</v>
      </c>
      <c r="P17" s="510"/>
      <c r="Q17" s="499" t="str">
        <f>VLOOKUP(G:G,list!B:D,3,FALSE)</f>
        <v>Y</v>
      </c>
    </row>
    <row r="18" spans="2:17" ht="18" customHeight="1">
      <c r="B18" s="490">
        <v>13</v>
      </c>
      <c r="C18" s="491" t="e">
        <f>VLOOKUP(G:G,list!B:D,2,FALSE)</f>
        <v>#N/A</v>
      </c>
      <c r="D18" s="491" t="s">
        <v>78</v>
      </c>
      <c r="E18" s="491" t="s">
        <v>115</v>
      </c>
      <c r="F18" s="491" t="s">
        <v>245</v>
      </c>
      <c r="G18" s="491" t="s">
        <v>202</v>
      </c>
      <c r="H18" s="492">
        <v>44441</v>
      </c>
      <c r="I18" s="491" t="s">
        <v>368</v>
      </c>
      <c r="J18" s="503">
        <v>0</v>
      </c>
      <c r="K18" s="494" t="s">
        <v>203</v>
      </c>
      <c r="L18" s="495">
        <v>90000</v>
      </c>
      <c r="M18" s="496" t="s">
        <v>203</v>
      </c>
      <c r="N18" s="497">
        <v>0</v>
      </c>
      <c r="O18" s="497">
        <f t="shared" si="0"/>
        <v>90000</v>
      </c>
      <c r="P18" s="509"/>
      <c r="Q18" s="499" t="e">
        <f>VLOOKUP(G:G,list!B:D,3,FALSE)</f>
        <v>#N/A</v>
      </c>
    </row>
    <row r="19" spans="2:17" ht="18" customHeight="1">
      <c r="B19" s="490">
        <v>14</v>
      </c>
      <c r="C19" s="491" t="e">
        <f>VLOOKUP(G:G,list!B:D,2,FALSE)</f>
        <v>#N/A</v>
      </c>
      <c r="D19" s="491" t="s">
        <v>78</v>
      </c>
      <c r="E19" s="491" t="s">
        <v>115</v>
      </c>
      <c r="F19" s="491" t="s">
        <v>201</v>
      </c>
      <c r="G19" s="491" t="s">
        <v>202</v>
      </c>
      <c r="H19" s="492">
        <v>44300</v>
      </c>
      <c r="I19" s="491" t="s">
        <v>351</v>
      </c>
      <c r="J19" s="505">
        <v>160500</v>
      </c>
      <c r="K19" s="494">
        <v>0.7</v>
      </c>
      <c r="L19" s="495">
        <v>112350</v>
      </c>
      <c r="M19" s="496" t="s">
        <v>203</v>
      </c>
      <c r="N19" s="497">
        <v>0</v>
      </c>
      <c r="O19" s="497">
        <f t="shared" si="0"/>
        <v>112350</v>
      </c>
      <c r="P19" s="509"/>
      <c r="Q19" s="499" t="e">
        <f>VLOOKUP(G:G,list!B:D,3,FALSE)</f>
        <v>#N/A</v>
      </c>
    </row>
    <row r="20" spans="2:17" ht="18" customHeight="1">
      <c r="B20" s="490">
        <v>15</v>
      </c>
      <c r="C20" s="491" t="e">
        <f>VLOOKUP(G:G,list!B:D,2,FALSE)</f>
        <v>#N/A</v>
      </c>
      <c r="D20" s="491" t="s">
        <v>78</v>
      </c>
      <c r="E20" s="491" t="s">
        <v>9</v>
      </c>
      <c r="F20" s="491" t="s">
        <v>201</v>
      </c>
      <c r="G20" s="491" t="s">
        <v>279</v>
      </c>
      <c r="H20" s="492">
        <v>44644</v>
      </c>
      <c r="I20" s="491" t="s">
        <v>351</v>
      </c>
      <c r="J20" s="505">
        <v>1853872</v>
      </c>
      <c r="K20" s="494">
        <v>0.6</v>
      </c>
      <c r="L20" s="495">
        <v>1112324</v>
      </c>
      <c r="M20" s="496">
        <v>0.1</v>
      </c>
      <c r="N20" s="500">
        <f>L20*M20</f>
        <v>111232.40000000001</v>
      </c>
      <c r="O20" s="497">
        <f t="shared" si="0"/>
        <v>1001091.6</v>
      </c>
      <c r="P20" s="511"/>
      <c r="Q20" s="499" t="e">
        <f>VLOOKUP(G:G,list!B:D,3,FALSE)</f>
        <v>#N/A</v>
      </c>
    </row>
    <row r="21" spans="2:17" ht="18" customHeight="1">
      <c r="B21" s="490">
        <v>16</v>
      </c>
      <c r="C21" s="491" t="str">
        <f>VLOOKUP(G:G,list!B:D,2,FALSE)</f>
        <v>작가기획</v>
      </c>
      <c r="D21" s="491" t="s">
        <v>78</v>
      </c>
      <c r="E21" s="491" t="s">
        <v>9</v>
      </c>
      <c r="F21" s="491" t="s">
        <v>246</v>
      </c>
      <c r="G21" s="491" t="s">
        <v>180</v>
      </c>
      <c r="H21" s="492">
        <v>43810</v>
      </c>
      <c r="I21" s="491" t="s">
        <v>368</v>
      </c>
      <c r="J21" s="505">
        <v>4398300</v>
      </c>
      <c r="K21" s="494" t="s">
        <v>165</v>
      </c>
      <c r="L21" s="495">
        <v>1764477</v>
      </c>
      <c r="M21" s="496" t="s">
        <v>203</v>
      </c>
      <c r="N21" s="497">
        <v>0</v>
      </c>
      <c r="O21" s="497">
        <f t="shared" si="0"/>
        <v>1764477</v>
      </c>
      <c r="P21" s="509"/>
      <c r="Q21" s="499" t="str">
        <f>VLOOKUP(G:G,list!B:D,3,FALSE)</f>
        <v>Y</v>
      </c>
    </row>
    <row r="22" spans="2:17" ht="18" customHeight="1">
      <c r="B22" s="490">
        <v>17</v>
      </c>
      <c r="C22" s="491" t="str">
        <f>VLOOKUP(G:G,list!B:D,2,FALSE)</f>
        <v>작가기획</v>
      </c>
      <c r="D22" s="491" t="s">
        <v>78</v>
      </c>
      <c r="E22" s="491" t="s">
        <v>9</v>
      </c>
      <c r="F22" s="491" t="s">
        <v>246</v>
      </c>
      <c r="G22" s="491" t="s">
        <v>139</v>
      </c>
      <c r="H22" s="492">
        <v>43852</v>
      </c>
      <c r="I22" s="491" t="s">
        <v>368</v>
      </c>
      <c r="J22" s="505">
        <v>78300</v>
      </c>
      <c r="K22" s="494" t="s">
        <v>165</v>
      </c>
      <c r="L22" s="495">
        <v>30807</v>
      </c>
      <c r="M22" s="496" t="s">
        <v>203</v>
      </c>
      <c r="N22" s="497">
        <v>0</v>
      </c>
      <c r="O22" s="497">
        <f t="shared" si="0"/>
        <v>30807</v>
      </c>
      <c r="P22" s="510"/>
      <c r="Q22" s="499" t="str">
        <f>VLOOKUP(G:G,list!B:D,3,FALSE)</f>
        <v>Y</v>
      </c>
    </row>
    <row r="23" spans="2:17" ht="18" customHeight="1">
      <c r="B23" s="490">
        <v>18</v>
      </c>
      <c r="C23" s="491" t="e">
        <f>VLOOKUP(G:G,list!B:D,2,FALSE)</f>
        <v>#N/A</v>
      </c>
      <c r="D23" s="491" t="s">
        <v>78</v>
      </c>
      <c r="E23" s="491" t="s">
        <v>115</v>
      </c>
      <c r="F23" s="491" t="s">
        <v>246</v>
      </c>
      <c r="G23" s="491" t="s">
        <v>202</v>
      </c>
      <c r="H23" s="492">
        <v>44328</v>
      </c>
      <c r="I23" s="491" t="s">
        <v>368</v>
      </c>
      <c r="J23" s="505">
        <v>185220</v>
      </c>
      <c r="K23" s="494" t="s">
        <v>120</v>
      </c>
      <c r="L23" s="495">
        <v>87318</v>
      </c>
      <c r="M23" s="496" t="s">
        <v>203</v>
      </c>
      <c r="N23" s="497">
        <v>0</v>
      </c>
      <c r="O23" s="497">
        <f t="shared" si="0"/>
        <v>87318</v>
      </c>
      <c r="P23" s="502"/>
      <c r="Q23" s="499" t="e">
        <f>VLOOKUP(G:G,list!B:D,3,FALSE)</f>
        <v>#N/A</v>
      </c>
    </row>
    <row r="24" spans="2:17" ht="18" customHeight="1">
      <c r="B24" s="490">
        <v>19</v>
      </c>
      <c r="C24" s="491" t="e">
        <f>VLOOKUP(G:G,list!B:D,2,FALSE)</f>
        <v>#N/A</v>
      </c>
      <c r="D24" s="491" t="s">
        <v>78</v>
      </c>
      <c r="E24" s="491" t="s">
        <v>115</v>
      </c>
      <c r="F24" s="491" t="s">
        <v>197</v>
      </c>
      <c r="G24" s="491" t="s">
        <v>202</v>
      </c>
      <c r="H24" s="492">
        <v>44328</v>
      </c>
      <c r="I24" s="491" t="s">
        <v>368</v>
      </c>
      <c r="J24" s="512">
        <v>3000</v>
      </c>
      <c r="K24" s="494">
        <v>0.7</v>
      </c>
      <c r="L24" s="495">
        <v>2100</v>
      </c>
      <c r="M24" s="496" t="s">
        <v>203</v>
      </c>
      <c r="N24" s="497">
        <v>0</v>
      </c>
      <c r="O24" s="497">
        <f t="shared" si="0"/>
        <v>2100</v>
      </c>
      <c r="P24" s="474"/>
      <c r="Q24" s="499" t="e">
        <f>VLOOKUP(G:G,list!B:D,3,FALSE)</f>
        <v>#N/A</v>
      </c>
    </row>
    <row r="25" spans="2:17" ht="18" customHeight="1">
      <c r="B25" s="490">
        <v>20</v>
      </c>
      <c r="C25" s="491" t="e">
        <f>VLOOKUP(G:G,list!B:D,2,FALSE)</f>
        <v>#N/A</v>
      </c>
      <c r="D25" s="491" t="s">
        <v>78</v>
      </c>
      <c r="E25" s="491" t="s">
        <v>115</v>
      </c>
      <c r="F25" s="491" t="s">
        <v>309</v>
      </c>
      <c r="G25" s="491" t="s">
        <v>256</v>
      </c>
      <c r="H25" s="492">
        <v>44602</v>
      </c>
      <c r="I25" s="491" t="s">
        <v>368</v>
      </c>
      <c r="J25" s="512">
        <v>0</v>
      </c>
      <c r="K25" s="494">
        <v>0.7</v>
      </c>
      <c r="L25" s="495">
        <v>0</v>
      </c>
      <c r="M25" s="496">
        <v>0.1</v>
      </c>
      <c r="N25" s="497">
        <f t="shared" ref="N25:N32" si="1">L25*M25</f>
        <v>0</v>
      </c>
      <c r="O25" s="497">
        <f t="shared" si="0"/>
        <v>0</v>
      </c>
      <c r="P25" s="474" t="s">
        <v>366</v>
      </c>
      <c r="Q25" s="499" t="e">
        <f>VLOOKUP(G:G,list!B:D,3,FALSE)</f>
        <v>#N/A</v>
      </c>
    </row>
    <row r="26" spans="2:17" ht="18" customHeight="1">
      <c r="B26" s="490">
        <v>21</v>
      </c>
      <c r="C26" s="491" t="e">
        <f>VLOOKUP(G:G,list!B:D,2,FALSE)</f>
        <v>#N/A</v>
      </c>
      <c r="D26" s="491" t="s">
        <v>78</v>
      </c>
      <c r="E26" s="491" t="s">
        <v>115</v>
      </c>
      <c r="F26" s="491" t="s">
        <v>309</v>
      </c>
      <c r="G26" s="491" t="s">
        <v>204</v>
      </c>
      <c r="H26" s="492">
        <v>44603</v>
      </c>
      <c r="I26" s="491" t="s">
        <v>368</v>
      </c>
      <c r="J26" s="512">
        <v>0</v>
      </c>
      <c r="K26" s="494">
        <v>0.7</v>
      </c>
      <c r="L26" s="495">
        <v>0</v>
      </c>
      <c r="M26" s="496">
        <v>0.1</v>
      </c>
      <c r="N26" s="500">
        <f t="shared" si="1"/>
        <v>0</v>
      </c>
      <c r="O26" s="497">
        <f t="shared" si="0"/>
        <v>0</v>
      </c>
      <c r="P26" s="474" t="s">
        <v>366</v>
      </c>
      <c r="Q26" s="499" t="e">
        <f>VLOOKUP(G:G,list!B:D,3,FALSE)</f>
        <v>#N/A</v>
      </c>
    </row>
    <row r="27" spans="2:17" ht="18" customHeight="1">
      <c r="B27" s="490">
        <v>22</v>
      </c>
      <c r="C27" s="491" t="e">
        <f>VLOOKUP(G:G,list!B:D,2,FALSE)</f>
        <v>#N/A</v>
      </c>
      <c r="D27" s="491" t="s">
        <v>78</v>
      </c>
      <c r="E27" s="491" t="s">
        <v>115</v>
      </c>
      <c r="F27" s="491" t="s">
        <v>309</v>
      </c>
      <c r="G27" s="491" t="s">
        <v>258</v>
      </c>
      <c r="H27" s="492">
        <v>44603</v>
      </c>
      <c r="I27" s="491" t="s">
        <v>368</v>
      </c>
      <c r="J27" s="512">
        <v>400</v>
      </c>
      <c r="K27" s="494">
        <v>0.7</v>
      </c>
      <c r="L27" s="495">
        <v>280</v>
      </c>
      <c r="M27" s="496">
        <v>0.1</v>
      </c>
      <c r="N27" s="500">
        <f t="shared" si="1"/>
        <v>28</v>
      </c>
      <c r="O27" s="497">
        <f t="shared" si="0"/>
        <v>252</v>
      </c>
      <c r="P27" s="474"/>
      <c r="Q27" s="499" t="e">
        <f>VLOOKUP(G:G,list!B:D,3,FALSE)</f>
        <v>#N/A</v>
      </c>
    </row>
    <row r="28" spans="2:17" ht="18" customHeight="1">
      <c r="B28" s="490">
        <v>23</v>
      </c>
      <c r="C28" s="491" t="e">
        <f>VLOOKUP(G:G,list!B:D,2,FALSE)</f>
        <v>#N/A</v>
      </c>
      <c r="D28" s="491" t="s">
        <v>78</v>
      </c>
      <c r="E28" s="491" t="s">
        <v>9</v>
      </c>
      <c r="F28" s="491" t="s">
        <v>209</v>
      </c>
      <c r="G28" s="491" t="s">
        <v>152</v>
      </c>
      <c r="H28" s="492">
        <v>44409</v>
      </c>
      <c r="I28" s="491" t="s">
        <v>368</v>
      </c>
      <c r="J28" s="512">
        <v>3607684</v>
      </c>
      <c r="K28" s="494">
        <v>0.6</v>
      </c>
      <c r="L28" s="495">
        <v>2164611</v>
      </c>
      <c r="M28" s="496">
        <v>0.12</v>
      </c>
      <c r="N28" s="500">
        <f t="shared" si="1"/>
        <v>259753.31999999998</v>
      </c>
      <c r="O28" s="497">
        <f t="shared" si="0"/>
        <v>1904857.68</v>
      </c>
      <c r="P28" s="502"/>
      <c r="Q28" s="499" t="e">
        <f>VLOOKUP(G:G,list!B:D,3,FALSE)</f>
        <v>#N/A</v>
      </c>
    </row>
    <row r="29" spans="2:17" ht="18" customHeight="1">
      <c r="B29" s="490">
        <v>24</v>
      </c>
      <c r="C29" s="491" t="e">
        <f>VLOOKUP(G:G,list!B:D,2,FALSE)</f>
        <v>#N/A</v>
      </c>
      <c r="D29" s="491" t="s">
        <v>78</v>
      </c>
      <c r="E29" s="491" t="s">
        <v>9</v>
      </c>
      <c r="F29" s="491" t="s">
        <v>209</v>
      </c>
      <c r="G29" s="491" t="s">
        <v>179</v>
      </c>
      <c r="H29" s="492">
        <v>44409</v>
      </c>
      <c r="I29" s="491" t="s">
        <v>368</v>
      </c>
      <c r="J29" s="512">
        <v>7726059</v>
      </c>
      <c r="K29" s="494">
        <v>0.6</v>
      </c>
      <c r="L29" s="495">
        <v>4635636</v>
      </c>
      <c r="M29" s="496">
        <v>0.1</v>
      </c>
      <c r="N29" s="500">
        <f>L29*M29</f>
        <v>463563.60000000003</v>
      </c>
      <c r="O29" s="497">
        <f t="shared" si="0"/>
        <v>4172072.4</v>
      </c>
      <c r="P29" s="474" t="s">
        <v>144</v>
      </c>
      <c r="Q29" s="499" t="e">
        <f>VLOOKUP(G:G,list!B:D,3,FALSE)</f>
        <v>#N/A</v>
      </c>
    </row>
    <row r="30" spans="2:17" ht="18" customHeight="1">
      <c r="B30" s="490">
        <v>25</v>
      </c>
      <c r="C30" s="491" t="e">
        <f>VLOOKUP(G:G,list!B:D,2,FALSE)</f>
        <v>#N/A</v>
      </c>
      <c r="D30" s="491" t="s">
        <v>78</v>
      </c>
      <c r="E30" s="491" t="s">
        <v>9</v>
      </c>
      <c r="F30" s="491" t="s">
        <v>209</v>
      </c>
      <c r="G30" s="491" t="s">
        <v>74</v>
      </c>
      <c r="H30" s="492">
        <v>44409</v>
      </c>
      <c r="I30" s="491" t="s">
        <v>368</v>
      </c>
      <c r="J30" s="512">
        <v>187701</v>
      </c>
      <c r="K30" s="494">
        <v>0.6</v>
      </c>
      <c r="L30" s="495">
        <v>112620</v>
      </c>
      <c r="M30" s="496">
        <v>0.1</v>
      </c>
      <c r="N30" s="497">
        <f t="shared" si="1"/>
        <v>11262</v>
      </c>
      <c r="O30" s="497">
        <f>L30-N30</f>
        <v>101358</v>
      </c>
      <c r="P30" s="502"/>
      <c r="Q30" s="499" t="e">
        <f>VLOOKUP(G:G,list!B:D,3,FALSE)</f>
        <v>#N/A</v>
      </c>
    </row>
    <row r="31" spans="2:17" ht="18" customHeight="1">
      <c r="B31" s="490">
        <v>26</v>
      </c>
      <c r="C31" s="491" t="e">
        <f>VLOOKUP(G:G,list!B:D,2,FALSE)</f>
        <v>#N/A</v>
      </c>
      <c r="D31" s="491" t="s">
        <v>78</v>
      </c>
      <c r="E31" s="491" t="s">
        <v>9</v>
      </c>
      <c r="F31" s="491" t="s">
        <v>209</v>
      </c>
      <c r="G31" s="491" t="s">
        <v>381</v>
      </c>
      <c r="H31" s="492">
        <v>44409</v>
      </c>
      <c r="I31" s="491" t="s">
        <v>368</v>
      </c>
      <c r="J31" s="512">
        <v>436498</v>
      </c>
      <c r="K31" s="494">
        <v>0.6</v>
      </c>
      <c r="L31" s="495">
        <v>261899</v>
      </c>
      <c r="M31" s="496">
        <v>0.1</v>
      </c>
      <c r="N31" s="500">
        <f t="shared" si="1"/>
        <v>26189.9</v>
      </c>
      <c r="O31" s="497">
        <f t="shared" si="0"/>
        <v>235709.1</v>
      </c>
      <c r="P31" s="474"/>
      <c r="Q31" s="499" t="e">
        <f>VLOOKUP(G:G,list!B:D,3,FALSE)</f>
        <v>#N/A</v>
      </c>
    </row>
    <row r="32" spans="2:17" ht="18" customHeight="1">
      <c r="B32" s="490">
        <v>27</v>
      </c>
      <c r="C32" s="491" t="str">
        <f>VLOOKUP(G:G,list!B:D,2,FALSE)</f>
        <v>원작료</v>
      </c>
      <c r="D32" s="491" t="s">
        <v>78</v>
      </c>
      <c r="E32" s="491" t="s">
        <v>9</v>
      </c>
      <c r="F32" s="491" t="s">
        <v>209</v>
      </c>
      <c r="G32" s="491" t="s">
        <v>151</v>
      </c>
      <c r="H32" s="492">
        <v>44409</v>
      </c>
      <c r="I32" s="491" t="s">
        <v>368</v>
      </c>
      <c r="J32" s="512">
        <v>965336</v>
      </c>
      <c r="K32" s="494">
        <v>0.6</v>
      </c>
      <c r="L32" s="495">
        <v>579201</v>
      </c>
      <c r="M32" s="496">
        <v>0.1</v>
      </c>
      <c r="N32" s="497">
        <f t="shared" si="1"/>
        <v>57920.100000000006</v>
      </c>
      <c r="O32" s="497">
        <f t="shared" si="0"/>
        <v>521280.9</v>
      </c>
      <c r="P32" s="502"/>
      <c r="Q32" s="499" t="str">
        <f>VLOOKUP(G:G,list!B:D,3,FALSE)</f>
        <v>Y</v>
      </c>
    </row>
    <row r="33" spans="2:17" ht="18" customHeight="1">
      <c r="B33" s="490">
        <v>28</v>
      </c>
      <c r="C33" s="491" t="e">
        <f>VLOOKUP(G:G,list!B:D,2,FALSE)</f>
        <v>#N/A</v>
      </c>
      <c r="D33" s="491" t="s">
        <v>78</v>
      </c>
      <c r="E33" s="491" t="s">
        <v>9</v>
      </c>
      <c r="F33" s="491" t="s">
        <v>209</v>
      </c>
      <c r="G33" s="491" t="s">
        <v>147</v>
      </c>
      <c r="H33" s="492">
        <v>44409</v>
      </c>
      <c r="I33" s="491" t="s">
        <v>368</v>
      </c>
      <c r="J33" s="512">
        <v>3337136</v>
      </c>
      <c r="K33" s="494">
        <v>0.6</v>
      </c>
      <c r="L33" s="495">
        <v>2002282</v>
      </c>
      <c r="M33" s="496" t="s">
        <v>203</v>
      </c>
      <c r="N33" s="497">
        <v>0</v>
      </c>
      <c r="O33" s="497">
        <f t="shared" si="0"/>
        <v>2002282</v>
      </c>
      <c r="P33" s="474"/>
      <c r="Q33" s="499" t="e">
        <f>VLOOKUP(G:G,list!B:D,3,FALSE)</f>
        <v>#N/A</v>
      </c>
    </row>
    <row r="34" spans="2:17" ht="18" customHeight="1">
      <c r="B34" s="490">
        <v>29</v>
      </c>
      <c r="C34" s="491" t="e">
        <f>VLOOKUP(G:G,list!B:D,2,FALSE)</f>
        <v>#N/A</v>
      </c>
      <c r="D34" s="491" t="s">
        <v>78</v>
      </c>
      <c r="E34" s="491" t="s">
        <v>9</v>
      </c>
      <c r="F34" s="491" t="s">
        <v>209</v>
      </c>
      <c r="G34" s="491" t="s">
        <v>212</v>
      </c>
      <c r="H34" s="492">
        <v>44465</v>
      </c>
      <c r="I34" s="491" t="s">
        <v>368</v>
      </c>
      <c r="J34" s="512">
        <v>3860093</v>
      </c>
      <c r="K34" s="494">
        <v>0.6</v>
      </c>
      <c r="L34" s="495">
        <v>2316056</v>
      </c>
      <c r="M34" s="496">
        <v>0.1</v>
      </c>
      <c r="N34" s="500">
        <f>L34*M34</f>
        <v>231605.6</v>
      </c>
      <c r="O34" s="497">
        <f t="shared" si="0"/>
        <v>2084450.4</v>
      </c>
      <c r="P34" s="502"/>
      <c r="Q34" s="499" t="e">
        <f>VLOOKUP(G:G,list!B:D,3,FALSE)</f>
        <v>#N/A</v>
      </c>
    </row>
    <row r="35" spans="2:17" ht="18" customHeight="1">
      <c r="B35" s="490">
        <v>30</v>
      </c>
      <c r="C35" s="491" t="e">
        <f>VLOOKUP(G:G,list!B:D,2,FALSE)</f>
        <v>#N/A</v>
      </c>
      <c r="D35" s="491" t="s">
        <v>78</v>
      </c>
      <c r="E35" s="491" t="s">
        <v>9</v>
      </c>
      <c r="F35" s="491" t="s">
        <v>209</v>
      </c>
      <c r="G35" s="491" t="s">
        <v>225</v>
      </c>
      <c r="H35" s="492">
        <v>44484</v>
      </c>
      <c r="I35" s="491" t="s">
        <v>368</v>
      </c>
      <c r="J35" s="512">
        <v>316531</v>
      </c>
      <c r="K35" s="494">
        <v>0.6</v>
      </c>
      <c r="L35" s="495">
        <v>189918</v>
      </c>
      <c r="M35" s="496">
        <v>0.1</v>
      </c>
      <c r="N35" s="497">
        <f>L35*M35</f>
        <v>18991.8</v>
      </c>
      <c r="O35" s="497">
        <f t="shared" si="0"/>
        <v>170926.2</v>
      </c>
      <c r="P35" s="502"/>
      <c r="Q35" s="499" t="e">
        <f>VLOOKUP(G:G,list!B:D,3,FALSE)</f>
        <v>#N/A</v>
      </c>
    </row>
    <row r="36" spans="2:17" ht="18" customHeight="1">
      <c r="B36" s="490">
        <v>31</v>
      </c>
      <c r="C36" s="491" t="e">
        <f>VLOOKUP(G:G,list!B:D,2,FALSE)</f>
        <v>#N/A</v>
      </c>
      <c r="D36" s="491" t="s">
        <v>78</v>
      </c>
      <c r="E36" s="491" t="s">
        <v>9</v>
      </c>
      <c r="F36" s="491" t="s">
        <v>209</v>
      </c>
      <c r="G36" s="491" t="s">
        <v>153</v>
      </c>
      <c r="H36" s="492">
        <v>44510</v>
      </c>
      <c r="I36" s="491" t="s">
        <v>368</v>
      </c>
      <c r="J36" s="512">
        <v>971043</v>
      </c>
      <c r="K36" s="494">
        <v>0.6</v>
      </c>
      <c r="L36" s="495">
        <v>582626</v>
      </c>
      <c r="M36" s="496">
        <v>0.1</v>
      </c>
      <c r="N36" s="497">
        <f>L36*M36</f>
        <v>58262.600000000006</v>
      </c>
      <c r="O36" s="497">
        <f t="shared" si="0"/>
        <v>524363.4</v>
      </c>
      <c r="P36" s="502"/>
      <c r="Q36" s="499" t="e">
        <f>VLOOKUP(G:G,list!B:D,3,FALSE)</f>
        <v>#N/A</v>
      </c>
    </row>
    <row r="37" spans="2:17" ht="18" customHeight="1">
      <c r="B37" s="490">
        <v>32</v>
      </c>
      <c r="C37" s="491" t="e">
        <f>VLOOKUP(G:G,list!B:D,2,FALSE)</f>
        <v>#N/A</v>
      </c>
      <c r="D37" s="491" t="s">
        <v>78</v>
      </c>
      <c r="E37" s="491" t="s">
        <v>9</v>
      </c>
      <c r="F37" s="491" t="s">
        <v>209</v>
      </c>
      <c r="G37" s="491" t="s">
        <v>336</v>
      </c>
      <c r="H37" s="492">
        <v>44595</v>
      </c>
      <c r="I37" s="491" t="s">
        <v>368</v>
      </c>
      <c r="J37" s="512">
        <v>4930167</v>
      </c>
      <c r="K37" s="494">
        <v>0.6</v>
      </c>
      <c r="L37" s="495">
        <v>2958101</v>
      </c>
      <c r="M37" s="496">
        <v>0.1</v>
      </c>
      <c r="N37" s="497">
        <f>L37*M37</f>
        <v>295810.10000000003</v>
      </c>
      <c r="O37" s="497">
        <f t="shared" si="0"/>
        <v>2662290.9</v>
      </c>
      <c r="P37" s="504"/>
      <c r="Q37" s="499" t="e">
        <f>VLOOKUP(G:G,list!B:D,3,FALSE)</f>
        <v>#N/A</v>
      </c>
    </row>
    <row r="38" spans="2:17" ht="18" customHeight="1">
      <c r="B38" s="490">
        <v>33</v>
      </c>
      <c r="C38" s="491" t="e">
        <f>VLOOKUP(G:G,list!B:D,2,FALSE)</f>
        <v>#N/A</v>
      </c>
      <c r="D38" s="491" t="s">
        <v>78</v>
      </c>
      <c r="E38" s="491" t="s">
        <v>9</v>
      </c>
      <c r="F38" s="491" t="s">
        <v>209</v>
      </c>
      <c r="G38" s="491" t="s">
        <v>335</v>
      </c>
      <c r="H38" s="492">
        <v>44624</v>
      </c>
      <c r="I38" s="491" t="s">
        <v>368</v>
      </c>
      <c r="J38" s="512">
        <v>2507424</v>
      </c>
      <c r="K38" s="494">
        <v>0.60000003881483055</v>
      </c>
      <c r="L38" s="495">
        <v>1504455</v>
      </c>
      <c r="M38" s="496">
        <v>0.1</v>
      </c>
      <c r="N38" s="497">
        <f>L38*M38</f>
        <v>150445.5</v>
      </c>
      <c r="O38" s="497">
        <f t="shared" si="0"/>
        <v>1354009.5</v>
      </c>
      <c r="P38" s="504"/>
      <c r="Q38" s="499" t="e">
        <f>VLOOKUP(G:G,list!B:D,3,FALSE)</f>
        <v>#N/A</v>
      </c>
    </row>
    <row r="39" spans="2:17" ht="18" customHeight="1">
      <c r="B39" s="490">
        <v>34</v>
      </c>
      <c r="C39" s="491" t="e">
        <f>VLOOKUP(G:G,list!B:D,2,FALSE)</f>
        <v>#N/A</v>
      </c>
      <c r="D39" s="491" t="s">
        <v>78</v>
      </c>
      <c r="E39" s="491" t="s">
        <v>9</v>
      </c>
      <c r="F39" s="491" t="s">
        <v>209</v>
      </c>
      <c r="G39" s="491" t="s">
        <v>324</v>
      </c>
      <c r="H39" s="492">
        <v>44672</v>
      </c>
      <c r="I39" s="491" t="s">
        <v>368</v>
      </c>
      <c r="J39" s="512">
        <v>847241</v>
      </c>
      <c r="K39" s="494">
        <v>0.6</v>
      </c>
      <c r="L39" s="495">
        <v>508345</v>
      </c>
      <c r="M39" s="496" t="s">
        <v>203</v>
      </c>
      <c r="N39" s="497">
        <v>0</v>
      </c>
      <c r="O39" s="497">
        <f t="shared" si="0"/>
        <v>508345</v>
      </c>
      <c r="P39" s="474"/>
      <c r="Q39" s="499" t="e">
        <f>VLOOKUP(G:G,list!B:D,3,FALSE)</f>
        <v>#N/A</v>
      </c>
    </row>
    <row r="40" spans="2:17" ht="18" customHeight="1">
      <c r="B40" s="490">
        <v>35</v>
      </c>
      <c r="C40" s="491" t="e">
        <f>VLOOKUP(G:G,list!B:D,2,FALSE)</f>
        <v>#N/A</v>
      </c>
      <c r="D40" s="491" t="s">
        <v>78</v>
      </c>
      <c r="E40" s="491" t="s">
        <v>9</v>
      </c>
      <c r="F40" s="491" t="s">
        <v>126</v>
      </c>
      <c r="G40" s="491" t="s">
        <v>147</v>
      </c>
      <c r="H40" s="492">
        <v>44224</v>
      </c>
      <c r="I40" s="491" t="s">
        <v>368</v>
      </c>
      <c r="J40" s="512">
        <v>2205204.7999999998</v>
      </c>
      <c r="K40" s="494" t="s">
        <v>369</v>
      </c>
      <c r="L40" s="495">
        <v>1323124</v>
      </c>
      <c r="M40" s="496" t="s">
        <v>203</v>
      </c>
      <c r="N40" s="500">
        <v>0</v>
      </c>
      <c r="O40" s="497">
        <f t="shared" si="0"/>
        <v>1323124</v>
      </c>
      <c r="P40" s="502"/>
      <c r="Q40" s="499" t="e">
        <f>VLOOKUP(G:G,list!B:D,3,FALSE)</f>
        <v>#N/A</v>
      </c>
    </row>
    <row r="41" spans="2:17" ht="18" customHeight="1">
      <c r="B41" s="490">
        <v>36</v>
      </c>
      <c r="C41" s="491" t="str">
        <f>VLOOKUP(G:G,list!B:D,2,FALSE)</f>
        <v>원작료</v>
      </c>
      <c r="D41" s="491" t="s">
        <v>78</v>
      </c>
      <c r="E41" s="491" t="s">
        <v>9</v>
      </c>
      <c r="F41" s="491" t="s">
        <v>126</v>
      </c>
      <c r="G41" s="491" t="s">
        <v>151</v>
      </c>
      <c r="H41" s="492">
        <v>44199</v>
      </c>
      <c r="I41" s="491" t="s">
        <v>368</v>
      </c>
      <c r="J41" s="512">
        <v>2822701.5</v>
      </c>
      <c r="K41" s="494" t="s">
        <v>207</v>
      </c>
      <c r="L41" s="495">
        <v>1693620</v>
      </c>
      <c r="M41" s="496">
        <v>0.1</v>
      </c>
      <c r="N41" s="497">
        <f>(L41-1000000)*10%</f>
        <v>69362</v>
      </c>
      <c r="O41" s="497">
        <f t="shared" si="0"/>
        <v>1624258</v>
      </c>
      <c r="P41" s="502" t="s">
        <v>263</v>
      </c>
      <c r="Q41" s="499" t="str">
        <f>VLOOKUP(G:G,list!B:D,3,FALSE)</f>
        <v>Y</v>
      </c>
    </row>
    <row r="42" spans="2:17" ht="18" customHeight="1">
      <c r="B42" s="490">
        <v>37</v>
      </c>
      <c r="C42" s="491" t="e">
        <f>VLOOKUP(G:G,list!B:D,2,FALSE)</f>
        <v>#N/A</v>
      </c>
      <c r="D42" s="491" t="s">
        <v>78</v>
      </c>
      <c r="E42" s="491" t="s">
        <v>9</v>
      </c>
      <c r="F42" s="491" t="s">
        <v>126</v>
      </c>
      <c r="G42" s="491" t="s">
        <v>153</v>
      </c>
      <c r="H42" s="492">
        <v>44040</v>
      </c>
      <c r="I42" s="491" t="s">
        <v>368</v>
      </c>
      <c r="J42" s="512">
        <v>1441245.67</v>
      </c>
      <c r="K42" s="494" t="s">
        <v>207</v>
      </c>
      <c r="L42" s="495">
        <v>864748</v>
      </c>
      <c r="M42" s="496">
        <v>0.1</v>
      </c>
      <c r="N42" s="497">
        <f t="shared" ref="N42:N50" si="2">L42*M42</f>
        <v>86474.8</v>
      </c>
      <c r="O42" s="497">
        <f t="shared" si="0"/>
        <v>778273.2</v>
      </c>
      <c r="P42" s="474"/>
      <c r="Q42" s="499" t="e">
        <f>VLOOKUP(G:G,list!B:D,3,FALSE)</f>
        <v>#N/A</v>
      </c>
    </row>
    <row r="43" spans="2:17" ht="18" customHeight="1">
      <c r="B43" s="490">
        <v>38</v>
      </c>
      <c r="C43" s="491" t="e">
        <f>VLOOKUP(G:G,list!B:D,2,FALSE)</f>
        <v>#N/A</v>
      </c>
      <c r="D43" s="491" t="s">
        <v>78</v>
      </c>
      <c r="E43" s="491" t="s">
        <v>9</v>
      </c>
      <c r="F43" s="491" t="s">
        <v>126</v>
      </c>
      <c r="G43" s="491" t="s">
        <v>152</v>
      </c>
      <c r="H43" s="492">
        <v>43994</v>
      </c>
      <c r="I43" s="491" t="s">
        <v>368</v>
      </c>
      <c r="J43" s="512">
        <v>16184734.07</v>
      </c>
      <c r="K43" s="494" t="s">
        <v>207</v>
      </c>
      <c r="L43" s="495">
        <v>9710841</v>
      </c>
      <c r="M43" s="496">
        <v>0.12</v>
      </c>
      <c r="N43" s="500">
        <f>(L43-3000000)*M43</f>
        <v>805300.91999999993</v>
      </c>
      <c r="O43" s="497">
        <f t="shared" si="0"/>
        <v>8905540.0800000001</v>
      </c>
      <c r="P43" s="502" t="s">
        <v>343</v>
      </c>
      <c r="Q43" s="499" t="e">
        <f>VLOOKUP(G:G,list!B:D,3,FALSE)</f>
        <v>#N/A</v>
      </c>
    </row>
    <row r="44" spans="2:17" ht="18" customHeight="1">
      <c r="B44" s="490">
        <v>39</v>
      </c>
      <c r="C44" s="491" t="e">
        <f>VLOOKUP(G:G,list!B:D,2,FALSE)</f>
        <v>#N/A</v>
      </c>
      <c r="D44" s="491" t="s">
        <v>78</v>
      </c>
      <c r="E44" s="491" t="s">
        <v>9</v>
      </c>
      <c r="F44" s="491" t="s">
        <v>126</v>
      </c>
      <c r="G44" s="491" t="s">
        <v>74</v>
      </c>
      <c r="H44" s="492">
        <v>44098</v>
      </c>
      <c r="I44" s="491" t="s">
        <v>368</v>
      </c>
      <c r="J44" s="512">
        <v>1661793.3</v>
      </c>
      <c r="K44" s="494" t="s">
        <v>207</v>
      </c>
      <c r="L44" s="495">
        <v>997077</v>
      </c>
      <c r="M44" s="496">
        <v>0.1</v>
      </c>
      <c r="N44" s="497">
        <f t="shared" si="2"/>
        <v>99707.700000000012</v>
      </c>
      <c r="O44" s="497">
        <f t="shared" si="0"/>
        <v>897369.3</v>
      </c>
      <c r="P44" s="502"/>
      <c r="Q44" s="499" t="e">
        <f>VLOOKUP(G:G,list!B:D,3,FALSE)</f>
        <v>#N/A</v>
      </c>
    </row>
    <row r="45" spans="2:17" ht="18" customHeight="1">
      <c r="B45" s="490">
        <v>40</v>
      </c>
      <c r="C45" s="491" t="e">
        <f>VLOOKUP(G:G,list!B:D,2,FALSE)</f>
        <v>#N/A</v>
      </c>
      <c r="D45" s="491" t="s">
        <v>78</v>
      </c>
      <c r="E45" s="491" t="s">
        <v>9</v>
      </c>
      <c r="F45" s="491" t="s">
        <v>126</v>
      </c>
      <c r="G45" s="491" t="s">
        <v>226</v>
      </c>
      <c r="H45" s="492">
        <v>44320</v>
      </c>
      <c r="I45" s="491" t="s">
        <v>368</v>
      </c>
      <c r="J45" s="512">
        <v>550043.4</v>
      </c>
      <c r="K45" s="494" t="s">
        <v>207</v>
      </c>
      <c r="L45" s="495">
        <v>330025</v>
      </c>
      <c r="M45" s="496">
        <v>0.1</v>
      </c>
      <c r="N45" s="497">
        <f t="shared" si="2"/>
        <v>33002.5</v>
      </c>
      <c r="O45" s="497">
        <f t="shared" si="0"/>
        <v>297022.5</v>
      </c>
      <c r="P45" s="502"/>
      <c r="Q45" s="499" t="e">
        <f>VLOOKUP(G:G,list!B:D,3,FALSE)</f>
        <v>#N/A</v>
      </c>
    </row>
    <row r="46" spans="2:17" ht="18" customHeight="1">
      <c r="B46" s="490">
        <v>41</v>
      </c>
      <c r="C46" s="491" t="e">
        <f>VLOOKUP(G:G,list!B:D,2,FALSE)</f>
        <v>#N/A</v>
      </c>
      <c r="D46" s="491" t="s">
        <v>78</v>
      </c>
      <c r="E46" s="491" t="s">
        <v>9</v>
      </c>
      <c r="F46" s="491" t="s">
        <v>126</v>
      </c>
      <c r="G46" s="491" t="s">
        <v>179</v>
      </c>
      <c r="H46" s="492">
        <v>44074</v>
      </c>
      <c r="I46" s="491" t="s">
        <v>368</v>
      </c>
      <c r="J46" s="512">
        <v>62730244.369999997</v>
      </c>
      <c r="K46" s="494" t="s">
        <v>207</v>
      </c>
      <c r="L46" s="495">
        <v>37638148</v>
      </c>
      <c r="M46" s="496">
        <v>0.1</v>
      </c>
      <c r="N46" s="500">
        <f t="shared" si="2"/>
        <v>3763814.8000000003</v>
      </c>
      <c r="O46" s="497">
        <f t="shared" si="0"/>
        <v>33874333.200000003</v>
      </c>
      <c r="P46" s="474" t="s">
        <v>144</v>
      </c>
      <c r="Q46" s="499" t="e">
        <f>VLOOKUP(G:G,list!B:D,3,FALSE)</f>
        <v>#N/A</v>
      </c>
    </row>
    <row r="47" spans="2:17" ht="17.25" customHeight="1">
      <c r="B47" s="490">
        <v>42</v>
      </c>
      <c r="C47" s="491" t="e">
        <f>VLOOKUP(G:G,list!B:D,2,FALSE)</f>
        <v>#N/A</v>
      </c>
      <c r="D47" s="491" t="s">
        <v>78</v>
      </c>
      <c r="E47" s="491" t="s">
        <v>9</v>
      </c>
      <c r="F47" s="491" t="s">
        <v>126</v>
      </c>
      <c r="G47" s="491" t="s">
        <v>191</v>
      </c>
      <c r="H47" s="492">
        <v>44372</v>
      </c>
      <c r="I47" s="491" t="s">
        <v>368</v>
      </c>
      <c r="J47" s="512">
        <v>6899700</v>
      </c>
      <c r="K47" s="494" t="s">
        <v>207</v>
      </c>
      <c r="L47" s="495">
        <v>4139820</v>
      </c>
      <c r="M47" s="496">
        <v>0.1</v>
      </c>
      <c r="N47" s="500">
        <f t="shared" si="2"/>
        <v>413982</v>
      </c>
      <c r="O47" s="497">
        <f t="shared" si="0"/>
        <v>3725838</v>
      </c>
      <c r="P47" s="502"/>
      <c r="Q47" s="499" t="e">
        <f>VLOOKUP(G:G,list!B:D,3,FALSE)</f>
        <v>#N/A</v>
      </c>
    </row>
    <row r="48" spans="2:17" ht="18" customHeight="1">
      <c r="B48" s="490">
        <v>43</v>
      </c>
      <c r="C48" s="491" t="e">
        <f>VLOOKUP(G:G,list!B:D,2,FALSE)</f>
        <v>#N/A</v>
      </c>
      <c r="D48" s="491" t="s">
        <v>78</v>
      </c>
      <c r="E48" s="491" t="s">
        <v>9</v>
      </c>
      <c r="F48" s="491" t="s">
        <v>126</v>
      </c>
      <c r="G48" s="491" t="s">
        <v>225</v>
      </c>
      <c r="H48" s="492">
        <v>44331</v>
      </c>
      <c r="I48" s="491" t="s">
        <v>368</v>
      </c>
      <c r="J48" s="512">
        <v>2186667.5</v>
      </c>
      <c r="K48" s="494" t="s">
        <v>207</v>
      </c>
      <c r="L48" s="495">
        <v>1312001</v>
      </c>
      <c r="M48" s="496">
        <v>0.1</v>
      </c>
      <c r="N48" s="497">
        <f t="shared" si="2"/>
        <v>131200.1</v>
      </c>
      <c r="O48" s="497">
        <f t="shared" si="0"/>
        <v>1180800.8999999999</v>
      </c>
      <c r="P48" s="502"/>
      <c r="Q48" s="499" t="e">
        <f>VLOOKUP(G:G,list!B:D,3,FALSE)</f>
        <v>#N/A</v>
      </c>
    </row>
    <row r="49" spans="2:17" ht="18" customHeight="1">
      <c r="B49" s="490">
        <v>44</v>
      </c>
      <c r="C49" s="491" t="e">
        <f>VLOOKUP(G:G,list!B:D,2,FALSE)</f>
        <v>#N/A</v>
      </c>
      <c r="D49" s="491" t="s">
        <v>78</v>
      </c>
      <c r="E49" s="491" t="s">
        <v>9</v>
      </c>
      <c r="F49" s="491" t="s">
        <v>126</v>
      </c>
      <c r="G49" s="491" t="s">
        <v>336</v>
      </c>
      <c r="H49" s="492">
        <v>44392</v>
      </c>
      <c r="I49" s="491" t="s">
        <v>368</v>
      </c>
      <c r="J49" s="512">
        <v>10684393.5</v>
      </c>
      <c r="K49" s="494" t="s">
        <v>207</v>
      </c>
      <c r="L49" s="495">
        <v>6410636</v>
      </c>
      <c r="M49" s="496">
        <v>0.1</v>
      </c>
      <c r="N49" s="497">
        <f t="shared" si="2"/>
        <v>641063.60000000009</v>
      </c>
      <c r="O49" s="497">
        <f t="shared" si="0"/>
        <v>5769572.4000000004</v>
      </c>
      <c r="P49" s="502"/>
      <c r="Q49" s="499" t="e">
        <f>VLOOKUP(G:G,list!B:D,3,FALSE)</f>
        <v>#N/A</v>
      </c>
    </row>
    <row r="50" spans="2:17" ht="18" customHeight="1">
      <c r="B50" s="490">
        <v>45</v>
      </c>
      <c r="C50" s="491" t="e">
        <f>VLOOKUP(G:G,list!B:D,2,FALSE)</f>
        <v>#N/A</v>
      </c>
      <c r="D50" s="491" t="s">
        <v>78</v>
      </c>
      <c r="E50" s="491" t="s">
        <v>9</v>
      </c>
      <c r="F50" s="491" t="s">
        <v>126</v>
      </c>
      <c r="G50" s="491" t="s">
        <v>335</v>
      </c>
      <c r="H50" s="492">
        <v>44457</v>
      </c>
      <c r="I50" s="491" t="s">
        <v>368</v>
      </c>
      <c r="J50" s="512">
        <v>18076486.600000001</v>
      </c>
      <c r="K50" s="494" t="s">
        <v>207</v>
      </c>
      <c r="L50" s="495">
        <v>10845895</v>
      </c>
      <c r="M50" s="496">
        <v>0.1</v>
      </c>
      <c r="N50" s="497">
        <f t="shared" si="2"/>
        <v>1084589.5</v>
      </c>
      <c r="O50" s="497">
        <f t="shared" si="0"/>
        <v>9761305.5</v>
      </c>
      <c r="P50" s="502"/>
      <c r="Q50" s="499" t="e">
        <f>VLOOKUP(G:G,list!B:D,3,FALSE)</f>
        <v>#N/A</v>
      </c>
    </row>
    <row r="51" spans="2:17" ht="18" customHeight="1">
      <c r="B51" s="490">
        <v>46</v>
      </c>
      <c r="C51" s="491" t="e">
        <f>VLOOKUP(G:G,list!B:D,2,FALSE)</f>
        <v>#N/A</v>
      </c>
      <c r="D51" s="491" t="s">
        <v>78</v>
      </c>
      <c r="E51" s="491" t="s">
        <v>9</v>
      </c>
      <c r="F51" s="491" t="s">
        <v>126</v>
      </c>
      <c r="G51" s="491" t="s">
        <v>324</v>
      </c>
      <c r="H51" s="492">
        <v>44469</v>
      </c>
      <c r="I51" s="491" t="s">
        <v>368</v>
      </c>
      <c r="J51" s="512">
        <v>1493517.9</v>
      </c>
      <c r="K51" s="494" t="s">
        <v>207</v>
      </c>
      <c r="L51" s="495">
        <v>896111</v>
      </c>
      <c r="M51" s="496" t="s">
        <v>203</v>
      </c>
      <c r="N51" s="500">
        <v>0</v>
      </c>
      <c r="O51" s="497">
        <f t="shared" si="0"/>
        <v>896111</v>
      </c>
      <c r="P51" s="502"/>
      <c r="Q51" s="499" t="e">
        <f>VLOOKUP(G:G,list!B:D,3,FALSE)</f>
        <v>#N/A</v>
      </c>
    </row>
    <row r="52" spans="2:17" ht="18" customHeight="1">
      <c r="B52" s="490">
        <v>47</v>
      </c>
      <c r="C52" s="491" t="str">
        <f>VLOOKUP(G:G,list!B:D,2,FALSE)</f>
        <v>작가기획</v>
      </c>
      <c r="D52" s="491" t="s">
        <v>78</v>
      </c>
      <c r="E52" s="491" t="s">
        <v>9</v>
      </c>
      <c r="F52" s="491" t="s">
        <v>126</v>
      </c>
      <c r="G52" s="491" t="s">
        <v>275</v>
      </c>
      <c r="H52" s="492">
        <v>44607</v>
      </c>
      <c r="I52" s="491" t="s">
        <v>368</v>
      </c>
      <c r="J52" s="512">
        <v>572973</v>
      </c>
      <c r="K52" s="494" t="s">
        <v>207</v>
      </c>
      <c r="L52" s="495">
        <v>343784</v>
      </c>
      <c r="M52" s="496" t="s">
        <v>203</v>
      </c>
      <c r="N52" s="500">
        <v>0</v>
      </c>
      <c r="O52" s="497">
        <f t="shared" si="0"/>
        <v>343784</v>
      </c>
      <c r="P52" s="474"/>
      <c r="Q52" s="499" t="str">
        <f>VLOOKUP(G:G,list!B:D,3,FALSE)</f>
        <v>Y</v>
      </c>
    </row>
    <row r="53" spans="2:17" ht="18" customHeight="1">
      <c r="B53" s="490">
        <v>48</v>
      </c>
      <c r="C53" s="491" t="str">
        <f>VLOOKUP(G:G,list!B:D,2,FALSE)</f>
        <v>원작료</v>
      </c>
      <c r="D53" s="491" t="s">
        <v>78</v>
      </c>
      <c r="E53" s="491" t="s">
        <v>9</v>
      </c>
      <c r="F53" s="491" t="s">
        <v>126</v>
      </c>
      <c r="G53" s="491" t="s">
        <v>278</v>
      </c>
      <c r="H53" s="492">
        <v>44639</v>
      </c>
      <c r="I53" s="491" t="s">
        <v>368</v>
      </c>
      <c r="J53" s="512">
        <v>9386632.8300000001</v>
      </c>
      <c r="K53" s="494" t="s">
        <v>207</v>
      </c>
      <c r="L53" s="495">
        <v>5631980</v>
      </c>
      <c r="M53" s="496">
        <v>0.1</v>
      </c>
      <c r="N53" s="500">
        <f t="shared" ref="N53:N59" si="3">L53*M53</f>
        <v>563198</v>
      </c>
      <c r="O53" s="497">
        <f t="shared" si="0"/>
        <v>5068782</v>
      </c>
      <c r="P53" s="474"/>
      <c r="Q53" s="499" t="str">
        <f>VLOOKUP(G:G,list!B:D,3,FALSE)</f>
        <v>Y</v>
      </c>
    </row>
    <row r="54" spans="2:17" ht="18" customHeight="1">
      <c r="B54" s="490">
        <v>49</v>
      </c>
      <c r="C54" s="491" t="e">
        <f>VLOOKUP(G:G,list!B:D,2,FALSE)</f>
        <v>#N/A</v>
      </c>
      <c r="D54" s="491" t="s">
        <v>78</v>
      </c>
      <c r="E54" s="491" t="s">
        <v>9</v>
      </c>
      <c r="F54" s="491" t="s">
        <v>126</v>
      </c>
      <c r="G54" s="491" t="s">
        <v>321</v>
      </c>
      <c r="H54" s="492">
        <v>44669</v>
      </c>
      <c r="I54" s="491" t="s">
        <v>368</v>
      </c>
      <c r="J54" s="512">
        <v>16565294.9</v>
      </c>
      <c r="K54" s="494" t="s">
        <v>207</v>
      </c>
      <c r="L54" s="495">
        <v>9939178</v>
      </c>
      <c r="M54" s="496">
        <v>0.1</v>
      </c>
      <c r="N54" s="500">
        <f t="shared" si="3"/>
        <v>993917.8</v>
      </c>
      <c r="O54" s="497">
        <f>L54-N54</f>
        <v>8945260.1999999993</v>
      </c>
      <c r="P54" s="474"/>
      <c r="Q54" s="499" t="e">
        <f>VLOOKUP(G:G,list!B:D,3,FALSE)</f>
        <v>#N/A</v>
      </c>
    </row>
    <row r="55" spans="2:17" ht="18" customHeight="1">
      <c r="B55" s="490">
        <v>50</v>
      </c>
      <c r="C55" s="491" t="e">
        <f>VLOOKUP(G:G,list!B:D,2,FALSE)</f>
        <v>#N/A</v>
      </c>
      <c r="D55" s="491" t="s">
        <v>78</v>
      </c>
      <c r="E55" s="491" t="s">
        <v>9</v>
      </c>
      <c r="F55" s="491" t="s">
        <v>126</v>
      </c>
      <c r="G55" s="491" t="s">
        <v>322</v>
      </c>
      <c r="H55" s="492">
        <v>44675</v>
      </c>
      <c r="I55" s="491" t="s">
        <v>368</v>
      </c>
      <c r="J55" s="512">
        <v>2847481.9</v>
      </c>
      <c r="K55" s="494" t="s">
        <v>207</v>
      </c>
      <c r="L55" s="495">
        <v>1708490</v>
      </c>
      <c r="M55" s="496">
        <v>0.12</v>
      </c>
      <c r="N55" s="500">
        <f t="shared" si="3"/>
        <v>205018.8</v>
      </c>
      <c r="O55" s="497">
        <f>L55-N55</f>
        <v>1503471.2</v>
      </c>
      <c r="P55" s="474"/>
      <c r="Q55" s="499" t="e">
        <f>VLOOKUP(G:G,list!B:D,3,FALSE)</f>
        <v>#N/A</v>
      </c>
    </row>
    <row r="56" spans="2:17" ht="18" customHeight="1">
      <c r="B56" s="490">
        <v>51</v>
      </c>
      <c r="C56" s="491" t="str">
        <f>VLOOKUP(G:G,list!B:D,2,FALSE)</f>
        <v>원작료</v>
      </c>
      <c r="D56" s="491" t="s">
        <v>78</v>
      </c>
      <c r="E56" s="491" t="s">
        <v>9</v>
      </c>
      <c r="F56" s="491" t="s">
        <v>126</v>
      </c>
      <c r="G56" s="491" t="s">
        <v>364</v>
      </c>
      <c r="H56" s="492">
        <v>44691</v>
      </c>
      <c r="I56" s="491" t="s">
        <v>368</v>
      </c>
      <c r="J56" s="512">
        <v>4232327</v>
      </c>
      <c r="K56" s="494" t="s">
        <v>207</v>
      </c>
      <c r="L56" s="495">
        <v>2539397</v>
      </c>
      <c r="M56" s="496">
        <v>0.1</v>
      </c>
      <c r="N56" s="500">
        <f t="shared" si="3"/>
        <v>253939.7</v>
      </c>
      <c r="O56" s="497">
        <f>L56-N56</f>
        <v>2285457.2999999998</v>
      </c>
      <c r="P56" s="474"/>
      <c r="Q56" s="499" t="str">
        <f>VLOOKUP(G:G,list!B:D,3,FALSE)</f>
        <v>Y</v>
      </c>
    </row>
    <row r="57" spans="2:17" ht="18" customHeight="1">
      <c r="B57" s="490">
        <v>52</v>
      </c>
      <c r="C57" s="491" t="str">
        <f>VLOOKUP(G:G,list!B:D,2,FALSE)</f>
        <v>원작료</v>
      </c>
      <c r="D57" s="491" t="s">
        <v>78</v>
      </c>
      <c r="E57" s="491" t="s">
        <v>9</v>
      </c>
      <c r="F57" s="491" t="s">
        <v>126</v>
      </c>
      <c r="G57" s="491" t="s">
        <v>363</v>
      </c>
      <c r="H57" s="492">
        <v>44709</v>
      </c>
      <c r="I57" s="491" t="s">
        <v>368</v>
      </c>
      <c r="J57" s="512">
        <v>19706823.5</v>
      </c>
      <c r="K57" s="494" t="s">
        <v>207</v>
      </c>
      <c r="L57" s="495">
        <v>11824093</v>
      </c>
      <c r="M57" s="496">
        <v>0.11</v>
      </c>
      <c r="N57" s="497">
        <f t="shared" si="3"/>
        <v>1300650.23</v>
      </c>
      <c r="O57" s="497">
        <f t="shared" ref="O57:O113" si="4">L57-N57</f>
        <v>10523442.77</v>
      </c>
      <c r="P57" s="474"/>
      <c r="Q57" s="499" t="str">
        <f>VLOOKUP(G:G,list!B:D,3,FALSE)</f>
        <v>N</v>
      </c>
    </row>
    <row r="58" spans="2:17" ht="18" customHeight="1">
      <c r="B58" s="490">
        <v>53</v>
      </c>
      <c r="C58" s="491" t="e">
        <f>VLOOKUP(G:G,list!B:D,2,FALSE)</f>
        <v>#N/A</v>
      </c>
      <c r="D58" s="491" t="s">
        <v>78</v>
      </c>
      <c r="E58" s="491" t="s">
        <v>9</v>
      </c>
      <c r="F58" s="491" t="s">
        <v>126</v>
      </c>
      <c r="G58" s="491" t="s">
        <v>374</v>
      </c>
      <c r="H58" s="492">
        <v>44737</v>
      </c>
      <c r="I58" s="491" t="s">
        <v>368</v>
      </c>
      <c r="J58" s="512">
        <v>170269614.43000001</v>
      </c>
      <c r="K58" s="494" t="s">
        <v>207</v>
      </c>
      <c r="L58" s="495">
        <v>102161769</v>
      </c>
      <c r="M58" s="496">
        <v>0.1</v>
      </c>
      <c r="N58" s="497">
        <f t="shared" si="3"/>
        <v>10216176.9</v>
      </c>
      <c r="O58" s="497">
        <f>L58-N58</f>
        <v>91945592.099999994</v>
      </c>
      <c r="P58" s="474" t="s">
        <v>287</v>
      </c>
      <c r="Q58" s="499" t="e">
        <f>VLOOKUP(G:G,list!B:D,3,FALSE)</f>
        <v>#N/A</v>
      </c>
    </row>
    <row r="59" spans="2:17" ht="18" customHeight="1">
      <c r="B59" s="490">
        <v>54</v>
      </c>
      <c r="C59" s="491" t="e">
        <f>VLOOKUP(G:G,list!B:D,2,FALSE)</f>
        <v>#N/A</v>
      </c>
      <c r="D59" s="491" t="s">
        <v>78</v>
      </c>
      <c r="E59" s="491" t="s">
        <v>9</v>
      </c>
      <c r="F59" s="491" t="s">
        <v>126</v>
      </c>
      <c r="G59" s="491" t="s">
        <v>375</v>
      </c>
      <c r="H59" s="492">
        <v>44741</v>
      </c>
      <c r="I59" s="491" t="s">
        <v>368</v>
      </c>
      <c r="J59" s="512">
        <v>87783133.700000003</v>
      </c>
      <c r="K59" s="494" t="s">
        <v>207</v>
      </c>
      <c r="L59" s="495">
        <v>52669880</v>
      </c>
      <c r="M59" s="496">
        <v>0.1</v>
      </c>
      <c r="N59" s="497">
        <f t="shared" si="3"/>
        <v>5266988</v>
      </c>
      <c r="O59" s="497">
        <f>L59-N59</f>
        <v>47402892</v>
      </c>
      <c r="P59" s="474" t="s">
        <v>287</v>
      </c>
      <c r="Q59" s="499" t="e">
        <f>VLOOKUP(G:G,list!B:D,3,FALSE)</f>
        <v>#N/A</v>
      </c>
    </row>
    <row r="60" spans="2:17" ht="18" customHeight="1">
      <c r="B60" s="490">
        <v>55</v>
      </c>
      <c r="C60" s="491" t="e">
        <f>VLOOKUP(G:G,list!B:D,2,FALSE)</f>
        <v>#N/A</v>
      </c>
      <c r="D60" s="491" t="s">
        <v>78</v>
      </c>
      <c r="E60" s="491" t="s">
        <v>115</v>
      </c>
      <c r="F60" s="491" t="s">
        <v>126</v>
      </c>
      <c r="G60" s="491" t="s">
        <v>382</v>
      </c>
      <c r="H60" s="492">
        <v>44328</v>
      </c>
      <c r="I60" s="491" t="s">
        <v>368</v>
      </c>
      <c r="J60" s="512">
        <v>58044</v>
      </c>
      <c r="K60" s="494" t="s">
        <v>208</v>
      </c>
      <c r="L60" s="495">
        <v>40630</v>
      </c>
      <c r="M60" s="496" t="s">
        <v>203</v>
      </c>
      <c r="N60" s="500">
        <v>0</v>
      </c>
      <c r="O60" s="497">
        <f t="shared" si="4"/>
        <v>40630</v>
      </c>
      <c r="P60" s="474"/>
      <c r="Q60" s="499" t="e">
        <f>VLOOKUP(G:G,list!B:D,3,FALSE)</f>
        <v>#N/A</v>
      </c>
    </row>
    <row r="61" spans="2:17" ht="18" customHeight="1">
      <c r="B61" s="490">
        <v>56</v>
      </c>
      <c r="C61" s="491" t="e">
        <f>VLOOKUP(G:G,list!B:D,2,FALSE)</f>
        <v>#N/A</v>
      </c>
      <c r="D61" s="491" t="s">
        <v>78</v>
      </c>
      <c r="E61" s="491" t="s">
        <v>115</v>
      </c>
      <c r="F61" s="491" t="s">
        <v>248</v>
      </c>
      <c r="G61" s="491" t="s">
        <v>256</v>
      </c>
      <c r="H61" s="492">
        <v>44327</v>
      </c>
      <c r="I61" s="491" t="s">
        <v>368</v>
      </c>
      <c r="J61" s="512">
        <v>343375.6</v>
      </c>
      <c r="K61" s="494" t="s">
        <v>370</v>
      </c>
      <c r="L61" s="495">
        <v>240363</v>
      </c>
      <c r="M61" s="496">
        <v>0.1</v>
      </c>
      <c r="N61" s="497">
        <f>L61*M61</f>
        <v>24036.300000000003</v>
      </c>
      <c r="O61" s="497">
        <f t="shared" si="4"/>
        <v>216326.7</v>
      </c>
      <c r="P61" s="502"/>
      <c r="Q61" s="499" t="e">
        <f>VLOOKUP(G:G,list!B:D,3,FALSE)</f>
        <v>#N/A</v>
      </c>
    </row>
    <row r="62" spans="2:17" ht="18" customHeight="1">
      <c r="B62" s="490">
        <v>57</v>
      </c>
      <c r="C62" s="491" t="e">
        <f>VLOOKUP(G:G,list!B:D,2,FALSE)</f>
        <v>#N/A</v>
      </c>
      <c r="D62" s="491" t="s">
        <v>78</v>
      </c>
      <c r="E62" s="491" t="s">
        <v>115</v>
      </c>
      <c r="F62" s="491" t="s">
        <v>248</v>
      </c>
      <c r="G62" s="491" t="s">
        <v>204</v>
      </c>
      <c r="H62" s="492">
        <v>44328</v>
      </c>
      <c r="I62" s="491" t="s">
        <v>368</v>
      </c>
      <c r="J62" s="512">
        <v>106837.4</v>
      </c>
      <c r="K62" s="494" t="s">
        <v>370</v>
      </c>
      <c r="L62" s="495">
        <v>74788</v>
      </c>
      <c r="M62" s="496">
        <v>0.1</v>
      </c>
      <c r="N62" s="500">
        <f>L62*M62</f>
        <v>7478.8</v>
      </c>
      <c r="O62" s="497">
        <f t="shared" si="4"/>
        <v>67309.2</v>
      </c>
      <c r="P62" s="502"/>
      <c r="Q62" s="499" t="e">
        <f>VLOOKUP(G:G,list!B:D,3,FALSE)</f>
        <v>#N/A</v>
      </c>
    </row>
    <row r="63" spans="2:17" ht="18" customHeight="1">
      <c r="B63" s="490">
        <v>58</v>
      </c>
      <c r="C63" s="491" t="e">
        <f>VLOOKUP(G:G,list!B:D,2,FALSE)</f>
        <v>#N/A</v>
      </c>
      <c r="D63" s="491" t="s">
        <v>78</v>
      </c>
      <c r="E63" s="491" t="s">
        <v>115</v>
      </c>
      <c r="F63" s="491" t="s">
        <v>248</v>
      </c>
      <c r="G63" s="491" t="s">
        <v>258</v>
      </c>
      <c r="H63" s="492">
        <v>44329</v>
      </c>
      <c r="I63" s="491" t="s">
        <v>368</v>
      </c>
      <c r="J63" s="512">
        <v>2111475.5</v>
      </c>
      <c r="K63" s="494" t="s">
        <v>370</v>
      </c>
      <c r="L63" s="495">
        <v>1478033</v>
      </c>
      <c r="M63" s="496">
        <v>0.1</v>
      </c>
      <c r="N63" s="500">
        <f>L63*M63</f>
        <v>147803.30000000002</v>
      </c>
      <c r="O63" s="497">
        <f t="shared" si="4"/>
        <v>1330229.7</v>
      </c>
      <c r="P63" s="502"/>
      <c r="Q63" s="499" t="e">
        <f>VLOOKUP(G:G,list!B:D,3,FALSE)</f>
        <v>#N/A</v>
      </c>
    </row>
    <row r="64" spans="2:17" ht="18" customHeight="1">
      <c r="B64" s="490">
        <v>59</v>
      </c>
      <c r="C64" s="491" t="e">
        <f>VLOOKUP(G:G,list!B:D,2,FALSE)</f>
        <v>#N/A</v>
      </c>
      <c r="D64" s="491" t="s">
        <v>78</v>
      </c>
      <c r="E64" s="491" t="s">
        <v>9</v>
      </c>
      <c r="F64" s="491" t="s">
        <v>248</v>
      </c>
      <c r="G64" s="491" t="s">
        <v>381</v>
      </c>
      <c r="H64" s="492">
        <v>44246</v>
      </c>
      <c r="I64" s="491" t="s">
        <v>368</v>
      </c>
      <c r="J64" s="512">
        <v>201975</v>
      </c>
      <c r="K64" s="494" t="s">
        <v>369</v>
      </c>
      <c r="L64" s="495">
        <v>121186</v>
      </c>
      <c r="M64" s="496">
        <v>0.1</v>
      </c>
      <c r="N64" s="500">
        <f>L64*M64</f>
        <v>12118.6</v>
      </c>
      <c r="O64" s="497">
        <f t="shared" si="4"/>
        <v>109067.4</v>
      </c>
      <c r="P64" s="502"/>
      <c r="Q64" s="499" t="e">
        <f>VLOOKUP(G:G,list!B:D,3,FALSE)</f>
        <v>#N/A</v>
      </c>
    </row>
    <row r="65" spans="2:17" ht="18" customHeight="1">
      <c r="B65" s="490">
        <v>60</v>
      </c>
      <c r="C65" s="491" t="e">
        <f>VLOOKUP(G:G,list!B:D,2,FALSE)</f>
        <v>#N/A</v>
      </c>
      <c r="D65" s="491" t="s">
        <v>78</v>
      </c>
      <c r="E65" s="491" t="s">
        <v>9</v>
      </c>
      <c r="F65" s="491" t="s">
        <v>248</v>
      </c>
      <c r="G65" s="491" t="s">
        <v>383</v>
      </c>
      <c r="H65" s="492">
        <v>44152</v>
      </c>
      <c r="I65" s="491" t="s">
        <v>368</v>
      </c>
      <c r="J65" s="512">
        <v>481924.7</v>
      </c>
      <c r="K65" s="494" t="s">
        <v>369</v>
      </c>
      <c r="L65" s="495">
        <v>289155</v>
      </c>
      <c r="M65" s="496">
        <v>0.1</v>
      </c>
      <c r="N65" s="500">
        <f>L65*M65</f>
        <v>28915.5</v>
      </c>
      <c r="O65" s="497">
        <f t="shared" si="4"/>
        <v>260239.5</v>
      </c>
      <c r="P65" s="474"/>
      <c r="Q65" s="499" t="e">
        <f>VLOOKUP(G:G,list!B:D,3,FALSE)</f>
        <v>#N/A</v>
      </c>
    </row>
    <row r="66" spans="2:17" ht="18" customHeight="1">
      <c r="B66" s="490">
        <v>61</v>
      </c>
      <c r="C66" s="491" t="str">
        <f>VLOOKUP(G:G,list!B:D,2,FALSE)</f>
        <v>외부제작</v>
      </c>
      <c r="D66" s="491" t="s">
        <v>78</v>
      </c>
      <c r="E66" s="491" t="s">
        <v>9</v>
      </c>
      <c r="F66" s="491" t="s">
        <v>248</v>
      </c>
      <c r="G66" s="491" t="s">
        <v>277</v>
      </c>
      <c r="H66" s="492">
        <v>44629</v>
      </c>
      <c r="I66" s="491" t="s">
        <v>368</v>
      </c>
      <c r="J66" s="512">
        <v>3079585.8</v>
      </c>
      <c r="K66" s="494" t="s">
        <v>207</v>
      </c>
      <c r="L66" s="495">
        <v>1847753</v>
      </c>
      <c r="M66" s="496" t="s">
        <v>203</v>
      </c>
      <c r="N66" s="500">
        <v>0</v>
      </c>
      <c r="O66" s="497">
        <f t="shared" si="4"/>
        <v>1847753</v>
      </c>
      <c r="P66" s="474"/>
      <c r="Q66" s="499" t="str">
        <f>VLOOKUP(G:G,list!B:D,3,FALSE)</f>
        <v>N</v>
      </c>
    </row>
    <row r="67" spans="2:17" ht="18" customHeight="1">
      <c r="B67" s="523">
        <v>62</v>
      </c>
      <c r="C67" s="524" t="s">
        <v>344</v>
      </c>
      <c r="D67" s="524" t="s">
        <v>78</v>
      </c>
      <c r="E67" s="524" t="s">
        <v>9</v>
      </c>
      <c r="F67" s="524" t="s">
        <v>371</v>
      </c>
      <c r="G67" s="524" t="s">
        <v>373</v>
      </c>
      <c r="H67" s="525">
        <v>44735</v>
      </c>
      <c r="I67" s="524" t="s">
        <v>368</v>
      </c>
      <c r="J67" s="526">
        <v>113081154.7</v>
      </c>
      <c r="K67" s="527" t="s">
        <v>207</v>
      </c>
      <c r="L67" s="528">
        <v>67848696</v>
      </c>
      <c r="M67" s="529">
        <v>0.1</v>
      </c>
      <c r="N67" s="530">
        <f>L67*M67</f>
        <v>6784869.6000000006</v>
      </c>
      <c r="O67" s="531">
        <f>L67-N67</f>
        <v>61063826.399999999</v>
      </c>
      <c r="P67" s="532" t="s">
        <v>495</v>
      </c>
      <c r="Q67" s="533" t="e">
        <f>VLOOKUP(G:G,list!B:D,3,FALSE)</f>
        <v>#N/A</v>
      </c>
    </row>
    <row r="68" spans="2:17" ht="18" customHeight="1">
      <c r="B68" s="490">
        <v>63</v>
      </c>
      <c r="C68" s="491" t="e">
        <f>VLOOKUP(G:G,list!B:D,2,FALSE)</f>
        <v>#N/A</v>
      </c>
      <c r="D68" s="491" t="s">
        <v>78</v>
      </c>
      <c r="E68" s="491" t="s">
        <v>9</v>
      </c>
      <c r="F68" s="491" t="s">
        <v>175</v>
      </c>
      <c r="G68" s="491" t="s">
        <v>212</v>
      </c>
      <c r="H68" s="492">
        <v>44268</v>
      </c>
      <c r="I68" s="491" t="s">
        <v>368</v>
      </c>
      <c r="J68" s="512">
        <v>7539358.4000000004</v>
      </c>
      <c r="K68" s="494" t="s">
        <v>369</v>
      </c>
      <c r="L68" s="495">
        <v>4523614</v>
      </c>
      <c r="M68" s="496">
        <v>0.1</v>
      </c>
      <c r="N68" s="500">
        <f t="shared" ref="N68:N74" si="5">L68*M68</f>
        <v>452361.4</v>
      </c>
      <c r="O68" s="497">
        <f t="shared" si="4"/>
        <v>4071252.6</v>
      </c>
      <c r="P68" s="502"/>
      <c r="Q68" s="499" t="e">
        <f>VLOOKUP(G:G,list!B:D,3,FALSE)</f>
        <v>#N/A</v>
      </c>
    </row>
    <row r="69" spans="2:17" ht="18" customHeight="1">
      <c r="B69" s="490">
        <v>64</v>
      </c>
      <c r="C69" s="491" t="e">
        <f>VLOOKUP(G:G,list!B:D,2,FALSE)</f>
        <v>#N/A</v>
      </c>
      <c r="D69" s="491" t="s">
        <v>78</v>
      </c>
      <c r="E69" s="491" t="s">
        <v>115</v>
      </c>
      <c r="F69" s="491" t="s">
        <v>172</v>
      </c>
      <c r="G69" s="491" t="s">
        <v>204</v>
      </c>
      <c r="H69" s="492">
        <v>44379</v>
      </c>
      <c r="I69" s="491" t="s">
        <v>368</v>
      </c>
      <c r="J69" s="512">
        <v>858060</v>
      </c>
      <c r="K69" s="494">
        <v>0.6</v>
      </c>
      <c r="L69" s="495">
        <v>514836</v>
      </c>
      <c r="M69" s="496">
        <v>0.1</v>
      </c>
      <c r="N69" s="500">
        <f t="shared" si="5"/>
        <v>51483.600000000006</v>
      </c>
      <c r="O69" s="497">
        <f t="shared" si="4"/>
        <v>463352.4</v>
      </c>
      <c r="P69" s="502"/>
      <c r="Q69" s="499" t="e">
        <f>VLOOKUP(G:G,list!B:D,3,FALSE)</f>
        <v>#N/A</v>
      </c>
    </row>
    <row r="70" spans="2:17" ht="18" customHeight="1">
      <c r="B70" s="490">
        <v>65</v>
      </c>
      <c r="C70" s="491" t="e">
        <f>VLOOKUP(G:G,list!B:D,2,FALSE)</f>
        <v>#N/A</v>
      </c>
      <c r="D70" s="491" t="s">
        <v>78</v>
      </c>
      <c r="E70" s="491" t="s">
        <v>115</v>
      </c>
      <c r="F70" s="491" t="s">
        <v>172</v>
      </c>
      <c r="G70" s="491" t="s">
        <v>256</v>
      </c>
      <c r="H70" s="492">
        <v>44385</v>
      </c>
      <c r="I70" s="491" t="s">
        <v>368</v>
      </c>
      <c r="J70" s="512">
        <v>15740</v>
      </c>
      <c r="K70" s="494">
        <v>0.6</v>
      </c>
      <c r="L70" s="495">
        <v>9444</v>
      </c>
      <c r="M70" s="496">
        <v>0.1</v>
      </c>
      <c r="N70" s="497">
        <f t="shared" si="5"/>
        <v>944.40000000000009</v>
      </c>
      <c r="O70" s="497">
        <f t="shared" si="4"/>
        <v>8499.6</v>
      </c>
      <c r="P70" s="502"/>
      <c r="Q70" s="499" t="e">
        <f>VLOOKUP(G:G,list!B:D,3,FALSE)</f>
        <v>#N/A</v>
      </c>
    </row>
    <row r="71" spans="2:17" ht="18" customHeight="1">
      <c r="B71" s="490">
        <v>66</v>
      </c>
      <c r="C71" s="491" t="e">
        <f>VLOOKUP(G:G,list!B:D,2,FALSE)</f>
        <v>#N/A</v>
      </c>
      <c r="D71" s="491" t="s">
        <v>78</v>
      </c>
      <c r="E71" s="491" t="s">
        <v>115</v>
      </c>
      <c r="F71" s="491" t="s">
        <v>172</v>
      </c>
      <c r="G71" s="491" t="s">
        <v>258</v>
      </c>
      <c r="H71" s="492">
        <v>44362</v>
      </c>
      <c r="I71" s="491" t="s">
        <v>368</v>
      </c>
      <c r="J71" s="513">
        <v>1878775</v>
      </c>
      <c r="K71" s="494">
        <v>0.6</v>
      </c>
      <c r="L71" s="495">
        <v>1127265</v>
      </c>
      <c r="M71" s="496">
        <v>0.1</v>
      </c>
      <c r="N71" s="500">
        <f t="shared" si="5"/>
        <v>112726.5</v>
      </c>
      <c r="O71" s="497">
        <f t="shared" si="4"/>
        <v>1014538.5</v>
      </c>
      <c r="P71" s="474"/>
      <c r="Q71" s="499" t="e">
        <f>VLOOKUP(G:G,list!B:D,3,FALSE)</f>
        <v>#N/A</v>
      </c>
    </row>
    <row r="72" spans="2:17" ht="18" customHeight="1">
      <c r="B72" s="490">
        <v>67</v>
      </c>
      <c r="C72" s="491" t="e">
        <f>VLOOKUP(G:G,list!B:D,2,FALSE)</f>
        <v>#N/A</v>
      </c>
      <c r="D72" s="491" t="s">
        <v>78</v>
      </c>
      <c r="E72" s="491" t="s">
        <v>115</v>
      </c>
      <c r="F72" s="491" t="s">
        <v>269</v>
      </c>
      <c r="G72" s="491" t="s">
        <v>256</v>
      </c>
      <c r="H72" s="492">
        <v>44553</v>
      </c>
      <c r="I72" s="491" t="s">
        <v>368</v>
      </c>
      <c r="J72" s="512">
        <v>500</v>
      </c>
      <c r="K72" s="494">
        <v>0.7</v>
      </c>
      <c r="L72" s="495">
        <v>350</v>
      </c>
      <c r="M72" s="496">
        <v>0.1</v>
      </c>
      <c r="N72" s="497">
        <f>L72*M72</f>
        <v>35</v>
      </c>
      <c r="O72" s="497">
        <f t="shared" si="4"/>
        <v>315</v>
      </c>
      <c r="P72" s="501"/>
      <c r="Q72" s="499" t="e">
        <f>VLOOKUP(G:G,list!B:D,3,FALSE)</f>
        <v>#N/A</v>
      </c>
    </row>
    <row r="73" spans="2:17" ht="18" customHeight="1">
      <c r="B73" s="490">
        <v>68</v>
      </c>
      <c r="C73" s="491" t="e">
        <f>VLOOKUP(G:G,list!B:D,2,FALSE)</f>
        <v>#N/A</v>
      </c>
      <c r="D73" s="491" t="s">
        <v>78</v>
      </c>
      <c r="E73" s="491" t="s">
        <v>115</v>
      </c>
      <c r="F73" s="491" t="s">
        <v>269</v>
      </c>
      <c r="G73" s="491" t="s">
        <v>204</v>
      </c>
      <c r="H73" s="492">
        <v>44554</v>
      </c>
      <c r="I73" s="491" t="s">
        <v>368</v>
      </c>
      <c r="J73" s="512">
        <v>0</v>
      </c>
      <c r="K73" s="494">
        <v>0.7</v>
      </c>
      <c r="L73" s="495">
        <v>0</v>
      </c>
      <c r="M73" s="496">
        <v>0.1</v>
      </c>
      <c r="N73" s="500">
        <f t="shared" si="5"/>
        <v>0</v>
      </c>
      <c r="O73" s="497">
        <f t="shared" si="4"/>
        <v>0</v>
      </c>
      <c r="P73" s="474" t="s">
        <v>366</v>
      </c>
      <c r="Q73" s="499" t="e">
        <f>VLOOKUP(G:G,list!B:D,3,FALSE)</f>
        <v>#N/A</v>
      </c>
    </row>
    <row r="74" spans="2:17" ht="18" customHeight="1">
      <c r="B74" s="490">
        <v>69</v>
      </c>
      <c r="C74" s="491" t="e">
        <f>VLOOKUP(G:G,list!B:D,2,FALSE)</f>
        <v>#N/A</v>
      </c>
      <c r="D74" s="491" t="s">
        <v>78</v>
      </c>
      <c r="E74" s="491" t="s">
        <v>115</v>
      </c>
      <c r="F74" s="491" t="s">
        <v>269</v>
      </c>
      <c r="G74" s="491" t="s">
        <v>258</v>
      </c>
      <c r="H74" s="492">
        <v>44554</v>
      </c>
      <c r="I74" s="491" t="s">
        <v>368</v>
      </c>
      <c r="J74" s="512">
        <v>3500</v>
      </c>
      <c r="K74" s="494">
        <v>0.7</v>
      </c>
      <c r="L74" s="495">
        <v>2450</v>
      </c>
      <c r="M74" s="496">
        <v>0.1</v>
      </c>
      <c r="N74" s="500">
        <f t="shared" si="5"/>
        <v>245</v>
      </c>
      <c r="O74" s="497">
        <f t="shared" si="4"/>
        <v>2205</v>
      </c>
      <c r="P74" s="501"/>
      <c r="Q74" s="499" t="e">
        <f>VLOOKUP(G:G,list!B:D,3,FALSE)</f>
        <v>#N/A</v>
      </c>
    </row>
    <row r="75" spans="2:17" ht="18" customHeight="1">
      <c r="B75" s="490">
        <v>70</v>
      </c>
      <c r="C75" s="491" t="e">
        <f>VLOOKUP(G:G,list!B:D,2,FALSE)</f>
        <v>#N/A</v>
      </c>
      <c r="D75" s="491" t="s">
        <v>78</v>
      </c>
      <c r="E75" s="491" t="s">
        <v>115</v>
      </c>
      <c r="F75" s="491" t="s">
        <v>269</v>
      </c>
      <c r="G75" s="491" t="s">
        <v>202</v>
      </c>
      <c r="H75" s="492">
        <v>44609</v>
      </c>
      <c r="I75" s="491" t="s">
        <v>368</v>
      </c>
      <c r="J75" s="512">
        <v>300</v>
      </c>
      <c r="K75" s="494">
        <v>0.7</v>
      </c>
      <c r="L75" s="495">
        <v>210</v>
      </c>
      <c r="M75" s="496" t="s">
        <v>203</v>
      </c>
      <c r="N75" s="497">
        <v>0</v>
      </c>
      <c r="O75" s="497">
        <f t="shared" si="4"/>
        <v>210</v>
      </c>
      <c r="P75" s="501"/>
      <c r="Q75" s="499" t="e">
        <f>VLOOKUP(G:G,list!B:D,3,FALSE)</f>
        <v>#N/A</v>
      </c>
    </row>
    <row r="76" spans="2:17" ht="18" customHeight="1">
      <c r="B76" s="490">
        <v>71</v>
      </c>
      <c r="C76" s="491" t="str">
        <f>VLOOKUP(G:G,list!B:D,2,FALSE)</f>
        <v>작가기획</v>
      </c>
      <c r="D76" s="491" t="s">
        <v>78</v>
      </c>
      <c r="E76" s="491" t="s">
        <v>9</v>
      </c>
      <c r="F76" s="491" t="s">
        <v>131</v>
      </c>
      <c r="G76" s="491" t="s">
        <v>210</v>
      </c>
      <c r="H76" s="492">
        <v>44333</v>
      </c>
      <c r="I76" s="491" t="s">
        <v>368</v>
      </c>
      <c r="J76" s="512">
        <v>48780</v>
      </c>
      <c r="K76" s="494">
        <v>0.5</v>
      </c>
      <c r="L76" s="495">
        <v>24390</v>
      </c>
      <c r="M76" s="496" t="s">
        <v>203</v>
      </c>
      <c r="N76" s="497">
        <v>0</v>
      </c>
      <c r="O76" s="497">
        <f t="shared" si="4"/>
        <v>24390</v>
      </c>
      <c r="P76" s="502"/>
      <c r="Q76" s="499" t="str">
        <f>VLOOKUP(G:G,list!B:D,3,FALSE)</f>
        <v>N</v>
      </c>
    </row>
    <row r="77" spans="2:17" ht="18" customHeight="1">
      <c r="B77" s="490">
        <v>72</v>
      </c>
      <c r="C77" s="491" t="e">
        <f>VLOOKUP(G:G,list!B:D,2,FALSE)</f>
        <v>#N/A</v>
      </c>
      <c r="D77" s="491" t="s">
        <v>177</v>
      </c>
      <c r="E77" s="491" t="s">
        <v>9</v>
      </c>
      <c r="F77" s="491" t="s">
        <v>257</v>
      </c>
      <c r="G77" s="491" t="s">
        <v>179</v>
      </c>
      <c r="H77" s="492">
        <v>44419</v>
      </c>
      <c r="I77" s="491" t="s">
        <v>368</v>
      </c>
      <c r="J77" s="513">
        <v>7605871</v>
      </c>
      <c r="K77" s="514">
        <v>0.28000008425415068</v>
      </c>
      <c r="L77" s="495">
        <v>2129645</v>
      </c>
      <c r="M77" s="496">
        <v>0.1</v>
      </c>
      <c r="N77" s="500">
        <f>L77*M77</f>
        <v>212964.5</v>
      </c>
      <c r="O77" s="497">
        <f t="shared" si="4"/>
        <v>1916680.5</v>
      </c>
      <c r="P77" s="474" t="s">
        <v>85</v>
      </c>
      <c r="Q77" s="499" t="e">
        <f>VLOOKUP(G:G,list!B:D,3,FALSE)</f>
        <v>#N/A</v>
      </c>
    </row>
    <row r="78" spans="2:17" ht="18" customHeight="1">
      <c r="B78" s="490">
        <v>73</v>
      </c>
      <c r="C78" s="491" t="e">
        <f>VLOOKUP(G:G,list!B:D,2,FALSE)</f>
        <v>#N/A</v>
      </c>
      <c r="D78" s="491" t="s">
        <v>177</v>
      </c>
      <c r="E78" s="491" t="s">
        <v>9</v>
      </c>
      <c r="F78" s="491" t="s">
        <v>257</v>
      </c>
      <c r="G78" s="491" t="s">
        <v>212</v>
      </c>
      <c r="H78" s="492">
        <v>44477</v>
      </c>
      <c r="I78" s="491" t="s">
        <v>368</v>
      </c>
      <c r="J78" s="513">
        <v>4029754</v>
      </c>
      <c r="K78" s="515">
        <v>0.24500002911191202</v>
      </c>
      <c r="L78" s="495">
        <v>987291</v>
      </c>
      <c r="M78" s="496">
        <v>0.1</v>
      </c>
      <c r="N78" s="500">
        <f t="shared" ref="N78:N81" si="6">L78*M78</f>
        <v>98729.1</v>
      </c>
      <c r="O78" s="497">
        <f t="shared" si="4"/>
        <v>888561.9</v>
      </c>
      <c r="P78" s="516"/>
      <c r="Q78" s="499" t="e">
        <f>VLOOKUP(G:G,list!B:D,3,FALSE)</f>
        <v>#N/A</v>
      </c>
    </row>
    <row r="79" spans="2:17" ht="18" customHeight="1">
      <c r="B79" s="490">
        <v>74</v>
      </c>
      <c r="C79" s="491" t="e">
        <f>VLOOKUP(G:G,list!B:D,2,FALSE)</f>
        <v>#N/A</v>
      </c>
      <c r="D79" s="491" t="s">
        <v>177</v>
      </c>
      <c r="E79" s="491" t="s">
        <v>9</v>
      </c>
      <c r="F79" s="491" t="s">
        <v>257</v>
      </c>
      <c r="G79" s="491" t="s">
        <v>335</v>
      </c>
      <c r="H79" s="492">
        <v>44636</v>
      </c>
      <c r="I79" s="491" t="s">
        <v>368</v>
      </c>
      <c r="J79" s="513">
        <v>1648193</v>
      </c>
      <c r="K79" s="514">
        <v>0.35</v>
      </c>
      <c r="L79" s="495">
        <v>576869</v>
      </c>
      <c r="M79" s="496">
        <v>0.1</v>
      </c>
      <c r="N79" s="497">
        <f t="shared" si="6"/>
        <v>57686.9</v>
      </c>
      <c r="O79" s="497">
        <f t="shared" si="4"/>
        <v>519182.1</v>
      </c>
      <c r="P79" s="516"/>
      <c r="Q79" s="499" t="e">
        <f>VLOOKUP(G:G,list!B:D,3,FALSE)</f>
        <v>#N/A</v>
      </c>
    </row>
    <row r="80" spans="2:17" ht="18" customHeight="1">
      <c r="B80" s="490">
        <v>75</v>
      </c>
      <c r="C80" s="491" t="e">
        <f>VLOOKUP(G:G,list!B:D,2,FALSE)</f>
        <v>#N/A</v>
      </c>
      <c r="D80" s="491" t="s">
        <v>177</v>
      </c>
      <c r="E80" s="491" t="s">
        <v>9</v>
      </c>
      <c r="F80" s="491" t="s">
        <v>257</v>
      </c>
      <c r="G80" s="491" t="s">
        <v>336</v>
      </c>
      <c r="H80" s="492">
        <v>44676</v>
      </c>
      <c r="I80" s="491" t="s">
        <v>368</v>
      </c>
      <c r="J80" s="513">
        <v>1002863</v>
      </c>
      <c r="K80" s="515">
        <v>0.27999936182708907</v>
      </c>
      <c r="L80" s="495">
        <v>280801</v>
      </c>
      <c r="M80" s="496">
        <v>0.1</v>
      </c>
      <c r="N80" s="497">
        <f t="shared" si="6"/>
        <v>28080.100000000002</v>
      </c>
      <c r="O80" s="497">
        <f t="shared" si="4"/>
        <v>252720.9</v>
      </c>
      <c r="P80" s="474"/>
      <c r="Q80" s="499" t="e">
        <f>VLOOKUP(G:G,list!B:D,3,FALSE)</f>
        <v>#N/A</v>
      </c>
    </row>
    <row r="81" spans="2:17" ht="18" customHeight="1">
      <c r="B81" s="490">
        <v>76</v>
      </c>
      <c r="C81" s="491" t="e">
        <f>VLOOKUP(G:G,list!B:D,2,FALSE)</f>
        <v>#N/A</v>
      </c>
      <c r="D81" s="491" t="s">
        <v>66</v>
      </c>
      <c r="E81" s="491" t="s">
        <v>64</v>
      </c>
      <c r="F81" s="491" t="s">
        <v>65</v>
      </c>
      <c r="G81" s="491" t="s">
        <v>152</v>
      </c>
      <c r="H81" s="492">
        <v>44235</v>
      </c>
      <c r="I81" s="491" t="s">
        <v>368</v>
      </c>
      <c r="J81" s="513">
        <v>724658</v>
      </c>
      <c r="K81" s="517">
        <v>0.4</v>
      </c>
      <c r="L81" s="495">
        <v>289863</v>
      </c>
      <c r="M81" s="496">
        <v>0.12</v>
      </c>
      <c r="N81" s="500">
        <f t="shared" si="6"/>
        <v>34783.56</v>
      </c>
      <c r="O81" s="497">
        <f t="shared" si="4"/>
        <v>255079.44</v>
      </c>
      <c r="P81" s="502"/>
      <c r="Q81" s="499" t="e">
        <f>VLOOKUP(G:G,list!B:D,3,FALSE)</f>
        <v>#N/A</v>
      </c>
    </row>
    <row r="82" spans="2:17" ht="18" customHeight="1">
      <c r="B82" s="490">
        <v>77</v>
      </c>
      <c r="C82" s="491" t="e">
        <f>VLOOKUP(G:G,list!B:D,2,FALSE)</f>
        <v>#N/A</v>
      </c>
      <c r="D82" s="491" t="s">
        <v>66</v>
      </c>
      <c r="E82" s="491" t="s">
        <v>64</v>
      </c>
      <c r="F82" s="491" t="s">
        <v>65</v>
      </c>
      <c r="G82" s="491" t="s">
        <v>179</v>
      </c>
      <c r="H82" s="492">
        <v>44198</v>
      </c>
      <c r="I82" s="491" t="s">
        <v>368</v>
      </c>
      <c r="J82" s="513">
        <v>586748</v>
      </c>
      <c r="K82" s="517">
        <v>0.4</v>
      </c>
      <c r="L82" s="495">
        <v>234699</v>
      </c>
      <c r="M82" s="496">
        <v>0.1</v>
      </c>
      <c r="N82" s="500">
        <f>L82*M82</f>
        <v>23469.9</v>
      </c>
      <c r="O82" s="497">
        <f t="shared" si="4"/>
        <v>211229.1</v>
      </c>
      <c r="P82" s="474" t="s">
        <v>85</v>
      </c>
      <c r="Q82" s="499" t="e">
        <f>VLOOKUP(G:G,list!B:D,3,FALSE)</f>
        <v>#N/A</v>
      </c>
    </row>
    <row r="83" spans="2:17" ht="18" customHeight="1">
      <c r="B83" s="490">
        <v>78</v>
      </c>
      <c r="C83" s="491" t="e">
        <f>VLOOKUP(G:G,list!B:D,2,FALSE)</f>
        <v>#N/A</v>
      </c>
      <c r="D83" s="491" t="s">
        <v>66</v>
      </c>
      <c r="E83" s="491" t="s">
        <v>64</v>
      </c>
      <c r="F83" s="491" t="s">
        <v>65</v>
      </c>
      <c r="G83" s="491" t="s">
        <v>147</v>
      </c>
      <c r="H83" s="492">
        <v>44288</v>
      </c>
      <c r="I83" s="491" t="s">
        <v>368</v>
      </c>
      <c r="J83" s="513">
        <v>174298</v>
      </c>
      <c r="K83" s="517">
        <v>0.4</v>
      </c>
      <c r="L83" s="495">
        <v>69719</v>
      </c>
      <c r="M83" s="496" t="s">
        <v>203</v>
      </c>
      <c r="N83" s="500">
        <v>0</v>
      </c>
      <c r="O83" s="497">
        <f t="shared" si="4"/>
        <v>69719</v>
      </c>
      <c r="P83" s="502"/>
      <c r="Q83" s="499" t="e">
        <f>VLOOKUP(G:G,list!B:D,3,FALSE)</f>
        <v>#N/A</v>
      </c>
    </row>
    <row r="84" spans="2:17" ht="18" customHeight="1">
      <c r="B84" s="490">
        <v>79</v>
      </c>
      <c r="C84" s="491" t="e">
        <f>VLOOKUP(G:G,list!B:D,2,FALSE)</f>
        <v>#N/A</v>
      </c>
      <c r="D84" s="491" t="s">
        <v>66</v>
      </c>
      <c r="E84" s="491" t="s">
        <v>64</v>
      </c>
      <c r="F84" s="491" t="s">
        <v>65</v>
      </c>
      <c r="G84" s="491" t="s">
        <v>187</v>
      </c>
      <c r="H84" s="492">
        <v>44289</v>
      </c>
      <c r="I84" s="491" t="s">
        <v>368</v>
      </c>
      <c r="J84" s="513">
        <v>699195</v>
      </c>
      <c r="K84" s="517">
        <v>0.4</v>
      </c>
      <c r="L84" s="495">
        <v>279678</v>
      </c>
      <c r="M84" s="496" t="s">
        <v>203</v>
      </c>
      <c r="N84" s="500">
        <v>0</v>
      </c>
      <c r="O84" s="497">
        <f t="shared" si="4"/>
        <v>279678</v>
      </c>
      <c r="P84" s="474"/>
      <c r="Q84" s="499" t="e">
        <f>VLOOKUP(G:G,list!B:D,3,FALSE)</f>
        <v>#N/A</v>
      </c>
    </row>
    <row r="85" spans="2:17" ht="18" customHeight="1">
      <c r="B85" s="490">
        <v>80</v>
      </c>
      <c r="C85" s="491" t="e">
        <f>VLOOKUP(G:G,list!B:D,2,FALSE)</f>
        <v>#N/A</v>
      </c>
      <c r="D85" s="491" t="s">
        <v>66</v>
      </c>
      <c r="E85" s="491" t="s">
        <v>64</v>
      </c>
      <c r="F85" s="491" t="s">
        <v>65</v>
      </c>
      <c r="G85" s="491" t="s">
        <v>74</v>
      </c>
      <c r="H85" s="492">
        <v>44246</v>
      </c>
      <c r="I85" s="491" t="s">
        <v>368</v>
      </c>
      <c r="J85" s="513">
        <v>209145</v>
      </c>
      <c r="K85" s="517">
        <v>0.4</v>
      </c>
      <c r="L85" s="495">
        <v>83658</v>
      </c>
      <c r="M85" s="496">
        <v>0.1</v>
      </c>
      <c r="N85" s="497">
        <f>L85*M85</f>
        <v>8365.8000000000011</v>
      </c>
      <c r="O85" s="497">
        <f t="shared" si="4"/>
        <v>75292.2</v>
      </c>
      <c r="P85" s="502"/>
      <c r="Q85" s="499" t="e">
        <f>VLOOKUP(G:G,list!B:D,3,FALSE)</f>
        <v>#N/A</v>
      </c>
    </row>
    <row r="86" spans="2:17" ht="18" customHeight="1">
      <c r="B86" s="490">
        <v>81</v>
      </c>
      <c r="C86" s="491" t="e">
        <f>VLOOKUP(G:G,list!B:D,2,FALSE)</f>
        <v>#N/A</v>
      </c>
      <c r="D86" s="491" t="s">
        <v>66</v>
      </c>
      <c r="E86" s="491" t="s">
        <v>64</v>
      </c>
      <c r="F86" s="491" t="s">
        <v>65</v>
      </c>
      <c r="G86" s="491" t="s">
        <v>188</v>
      </c>
      <c r="H86" s="492">
        <v>44415</v>
      </c>
      <c r="I86" s="491" t="s">
        <v>368</v>
      </c>
      <c r="J86" s="513">
        <v>790348</v>
      </c>
      <c r="K86" s="517">
        <v>0.4</v>
      </c>
      <c r="L86" s="495">
        <v>316139</v>
      </c>
      <c r="M86" s="496" t="s">
        <v>203</v>
      </c>
      <c r="N86" s="500">
        <v>0</v>
      </c>
      <c r="O86" s="497">
        <f t="shared" si="4"/>
        <v>316139</v>
      </c>
      <c r="P86" s="502"/>
      <c r="Q86" s="499" t="e">
        <f>VLOOKUP(G:G,list!B:D,3,FALSE)</f>
        <v>#N/A</v>
      </c>
    </row>
    <row r="87" spans="2:17" ht="18" customHeight="1">
      <c r="B87" s="490">
        <v>82</v>
      </c>
      <c r="C87" s="491" t="str">
        <f>VLOOKUP(G:G,list!B:D,2,FALSE)</f>
        <v>원작료</v>
      </c>
      <c r="D87" s="491" t="s">
        <v>66</v>
      </c>
      <c r="E87" s="491" t="s">
        <v>64</v>
      </c>
      <c r="F87" s="491" t="s">
        <v>65</v>
      </c>
      <c r="G87" s="491" t="s">
        <v>151</v>
      </c>
      <c r="H87" s="492">
        <v>44586</v>
      </c>
      <c r="I87" s="491" t="s">
        <v>368</v>
      </c>
      <c r="J87" s="513">
        <v>597413</v>
      </c>
      <c r="K87" s="517">
        <v>0.4</v>
      </c>
      <c r="L87" s="495">
        <v>238965</v>
      </c>
      <c r="M87" s="496">
        <v>0.1</v>
      </c>
      <c r="N87" s="497">
        <f>L87*M87</f>
        <v>23896.5</v>
      </c>
      <c r="O87" s="497">
        <f t="shared" si="4"/>
        <v>215068.5</v>
      </c>
      <c r="P87" s="502"/>
      <c r="Q87" s="499" t="str">
        <f>VLOOKUP(G:G,list!B:D,3,FALSE)</f>
        <v>Y</v>
      </c>
    </row>
    <row r="88" spans="2:17" ht="18" customHeight="1">
      <c r="B88" s="490">
        <v>83</v>
      </c>
      <c r="C88" s="491" t="e">
        <f>VLOOKUP(G:G,list!B:D,2,FALSE)</f>
        <v>#N/A</v>
      </c>
      <c r="D88" s="491" t="s">
        <v>66</v>
      </c>
      <c r="E88" s="491" t="s">
        <v>64</v>
      </c>
      <c r="F88" s="491" t="s">
        <v>65</v>
      </c>
      <c r="G88" s="491" t="s">
        <v>153</v>
      </c>
      <c r="H88" s="492">
        <v>44702</v>
      </c>
      <c r="I88" s="491" t="s">
        <v>368</v>
      </c>
      <c r="J88" s="513">
        <v>704150</v>
      </c>
      <c r="K88" s="517">
        <v>0.4</v>
      </c>
      <c r="L88" s="495">
        <v>281660</v>
      </c>
      <c r="M88" s="496">
        <v>0.1</v>
      </c>
      <c r="N88" s="497">
        <f t="shared" ref="N88" si="7">L88*M88</f>
        <v>28166</v>
      </c>
      <c r="O88" s="497">
        <f t="shared" si="4"/>
        <v>253494</v>
      </c>
      <c r="P88" s="474"/>
      <c r="Q88" s="499" t="e">
        <f>VLOOKUP(G:G,list!B:D,3,FALSE)</f>
        <v>#N/A</v>
      </c>
    </row>
    <row r="89" spans="2:17" ht="18" customHeight="1">
      <c r="B89" s="490">
        <v>84</v>
      </c>
      <c r="C89" s="491" t="e">
        <f>VLOOKUP(G:G,list!B:D,2,FALSE)</f>
        <v>#N/A</v>
      </c>
      <c r="D89" s="491" t="s">
        <v>69</v>
      </c>
      <c r="E89" s="491" t="s">
        <v>68</v>
      </c>
      <c r="F89" s="491" t="s">
        <v>70</v>
      </c>
      <c r="G89" s="491" t="s">
        <v>179</v>
      </c>
      <c r="H89" s="492">
        <v>44293</v>
      </c>
      <c r="I89" s="491" t="s">
        <v>351</v>
      </c>
      <c r="J89" s="513">
        <v>7562</v>
      </c>
      <c r="K89" s="514">
        <v>0.5</v>
      </c>
      <c r="L89" s="495">
        <v>3780.8020645161287</v>
      </c>
      <c r="M89" s="496">
        <v>0.1</v>
      </c>
      <c r="N89" s="500">
        <f t="shared" ref="N89:N96" si="8">L89*M89</f>
        <v>378.08020645161287</v>
      </c>
      <c r="O89" s="497">
        <f t="shared" si="4"/>
        <v>3402.7218580645158</v>
      </c>
      <c r="P89" s="474" t="s">
        <v>85</v>
      </c>
      <c r="Q89" s="499" t="e">
        <f>VLOOKUP(G:G,list!B:D,3,FALSE)</f>
        <v>#N/A</v>
      </c>
    </row>
    <row r="90" spans="2:17" ht="18" customHeight="1">
      <c r="B90" s="490">
        <v>85</v>
      </c>
      <c r="C90" s="491" t="e">
        <f>VLOOKUP(G:G,list!B:D,2,FALSE)</f>
        <v>#N/A</v>
      </c>
      <c r="D90" s="491" t="s">
        <v>69</v>
      </c>
      <c r="E90" s="491" t="s">
        <v>68</v>
      </c>
      <c r="F90" s="491" t="s">
        <v>70</v>
      </c>
      <c r="G90" s="491" t="s">
        <v>74</v>
      </c>
      <c r="H90" s="492">
        <v>44341</v>
      </c>
      <c r="I90" s="491" t="s">
        <v>351</v>
      </c>
      <c r="J90" s="513">
        <v>79</v>
      </c>
      <c r="K90" s="514">
        <v>0.5</v>
      </c>
      <c r="L90" s="495">
        <v>39.383354838709678</v>
      </c>
      <c r="M90" s="496">
        <v>0.1</v>
      </c>
      <c r="N90" s="497">
        <f t="shared" si="8"/>
        <v>3.9383354838709681</v>
      </c>
      <c r="O90" s="497">
        <f t="shared" si="4"/>
        <v>35.445019354838713</v>
      </c>
      <c r="P90" s="516"/>
      <c r="Q90" s="499" t="e">
        <f>VLOOKUP(G:G,list!B:D,3,FALSE)</f>
        <v>#N/A</v>
      </c>
    </row>
    <row r="91" spans="2:17" ht="18" customHeight="1">
      <c r="B91" s="490">
        <v>86</v>
      </c>
      <c r="C91" s="491" t="e">
        <f>VLOOKUP(G:G,list!B:D,2,FALSE)</f>
        <v>#N/A</v>
      </c>
      <c r="D91" s="491" t="s">
        <v>69</v>
      </c>
      <c r="E91" s="491" t="s">
        <v>68</v>
      </c>
      <c r="F91" s="491" t="s">
        <v>70</v>
      </c>
      <c r="G91" s="491" t="s">
        <v>152</v>
      </c>
      <c r="H91" s="492">
        <v>44291</v>
      </c>
      <c r="I91" s="491" t="s">
        <v>351</v>
      </c>
      <c r="J91" s="513">
        <v>315</v>
      </c>
      <c r="K91" s="514">
        <v>0.5</v>
      </c>
      <c r="L91" s="495">
        <v>157.53341935483871</v>
      </c>
      <c r="M91" s="496">
        <v>0.12</v>
      </c>
      <c r="N91" s="500">
        <f t="shared" si="8"/>
        <v>18.904010322580646</v>
      </c>
      <c r="O91" s="497">
        <f t="shared" si="4"/>
        <v>138.62940903225808</v>
      </c>
      <c r="P91" s="516"/>
      <c r="Q91" s="499" t="e">
        <f>VLOOKUP(G:G,list!B:D,3,FALSE)</f>
        <v>#N/A</v>
      </c>
    </row>
    <row r="92" spans="2:17" ht="18" customHeight="1">
      <c r="B92" s="490">
        <v>87</v>
      </c>
      <c r="C92" s="491" t="e">
        <f>VLOOKUP(G:G,list!B:D,2,FALSE)</f>
        <v>#N/A</v>
      </c>
      <c r="D92" s="491" t="s">
        <v>69</v>
      </c>
      <c r="E92" s="491" t="s">
        <v>68</v>
      </c>
      <c r="F92" s="491" t="s">
        <v>70</v>
      </c>
      <c r="G92" s="491" t="s">
        <v>153</v>
      </c>
      <c r="H92" s="492">
        <v>44410</v>
      </c>
      <c r="I92" s="491" t="s">
        <v>351</v>
      </c>
      <c r="J92" s="513">
        <v>6301</v>
      </c>
      <c r="K92" s="514">
        <v>0.5</v>
      </c>
      <c r="L92" s="495">
        <v>3150.668387096774</v>
      </c>
      <c r="M92" s="496">
        <v>0.1</v>
      </c>
      <c r="N92" s="497">
        <f t="shared" si="8"/>
        <v>315.06683870967743</v>
      </c>
      <c r="O92" s="497">
        <f t="shared" si="4"/>
        <v>2835.6015483870965</v>
      </c>
      <c r="P92" s="500"/>
      <c r="Q92" s="499" t="e">
        <f>VLOOKUP(G:G,list!B:D,3,FALSE)</f>
        <v>#N/A</v>
      </c>
    </row>
    <row r="93" spans="2:17" ht="18" customHeight="1">
      <c r="B93" s="490">
        <v>88</v>
      </c>
      <c r="C93" s="491" t="str">
        <f>VLOOKUP(G:G,list!B:D,2,FALSE)</f>
        <v>원작료</v>
      </c>
      <c r="D93" s="491" t="s">
        <v>69</v>
      </c>
      <c r="E93" s="491" t="s">
        <v>68</v>
      </c>
      <c r="F93" s="491" t="s">
        <v>70</v>
      </c>
      <c r="G93" s="491" t="s">
        <v>151</v>
      </c>
      <c r="H93" s="492">
        <v>44524</v>
      </c>
      <c r="I93" s="491" t="s">
        <v>351</v>
      </c>
      <c r="J93" s="513">
        <v>158</v>
      </c>
      <c r="K93" s="514">
        <v>0.5</v>
      </c>
      <c r="L93" s="495">
        <v>78.766709677419357</v>
      </c>
      <c r="M93" s="496">
        <v>0.1</v>
      </c>
      <c r="N93" s="497">
        <f t="shared" si="8"/>
        <v>7.8766709677419362</v>
      </c>
      <c r="O93" s="497">
        <f t="shared" si="4"/>
        <v>70.890038709677427</v>
      </c>
      <c r="P93" s="498"/>
      <c r="Q93" s="499" t="str">
        <f>VLOOKUP(G:G,list!B:D,3,FALSE)</f>
        <v>Y</v>
      </c>
    </row>
    <row r="94" spans="2:17" ht="18" customHeight="1">
      <c r="B94" s="490">
        <v>89</v>
      </c>
      <c r="C94" s="491" t="e">
        <f>VLOOKUP(G:G,list!B:D,2,FALSE)</f>
        <v>#N/A</v>
      </c>
      <c r="D94" s="491" t="s">
        <v>182</v>
      </c>
      <c r="E94" s="491" t="s">
        <v>9</v>
      </c>
      <c r="F94" s="491" t="s">
        <v>384</v>
      </c>
      <c r="G94" s="491" t="s">
        <v>179</v>
      </c>
      <c r="H94" s="492">
        <v>44180</v>
      </c>
      <c r="I94" s="491" t="s">
        <v>351</v>
      </c>
      <c r="J94" s="513">
        <v>512531.9388</v>
      </c>
      <c r="K94" s="514">
        <v>0.5</v>
      </c>
      <c r="L94" s="495">
        <v>256266</v>
      </c>
      <c r="M94" s="496">
        <v>0.1</v>
      </c>
      <c r="N94" s="500">
        <f t="shared" si="8"/>
        <v>25626.600000000002</v>
      </c>
      <c r="O94" s="497">
        <f t="shared" si="4"/>
        <v>230639.4</v>
      </c>
      <c r="P94" s="474" t="s">
        <v>85</v>
      </c>
      <c r="Q94" s="499" t="e">
        <f>VLOOKUP(G:G,list!B:D,3,FALSE)</f>
        <v>#N/A</v>
      </c>
    </row>
    <row r="95" spans="2:17" ht="18" customHeight="1">
      <c r="B95" s="490">
        <v>90</v>
      </c>
      <c r="C95" s="491" t="e">
        <f>VLOOKUP(G:G,list!B:D,2,FALSE)</f>
        <v>#N/A</v>
      </c>
      <c r="D95" s="491" t="s">
        <v>182</v>
      </c>
      <c r="E95" s="491" t="s">
        <v>9</v>
      </c>
      <c r="F95" s="491" t="s">
        <v>384</v>
      </c>
      <c r="G95" s="491" t="s">
        <v>152</v>
      </c>
      <c r="H95" s="492">
        <v>44180</v>
      </c>
      <c r="I95" s="491" t="s">
        <v>351</v>
      </c>
      <c r="J95" s="513">
        <v>184060.82520000002</v>
      </c>
      <c r="K95" s="514">
        <v>0.5</v>
      </c>
      <c r="L95" s="495">
        <v>92030.399999999994</v>
      </c>
      <c r="M95" s="496">
        <v>0.12</v>
      </c>
      <c r="N95" s="500">
        <f t="shared" si="8"/>
        <v>11043.647999999999</v>
      </c>
      <c r="O95" s="497">
        <f t="shared" si="4"/>
        <v>80986.751999999993</v>
      </c>
      <c r="P95" s="500"/>
      <c r="Q95" s="499" t="e">
        <f>VLOOKUP(G:G,list!B:D,3,FALSE)</f>
        <v>#N/A</v>
      </c>
    </row>
    <row r="96" spans="2:17" ht="18" customHeight="1">
      <c r="B96" s="490">
        <v>91</v>
      </c>
      <c r="C96" s="491" t="e">
        <f>VLOOKUP(G:G,list!B:D,2,FALSE)</f>
        <v>#N/A</v>
      </c>
      <c r="D96" s="491" t="s">
        <v>182</v>
      </c>
      <c r="E96" s="491" t="s">
        <v>9</v>
      </c>
      <c r="F96" s="491" t="s">
        <v>384</v>
      </c>
      <c r="G96" s="491" t="s">
        <v>153</v>
      </c>
      <c r="H96" s="492">
        <v>44180</v>
      </c>
      <c r="I96" s="491" t="s">
        <v>351</v>
      </c>
      <c r="J96" s="513">
        <v>120468.29759999999</v>
      </c>
      <c r="K96" s="514">
        <v>0.5</v>
      </c>
      <c r="L96" s="495">
        <v>60234.1</v>
      </c>
      <c r="M96" s="496">
        <v>0.1</v>
      </c>
      <c r="N96" s="497">
        <f t="shared" si="8"/>
        <v>6023.41</v>
      </c>
      <c r="O96" s="497">
        <f t="shared" si="4"/>
        <v>54210.69</v>
      </c>
      <c r="P96" s="500"/>
      <c r="Q96" s="499" t="e">
        <f>VLOOKUP(G:G,list!B:D,3,FALSE)</f>
        <v>#N/A</v>
      </c>
    </row>
    <row r="97" spans="2:17" ht="18" customHeight="1">
      <c r="B97" s="490">
        <v>92</v>
      </c>
      <c r="C97" s="491" t="e">
        <f>VLOOKUP(G:G,list!B:D,2,FALSE)</f>
        <v>#N/A</v>
      </c>
      <c r="D97" s="491" t="s">
        <v>182</v>
      </c>
      <c r="E97" s="491" t="s">
        <v>9</v>
      </c>
      <c r="F97" s="491" t="s">
        <v>384</v>
      </c>
      <c r="G97" s="491" t="s">
        <v>74</v>
      </c>
      <c r="H97" s="492">
        <v>44180</v>
      </c>
      <c r="I97" s="491" t="s">
        <v>351</v>
      </c>
      <c r="J97" s="513">
        <v>267153.61680000002</v>
      </c>
      <c r="K97" s="514">
        <v>0.5</v>
      </c>
      <c r="L97" s="495">
        <v>133576.79999999999</v>
      </c>
      <c r="M97" s="496">
        <v>0.1</v>
      </c>
      <c r="N97" s="497">
        <f>L97*M97</f>
        <v>13357.68</v>
      </c>
      <c r="O97" s="497">
        <f>L97-N97</f>
        <v>120219.12</v>
      </c>
      <c r="P97" s="474"/>
      <c r="Q97" s="499" t="e">
        <f>VLOOKUP(G:G,list!B:D,3,FALSE)</f>
        <v>#N/A</v>
      </c>
    </row>
    <row r="98" spans="2:17" ht="18" customHeight="1">
      <c r="B98" s="490">
        <v>93</v>
      </c>
      <c r="C98" s="491" t="str">
        <f>VLOOKUP(G:G,list!B:D,2,FALSE)</f>
        <v>작가기획</v>
      </c>
      <c r="D98" s="491" t="s">
        <v>182</v>
      </c>
      <c r="E98" s="491" t="s">
        <v>9</v>
      </c>
      <c r="F98" s="491" t="s">
        <v>384</v>
      </c>
      <c r="G98" s="491" t="s">
        <v>180</v>
      </c>
      <c r="H98" s="492">
        <v>44180</v>
      </c>
      <c r="I98" s="491" t="s">
        <v>351</v>
      </c>
      <c r="J98" s="513">
        <v>2096711.7192000002</v>
      </c>
      <c r="K98" s="514">
        <v>0.5</v>
      </c>
      <c r="L98" s="495">
        <v>1048355.9</v>
      </c>
      <c r="M98" s="496" t="s">
        <v>203</v>
      </c>
      <c r="N98" s="497">
        <v>0</v>
      </c>
      <c r="O98" s="497">
        <f t="shared" si="4"/>
        <v>1048355.9</v>
      </c>
      <c r="P98" s="500"/>
      <c r="Q98" s="499" t="str">
        <f>VLOOKUP(G:G,list!B:D,3,FALSE)</f>
        <v>Y</v>
      </c>
    </row>
    <row r="99" spans="2:17" ht="18" customHeight="1">
      <c r="B99" s="490">
        <v>94</v>
      </c>
      <c r="C99" s="491" t="str">
        <f>VLOOKUP(G:G,list!B:D,2,FALSE)</f>
        <v>작가기획</v>
      </c>
      <c r="D99" s="491" t="s">
        <v>182</v>
      </c>
      <c r="E99" s="491" t="s">
        <v>9</v>
      </c>
      <c r="F99" s="491" t="s">
        <v>384</v>
      </c>
      <c r="G99" s="491" t="s">
        <v>139</v>
      </c>
      <c r="H99" s="492">
        <v>44180</v>
      </c>
      <c r="I99" s="491" t="s">
        <v>351</v>
      </c>
      <c r="J99" s="513">
        <v>46042.289999999994</v>
      </c>
      <c r="K99" s="514">
        <v>0.5</v>
      </c>
      <c r="L99" s="495">
        <v>23021.1</v>
      </c>
      <c r="M99" s="496" t="s">
        <v>203</v>
      </c>
      <c r="N99" s="500">
        <v>0</v>
      </c>
      <c r="O99" s="497">
        <f t="shared" si="4"/>
        <v>23021.1</v>
      </c>
      <c r="P99" s="500"/>
      <c r="Q99" s="499" t="str">
        <f>VLOOKUP(G:G,list!B:D,3,FALSE)</f>
        <v>Y</v>
      </c>
    </row>
    <row r="100" spans="2:17" ht="18" customHeight="1">
      <c r="B100" s="490">
        <v>95</v>
      </c>
      <c r="C100" s="491" t="e">
        <f>VLOOKUP(G:G,list!B:D,2,FALSE)</f>
        <v>#N/A</v>
      </c>
      <c r="D100" s="491" t="s">
        <v>182</v>
      </c>
      <c r="E100" s="491" t="s">
        <v>115</v>
      </c>
      <c r="F100" s="491" t="s">
        <v>384</v>
      </c>
      <c r="G100" s="491" t="s">
        <v>147</v>
      </c>
      <c r="H100" s="492">
        <v>44180</v>
      </c>
      <c r="I100" s="491" t="s">
        <v>351</v>
      </c>
      <c r="J100" s="513">
        <v>264228.5772</v>
      </c>
      <c r="K100" s="514">
        <v>0.5</v>
      </c>
      <c r="L100" s="495">
        <v>132114.29999999999</v>
      </c>
      <c r="M100" s="496" t="s">
        <v>203</v>
      </c>
      <c r="N100" s="500">
        <v>0</v>
      </c>
      <c r="O100" s="497">
        <f t="shared" si="4"/>
        <v>132114.29999999999</v>
      </c>
      <c r="P100" s="500"/>
      <c r="Q100" s="499" t="e">
        <f>VLOOKUP(G:G,list!B:D,3,FALSE)</f>
        <v>#N/A</v>
      </c>
    </row>
    <row r="101" spans="2:17" ht="18" customHeight="1">
      <c r="B101" s="490">
        <v>96</v>
      </c>
      <c r="C101" s="491" t="str">
        <f>VLOOKUP(G:G,list!B:D,2,FALSE)</f>
        <v>원작료</v>
      </c>
      <c r="D101" s="491" t="s">
        <v>182</v>
      </c>
      <c r="E101" s="491" t="s">
        <v>9</v>
      </c>
      <c r="F101" s="491" t="s">
        <v>384</v>
      </c>
      <c r="G101" s="491" t="s">
        <v>151</v>
      </c>
      <c r="H101" s="492">
        <v>44207</v>
      </c>
      <c r="I101" s="491" t="s">
        <v>351</v>
      </c>
      <c r="J101" s="513">
        <v>225661.3884</v>
      </c>
      <c r="K101" s="514">
        <v>0.5</v>
      </c>
      <c r="L101" s="495">
        <v>112830.7</v>
      </c>
      <c r="M101" s="496">
        <v>0.1</v>
      </c>
      <c r="N101" s="497">
        <f t="shared" ref="N101:N107" si="9">L101*M101</f>
        <v>11283.07</v>
      </c>
      <c r="O101" s="497">
        <f t="shared" si="4"/>
        <v>101547.63</v>
      </c>
      <c r="P101" s="500"/>
      <c r="Q101" s="499" t="str">
        <f>VLOOKUP(G:G,list!B:D,3,FALSE)</f>
        <v>Y</v>
      </c>
    </row>
    <row r="102" spans="2:17" ht="18" customHeight="1">
      <c r="B102" s="490">
        <v>97</v>
      </c>
      <c r="C102" s="491" t="e">
        <f>VLOOKUP(G:G,list!B:D,2,FALSE)</f>
        <v>#N/A</v>
      </c>
      <c r="D102" s="491" t="s">
        <v>182</v>
      </c>
      <c r="E102" s="491" t="s">
        <v>9</v>
      </c>
      <c r="F102" s="491" t="s">
        <v>384</v>
      </c>
      <c r="G102" s="491" t="s">
        <v>225</v>
      </c>
      <c r="H102" s="492">
        <v>44357</v>
      </c>
      <c r="I102" s="491" t="s">
        <v>351</v>
      </c>
      <c r="J102" s="513">
        <v>80167.752000000008</v>
      </c>
      <c r="K102" s="514">
        <v>0.5</v>
      </c>
      <c r="L102" s="495">
        <v>40083.9</v>
      </c>
      <c r="M102" s="496">
        <v>0.1</v>
      </c>
      <c r="N102" s="497">
        <f t="shared" si="9"/>
        <v>4008.3900000000003</v>
      </c>
      <c r="O102" s="497">
        <f t="shared" si="4"/>
        <v>36075.51</v>
      </c>
      <c r="P102" s="474"/>
      <c r="Q102" s="499" t="e">
        <f>VLOOKUP(G:G,list!B:D,3,FALSE)</f>
        <v>#N/A</v>
      </c>
    </row>
    <row r="103" spans="2:17" ht="18" customHeight="1">
      <c r="B103" s="490">
        <v>98</v>
      </c>
      <c r="C103" s="491" t="e">
        <f>VLOOKUP(G:G,list!B:D,2,FALSE)</f>
        <v>#N/A</v>
      </c>
      <c r="D103" s="491" t="s">
        <v>182</v>
      </c>
      <c r="E103" s="491" t="s">
        <v>115</v>
      </c>
      <c r="F103" s="491" t="s">
        <v>384</v>
      </c>
      <c r="G103" s="491" t="s">
        <v>204</v>
      </c>
      <c r="H103" s="492">
        <v>44365</v>
      </c>
      <c r="I103" s="491" t="s">
        <v>351</v>
      </c>
      <c r="J103" s="513">
        <v>34883.8056</v>
      </c>
      <c r="K103" s="514">
        <v>0.5</v>
      </c>
      <c r="L103" s="495">
        <v>17441.900000000001</v>
      </c>
      <c r="M103" s="496">
        <v>0.1</v>
      </c>
      <c r="N103" s="500">
        <f t="shared" si="9"/>
        <v>1744.1900000000003</v>
      </c>
      <c r="O103" s="497">
        <f t="shared" si="4"/>
        <v>15697.710000000001</v>
      </c>
      <c r="P103" s="500"/>
      <c r="Q103" s="499" t="e">
        <f>VLOOKUP(G:G,list!B:D,3,FALSE)</f>
        <v>#N/A</v>
      </c>
    </row>
    <row r="104" spans="2:17" ht="18" customHeight="1">
      <c r="B104" s="490">
        <v>99</v>
      </c>
      <c r="C104" s="491" t="e">
        <f>VLOOKUP(G:G,list!B:D,2,FALSE)</f>
        <v>#N/A</v>
      </c>
      <c r="D104" s="491" t="s">
        <v>182</v>
      </c>
      <c r="E104" s="491" t="s">
        <v>9</v>
      </c>
      <c r="F104" s="491" t="s">
        <v>384</v>
      </c>
      <c r="G104" s="491" t="s">
        <v>226</v>
      </c>
      <c r="H104" s="492">
        <v>44371</v>
      </c>
      <c r="I104" s="491" t="s">
        <v>351</v>
      </c>
      <c r="J104" s="513">
        <v>4766.7312000000002</v>
      </c>
      <c r="K104" s="514">
        <v>0.5</v>
      </c>
      <c r="L104" s="495">
        <v>2383.4</v>
      </c>
      <c r="M104" s="496">
        <v>0.1</v>
      </c>
      <c r="N104" s="497">
        <f>L104*M104</f>
        <v>238.34000000000003</v>
      </c>
      <c r="O104" s="497">
        <f>L104-N104</f>
        <v>2145.06</v>
      </c>
      <c r="P104" s="474"/>
      <c r="Q104" s="499" t="e">
        <f>VLOOKUP(G:G,list!B:D,3,FALSE)</f>
        <v>#N/A</v>
      </c>
    </row>
    <row r="105" spans="2:17" ht="18" customHeight="1">
      <c r="B105" s="490">
        <v>100</v>
      </c>
      <c r="C105" s="491" t="e">
        <f>VLOOKUP(G:G,list!B:D,2,FALSE)</f>
        <v>#N/A</v>
      </c>
      <c r="D105" s="491" t="s">
        <v>182</v>
      </c>
      <c r="E105" s="491" t="s">
        <v>9</v>
      </c>
      <c r="F105" s="491" t="s">
        <v>384</v>
      </c>
      <c r="G105" s="491" t="s">
        <v>191</v>
      </c>
      <c r="H105" s="492">
        <v>44372</v>
      </c>
      <c r="I105" s="491" t="s">
        <v>351</v>
      </c>
      <c r="J105" s="513">
        <v>161418.85200000001</v>
      </c>
      <c r="K105" s="514">
        <v>0.5</v>
      </c>
      <c r="L105" s="495">
        <v>80709.399999999994</v>
      </c>
      <c r="M105" s="496">
        <v>0.1</v>
      </c>
      <c r="N105" s="500">
        <f t="shared" si="9"/>
        <v>8070.94</v>
      </c>
      <c r="O105" s="497">
        <f t="shared" si="4"/>
        <v>72638.459999999992</v>
      </c>
      <c r="P105" s="500"/>
      <c r="Q105" s="499" t="e">
        <f>VLOOKUP(G:G,list!B:D,3,FALSE)</f>
        <v>#N/A</v>
      </c>
    </row>
    <row r="106" spans="2:17" ht="18" customHeight="1">
      <c r="B106" s="490">
        <v>101</v>
      </c>
      <c r="C106" s="491" t="e">
        <f>VLOOKUP(G:G,list!B:D,2,FALSE)</f>
        <v>#N/A</v>
      </c>
      <c r="D106" s="491" t="s">
        <v>182</v>
      </c>
      <c r="E106" s="491" t="s">
        <v>9</v>
      </c>
      <c r="F106" s="491" t="s">
        <v>384</v>
      </c>
      <c r="G106" s="491" t="s">
        <v>336</v>
      </c>
      <c r="H106" s="492">
        <v>44392</v>
      </c>
      <c r="I106" s="491" t="s">
        <v>351</v>
      </c>
      <c r="J106" s="513">
        <v>886828.67279999983</v>
      </c>
      <c r="K106" s="514">
        <v>0.5</v>
      </c>
      <c r="L106" s="495">
        <v>443414.3</v>
      </c>
      <c r="M106" s="496">
        <v>0.1</v>
      </c>
      <c r="N106" s="497">
        <f t="shared" si="9"/>
        <v>44341.43</v>
      </c>
      <c r="O106" s="497">
        <f t="shared" si="4"/>
        <v>399072.87</v>
      </c>
      <c r="P106" s="500"/>
      <c r="Q106" s="499" t="e">
        <f>VLOOKUP(G:G,list!B:D,3,FALSE)</f>
        <v>#N/A</v>
      </c>
    </row>
    <row r="107" spans="2:17" ht="18" customHeight="1">
      <c r="B107" s="490">
        <v>102</v>
      </c>
      <c r="C107" s="491" t="e">
        <f>VLOOKUP(G:G,list!B:D,2,FALSE)</f>
        <v>#N/A</v>
      </c>
      <c r="D107" s="491" t="s">
        <v>182</v>
      </c>
      <c r="E107" s="491" t="s">
        <v>9</v>
      </c>
      <c r="F107" s="491" t="s">
        <v>384</v>
      </c>
      <c r="G107" s="491" t="s">
        <v>385</v>
      </c>
      <c r="H107" s="492">
        <v>44439</v>
      </c>
      <c r="I107" s="491" t="s">
        <v>351</v>
      </c>
      <c r="J107" s="513">
        <v>6608.4228000000003</v>
      </c>
      <c r="K107" s="514">
        <v>0.5</v>
      </c>
      <c r="L107" s="495">
        <v>3304.2</v>
      </c>
      <c r="M107" s="496">
        <v>0.1</v>
      </c>
      <c r="N107" s="500">
        <f t="shared" si="9"/>
        <v>330.42</v>
      </c>
      <c r="O107" s="497">
        <f t="shared" si="4"/>
        <v>2973.7799999999997</v>
      </c>
      <c r="P107" s="500"/>
      <c r="Q107" s="499" t="e">
        <f>VLOOKUP(G:G,list!B:D,3,FALSE)</f>
        <v>#N/A</v>
      </c>
    </row>
    <row r="108" spans="2:17" ht="18" customHeight="1">
      <c r="B108" s="490">
        <v>103</v>
      </c>
      <c r="C108" s="491" t="e">
        <f>VLOOKUP(G:G,list!B:D,2,FALSE)</f>
        <v>#N/A</v>
      </c>
      <c r="D108" s="491" t="s">
        <v>182</v>
      </c>
      <c r="E108" s="491" t="s">
        <v>115</v>
      </c>
      <c r="F108" s="491" t="s">
        <v>384</v>
      </c>
      <c r="G108" s="491" t="s">
        <v>202</v>
      </c>
      <c r="H108" s="492">
        <v>44463</v>
      </c>
      <c r="I108" s="491" t="s">
        <v>351</v>
      </c>
      <c r="J108" s="513">
        <v>43442.254799999995</v>
      </c>
      <c r="K108" s="514">
        <v>0.5</v>
      </c>
      <c r="L108" s="495">
        <v>21721.1</v>
      </c>
      <c r="M108" s="496" t="s">
        <v>203</v>
      </c>
      <c r="N108" s="497">
        <v>0</v>
      </c>
      <c r="O108" s="497">
        <f t="shared" si="4"/>
        <v>21721.1</v>
      </c>
      <c r="P108" s="500"/>
      <c r="Q108" s="499" t="e">
        <f>VLOOKUP(G:G,list!B:D,3,FALSE)</f>
        <v>#N/A</v>
      </c>
    </row>
    <row r="109" spans="2:17" ht="18" customHeight="1">
      <c r="B109" s="490">
        <v>104</v>
      </c>
      <c r="C109" s="491" t="e">
        <f>VLOOKUP(G:G,list!B:D,2,FALSE)</f>
        <v>#N/A</v>
      </c>
      <c r="D109" s="491" t="s">
        <v>182</v>
      </c>
      <c r="E109" s="491" t="s">
        <v>9</v>
      </c>
      <c r="F109" s="491" t="s">
        <v>384</v>
      </c>
      <c r="G109" s="491" t="s">
        <v>258</v>
      </c>
      <c r="H109" s="492">
        <v>44491</v>
      </c>
      <c r="I109" s="491" t="s">
        <v>351</v>
      </c>
      <c r="J109" s="513">
        <v>97176.315600000016</v>
      </c>
      <c r="K109" s="514">
        <v>0.5</v>
      </c>
      <c r="L109" s="495">
        <v>48588.2</v>
      </c>
      <c r="M109" s="496">
        <v>0.1</v>
      </c>
      <c r="N109" s="500">
        <f t="shared" ref="N109:N116" si="10">L109*M109</f>
        <v>4858.82</v>
      </c>
      <c r="O109" s="497">
        <f t="shared" si="4"/>
        <v>43729.38</v>
      </c>
      <c r="P109" s="474"/>
      <c r="Q109" s="499" t="e">
        <f>VLOOKUP(G:G,list!B:D,3,FALSE)</f>
        <v>#N/A</v>
      </c>
    </row>
    <row r="110" spans="2:17" ht="18" customHeight="1">
      <c r="B110" s="490">
        <v>105</v>
      </c>
      <c r="C110" s="491" t="e">
        <f>VLOOKUP(G:G,list!B:D,2,FALSE)</f>
        <v>#N/A</v>
      </c>
      <c r="D110" s="491" t="s">
        <v>182</v>
      </c>
      <c r="E110" s="491" t="s">
        <v>9</v>
      </c>
      <c r="F110" s="491" t="s">
        <v>384</v>
      </c>
      <c r="G110" s="491" t="s">
        <v>335</v>
      </c>
      <c r="H110" s="492">
        <v>44674</v>
      </c>
      <c r="I110" s="491" t="s">
        <v>351</v>
      </c>
      <c r="J110" s="513">
        <v>1688397.8579999998</v>
      </c>
      <c r="K110" s="514">
        <v>0.5</v>
      </c>
      <c r="L110" s="495">
        <v>844198.9</v>
      </c>
      <c r="M110" s="496">
        <v>0.1</v>
      </c>
      <c r="N110" s="500">
        <f t="shared" si="10"/>
        <v>84419.890000000014</v>
      </c>
      <c r="O110" s="497">
        <f t="shared" si="4"/>
        <v>759779.01</v>
      </c>
      <c r="P110" s="474"/>
      <c r="Q110" s="499" t="e">
        <f>VLOOKUP(G:G,list!B:D,3,FALSE)</f>
        <v>#N/A</v>
      </c>
    </row>
    <row r="111" spans="2:17" ht="18" customHeight="1">
      <c r="B111" s="490">
        <v>106</v>
      </c>
      <c r="C111" s="491" t="e">
        <f>VLOOKUP(G:G,list!B:D,2,FALSE)</f>
        <v>#N/A</v>
      </c>
      <c r="D111" s="491" t="s">
        <v>182</v>
      </c>
      <c r="E111" s="491" t="s">
        <v>9</v>
      </c>
      <c r="F111" s="491" t="s">
        <v>384</v>
      </c>
      <c r="G111" s="491" t="s">
        <v>256</v>
      </c>
      <c r="H111" s="492">
        <v>44693</v>
      </c>
      <c r="I111" s="491" t="s">
        <v>351</v>
      </c>
      <c r="J111" s="513">
        <v>9100.1231999999982</v>
      </c>
      <c r="K111" s="514">
        <v>0.5</v>
      </c>
      <c r="L111" s="495">
        <v>4550.1000000000004</v>
      </c>
      <c r="M111" s="496">
        <v>0.1</v>
      </c>
      <c r="N111" s="500">
        <f>L111*M111</f>
        <v>455.01000000000005</v>
      </c>
      <c r="O111" s="497">
        <f t="shared" si="4"/>
        <v>4095.09</v>
      </c>
      <c r="P111" s="474" t="s">
        <v>287</v>
      </c>
      <c r="Q111" s="499" t="e">
        <f>VLOOKUP(G:G,list!B:D,3,FALSE)</f>
        <v>#N/A</v>
      </c>
    </row>
    <row r="112" spans="2:17" ht="18" customHeight="1">
      <c r="B112" s="490">
        <v>107</v>
      </c>
      <c r="C112" s="491" t="e">
        <f>VLOOKUP(G:G,list!B:D,2,FALSE)</f>
        <v>#N/A</v>
      </c>
      <c r="D112" s="491" t="s">
        <v>182</v>
      </c>
      <c r="E112" s="491" t="s">
        <v>9</v>
      </c>
      <c r="F112" s="491" t="s">
        <v>283</v>
      </c>
      <c r="G112" s="491" t="s">
        <v>74</v>
      </c>
      <c r="H112" s="492">
        <v>44271</v>
      </c>
      <c r="I112" s="491" t="s">
        <v>325</v>
      </c>
      <c r="J112" s="513">
        <v>128880</v>
      </c>
      <c r="K112" s="514">
        <v>0.5</v>
      </c>
      <c r="L112" s="495">
        <v>64440</v>
      </c>
      <c r="M112" s="496">
        <v>0.1</v>
      </c>
      <c r="N112" s="497">
        <f t="shared" si="10"/>
        <v>6444</v>
      </c>
      <c r="O112" s="497">
        <f t="shared" si="4"/>
        <v>57996</v>
      </c>
      <c r="P112" s="474"/>
      <c r="Q112" s="499" t="e">
        <f>VLOOKUP(G:G,list!B:D,3,FALSE)</f>
        <v>#N/A</v>
      </c>
    </row>
    <row r="113" spans="2:17" ht="18" customHeight="1">
      <c r="B113" s="490">
        <v>108</v>
      </c>
      <c r="C113" s="491" t="e">
        <f>VLOOKUP(G:G,list!B:D,2,FALSE)</f>
        <v>#N/A</v>
      </c>
      <c r="D113" s="491" t="s">
        <v>182</v>
      </c>
      <c r="E113" s="491" t="s">
        <v>9</v>
      </c>
      <c r="F113" s="491" t="s">
        <v>283</v>
      </c>
      <c r="G113" s="491" t="s">
        <v>153</v>
      </c>
      <c r="H113" s="492">
        <v>44273</v>
      </c>
      <c r="I113" s="491" t="s">
        <v>325</v>
      </c>
      <c r="J113" s="513">
        <v>820440</v>
      </c>
      <c r="K113" s="514">
        <v>0.5</v>
      </c>
      <c r="L113" s="495">
        <v>410220</v>
      </c>
      <c r="M113" s="496">
        <v>0.1</v>
      </c>
      <c r="N113" s="497">
        <f t="shared" si="10"/>
        <v>41022</v>
      </c>
      <c r="O113" s="497">
        <f t="shared" si="4"/>
        <v>369198</v>
      </c>
      <c r="P113" s="474"/>
      <c r="Q113" s="499" t="e">
        <f>VLOOKUP(G:G,list!B:D,3,FALSE)</f>
        <v>#N/A</v>
      </c>
    </row>
    <row r="114" spans="2:17" ht="18" customHeight="1">
      <c r="B114" s="490">
        <v>109</v>
      </c>
      <c r="C114" s="491" t="e">
        <f>VLOOKUP(G:G,list!B:D,2,FALSE)</f>
        <v>#N/A</v>
      </c>
      <c r="D114" s="491" t="s">
        <v>182</v>
      </c>
      <c r="E114" s="491" t="s">
        <v>9</v>
      </c>
      <c r="F114" s="491" t="s">
        <v>283</v>
      </c>
      <c r="G114" s="491" t="s">
        <v>152</v>
      </c>
      <c r="H114" s="492">
        <v>44280</v>
      </c>
      <c r="I114" s="491" t="s">
        <v>325</v>
      </c>
      <c r="J114" s="513">
        <v>1771560</v>
      </c>
      <c r="K114" s="514">
        <v>0.5</v>
      </c>
      <c r="L114" s="495">
        <v>885780</v>
      </c>
      <c r="M114" s="496">
        <v>0.12</v>
      </c>
      <c r="N114" s="500">
        <f t="shared" si="10"/>
        <v>106293.59999999999</v>
      </c>
      <c r="O114" s="497">
        <f t="shared" ref="O114:O117" si="11">L114-N114</f>
        <v>779486.4</v>
      </c>
      <c r="P114" s="474"/>
      <c r="Q114" s="499" t="e">
        <f>VLOOKUP(G:G,list!B:D,3,FALSE)</f>
        <v>#N/A</v>
      </c>
    </row>
    <row r="115" spans="2:17" ht="18" customHeight="1">
      <c r="B115" s="490">
        <v>110</v>
      </c>
      <c r="C115" s="491" t="e">
        <f>VLOOKUP(G:G,list!B:D,2,FALSE)</f>
        <v>#N/A</v>
      </c>
      <c r="D115" s="491" t="s">
        <v>182</v>
      </c>
      <c r="E115" s="491" t="s">
        <v>9</v>
      </c>
      <c r="F115" s="491" t="s">
        <v>283</v>
      </c>
      <c r="G115" s="491" t="s">
        <v>179</v>
      </c>
      <c r="H115" s="492">
        <v>44287</v>
      </c>
      <c r="I115" s="491" t="s">
        <v>325</v>
      </c>
      <c r="J115" s="513">
        <v>5759460</v>
      </c>
      <c r="K115" s="514">
        <v>0.5</v>
      </c>
      <c r="L115" s="495">
        <v>2879730</v>
      </c>
      <c r="M115" s="496">
        <v>0.1</v>
      </c>
      <c r="N115" s="500">
        <f>L115*M115</f>
        <v>287973</v>
      </c>
      <c r="O115" s="497">
        <f t="shared" si="11"/>
        <v>2591757</v>
      </c>
      <c r="P115" s="474" t="s">
        <v>85</v>
      </c>
      <c r="Q115" s="499" t="e">
        <f>VLOOKUP(G:G,list!B:D,3,FALSE)</f>
        <v>#N/A</v>
      </c>
    </row>
    <row r="116" spans="2:17" ht="18" customHeight="1">
      <c r="B116" s="490">
        <v>111</v>
      </c>
      <c r="C116" s="491" t="str">
        <f>VLOOKUP(G:G,list!B:D,2,FALSE)</f>
        <v>원작료</v>
      </c>
      <c r="D116" s="491" t="s">
        <v>182</v>
      </c>
      <c r="E116" s="491" t="s">
        <v>9</v>
      </c>
      <c r="F116" s="491" t="s">
        <v>283</v>
      </c>
      <c r="G116" s="491" t="s">
        <v>151</v>
      </c>
      <c r="H116" s="492">
        <v>44357</v>
      </c>
      <c r="I116" s="491" t="s">
        <v>325</v>
      </c>
      <c r="J116" s="513">
        <v>1696140</v>
      </c>
      <c r="K116" s="514">
        <v>0.5</v>
      </c>
      <c r="L116" s="495">
        <v>848070</v>
      </c>
      <c r="M116" s="496">
        <v>0.1</v>
      </c>
      <c r="N116" s="497">
        <f t="shared" si="10"/>
        <v>84807</v>
      </c>
      <c r="O116" s="497">
        <f t="shared" si="11"/>
        <v>763263</v>
      </c>
      <c r="P116" s="474"/>
      <c r="Q116" s="499" t="str">
        <f>VLOOKUP(G:G,list!B:D,3,FALSE)</f>
        <v>Y</v>
      </c>
    </row>
    <row r="117" spans="2:17" ht="18" customHeight="1">
      <c r="B117" s="490">
        <v>112</v>
      </c>
      <c r="C117" s="491" t="e">
        <f>VLOOKUP(G:G,list!B:D,2,FALSE)</f>
        <v>#N/A</v>
      </c>
      <c r="D117" s="491" t="s">
        <v>182</v>
      </c>
      <c r="E117" s="491" t="s">
        <v>9</v>
      </c>
      <c r="F117" s="491" t="s">
        <v>283</v>
      </c>
      <c r="G117" s="491" t="s">
        <v>147</v>
      </c>
      <c r="H117" s="492">
        <v>44271</v>
      </c>
      <c r="I117" s="491" t="s">
        <v>325</v>
      </c>
      <c r="J117" s="513">
        <v>2161800</v>
      </c>
      <c r="K117" s="514">
        <v>0.5</v>
      </c>
      <c r="L117" s="495">
        <v>1080900</v>
      </c>
      <c r="M117" s="496" t="s">
        <v>203</v>
      </c>
      <c r="N117" s="500">
        <v>0</v>
      </c>
      <c r="O117" s="497">
        <f t="shared" si="11"/>
        <v>1080900</v>
      </c>
      <c r="P117" s="474"/>
      <c r="Q117" s="499" t="e">
        <f>VLOOKUP(G:G,list!B:D,3,FALSE)</f>
        <v>#N/A</v>
      </c>
    </row>
    <row r="118" spans="2:17" ht="18" customHeight="1">
      <c r="B118" s="490">
        <v>113</v>
      </c>
      <c r="C118" s="491" t="e">
        <f>VLOOKUP(G:G,list!B:D,2,FALSE)</f>
        <v>#N/A</v>
      </c>
      <c r="D118" s="491" t="s">
        <v>182</v>
      </c>
      <c r="E118" s="491" t="s">
        <v>115</v>
      </c>
      <c r="F118" s="491" t="s">
        <v>283</v>
      </c>
      <c r="G118" s="491" t="s">
        <v>225</v>
      </c>
      <c r="H118" s="492">
        <v>44358</v>
      </c>
      <c r="I118" s="491" t="s">
        <v>325</v>
      </c>
      <c r="J118" s="513">
        <v>916620</v>
      </c>
      <c r="K118" s="514">
        <v>0.5</v>
      </c>
      <c r="L118" s="495">
        <v>458310</v>
      </c>
      <c r="M118" s="496">
        <v>0.1</v>
      </c>
      <c r="N118" s="497">
        <f>L118*M118</f>
        <v>45831</v>
      </c>
      <c r="O118" s="497">
        <f>L118-N118</f>
        <v>412479</v>
      </c>
      <c r="P118" s="474"/>
      <c r="Q118" s="499" t="e">
        <f>VLOOKUP(G:G,list!B:D,3,FALSE)</f>
        <v>#N/A</v>
      </c>
    </row>
    <row r="119" spans="2:17" ht="18" customHeight="1">
      <c r="B119" s="490">
        <v>114</v>
      </c>
      <c r="C119" s="491" t="e">
        <f>VLOOKUP(G:G,list!B:D,2,FALSE)</f>
        <v>#N/A</v>
      </c>
      <c r="D119" s="491" t="s">
        <v>182</v>
      </c>
      <c r="E119" s="491" t="s">
        <v>9</v>
      </c>
      <c r="F119" s="491" t="s">
        <v>283</v>
      </c>
      <c r="G119" s="491" t="s">
        <v>191</v>
      </c>
      <c r="H119" s="492">
        <v>44392</v>
      </c>
      <c r="I119" s="491" t="s">
        <v>325</v>
      </c>
      <c r="J119" s="513">
        <v>1522980</v>
      </c>
      <c r="K119" s="514">
        <v>0.5</v>
      </c>
      <c r="L119" s="495">
        <v>761490</v>
      </c>
      <c r="M119" s="496">
        <v>0.1</v>
      </c>
      <c r="N119" s="500">
        <f>L119*M119</f>
        <v>76149</v>
      </c>
      <c r="O119" s="497">
        <f t="shared" ref="O119:O130" si="12">L119-N119</f>
        <v>685341</v>
      </c>
      <c r="P119" s="474"/>
      <c r="Q119" s="499" t="e">
        <f>VLOOKUP(G:G,list!B:D,3,FALSE)</f>
        <v>#N/A</v>
      </c>
    </row>
    <row r="120" spans="2:17" ht="18" customHeight="1">
      <c r="B120" s="490">
        <v>115</v>
      </c>
      <c r="C120" s="491" t="e">
        <f>VLOOKUP(G:G,list!B:D,2,FALSE)</f>
        <v>#N/A</v>
      </c>
      <c r="D120" s="491" t="s">
        <v>182</v>
      </c>
      <c r="E120" s="491" t="s">
        <v>115</v>
      </c>
      <c r="F120" s="491" t="s">
        <v>386</v>
      </c>
      <c r="G120" s="491" t="s">
        <v>74</v>
      </c>
      <c r="H120" s="492">
        <v>44612</v>
      </c>
      <c r="I120" s="491" t="s">
        <v>325</v>
      </c>
      <c r="J120" s="513">
        <v>122528</v>
      </c>
      <c r="K120" s="514">
        <v>0.5</v>
      </c>
      <c r="L120" s="495">
        <v>61264</v>
      </c>
      <c r="M120" s="496">
        <v>0.1</v>
      </c>
      <c r="N120" s="497">
        <f t="shared" ref="N120:N122" si="13">L120*M120</f>
        <v>6126.4000000000005</v>
      </c>
      <c r="O120" s="497">
        <f t="shared" si="12"/>
        <v>55137.599999999999</v>
      </c>
      <c r="P120" s="474"/>
      <c r="Q120" s="499" t="e">
        <f>VLOOKUP(G:G,list!B:D,3,FALSE)</f>
        <v>#N/A</v>
      </c>
    </row>
    <row r="121" spans="2:17" ht="18" customHeight="1">
      <c r="B121" s="490">
        <v>116</v>
      </c>
      <c r="C121" s="491" t="e">
        <f>VLOOKUP(G:G,list!B:D,2,FALSE)</f>
        <v>#N/A</v>
      </c>
      <c r="D121" s="491" t="s">
        <v>182</v>
      </c>
      <c r="E121" s="491" t="s">
        <v>115</v>
      </c>
      <c r="F121" s="491" t="s">
        <v>386</v>
      </c>
      <c r="G121" s="491" t="s">
        <v>153</v>
      </c>
      <c r="H121" s="492">
        <v>44604</v>
      </c>
      <c r="I121" s="491" t="s">
        <v>325</v>
      </c>
      <c r="J121" s="513">
        <v>1420201</v>
      </c>
      <c r="K121" s="514">
        <v>0.5</v>
      </c>
      <c r="L121" s="495">
        <v>710100.5</v>
      </c>
      <c r="M121" s="496">
        <v>0.1</v>
      </c>
      <c r="N121" s="497">
        <f t="shared" si="13"/>
        <v>71010.05</v>
      </c>
      <c r="O121" s="497">
        <f t="shared" si="12"/>
        <v>639090.44999999995</v>
      </c>
      <c r="P121" s="474"/>
      <c r="Q121" s="499" t="e">
        <f>VLOOKUP(G:G,list!B:D,3,FALSE)</f>
        <v>#N/A</v>
      </c>
    </row>
    <row r="122" spans="2:17" ht="18" customHeight="1">
      <c r="B122" s="490">
        <v>117</v>
      </c>
      <c r="C122" s="491" t="e">
        <f>VLOOKUP(G:G,list!B:D,2,FALSE)</f>
        <v>#N/A</v>
      </c>
      <c r="D122" s="491" t="s">
        <v>182</v>
      </c>
      <c r="E122" s="491" t="s">
        <v>115</v>
      </c>
      <c r="F122" s="491" t="s">
        <v>386</v>
      </c>
      <c r="G122" s="491" t="s">
        <v>152</v>
      </c>
      <c r="H122" s="492">
        <v>44621</v>
      </c>
      <c r="I122" s="491" t="s">
        <v>325</v>
      </c>
      <c r="J122" s="513">
        <v>5365921</v>
      </c>
      <c r="K122" s="514">
        <v>0.5</v>
      </c>
      <c r="L122" s="495">
        <v>2682960.5</v>
      </c>
      <c r="M122" s="496">
        <v>0.12</v>
      </c>
      <c r="N122" s="500">
        <f t="shared" si="13"/>
        <v>321955.26</v>
      </c>
      <c r="O122" s="497">
        <f t="shared" si="12"/>
        <v>2361005.2400000002</v>
      </c>
      <c r="P122" s="474" t="s">
        <v>287</v>
      </c>
      <c r="Q122" s="499" t="e">
        <f>VLOOKUP(G:G,list!B:D,3,FALSE)</f>
        <v>#N/A</v>
      </c>
    </row>
    <row r="123" spans="2:17" ht="18" customHeight="1">
      <c r="B123" s="490">
        <v>118</v>
      </c>
      <c r="C123" s="491" t="e">
        <f>VLOOKUP(G:G,list!B:D,2,FALSE)</f>
        <v>#N/A</v>
      </c>
      <c r="D123" s="491" t="s">
        <v>182</v>
      </c>
      <c r="E123" s="491" t="s">
        <v>115</v>
      </c>
      <c r="F123" s="491" t="s">
        <v>386</v>
      </c>
      <c r="G123" s="491" t="s">
        <v>179</v>
      </c>
      <c r="H123" s="492">
        <v>44596</v>
      </c>
      <c r="I123" s="491" t="s">
        <v>325</v>
      </c>
      <c r="J123" s="513">
        <v>1465581</v>
      </c>
      <c r="K123" s="514">
        <v>0.5</v>
      </c>
      <c r="L123" s="495">
        <v>732790.5</v>
      </c>
      <c r="M123" s="496">
        <v>0.1</v>
      </c>
      <c r="N123" s="500">
        <f>L123*M123</f>
        <v>73279.05</v>
      </c>
      <c r="O123" s="497">
        <f t="shared" si="12"/>
        <v>659511.44999999995</v>
      </c>
      <c r="P123" s="474" t="s">
        <v>367</v>
      </c>
      <c r="Q123" s="499" t="e">
        <f>VLOOKUP(G:G,list!B:D,3,FALSE)</f>
        <v>#N/A</v>
      </c>
    </row>
    <row r="124" spans="2:17" ht="18" customHeight="1">
      <c r="B124" s="490">
        <v>119</v>
      </c>
      <c r="C124" s="491" t="str">
        <f>VLOOKUP(G:G,list!B:D,2,FALSE)</f>
        <v>원작료</v>
      </c>
      <c r="D124" s="491" t="s">
        <v>182</v>
      </c>
      <c r="E124" s="491" t="s">
        <v>115</v>
      </c>
      <c r="F124" s="491" t="s">
        <v>386</v>
      </c>
      <c r="G124" s="491" t="s">
        <v>151</v>
      </c>
      <c r="H124" s="492">
        <v>44591</v>
      </c>
      <c r="I124" s="491" t="s">
        <v>325</v>
      </c>
      <c r="J124" s="513">
        <v>176996</v>
      </c>
      <c r="K124" s="514">
        <v>0.5</v>
      </c>
      <c r="L124" s="495">
        <v>88498</v>
      </c>
      <c r="M124" s="496">
        <v>0.1</v>
      </c>
      <c r="N124" s="497">
        <f t="shared" ref="N124:N152" si="14">L124*M124</f>
        <v>8849.8000000000011</v>
      </c>
      <c r="O124" s="497">
        <f t="shared" si="12"/>
        <v>79648.2</v>
      </c>
      <c r="P124" s="474"/>
      <c r="Q124" s="499" t="str">
        <f>VLOOKUP(G:G,list!B:D,3,FALSE)</f>
        <v>Y</v>
      </c>
    </row>
    <row r="125" spans="2:17" ht="18" customHeight="1">
      <c r="B125" s="490">
        <v>120</v>
      </c>
      <c r="C125" s="491" t="str">
        <f>VLOOKUP(G:G,list!B:D,2,FALSE)</f>
        <v>작가기획</v>
      </c>
      <c r="D125" s="491" t="s">
        <v>182</v>
      </c>
      <c r="E125" s="491" t="s">
        <v>115</v>
      </c>
      <c r="F125" s="491" t="s">
        <v>386</v>
      </c>
      <c r="G125" s="491" t="s">
        <v>180</v>
      </c>
      <c r="H125" s="492">
        <v>44643</v>
      </c>
      <c r="I125" s="491" t="s">
        <v>325</v>
      </c>
      <c r="J125" s="513">
        <v>30604</v>
      </c>
      <c r="K125" s="514">
        <v>0.5</v>
      </c>
      <c r="L125" s="495">
        <v>15302</v>
      </c>
      <c r="M125" s="496" t="s">
        <v>203</v>
      </c>
      <c r="N125" s="497">
        <v>0</v>
      </c>
      <c r="O125" s="497">
        <f t="shared" si="12"/>
        <v>15302</v>
      </c>
      <c r="P125" s="474" t="s">
        <v>287</v>
      </c>
      <c r="Q125" s="499" t="str">
        <f>VLOOKUP(G:G,list!B:D,3,FALSE)</f>
        <v>Y</v>
      </c>
    </row>
    <row r="126" spans="2:17" ht="18" customHeight="1">
      <c r="B126" s="490">
        <v>121</v>
      </c>
      <c r="C126" s="491" t="e">
        <f>VLOOKUP(G:G,list!B:D,2,FALSE)</f>
        <v>#N/A</v>
      </c>
      <c r="D126" s="491" t="s">
        <v>182</v>
      </c>
      <c r="E126" s="491" t="s">
        <v>115</v>
      </c>
      <c r="F126" s="491" t="s">
        <v>386</v>
      </c>
      <c r="G126" s="491" t="s">
        <v>226</v>
      </c>
      <c r="H126" s="492">
        <v>44633</v>
      </c>
      <c r="I126" s="491" t="s">
        <v>325</v>
      </c>
      <c r="J126" s="513">
        <v>58488</v>
      </c>
      <c r="K126" s="514">
        <v>0.5</v>
      </c>
      <c r="L126" s="495">
        <v>29244</v>
      </c>
      <c r="M126" s="496">
        <v>0.1</v>
      </c>
      <c r="N126" s="497">
        <f>L126*M126</f>
        <v>2924.4</v>
      </c>
      <c r="O126" s="497">
        <f>L126-N126</f>
        <v>26319.599999999999</v>
      </c>
      <c r="P126" s="474" t="s">
        <v>287</v>
      </c>
      <c r="Q126" s="499" t="e">
        <f>VLOOKUP(G:G,list!B:D,3,FALSE)</f>
        <v>#N/A</v>
      </c>
    </row>
    <row r="127" spans="2:17" ht="18" customHeight="1">
      <c r="B127" s="490">
        <v>122</v>
      </c>
      <c r="C127" s="491" t="e">
        <f>VLOOKUP(G:G,list!B:D,2,FALSE)</f>
        <v>#N/A</v>
      </c>
      <c r="D127" s="491" t="s">
        <v>182</v>
      </c>
      <c r="E127" s="491" t="s">
        <v>115</v>
      </c>
      <c r="F127" s="491" t="s">
        <v>386</v>
      </c>
      <c r="G127" s="491" t="s">
        <v>204</v>
      </c>
      <c r="H127" s="492">
        <v>44615</v>
      </c>
      <c r="I127" s="491" t="s">
        <v>325</v>
      </c>
      <c r="J127" s="513">
        <v>1837282</v>
      </c>
      <c r="K127" s="514">
        <v>0.5</v>
      </c>
      <c r="L127" s="495">
        <v>918641</v>
      </c>
      <c r="M127" s="496">
        <v>0.1</v>
      </c>
      <c r="N127" s="500">
        <f t="shared" si="14"/>
        <v>91864.1</v>
      </c>
      <c r="O127" s="497">
        <f t="shared" si="12"/>
        <v>826776.9</v>
      </c>
      <c r="P127" s="474"/>
      <c r="Q127" s="499" t="e">
        <f>VLOOKUP(G:G,list!B:D,3,FALSE)</f>
        <v>#N/A</v>
      </c>
    </row>
    <row r="128" spans="2:17" ht="18" customHeight="1">
      <c r="B128" s="490">
        <v>123</v>
      </c>
      <c r="C128" s="491" t="str">
        <f>VLOOKUP(G:G,list!B:D,2,FALSE)</f>
        <v>작가기획</v>
      </c>
      <c r="D128" s="491" t="s">
        <v>182</v>
      </c>
      <c r="E128" s="491" t="s">
        <v>115</v>
      </c>
      <c r="F128" s="491" t="s">
        <v>386</v>
      </c>
      <c r="G128" s="491" t="s">
        <v>139</v>
      </c>
      <c r="H128" s="492">
        <v>44643</v>
      </c>
      <c r="I128" s="491" t="s">
        <v>325</v>
      </c>
      <c r="J128" s="513">
        <v>264</v>
      </c>
      <c r="K128" s="514">
        <v>0.5</v>
      </c>
      <c r="L128" s="495">
        <v>132</v>
      </c>
      <c r="M128" s="496" t="s">
        <v>203</v>
      </c>
      <c r="N128" s="500">
        <v>0</v>
      </c>
      <c r="O128" s="497">
        <f t="shared" si="12"/>
        <v>132</v>
      </c>
      <c r="P128" s="474" t="s">
        <v>287</v>
      </c>
      <c r="Q128" s="499" t="str">
        <f>VLOOKUP(G:G,list!B:D,3,FALSE)</f>
        <v>Y</v>
      </c>
    </row>
    <row r="129" spans="2:17" ht="18" customHeight="1">
      <c r="B129" s="490">
        <v>124</v>
      </c>
      <c r="C129" s="491" t="e">
        <f>VLOOKUP(G:G,list!B:D,2,FALSE)</f>
        <v>#N/A</v>
      </c>
      <c r="D129" s="491" t="s">
        <v>182</v>
      </c>
      <c r="E129" s="491" t="s">
        <v>115</v>
      </c>
      <c r="F129" s="491" t="s">
        <v>386</v>
      </c>
      <c r="G129" s="491" t="s">
        <v>147</v>
      </c>
      <c r="H129" s="492">
        <v>44593</v>
      </c>
      <c r="I129" s="491" t="s">
        <v>325</v>
      </c>
      <c r="J129" s="513">
        <v>197205</v>
      </c>
      <c r="K129" s="514">
        <v>0.5</v>
      </c>
      <c r="L129" s="495">
        <v>98602.5</v>
      </c>
      <c r="M129" s="496" t="s">
        <v>203</v>
      </c>
      <c r="N129" s="500">
        <v>0</v>
      </c>
      <c r="O129" s="497">
        <f t="shared" si="12"/>
        <v>98602.5</v>
      </c>
      <c r="P129" s="474"/>
      <c r="Q129" s="499" t="e">
        <f>VLOOKUP(G:G,list!B:D,3,FALSE)</f>
        <v>#N/A</v>
      </c>
    </row>
    <row r="130" spans="2:17" ht="18" customHeight="1">
      <c r="B130" s="490">
        <v>125</v>
      </c>
      <c r="C130" s="491" t="e">
        <f>VLOOKUP(G:G,list!B:D,2,FALSE)</f>
        <v>#N/A</v>
      </c>
      <c r="D130" s="491" t="s">
        <v>182</v>
      </c>
      <c r="E130" s="491" t="s">
        <v>115</v>
      </c>
      <c r="F130" s="491" t="s">
        <v>386</v>
      </c>
      <c r="G130" s="491" t="s">
        <v>191</v>
      </c>
      <c r="H130" s="492">
        <v>44599</v>
      </c>
      <c r="I130" s="491" t="s">
        <v>325</v>
      </c>
      <c r="J130" s="513">
        <v>3266971</v>
      </c>
      <c r="K130" s="514">
        <v>0.5</v>
      </c>
      <c r="L130" s="495">
        <v>1633485.5</v>
      </c>
      <c r="M130" s="496">
        <v>0.1</v>
      </c>
      <c r="N130" s="500">
        <f>L130*M130</f>
        <v>163348.55000000002</v>
      </c>
      <c r="O130" s="497">
        <f t="shared" si="12"/>
        <v>1470136.95</v>
      </c>
      <c r="P130" s="474"/>
      <c r="Q130" s="499" t="e">
        <f>VLOOKUP(G:G,list!B:D,3,FALSE)</f>
        <v>#N/A</v>
      </c>
    </row>
    <row r="131" spans="2:17" ht="18" customHeight="1">
      <c r="B131" s="490">
        <v>126</v>
      </c>
      <c r="C131" s="491" t="str">
        <f>VLOOKUP(G:G,list!B:D,2,FALSE)</f>
        <v>원작료</v>
      </c>
      <c r="D131" s="491" t="s">
        <v>182</v>
      </c>
      <c r="E131" s="491" t="s">
        <v>115</v>
      </c>
      <c r="F131" s="491" t="s">
        <v>372</v>
      </c>
      <c r="G131" s="491" t="s">
        <v>151</v>
      </c>
      <c r="H131" s="492">
        <v>44610</v>
      </c>
      <c r="I131" s="491" t="s">
        <v>328</v>
      </c>
      <c r="J131" s="513">
        <v>19922.400000000001</v>
      </c>
      <c r="K131" s="514">
        <v>0.5</v>
      </c>
      <c r="L131" s="495">
        <v>9961.2000000000007</v>
      </c>
      <c r="M131" s="496">
        <v>0.1</v>
      </c>
      <c r="N131" s="497">
        <f t="shared" ref="N131" si="15">L131*M131</f>
        <v>996.12000000000012</v>
      </c>
      <c r="O131" s="497">
        <f t="shared" ref="O131" si="16">L131-N131</f>
        <v>8965.08</v>
      </c>
      <c r="P131" s="474" t="s">
        <v>287</v>
      </c>
      <c r="Q131" s="499" t="str">
        <f>VLOOKUP(G:G,list!B:D,3,FALSE)</f>
        <v>Y</v>
      </c>
    </row>
    <row r="132" spans="2:17" ht="18" customHeight="1">
      <c r="B132" s="490">
        <v>127</v>
      </c>
      <c r="C132" s="491" t="e">
        <f>VLOOKUP(G:G,list!B:D,2,FALSE)</f>
        <v>#N/A</v>
      </c>
      <c r="D132" s="491" t="s">
        <v>182</v>
      </c>
      <c r="E132" s="491" t="s">
        <v>115</v>
      </c>
      <c r="F132" s="491" t="s">
        <v>372</v>
      </c>
      <c r="G132" s="491" t="s">
        <v>226</v>
      </c>
      <c r="H132" s="492">
        <v>44610</v>
      </c>
      <c r="I132" s="491" t="s">
        <v>328</v>
      </c>
      <c r="J132" s="513">
        <v>2936</v>
      </c>
      <c r="K132" s="514">
        <v>0.5</v>
      </c>
      <c r="L132" s="495">
        <v>1468</v>
      </c>
      <c r="M132" s="496">
        <v>0.1</v>
      </c>
      <c r="N132" s="497">
        <f>L132*M132</f>
        <v>146.80000000000001</v>
      </c>
      <c r="O132" s="497">
        <f>L132-N132</f>
        <v>1321.2</v>
      </c>
      <c r="P132" s="474" t="s">
        <v>287</v>
      </c>
      <c r="Q132" s="499" t="e">
        <f>VLOOKUP(G:G,list!B:D,3,FALSE)</f>
        <v>#N/A</v>
      </c>
    </row>
    <row r="133" spans="2:17" ht="18" customHeight="1">
      <c r="B133" s="490">
        <v>128</v>
      </c>
      <c r="C133" s="491" t="e">
        <f>VLOOKUP(G:G,list!B:D,2,FALSE)</f>
        <v>#N/A</v>
      </c>
      <c r="D133" s="491" t="s">
        <v>182</v>
      </c>
      <c r="E133" s="491" t="s">
        <v>115</v>
      </c>
      <c r="F133" s="491" t="s">
        <v>372</v>
      </c>
      <c r="G133" s="491" t="s">
        <v>179</v>
      </c>
      <c r="H133" s="492">
        <v>44610</v>
      </c>
      <c r="I133" s="491" t="s">
        <v>328</v>
      </c>
      <c r="J133" s="513">
        <v>47394.400000000001</v>
      </c>
      <c r="K133" s="514">
        <v>0.5</v>
      </c>
      <c r="L133" s="495">
        <v>23697.200000000001</v>
      </c>
      <c r="M133" s="496">
        <v>0.1</v>
      </c>
      <c r="N133" s="500">
        <f>L133*M133</f>
        <v>2369.7200000000003</v>
      </c>
      <c r="O133" s="497">
        <f t="shared" ref="O133:O134" si="17">L133-N133</f>
        <v>21327.48</v>
      </c>
      <c r="P133" s="474" t="s">
        <v>376</v>
      </c>
      <c r="Q133" s="499" t="e">
        <f>VLOOKUP(G:G,list!B:D,3,FALSE)</f>
        <v>#N/A</v>
      </c>
    </row>
    <row r="134" spans="2:17" ht="18" customHeight="1">
      <c r="B134" s="490">
        <v>129</v>
      </c>
      <c r="C134" s="491" t="e">
        <f>VLOOKUP(G:G,list!B:D,2,FALSE)</f>
        <v>#N/A</v>
      </c>
      <c r="D134" s="491" t="s">
        <v>182</v>
      </c>
      <c r="E134" s="491" t="s">
        <v>115</v>
      </c>
      <c r="F134" s="491" t="s">
        <v>372</v>
      </c>
      <c r="G134" s="491" t="s">
        <v>152</v>
      </c>
      <c r="H134" s="492">
        <v>44610</v>
      </c>
      <c r="I134" s="491" t="s">
        <v>328</v>
      </c>
      <c r="J134" s="513">
        <v>30617.599999999999</v>
      </c>
      <c r="K134" s="514">
        <v>0.5</v>
      </c>
      <c r="L134" s="495">
        <v>15308.8</v>
      </c>
      <c r="M134" s="496">
        <v>0.12</v>
      </c>
      <c r="N134" s="500">
        <f t="shared" ref="N134" si="18">L134*M134</f>
        <v>1837.0559999999998</v>
      </c>
      <c r="O134" s="497">
        <f t="shared" si="17"/>
        <v>13471.743999999999</v>
      </c>
      <c r="P134" s="474" t="s">
        <v>287</v>
      </c>
      <c r="Q134" s="499" t="e">
        <f>VLOOKUP(G:G,list!B:D,3,FALSE)</f>
        <v>#N/A</v>
      </c>
    </row>
    <row r="135" spans="2:17" ht="18" customHeight="1">
      <c r="B135" s="490">
        <v>130</v>
      </c>
      <c r="C135" s="491" t="e">
        <f>VLOOKUP(G:G,list!B:D,2,FALSE)</f>
        <v>#N/A</v>
      </c>
      <c r="D135" s="491" t="s">
        <v>182</v>
      </c>
      <c r="E135" s="491" t="s">
        <v>115</v>
      </c>
      <c r="F135" s="491" t="s">
        <v>372</v>
      </c>
      <c r="G135" s="491" t="s">
        <v>153</v>
      </c>
      <c r="H135" s="492">
        <v>44610</v>
      </c>
      <c r="I135" s="491" t="s">
        <v>328</v>
      </c>
      <c r="J135" s="513">
        <v>23697.200000000001</v>
      </c>
      <c r="K135" s="514">
        <v>0.5</v>
      </c>
      <c r="L135" s="495">
        <v>11848.6</v>
      </c>
      <c r="M135" s="496">
        <v>0.1</v>
      </c>
      <c r="N135" s="497">
        <f t="shared" ref="N135" si="19">L135*M135</f>
        <v>1184.8600000000001</v>
      </c>
      <c r="O135" s="497">
        <f t="shared" ref="O135" si="20">L135-N135</f>
        <v>10663.74</v>
      </c>
      <c r="P135" s="474" t="s">
        <v>287</v>
      </c>
      <c r="Q135" s="499" t="e">
        <f>VLOOKUP(G:G,list!B:D,3,FALSE)</f>
        <v>#N/A</v>
      </c>
    </row>
    <row r="136" spans="2:17" ht="18" customHeight="1">
      <c r="B136" s="490">
        <v>131</v>
      </c>
      <c r="C136" s="491" t="e">
        <f>VLOOKUP(G:G,list!B:D,2,FALSE)</f>
        <v>#N/A</v>
      </c>
      <c r="D136" s="491" t="s">
        <v>182</v>
      </c>
      <c r="E136" s="491" t="s">
        <v>115</v>
      </c>
      <c r="F136" s="491" t="s">
        <v>372</v>
      </c>
      <c r="G136" s="491" t="s">
        <v>147</v>
      </c>
      <c r="H136" s="492">
        <v>44610</v>
      </c>
      <c r="I136" s="491" t="s">
        <v>328</v>
      </c>
      <c r="J136" s="513">
        <v>33343.800000000003</v>
      </c>
      <c r="K136" s="514">
        <v>0.5</v>
      </c>
      <c r="L136" s="495">
        <v>16671.900000000001</v>
      </c>
      <c r="M136" s="496" t="s">
        <v>203</v>
      </c>
      <c r="N136" s="500">
        <v>0</v>
      </c>
      <c r="O136" s="497">
        <f t="shared" ref="O136:O137" si="21">L136-N136</f>
        <v>16671.900000000001</v>
      </c>
      <c r="P136" s="474" t="s">
        <v>287</v>
      </c>
      <c r="Q136" s="499" t="e">
        <f>VLOOKUP(G:G,list!B:D,3,FALSE)</f>
        <v>#N/A</v>
      </c>
    </row>
    <row r="137" spans="2:17" ht="18" customHeight="1">
      <c r="B137" s="490">
        <v>132</v>
      </c>
      <c r="C137" s="491" t="e">
        <f>VLOOKUP(G:G,list!B:D,2,FALSE)</f>
        <v>#N/A</v>
      </c>
      <c r="D137" s="491" t="s">
        <v>182</v>
      </c>
      <c r="E137" s="491" t="s">
        <v>115</v>
      </c>
      <c r="F137" s="491" t="s">
        <v>372</v>
      </c>
      <c r="G137" s="491" t="s">
        <v>74</v>
      </c>
      <c r="H137" s="492">
        <v>44610</v>
      </c>
      <c r="I137" s="491" t="s">
        <v>328</v>
      </c>
      <c r="J137" s="513">
        <v>3355.4</v>
      </c>
      <c r="K137" s="514">
        <v>0.5</v>
      </c>
      <c r="L137" s="495">
        <v>1677.7</v>
      </c>
      <c r="M137" s="496">
        <v>0.1</v>
      </c>
      <c r="N137" s="497">
        <f t="shared" ref="N137" si="22">L137*M137</f>
        <v>167.77</v>
      </c>
      <c r="O137" s="497">
        <f t="shared" si="21"/>
        <v>1509.93</v>
      </c>
      <c r="P137" s="474" t="s">
        <v>287</v>
      </c>
      <c r="Q137" s="499" t="e">
        <f>VLOOKUP(G:G,list!B:D,3,FALSE)</f>
        <v>#N/A</v>
      </c>
    </row>
    <row r="138" spans="2:17" ht="18" customHeight="1">
      <c r="B138" s="490">
        <v>133</v>
      </c>
      <c r="C138" s="491" t="str">
        <f>VLOOKUP(G:G,list!B:D,2,FALSE)</f>
        <v>원작료</v>
      </c>
      <c r="D138" s="491" t="s">
        <v>182</v>
      </c>
      <c r="E138" s="491" t="s">
        <v>115</v>
      </c>
      <c r="F138" s="491" t="s">
        <v>372</v>
      </c>
      <c r="G138" s="491" t="s">
        <v>151</v>
      </c>
      <c r="H138" s="492">
        <v>44610</v>
      </c>
      <c r="I138" s="491" t="s">
        <v>325</v>
      </c>
      <c r="J138" s="513">
        <v>53847.4</v>
      </c>
      <c r="K138" s="514">
        <v>0.5</v>
      </c>
      <c r="L138" s="495">
        <v>26923.7</v>
      </c>
      <c r="M138" s="496">
        <v>0.1</v>
      </c>
      <c r="N138" s="497">
        <f t="shared" ref="N138" si="23">L138*M138</f>
        <v>2692.3700000000003</v>
      </c>
      <c r="O138" s="497">
        <f t="shared" ref="O138" si="24">L138-N138</f>
        <v>24231.33</v>
      </c>
      <c r="P138" s="474"/>
      <c r="Q138" s="499" t="str">
        <f>VLOOKUP(G:G,list!B:D,3,FALSE)</f>
        <v>Y</v>
      </c>
    </row>
    <row r="139" spans="2:17" ht="18" customHeight="1">
      <c r="B139" s="490">
        <v>134</v>
      </c>
      <c r="C139" s="491" t="e">
        <f>VLOOKUP(G:G,list!B:D,2,FALSE)</f>
        <v>#N/A</v>
      </c>
      <c r="D139" s="491" t="s">
        <v>182</v>
      </c>
      <c r="E139" s="491" t="s">
        <v>115</v>
      </c>
      <c r="F139" s="491" t="s">
        <v>372</v>
      </c>
      <c r="G139" s="491" t="s">
        <v>226</v>
      </c>
      <c r="H139" s="492">
        <v>44610</v>
      </c>
      <c r="I139" s="491" t="s">
        <v>325</v>
      </c>
      <c r="J139" s="513">
        <v>3632.6</v>
      </c>
      <c r="K139" s="514">
        <v>0.5</v>
      </c>
      <c r="L139" s="495">
        <v>1816.3</v>
      </c>
      <c r="M139" s="496">
        <v>0.1</v>
      </c>
      <c r="N139" s="497">
        <f>L139*M139</f>
        <v>181.63</v>
      </c>
      <c r="O139" s="497">
        <f>L139-N139</f>
        <v>1634.67</v>
      </c>
      <c r="P139" s="474"/>
      <c r="Q139" s="499" t="e">
        <f>VLOOKUP(G:G,list!B:D,3,FALSE)</f>
        <v>#N/A</v>
      </c>
    </row>
    <row r="140" spans="2:17" ht="18" customHeight="1">
      <c r="B140" s="490">
        <v>135</v>
      </c>
      <c r="C140" s="491" t="e">
        <f>VLOOKUP(G:G,list!B:D,2,FALSE)</f>
        <v>#N/A</v>
      </c>
      <c r="D140" s="491" t="s">
        <v>182</v>
      </c>
      <c r="E140" s="491" t="s">
        <v>115</v>
      </c>
      <c r="F140" s="491" t="s">
        <v>372</v>
      </c>
      <c r="G140" s="491" t="s">
        <v>179</v>
      </c>
      <c r="H140" s="492">
        <v>44610</v>
      </c>
      <c r="I140" s="491" t="s">
        <v>325</v>
      </c>
      <c r="J140" s="513">
        <v>98292.9</v>
      </c>
      <c r="K140" s="514">
        <v>0.5</v>
      </c>
      <c r="L140" s="495">
        <v>49146.5</v>
      </c>
      <c r="M140" s="496">
        <v>0.1</v>
      </c>
      <c r="N140" s="500">
        <f>L140*M140</f>
        <v>4914.6500000000005</v>
      </c>
      <c r="O140" s="497">
        <f t="shared" ref="O140:O141" si="25">L140-N140</f>
        <v>44231.85</v>
      </c>
      <c r="P140" s="474" t="s">
        <v>85</v>
      </c>
      <c r="Q140" s="499" t="e">
        <f>VLOOKUP(G:G,list!B:D,3,FALSE)</f>
        <v>#N/A</v>
      </c>
    </row>
    <row r="141" spans="2:17" ht="18" customHeight="1">
      <c r="B141" s="490">
        <v>136</v>
      </c>
      <c r="C141" s="491" t="e">
        <f>VLOOKUP(G:G,list!B:D,2,FALSE)</f>
        <v>#N/A</v>
      </c>
      <c r="D141" s="491" t="s">
        <v>182</v>
      </c>
      <c r="E141" s="491" t="s">
        <v>115</v>
      </c>
      <c r="F141" s="491" t="s">
        <v>372</v>
      </c>
      <c r="G141" s="491" t="s">
        <v>152</v>
      </c>
      <c r="H141" s="492">
        <v>44610</v>
      </c>
      <c r="I141" s="491" t="s">
        <v>325</v>
      </c>
      <c r="J141" s="513">
        <v>104276</v>
      </c>
      <c r="K141" s="514">
        <v>0.5</v>
      </c>
      <c r="L141" s="495">
        <v>52138</v>
      </c>
      <c r="M141" s="496">
        <v>0.12</v>
      </c>
      <c r="N141" s="500">
        <f t="shared" ref="N141" si="26">L141*M141</f>
        <v>6256.5599999999995</v>
      </c>
      <c r="O141" s="497">
        <f t="shared" si="25"/>
        <v>45881.440000000002</v>
      </c>
      <c r="P141" s="474"/>
      <c r="Q141" s="499" t="e">
        <f>VLOOKUP(G:G,list!B:D,3,FALSE)</f>
        <v>#N/A</v>
      </c>
    </row>
    <row r="142" spans="2:17" ht="18" customHeight="1">
      <c r="B142" s="490">
        <v>137</v>
      </c>
      <c r="C142" s="491" t="e">
        <f>VLOOKUP(G:G,list!B:D,2,FALSE)</f>
        <v>#N/A</v>
      </c>
      <c r="D142" s="491" t="s">
        <v>182</v>
      </c>
      <c r="E142" s="491" t="s">
        <v>115</v>
      </c>
      <c r="F142" s="491" t="s">
        <v>372</v>
      </c>
      <c r="G142" s="491" t="s">
        <v>153</v>
      </c>
      <c r="H142" s="492">
        <v>44610</v>
      </c>
      <c r="I142" s="491" t="s">
        <v>325</v>
      </c>
      <c r="J142" s="513">
        <v>41240.300000000003</v>
      </c>
      <c r="K142" s="514">
        <v>0.5</v>
      </c>
      <c r="L142" s="495">
        <v>20620.2</v>
      </c>
      <c r="M142" s="496">
        <v>0.1</v>
      </c>
      <c r="N142" s="497">
        <f t="shared" ref="N142" si="27">L142*M142</f>
        <v>2062.02</v>
      </c>
      <c r="O142" s="497">
        <f t="shared" ref="O142" si="28">L142-N142</f>
        <v>18558.18</v>
      </c>
      <c r="P142" s="474"/>
      <c r="Q142" s="499" t="e">
        <f>VLOOKUP(G:G,list!B:D,3,FALSE)</f>
        <v>#N/A</v>
      </c>
    </row>
    <row r="143" spans="2:17" ht="18" customHeight="1">
      <c r="B143" s="490">
        <v>138</v>
      </c>
      <c r="C143" s="491" t="e">
        <f>VLOOKUP(G:G,list!B:D,2,FALSE)</f>
        <v>#N/A</v>
      </c>
      <c r="D143" s="491" t="s">
        <v>182</v>
      </c>
      <c r="E143" s="491" t="s">
        <v>115</v>
      </c>
      <c r="F143" s="491" t="s">
        <v>372</v>
      </c>
      <c r="G143" s="491" t="s">
        <v>147</v>
      </c>
      <c r="H143" s="492">
        <v>44610</v>
      </c>
      <c r="I143" s="491" t="s">
        <v>325</v>
      </c>
      <c r="J143" s="513">
        <v>58548.4</v>
      </c>
      <c r="K143" s="514">
        <v>0.5</v>
      </c>
      <c r="L143" s="495">
        <v>29274.2</v>
      </c>
      <c r="M143" s="496" t="s">
        <v>203</v>
      </c>
      <c r="N143" s="500">
        <v>0</v>
      </c>
      <c r="O143" s="497">
        <f t="shared" ref="O143:O144" si="29">L143-N143</f>
        <v>29274.2</v>
      </c>
      <c r="P143" s="474"/>
      <c r="Q143" s="499" t="e">
        <f>VLOOKUP(G:G,list!B:D,3,FALSE)</f>
        <v>#N/A</v>
      </c>
    </row>
    <row r="144" spans="2:17" ht="18" customHeight="1">
      <c r="B144" s="490">
        <v>139</v>
      </c>
      <c r="C144" s="491" t="e">
        <f>VLOOKUP(G:G,list!B:D,2,FALSE)</f>
        <v>#N/A</v>
      </c>
      <c r="D144" s="491" t="s">
        <v>182</v>
      </c>
      <c r="E144" s="491" t="s">
        <v>115</v>
      </c>
      <c r="F144" s="491" t="s">
        <v>372</v>
      </c>
      <c r="G144" s="491" t="s">
        <v>74</v>
      </c>
      <c r="H144" s="492">
        <v>44610</v>
      </c>
      <c r="I144" s="491" t="s">
        <v>325</v>
      </c>
      <c r="J144" s="513">
        <v>33547.800000000003</v>
      </c>
      <c r="K144" s="514">
        <v>0.5</v>
      </c>
      <c r="L144" s="495">
        <v>16773.900000000001</v>
      </c>
      <c r="M144" s="496">
        <v>0.1</v>
      </c>
      <c r="N144" s="497">
        <f t="shared" ref="N144" si="30">L144*M144</f>
        <v>1677.3900000000003</v>
      </c>
      <c r="O144" s="497">
        <f t="shared" si="29"/>
        <v>15096.510000000002</v>
      </c>
      <c r="P144" s="474"/>
      <c r="Q144" s="499" t="e">
        <f>VLOOKUP(G:G,list!B:D,3,FALSE)</f>
        <v>#N/A</v>
      </c>
    </row>
    <row r="145" spans="2:17" ht="18" customHeight="1">
      <c r="B145" s="490">
        <v>140</v>
      </c>
      <c r="C145" s="491" t="e">
        <f>VLOOKUP(G:G,list!B:D,2,FALSE)</f>
        <v>#N/A</v>
      </c>
      <c r="D145" s="491" t="s">
        <v>189</v>
      </c>
      <c r="E145" s="491" t="s">
        <v>9</v>
      </c>
      <c r="F145" s="491" t="s">
        <v>41</v>
      </c>
      <c r="G145" s="491" t="s">
        <v>179</v>
      </c>
      <c r="H145" s="492">
        <v>44114</v>
      </c>
      <c r="I145" s="491" t="s">
        <v>351</v>
      </c>
      <c r="J145" s="512">
        <v>93285</v>
      </c>
      <c r="K145" s="494">
        <v>0.8</v>
      </c>
      <c r="L145" s="495">
        <v>74628</v>
      </c>
      <c r="M145" s="496">
        <v>0.1</v>
      </c>
      <c r="N145" s="500">
        <f t="shared" si="14"/>
        <v>7462.8</v>
      </c>
      <c r="O145" s="497">
        <f t="shared" ref="O145:O159" si="31">L145-N145</f>
        <v>67165.2</v>
      </c>
      <c r="P145" s="474" t="s">
        <v>85</v>
      </c>
      <c r="Q145" s="499" t="e">
        <f>VLOOKUP(G:G,list!B:D,3,FALSE)</f>
        <v>#N/A</v>
      </c>
    </row>
    <row r="146" spans="2:17" ht="18" customHeight="1">
      <c r="B146" s="490">
        <v>141</v>
      </c>
      <c r="C146" s="491" t="e">
        <f>VLOOKUP(G:G,list!B:D,2,FALSE)</f>
        <v>#N/A</v>
      </c>
      <c r="D146" s="491" t="s">
        <v>189</v>
      </c>
      <c r="E146" s="491" t="s">
        <v>9</v>
      </c>
      <c r="F146" s="491" t="s">
        <v>41</v>
      </c>
      <c r="G146" s="491" t="s">
        <v>153</v>
      </c>
      <c r="H146" s="492">
        <v>44122</v>
      </c>
      <c r="I146" s="491" t="s">
        <v>351</v>
      </c>
      <c r="J146" s="512">
        <v>113127</v>
      </c>
      <c r="K146" s="494">
        <v>0.8</v>
      </c>
      <c r="L146" s="495">
        <v>90501</v>
      </c>
      <c r="M146" s="496">
        <v>0.1</v>
      </c>
      <c r="N146" s="497">
        <f t="shared" si="14"/>
        <v>9050.1</v>
      </c>
      <c r="O146" s="497">
        <f t="shared" si="31"/>
        <v>81450.899999999994</v>
      </c>
      <c r="P146" s="502"/>
      <c r="Q146" s="499" t="e">
        <f>VLOOKUP(G:G,list!B:D,3,FALSE)</f>
        <v>#N/A</v>
      </c>
    </row>
    <row r="147" spans="2:17" ht="18" customHeight="1">
      <c r="B147" s="490">
        <v>142</v>
      </c>
      <c r="C147" s="491" t="e">
        <f>VLOOKUP(G:G,list!B:D,2,FALSE)</f>
        <v>#N/A</v>
      </c>
      <c r="D147" s="491" t="s">
        <v>189</v>
      </c>
      <c r="E147" s="491" t="s">
        <v>9</v>
      </c>
      <c r="F147" s="491" t="s">
        <v>41</v>
      </c>
      <c r="G147" s="491" t="s">
        <v>152</v>
      </c>
      <c r="H147" s="492">
        <v>44250</v>
      </c>
      <c r="I147" s="491" t="s">
        <v>351</v>
      </c>
      <c r="J147" s="512">
        <v>104458</v>
      </c>
      <c r="K147" s="494">
        <v>0.8</v>
      </c>
      <c r="L147" s="495">
        <v>83566</v>
      </c>
      <c r="M147" s="496">
        <v>0.12</v>
      </c>
      <c r="N147" s="500">
        <f t="shared" si="14"/>
        <v>10027.92</v>
      </c>
      <c r="O147" s="497">
        <f t="shared" si="31"/>
        <v>73538.080000000002</v>
      </c>
      <c r="P147" s="502"/>
      <c r="Q147" s="499" t="e">
        <f>VLOOKUP(G:G,list!B:D,3,FALSE)</f>
        <v>#N/A</v>
      </c>
    </row>
    <row r="148" spans="2:17" ht="18" customHeight="1">
      <c r="B148" s="490">
        <v>143</v>
      </c>
      <c r="C148" s="491" t="str">
        <f>VLOOKUP(G:G,list!B:D,2,FALSE)</f>
        <v>원작료</v>
      </c>
      <c r="D148" s="491" t="s">
        <v>189</v>
      </c>
      <c r="E148" s="491" t="s">
        <v>9</v>
      </c>
      <c r="F148" s="491" t="s">
        <v>41</v>
      </c>
      <c r="G148" s="491" t="s">
        <v>151</v>
      </c>
      <c r="H148" s="492">
        <v>44265</v>
      </c>
      <c r="I148" s="491" t="s">
        <v>351</v>
      </c>
      <c r="J148" s="512">
        <v>68339</v>
      </c>
      <c r="K148" s="494">
        <v>0.8</v>
      </c>
      <c r="L148" s="495">
        <v>54671</v>
      </c>
      <c r="M148" s="496">
        <v>0.1</v>
      </c>
      <c r="N148" s="497">
        <f t="shared" si="14"/>
        <v>5467.1</v>
      </c>
      <c r="O148" s="497">
        <f t="shared" si="31"/>
        <v>49203.9</v>
      </c>
      <c r="P148" s="518"/>
      <c r="Q148" s="499" t="str">
        <f>VLOOKUP(G:G,list!B:D,3,FALSE)</f>
        <v>Y</v>
      </c>
    </row>
    <row r="149" spans="2:17" ht="18" customHeight="1">
      <c r="B149" s="490">
        <v>144</v>
      </c>
      <c r="C149" s="491" t="e">
        <f>VLOOKUP(G:G,list!B:D,2,FALSE)</f>
        <v>#N/A</v>
      </c>
      <c r="D149" s="491" t="s">
        <v>251</v>
      </c>
      <c r="E149" s="491" t="s">
        <v>9</v>
      </c>
      <c r="F149" s="491" t="s">
        <v>41</v>
      </c>
      <c r="G149" s="491" t="s">
        <v>212</v>
      </c>
      <c r="H149" s="492">
        <v>44327</v>
      </c>
      <c r="I149" s="491" t="s">
        <v>351</v>
      </c>
      <c r="J149" s="512">
        <v>249419</v>
      </c>
      <c r="K149" s="494">
        <v>0.8</v>
      </c>
      <c r="L149" s="495">
        <v>199535</v>
      </c>
      <c r="M149" s="496">
        <v>0.1</v>
      </c>
      <c r="N149" s="500">
        <f t="shared" si="14"/>
        <v>19953.5</v>
      </c>
      <c r="O149" s="497">
        <f t="shared" si="31"/>
        <v>179581.5</v>
      </c>
      <c r="P149" s="518"/>
      <c r="Q149" s="499" t="e">
        <f>VLOOKUP(G:G,list!B:D,3,FALSE)</f>
        <v>#N/A</v>
      </c>
    </row>
    <row r="150" spans="2:17" ht="18" customHeight="1">
      <c r="B150" s="490">
        <v>145</v>
      </c>
      <c r="C150" s="491" t="e">
        <f>VLOOKUP(G:G,list!B:D,2,FALSE)</f>
        <v>#N/A</v>
      </c>
      <c r="D150" s="491" t="s">
        <v>189</v>
      </c>
      <c r="E150" s="491" t="s">
        <v>9</v>
      </c>
      <c r="F150" s="491" t="s">
        <v>257</v>
      </c>
      <c r="G150" s="491" t="s">
        <v>179</v>
      </c>
      <c r="H150" s="492">
        <v>44678</v>
      </c>
      <c r="I150" s="491" t="s">
        <v>368</v>
      </c>
      <c r="J150" s="512">
        <v>1569988</v>
      </c>
      <c r="K150" s="494">
        <v>0.35000108854200684</v>
      </c>
      <c r="L150" s="495">
        <v>549496</v>
      </c>
      <c r="M150" s="496">
        <v>0.1</v>
      </c>
      <c r="N150" s="500">
        <f t="shared" si="14"/>
        <v>54949.600000000006</v>
      </c>
      <c r="O150" s="497">
        <f t="shared" si="31"/>
        <v>494546.4</v>
      </c>
      <c r="P150" s="474" t="s">
        <v>356</v>
      </c>
      <c r="Q150" s="499" t="e">
        <f>VLOOKUP(G:G,list!B:D,3,FALSE)</f>
        <v>#N/A</v>
      </c>
    </row>
    <row r="151" spans="2:17" ht="18" customHeight="1">
      <c r="B151" s="490">
        <v>146</v>
      </c>
      <c r="C151" s="491" t="e">
        <f>VLOOKUP(G:G,list!B:D,2,FALSE)</f>
        <v>#N/A</v>
      </c>
      <c r="D151" s="491" t="s">
        <v>189</v>
      </c>
      <c r="E151" s="491" t="s">
        <v>9</v>
      </c>
      <c r="F151" s="491" t="s">
        <v>257</v>
      </c>
      <c r="G151" s="491" t="s">
        <v>336</v>
      </c>
      <c r="H151" s="492">
        <v>44685</v>
      </c>
      <c r="I151" s="491" t="s">
        <v>368</v>
      </c>
      <c r="J151" s="512">
        <v>4130059</v>
      </c>
      <c r="K151" s="494">
        <v>0.35000008474455208</v>
      </c>
      <c r="L151" s="495">
        <v>1445521</v>
      </c>
      <c r="M151" s="496">
        <v>0.1</v>
      </c>
      <c r="N151" s="497">
        <f t="shared" si="14"/>
        <v>144552.1</v>
      </c>
      <c r="O151" s="497">
        <f t="shared" si="31"/>
        <v>1300968.8999999999</v>
      </c>
      <c r="P151" s="474"/>
      <c r="Q151" s="499" t="e">
        <f>VLOOKUP(G:G,list!B:D,3,FALSE)</f>
        <v>#N/A</v>
      </c>
    </row>
    <row r="152" spans="2:17" ht="18" customHeight="1">
      <c r="B152" s="490">
        <v>147</v>
      </c>
      <c r="C152" s="491" t="e">
        <f>VLOOKUP(G:G,list!B:D,2,FALSE)</f>
        <v>#N/A</v>
      </c>
      <c r="D152" s="491" t="s">
        <v>189</v>
      </c>
      <c r="E152" s="491" t="s">
        <v>9</v>
      </c>
      <c r="F152" s="491" t="s">
        <v>257</v>
      </c>
      <c r="G152" s="491" t="s">
        <v>335</v>
      </c>
      <c r="H152" s="492">
        <v>44678</v>
      </c>
      <c r="I152" s="491" t="s">
        <v>368</v>
      </c>
      <c r="J152" s="512">
        <v>379019</v>
      </c>
      <c r="K152" s="494">
        <v>0.35000092343655598</v>
      </c>
      <c r="L152" s="495">
        <v>132657</v>
      </c>
      <c r="M152" s="496">
        <v>0.1</v>
      </c>
      <c r="N152" s="497">
        <f t="shared" si="14"/>
        <v>13265.7</v>
      </c>
      <c r="O152" s="497">
        <f t="shared" si="31"/>
        <v>119391.3</v>
      </c>
      <c r="P152" s="474"/>
      <c r="Q152" s="499" t="e">
        <f>VLOOKUP(G:G,list!B:D,3,FALSE)</f>
        <v>#N/A</v>
      </c>
    </row>
    <row r="153" spans="2:17" ht="18" customHeight="1">
      <c r="B153" s="490">
        <v>148</v>
      </c>
      <c r="C153" s="491" t="e">
        <f>VLOOKUP(G:G,list!B:D,2,FALSE)</f>
        <v>#N/A</v>
      </c>
      <c r="D153" s="491" t="s">
        <v>72</v>
      </c>
      <c r="E153" s="491" t="s">
        <v>9</v>
      </c>
      <c r="F153" s="491" t="s">
        <v>73</v>
      </c>
      <c r="G153" s="491" t="s">
        <v>179</v>
      </c>
      <c r="H153" s="492">
        <v>44198</v>
      </c>
      <c r="I153" s="491" t="s">
        <v>351</v>
      </c>
      <c r="J153" s="513">
        <v>62422710</v>
      </c>
      <c r="K153" s="519">
        <v>0.224</v>
      </c>
      <c r="L153" s="495">
        <v>12584424</v>
      </c>
      <c r="M153" s="496">
        <v>0.1</v>
      </c>
      <c r="N153" s="500">
        <f t="shared" ref="N153:N156" si="32">L153*M153</f>
        <v>1258442.4000000001</v>
      </c>
      <c r="O153" s="497">
        <f t="shared" si="31"/>
        <v>11325981.6</v>
      </c>
      <c r="P153" s="474" t="s">
        <v>85</v>
      </c>
      <c r="Q153" s="499" t="e">
        <f>VLOOKUP(G:G,list!B:D,3,FALSE)</f>
        <v>#N/A</v>
      </c>
    </row>
    <row r="154" spans="2:17" ht="18" customHeight="1">
      <c r="B154" s="490">
        <v>149</v>
      </c>
      <c r="C154" s="491" t="e">
        <f>VLOOKUP(G:G,list!B:D,2,FALSE)</f>
        <v>#N/A</v>
      </c>
      <c r="D154" s="491" t="s">
        <v>72</v>
      </c>
      <c r="E154" s="491" t="s">
        <v>9</v>
      </c>
      <c r="F154" s="491" t="s">
        <v>73</v>
      </c>
      <c r="G154" s="491" t="s">
        <v>152</v>
      </c>
      <c r="H154" s="492">
        <v>44228</v>
      </c>
      <c r="I154" s="491" t="s">
        <v>351</v>
      </c>
      <c r="J154" s="513">
        <v>14825642</v>
      </c>
      <c r="K154" s="519">
        <v>0.224</v>
      </c>
      <c r="L154" s="495">
        <v>2988853</v>
      </c>
      <c r="M154" s="496">
        <v>0.12</v>
      </c>
      <c r="N154" s="500">
        <f t="shared" si="32"/>
        <v>358662.36</v>
      </c>
      <c r="O154" s="497">
        <f t="shared" si="31"/>
        <v>2630190.64</v>
      </c>
      <c r="P154" s="500"/>
      <c r="Q154" s="499" t="e">
        <f>VLOOKUP(G:G,list!B:D,3,FALSE)</f>
        <v>#N/A</v>
      </c>
    </row>
    <row r="155" spans="2:17" ht="18" customHeight="1">
      <c r="B155" s="490">
        <v>150</v>
      </c>
      <c r="C155" s="491" t="e">
        <f>VLOOKUP(G:G,list!B:D,2,FALSE)</f>
        <v>#N/A</v>
      </c>
      <c r="D155" s="491" t="s">
        <v>72</v>
      </c>
      <c r="E155" s="491" t="s">
        <v>9</v>
      </c>
      <c r="F155" s="491" t="s">
        <v>73</v>
      </c>
      <c r="G155" s="491" t="s">
        <v>74</v>
      </c>
      <c r="H155" s="492">
        <v>44265</v>
      </c>
      <c r="I155" s="491" t="s">
        <v>351</v>
      </c>
      <c r="J155" s="513">
        <v>1103256</v>
      </c>
      <c r="K155" s="519">
        <v>0.224</v>
      </c>
      <c r="L155" s="495">
        <v>222423</v>
      </c>
      <c r="M155" s="496">
        <v>0.1</v>
      </c>
      <c r="N155" s="497">
        <f t="shared" si="32"/>
        <v>22242.300000000003</v>
      </c>
      <c r="O155" s="497">
        <f t="shared" si="31"/>
        <v>200180.7</v>
      </c>
      <c r="P155" s="500"/>
      <c r="Q155" s="499" t="e">
        <f>VLOOKUP(G:G,list!B:D,3,FALSE)</f>
        <v>#N/A</v>
      </c>
    </row>
    <row r="156" spans="2:17" ht="18" customHeight="1">
      <c r="B156" s="490">
        <v>151</v>
      </c>
      <c r="C156" s="491" t="e">
        <f>VLOOKUP(G:G,list!B:D,2,FALSE)</f>
        <v>#N/A</v>
      </c>
      <c r="D156" s="491" t="s">
        <v>72</v>
      </c>
      <c r="E156" s="491" t="s">
        <v>9</v>
      </c>
      <c r="F156" s="491" t="s">
        <v>73</v>
      </c>
      <c r="G156" s="491" t="s">
        <v>153</v>
      </c>
      <c r="H156" s="492">
        <v>44315</v>
      </c>
      <c r="I156" s="491" t="s">
        <v>351</v>
      </c>
      <c r="J156" s="513">
        <v>7106989</v>
      </c>
      <c r="K156" s="519">
        <v>0.224</v>
      </c>
      <c r="L156" s="495">
        <v>1432769</v>
      </c>
      <c r="M156" s="496">
        <v>0.1</v>
      </c>
      <c r="N156" s="497">
        <f t="shared" si="32"/>
        <v>143276.9</v>
      </c>
      <c r="O156" s="497">
        <f t="shared" si="31"/>
        <v>1289492.1000000001</v>
      </c>
      <c r="P156" s="474"/>
      <c r="Q156" s="499" t="e">
        <f>VLOOKUP(G:G,list!B:D,3,FALSE)</f>
        <v>#N/A</v>
      </c>
    </row>
    <row r="157" spans="2:17" ht="18" customHeight="1">
      <c r="B157" s="490">
        <v>152</v>
      </c>
      <c r="C157" s="491" t="str">
        <f>VLOOKUP(G:G,list!B:D,2,FALSE)</f>
        <v>원작료</v>
      </c>
      <c r="D157" s="491" t="s">
        <v>72</v>
      </c>
      <c r="E157" s="491" t="s">
        <v>9</v>
      </c>
      <c r="F157" s="491" t="s">
        <v>73</v>
      </c>
      <c r="G157" s="491" t="s">
        <v>151</v>
      </c>
      <c r="H157" s="492">
        <v>44359</v>
      </c>
      <c r="I157" s="491" t="s">
        <v>351</v>
      </c>
      <c r="J157" s="513">
        <v>12970861</v>
      </c>
      <c r="K157" s="519">
        <v>0.224</v>
      </c>
      <c r="L157" s="495">
        <v>2614930</v>
      </c>
      <c r="M157" s="496">
        <v>0.1</v>
      </c>
      <c r="N157" s="497">
        <f>(L157-2000000)*10%</f>
        <v>61493</v>
      </c>
      <c r="O157" s="497">
        <f t="shared" si="31"/>
        <v>2553437</v>
      </c>
      <c r="P157" s="502" t="s">
        <v>263</v>
      </c>
      <c r="Q157" s="499" t="str">
        <f>VLOOKUP(G:G,list!B:D,3,FALSE)</f>
        <v>Y</v>
      </c>
    </row>
    <row r="158" spans="2:17" ht="18" customHeight="1">
      <c r="B158" s="490">
        <v>153</v>
      </c>
      <c r="C158" s="491" t="e">
        <f>VLOOKUP(G:G,list!B:D,2,FALSE)</f>
        <v>#N/A</v>
      </c>
      <c r="D158" s="491" t="s">
        <v>72</v>
      </c>
      <c r="E158" s="491" t="s">
        <v>9</v>
      </c>
      <c r="F158" s="491" t="s">
        <v>73</v>
      </c>
      <c r="G158" s="491" t="s">
        <v>212</v>
      </c>
      <c r="H158" s="492">
        <v>44378</v>
      </c>
      <c r="I158" s="491" t="s">
        <v>351</v>
      </c>
      <c r="J158" s="513">
        <v>145916695</v>
      </c>
      <c r="K158" s="519">
        <v>0.24</v>
      </c>
      <c r="L158" s="495">
        <v>31518008</v>
      </c>
      <c r="M158" s="496">
        <v>0.1</v>
      </c>
      <c r="N158" s="500">
        <f>L158*M158</f>
        <v>3151800.8000000003</v>
      </c>
      <c r="O158" s="497">
        <f t="shared" si="31"/>
        <v>28366207.199999999</v>
      </c>
      <c r="P158" s="500"/>
      <c r="Q158" s="499" t="e">
        <f>VLOOKUP(G:G,list!B:D,3,FALSE)</f>
        <v>#N/A</v>
      </c>
    </row>
    <row r="159" spans="2:17" ht="18" customHeight="1">
      <c r="B159" s="490">
        <v>154</v>
      </c>
      <c r="C159" s="491" t="e">
        <f>VLOOKUP(G:G,list!B:D,2,FALSE)</f>
        <v>#N/A</v>
      </c>
      <c r="D159" s="491" t="s">
        <v>72</v>
      </c>
      <c r="E159" s="491" t="s">
        <v>9</v>
      </c>
      <c r="F159" s="491" t="s">
        <v>73</v>
      </c>
      <c r="G159" s="491" t="s">
        <v>147</v>
      </c>
      <c r="H159" s="492">
        <v>44435</v>
      </c>
      <c r="I159" s="491" t="s">
        <v>351</v>
      </c>
      <c r="J159" s="513">
        <v>3370415</v>
      </c>
      <c r="K159" s="519">
        <v>0.224</v>
      </c>
      <c r="L159" s="495">
        <v>679484</v>
      </c>
      <c r="M159" s="496" t="s">
        <v>203</v>
      </c>
      <c r="N159" s="500">
        <v>0</v>
      </c>
      <c r="O159" s="497">
        <f t="shared" si="31"/>
        <v>679484</v>
      </c>
      <c r="P159" s="500"/>
      <c r="Q159" s="499" t="e">
        <f>VLOOKUP(G:G,list!B:D,3,FALSE)</f>
        <v>#N/A</v>
      </c>
    </row>
    <row r="160" spans="2:17" ht="18" customHeight="1">
      <c r="B160" s="490">
        <v>155</v>
      </c>
      <c r="C160" s="491" t="e">
        <f>VLOOKUP(G:G,list!B:D,2,FALSE)</f>
        <v>#N/A</v>
      </c>
      <c r="D160" s="491" t="s">
        <v>72</v>
      </c>
      <c r="E160" s="491" t="s">
        <v>9</v>
      </c>
      <c r="F160" s="491" t="s">
        <v>73</v>
      </c>
      <c r="G160" s="491" t="s">
        <v>225</v>
      </c>
      <c r="H160" s="492">
        <v>44479</v>
      </c>
      <c r="I160" s="491" t="s">
        <v>351</v>
      </c>
      <c r="J160" s="513">
        <v>1556453</v>
      </c>
      <c r="K160" s="519">
        <v>0.224</v>
      </c>
      <c r="L160" s="495">
        <v>313788</v>
      </c>
      <c r="M160" s="496">
        <v>0.1</v>
      </c>
      <c r="N160" s="497">
        <f t="shared" ref="N160:N161" si="33">L160*M160</f>
        <v>31378.800000000003</v>
      </c>
      <c r="O160" s="497">
        <f>L160-N160</f>
        <v>282409.2</v>
      </c>
      <c r="P160" s="500"/>
      <c r="Q160" s="499" t="e">
        <f>VLOOKUP(G:G,list!B:D,3,FALSE)</f>
        <v>#N/A</v>
      </c>
    </row>
    <row r="161" spans="2:17" ht="18" customHeight="1">
      <c r="B161" s="490">
        <v>156</v>
      </c>
      <c r="C161" s="491" t="e">
        <f>VLOOKUP(G:G,list!B:D,2,FALSE)</f>
        <v>#N/A</v>
      </c>
      <c r="D161" s="491" t="s">
        <v>72</v>
      </c>
      <c r="E161" s="491" t="s">
        <v>9</v>
      </c>
      <c r="F161" s="491" t="s">
        <v>73</v>
      </c>
      <c r="G161" s="491" t="s">
        <v>336</v>
      </c>
      <c r="H161" s="492">
        <v>44597</v>
      </c>
      <c r="I161" s="491" t="s">
        <v>351</v>
      </c>
      <c r="J161" s="513">
        <v>96477460</v>
      </c>
      <c r="K161" s="519">
        <v>0.224</v>
      </c>
      <c r="L161" s="495">
        <v>19449860</v>
      </c>
      <c r="M161" s="496">
        <v>0.1</v>
      </c>
      <c r="N161" s="497">
        <f t="shared" si="33"/>
        <v>1944986</v>
      </c>
      <c r="O161" s="497">
        <f>L161-N161</f>
        <v>17504874</v>
      </c>
      <c r="P161" s="498"/>
      <c r="Q161" s="499" t="e">
        <f>VLOOKUP(G:G,list!B:D,3,FALSE)</f>
        <v>#N/A</v>
      </c>
    </row>
    <row r="162" spans="2:17" ht="18" customHeight="1">
      <c r="B162" s="490">
        <v>157</v>
      </c>
      <c r="C162" s="491" t="e">
        <f>VLOOKUP(G:G,list!B:D,2,FALSE)</f>
        <v>#N/A</v>
      </c>
      <c r="D162" s="491" t="s">
        <v>72</v>
      </c>
      <c r="E162" s="491" t="s">
        <v>9</v>
      </c>
      <c r="F162" s="491" t="s">
        <v>73</v>
      </c>
      <c r="G162" s="491" t="s">
        <v>191</v>
      </c>
      <c r="H162" s="492">
        <v>44629</v>
      </c>
      <c r="I162" s="491" t="s">
        <v>351</v>
      </c>
      <c r="J162" s="513">
        <v>35187423</v>
      </c>
      <c r="K162" s="519">
        <v>0.224</v>
      </c>
      <c r="L162" s="495">
        <v>7093787</v>
      </c>
      <c r="M162" s="496">
        <v>0.1</v>
      </c>
      <c r="N162" s="500">
        <f t="shared" ref="N162:N163" si="34">L162*M162</f>
        <v>709378.70000000007</v>
      </c>
      <c r="O162" s="497">
        <f t="shared" ref="O162:O163" si="35">L162-N162</f>
        <v>6384408.2999999998</v>
      </c>
      <c r="P162" s="474"/>
      <c r="Q162" s="499" t="e">
        <f>VLOOKUP(G:G,list!B:D,3,FALSE)</f>
        <v>#N/A</v>
      </c>
    </row>
    <row r="163" spans="2:17" ht="18" customHeight="1">
      <c r="B163" s="490">
        <v>158</v>
      </c>
      <c r="C163" s="491" t="e">
        <f>VLOOKUP(G:G,list!B:D,2,FALSE)</f>
        <v>#N/A</v>
      </c>
      <c r="D163" s="491" t="s">
        <v>72</v>
      </c>
      <c r="E163" s="491" t="s">
        <v>9</v>
      </c>
      <c r="F163" s="491" t="s">
        <v>73</v>
      </c>
      <c r="G163" s="491" t="s">
        <v>335</v>
      </c>
      <c r="H163" s="492">
        <v>44694</v>
      </c>
      <c r="I163" s="491" t="s">
        <v>351</v>
      </c>
      <c r="J163" s="513">
        <v>167884154</v>
      </c>
      <c r="K163" s="519">
        <v>0.224</v>
      </c>
      <c r="L163" s="495">
        <v>33823374</v>
      </c>
      <c r="M163" s="496">
        <v>0.1</v>
      </c>
      <c r="N163" s="497">
        <f t="shared" si="34"/>
        <v>3382337.4000000004</v>
      </c>
      <c r="O163" s="497">
        <f t="shared" si="35"/>
        <v>30441036.600000001</v>
      </c>
      <c r="P163" s="474" t="s">
        <v>287</v>
      </c>
      <c r="Q163" s="499" t="e">
        <f>VLOOKUP(G:G,list!B:D,3,FALSE)</f>
        <v>#N/A</v>
      </c>
    </row>
    <row r="164" spans="2:17" ht="18" customHeight="1">
      <c r="B164" s="490">
        <v>159</v>
      </c>
      <c r="C164" s="491" t="e">
        <f>VLOOKUP(G:G,list!B:D,2,FALSE)</f>
        <v>#N/A</v>
      </c>
      <c r="D164" s="491" t="s">
        <v>79</v>
      </c>
      <c r="E164" s="491" t="s">
        <v>9</v>
      </c>
      <c r="F164" s="491" t="s">
        <v>260</v>
      </c>
      <c r="G164" s="491" t="s">
        <v>258</v>
      </c>
      <c r="H164" s="492">
        <v>44492</v>
      </c>
      <c r="I164" s="491" t="s">
        <v>351</v>
      </c>
      <c r="J164" s="513">
        <v>186017</v>
      </c>
      <c r="K164" s="517">
        <v>0.5</v>
      </c>
      <c r="L164" s="495">
        <v>78338</v>
      </c>
      <c r="M164" s="496">
        <v>0.1</v>
      </c>
      <c r="N164" s="500">
        <f>L164*M164</f>
        <v>7833.8</v>
      </c>
      <c r="O164" s="497">
        <f t="shared" ref="O164" si="36">L164-N164</f>
        <v>70504.2</v>
      </c>
      <c r="P164" s="516"/>
      <c r="Q164" s="499" t="e">
        <f>VLOOKUP(G:G,list!B:D,3,FALSE)</f>
        <v>#N/A</v>
      </c>
    </row>
    <row r="165" spans="2:17" ht="18" customHeight="1">
      <c r="B165" s="490">
        <v>160</v>
      </c>
      <c r="C165" s="491" t="e">
        <f>VLOOKUP(G:G,list!B:D,2,FALSE)</f>
        <v>#N/A</v>
      </c>
      <c r="D165" s="491" t="s">
        <v>32</v>
      </c>
      <c r="E165" s="491" t="s">
        <v>115</v>
      </c>
      <c r="F165" s="491" t="s">
        <v>31</v>
      </c>
      <c r="G165" s="491" t="s">
        <v>152</v>
      </c>
      <c r="H165" s="492">
        <v>44096</v>
      </c>
      <c r="I165" s="491" t="s">
        <v>351</v>
      </c>
      <c r="J165" s="513">
        <v>377040</v>
      </c>
      <c r="K165" s="517">
        <v>0.4</v>
      </c>
      <c r="L165" s="495">
        <v>143268</v>
      </c>
      <c r="M165" s="496">
        <v>0.12</v>
      </c>
      <c r="N165" s="500">
        <f t="shared" ref="N165:N174" si="37">L165*M165</f>
        <v>17192.16</v>
      </c>
      <c r="O165" s="497">
        <f t="shared" ref="O165:O177" si="38">L165-N165</f>
        <v>126075.84</v>
      </c>
      <c r="P165" s="502"/>
      <c r="Q165" s="499" t="e">
        <f>VLOOKUP(G:G,list!B:D,3,FALSE)</f>
        <v>#N/A</v>
      </c>
    </row>
    <row r="166" spans="2:17" ht="18" customHeight="1">
      <c r="B166" s="490">
        <v>161</v>
      </c>
      <c r="C166" s="491" t="e">
        <f>VLOOKUP(G:G,list!B:D,2,FALSE)</f>
        <v>#N/A</v>
      </c>
      <c r="D166" s="491" t="s">
        <v>32</v>
      </c>
      <c r="E166" s="491" t="s">
        <v>115</v>
      </c>
      <c r="F166" s="491" t="s">
        <v>31</v>
      </c>
      <c r="G166" s="491" t="s">
        <v>153</v>
      </c>
      <c r="H166" s="492">
        <v>44137</v>
      </c>
      <c r="I166" s="491" t="s">
        <v>351</v>
      </c>
      <c r="J166" s="513">
        <v>577453</v>
      </c>
      <c r="K166" s="517">
        <v>0.4</v>
      </c>
      <c r="L166" s="495">
        <v>219435</v>
      </c>
      <c r="M166" s="496">
        <v>0.1</v>
      </c>
      <c r="N166" s="497">
        <f t="shared" si="37"/>
        <v>21943.5</v>
      </c>
      <c r="O166" s="497">
        <f t="shared" si="38"/>
        <v>197491.5</v>
      </c>
      <c r="P166" s="502"/>
      <c r="Q166" s="499" t="e">
        <f>VLOOKUP(G:G,list!B:D,3,FALSE)</f>
        <v>#N/A</v>
      </c>
    </row>
    <row r="167" spans="2:17" ht="18" customHeight="1">
      <c r="B167" s="490">
        <v>162</v>
      </c>
      <c r="C167" s="491" t="str">
        <f>VLOOKUP(G:G,list!B:D,2,FALSE)</f>
        <v>원작료</v>
      </c>
      <c r="D167" s="491" t="s">
        <v>32</v>
      </c>
      <c r="E167" s="491" t="s">
        <v>115</v>
      </c>
      <c r="F167" s="491" t="s">
        <v>31</v>
      </c>
      <c r="G167" s="491" t="s">
        <v>151</v>
      </c>
      <c r="H167" s="492">
        <v>44239</v>
      </c>
      <c r="I167" s="491" t="s">
        <v>351</v>
      </c>
      <c r="J167" s="513">
        <v>2925588</v>
      </c>
      <c r="K167" s="517">
        <v>0.4</v>
      </c>
      <c r="L167" s="495">
        <v>1111716</v>
      </c>
      <c r="M167" s="496">
        <v>0.1</v>
      </c>
      <c r="N167" s="497">
        <f t="shared" si="37"/>
        <v>111171.6</v>
      </c>
      <c r="O167" s="497">
        <f t="shared" si="38"/>
        <v>1000544.4</v>
      </c>
      <c r="P167" s="474"/>
      <c r="Q167" s="499" t="str">
        <f>VLOOKUP(G:G,list!B:D,3,FALSE)</f>
        <v>Y</v>
      </c>
    </row>
    <row r="168" spans="2:17" ht="18" customHeight="1">
      <c r="B168" s="490">
        <v>163</v>
      </c>
      <c r="C168" s="491" t="e">
        <f>VLOOKUP(G:G,list!B:D,2,FALSE)</f>
        <v>#N/A</v>
      </c>
      <c r="D168" s="491" t="s">
        <v>32</v>
      </c>
      <c r="E168" s="491" t="s">
        <v>115</v>
      </c>
      <c r="F168" s="491" t="s">
        <v>31</v>
      </c>
      <c r="G168" s="491" t="s">
        <v>256</v>
      </c>
      <c r="H168" s="492">
        <v>44487</v>
      </c>
      <c r="I168" s="491" t="s">
        <v>351</v>
      </c>
      <c r="J168" s="513">
        <v>63342</v>
      </c>
      <c r="K168" s="517">
        <v>0.4</v>
      </c>
      <c r="L168" s="495">
        <v>24064</v>
      </c>
      <c r="M168" s="496">
        <v>0.1</v>
      </c>
      <c r="N168" s="497">
        <f t="shared" si="37"/>
        <v>2406.4</v>
      </c>
      <c r="O168" s="497">
        <f t="shared" si="38"/>
        <v>21657.599999999999</v>
      </c>
      <c r="P168" s="500"/>
      <c r="Q168" s="499" t="e">
        <f>VLOOKUP(G:G,list!B:D,3,FALSE)</f>
        <v>#N/A</v>
      </c>
    </row>
    <row r="169" spans="2:17" ht="18" customHeight="1">
      <c r="B169" s="490">
        <v>164</v>
      </c>
      <c r="C169" s="491" t="e">
        <f>VLOOKUP(G:G,list!B:D,2,FALSE)</f>
        <v>#N/A</v>
      </c>
      <c r="D169" s="491" t="s">
        <v>32</v>
      </c>
      <c r="E169" s="491" t="s">
        <v>115</v>
      </c>
      <c r="F169" s="491" t="s">
        <v>31</v>
      </c>
      <c r="G169" s="491" t="s">
        <v>204</v>
      </c>
      <c r="H169" s="492">
        <v>44453</v>
      </c>
      <c r="I169" s="491" t="s">
        <v>351</v>
      </c>
      <c r="J169" s="513">
        <v>31684</v>
      </c>
      <c r="K169" s="517">
        <v>0.4</v>
      </c>
      <c r="L169" s="495">
        <v>12038</v>
      </c>
      <c r="M169" s="496">
        <v>0.1</v>
      </c>
      <c r="N169" s="500">
        <f t="shared" si="37"/>
        <v>1203.8</v>
      </c>
      <c r="O169" s="497">
        <f t="shared" si="38"/>
        <v>10834.2</v>
      </c>
      <c r="P169" s="516"/>
      <c r="Q169" s="499" t="e">
        <f>VLOOKUP(G:G,list!B:D,3,FALSE)</f>
        <v>#N/A</v>
      </c>
    </row>
    <row r="170" spans="2:17" ht="18" customHeight="1">
      <c r="B170" s="490">
        <v>165</v>
      </c>
      <c r="C170" s="491" t="e">
        <f>VLOOKUP(G:G,list!B:D,2,FALSE)</f>
        <v>#N/A</v>
      </c>
      <c r="D170" s="491" t="s">
        <v>32</v>
      </c>
      <c r="E170" s="491" t="s">
        <v>115</v>
      </c>
      <c r="F170" s="491" t="s">
        <v>31</v>
      </c>
      <c r="G170" s="491" t="s">
        <v>258</v>
      </c>
      <c r="H170" s="492">
        <v>44470</v>
      </c>
      <c r="I170" s="491" t="s">
        <v>351</v>
      </c>
      <c r="J170" s="513">
        <v>146976</v>
      </c>
      <c r="K170" s="517">
        <v>0.4</v>
      </c>
      <c r="L170" s="495">
        <v>55849</v>
      </c>
      <c r="M170" s="496">
        <v>0.1</v>
      </c>
      <c r="N170" s="500">
        <f t="shared" si="37"/>
        <v>5584.9000000000005</v>
      </c>
      <c r="O170" s="497">
        <f t="shared" si="38"/>
        <v>50264.1</v>
      </c>
      <c r="P170" s="498"/>
      <c r="Q170" s="499" t="e">
        <f>VLOOKUP(G:G,list!B:D,3,FALSE)</f>
        <v>#N/A</v>
      </c>
    </row>
    <row r="171" spans="2:17" ht="18" customHeight="1">
      <c r="B171" s="490">
        <v>166</v>
      </c>
      <c r="C171" s="491" t="e">
        <f>VLOOKUP(G:G,list!B:D,2,FALSE)</f>
        <v>#N/A</v>
      </c>
      <c r="D171" s="491" t="s">
        <v>32</v>
      </c>
      <c r="E171" s="491" t="s">
        <v>9</v>
      </c>
      <c r="F171" s="491" t="s">
        <v>257</v>
      </c>
      <c r="G171" s="491" t="s">
        <v>179</v>
      </c>
      <c r="H171" s="492">
        <v>44354</v>
      </c>
      <c r="I171" s="491" t="s">
        <v>368</v>
      </c>
      <c r="J171" s="513">
        <v>15755326</v>
      </c>
      <c r="K171" s="514">
        <v>0.27999995826320889</v>
      </c>
      <c r="L171" s="495">
        <v>4411492</v>
      </c>
      <c r="M171" s="496">
        <v>0.1</v>
      </c>
      <c r="N171" s="500">
        <f t="shared" si="37"/>
        <v>441149.2</v>
      </c>
      <c r="O171" s="497">
        <f t="shared" si="38"/>
        <v>3970342.8</v>
      </c>
      <c r="P171" s="474" t="s">
        <v>85</v>
      </c>
      <c r="Q171" s="499" t="e">
        <f>VLOOKUP(G:G,list!B:D,3,FALSE)</f>
        <v>#N/A</v>
      </c>
    </row>
    <row r="172" spans="2:17" ht="18" customHeight="1">
      <c r="B172" s="490">
        <v>167</v>
      </c>
      <c r="C172" s="491" t="e">
        <f>VLOOKUP(G:G,list!B:D,2,FALSE)</f>
        <v>#N/A</v>
      </c>
      <c r="D172" s="491" t="s">
        <v>32</v>
      </c>
      <c r="E172" s="491" t="s">
        <v>9</v>
      </c>
      <c r="F172" s="491" t="s">
        <v>257</v>
      </c>
      <c r="G172" s="491" t="s">
        <v>335</v>
      </c>
      <c r="H172" s="492">
        <v>44698</v>
      </c>
      <c r="I172" s="491" t="s">
        <v>368</v>
      </c>
      <c r="J172" s="513">
        <v>3513587</v>
      </c>
      <c r="K172" s="514">
        <v>0.35000007927805654</v>
      </c>
      <c r="L172" s="495">
        <v>1229755</v>
      </c>
      <c r="M172" s="496">
        <v>0.1</v>
      </c>
      <c r="N172" s="497">
        <f t="shared" si="37"/>
        <v>122975.5</v>
      </c>
      <c r="O172" s="497">
        <f t="shared" si="38"/>
        <v>1106779.5</v>
      </c>
      <c r="P172" s="474"/>
      <c r="Q172" s="499" t="e">
        <f>VLOOKUP(G:G,list!B:D,3,FALSE)</f>
        <v>#N/A</v>
      </c>
    </row>
    <row r="173" spans="2:17" ht="18" customHeight="1">
      <c r="B173" s="490">
        <v>168</v>
      </c>
      <c r="C173" s="491" t="e">
        <f>VLOOKUP(G:G,list!B:D,2,FALSE)</f>
        <v>#N/A</v>
      </c>
      <c r="D173" s="491" t="s">
        <v>32</v>
      </c>
      <c r="E173" s="491" t="s">
        <v>9</v>
      </c>
      <c r="F173" s="491" t="s">
        <v>257</v>
      </c>
      <c r="G173" s="491" t="s">
        <v>336</v>
      </c>
      <c r="H173" s="492">
        <v>44692</v>
      </c>
      <c r="I173" s="491" t="s">
        <v>368</v>
      </c>
      <c r="J173" s="513">
        <v>13948329</v>
      </c>
      <c r="K173" s="514">
        <v>0.34999998924602366</v>
      </c>
      <c r="L173" s="495">
        <v>4881915</v>
      </c>
      <c r="M173" s="496">
        <v>0.1</v>
      </c>
      <c r="N173" s="497">
        <f t="shared" si="37"/>
        <v>488191.5</v>
      </c>
      <c r="O173" s="497">
        <f>L173-N173</f>
        <v>4393723.5</v>
      </c>
      <c r="P173" s="474"/>
      <c r="Q173" s="499" t="e">
        <f>VLOOKUP(G:G,list!B:D,3,FALSE)</f>
        <v>#N/A</v>
      </c>
    </row>
    <row r="174" spans="2:17" ht="18" customHeight="1">
      <c r="B174" s="490">
        <v>169</v>
      </c>
      <c r="C174" s="491" t="e">
        <f>VLOOKUP(G:G,list!B:D,2,FALSE)</f>
        <v>#N/A</v>
      </c>
      <c r="D174" s="491" t="s">
        <v>32</v>
      </c>
      <c r="E174" s="491" t="s">
        <v>9</v>
      </c>
      <c r="F174" s="491" t="s">
        <v>257</v>
      </c>
      <c r="G174" s="491" t="s">
        <v>212</v>
      </c>
      <c r="H174" s="492">
        <v>44507</v>
      </c>
      <c r="I174" s="491" t="s">
        <v>368</v>
      </c>
      <c r="J174" s="513">
        <v>5339147</v>
      </c>
      <c r="K174" s="515">
        <v>0.24499999976453651</v>
      </c>
      <c r="L174" s="495">
        <v>1308091</v>
      </c>
      <c r="M174" s="496">
        <v>0.1</v>
      </c>
      <c r="N174" s="500">
        <f t="shared" si="37"/>
        <v>130809.1</v>
      </c>
      <c r="O174" s="497">
        <f t="shared" si="38"/>
        <v>1177281.8999999999</v>
      </c>
      <c r="P174" s="516"/>
      <c r="Q174" s="499" t="e">
        <f>VLOOKUP(G:G,list!B:D,3,FALSE)</f>
        <v>#N/A</v>
      </c>
    </row>
    <row r="175" spans="2:17" ht="18" customHeight="1">
      <c r="B175" s="490">
        <v>170</v>
      </c>
      <c r="C175" s="491" t="str">
        <f>VLOOKUP(G:G,list!B:D,2,FALSE)</f>
        <v>작가기획</v>
      </c>
      <c r="D175" s="491" t="s">
        <v>32</v>
      </c>
      <c r="E175" s="491" t="s">
        <v>9</v>
      </c>
      <c r="F175" s="491" t="s">
        <v>154</v>
      </c>
      <c r="G175" s="491" t="s">
        <v>180</v>
      </c>
      <c r="H175" s="492">
        <v>44106</v>
      </c>
      <c r="I175" s="491" t="s">
        <v>351</v>
      </c>
      <c r="J175" s="513">
        <v>1652828</v>
      </c>
      <c r="K175" s="520">
        <v>0.4</v>
      </c>
      <c r="L175" s="495">
        <v>628075</v>
      </c>
      <c r="M175" s="496" t="s">
        <v>203</v>
      </c>
      <c r="N175" s="497">
        <v>0</v>
      </c>
      <c r="O175" s="497">
        <f>L175-N175</f>
        <v>628075</v>
      </c>
      <c r="P175" s="516"/>
      <c r="Q175" s="499" t="str">
        <f>VLOOKUP(G:G,list!B:D,3,FALSE)</f>
        <v>Y</v>
      </c>
    </row>
    <row r="176" spans="2:17" ht="18" customHeight="1">
      <c r="B176" s="490">
        <v>171</v>
      </c>
      <c r="C176" s="491" t="str">
        <f>VLOOKUP(G:G,list!B:D,2,FALSE)</f>
        <v>작가기획</v>
      </c>
      <c r="D176" s="491" t="s">
        <v>32</v>
      </c>
      <c r="E176" s="491" t="s">
        <v>9</v>
      </c>
      <c r="F176" s="491" t="s">
        <v>154</v>
      </c>
      <c r="G176" s="491" t="s">
        <v>139</v>
      </c>
      <c r="H176" s="492">
        <v>44113</v>
      </c>
      <c r="I176" s="491" t="s">
        <v>351</v>
      </c>
      <c r="J176" s="513">
        <v>69964</v>
      </c>
      <c r="K176" s="520">
        <v>0.4</v>
      </c>
      <c r="L176" s="495">
        <v>26586</v>
      </c>
      <c r="M176" s="496" t="s">
        <v>203</v>
      </c>
      <c r="N176" s="497">
        <v>0</v>
      </c>
      <c r="O176" s="497">
        <f t="shared" si="38"/>
        <v>26586</v>
      </c>
      <c r="P176" s="516"/>
      <c r="Q176" s="499" t="str">
        <f>VLOOKUP(G:G,list!B:D,3,FALSE)</f>
        <v>Y</v>
      </c>
    </row>
    <row r="177" spans="2:17" ht="18" customHeight="1">
      <c r="B177" s="490">
        <v>172</v>
      </c>
      <c r="C177" s="491" t="e">
        <f>VLOOKUP(G:G,list!B:D,2,FALSE)</f>
        <v>#N/A</v>
      </c>
      <c r="D177" s="491" t="s">
        <v>32</v>
      </c>
      <c r="E177" s="491" t="s">
        <v>115</v>
      </c>
      <c r="F177" s="491" t="s">
        <v>154</v>
      </c>
      <c r="G177" s="491" t="s">
        <v>258</v>
      </c>
      <c r="H177" s="492">
        <v>44386</v>
      </c>
      <c r="I177" s="491" t="s">
        <v>351</v>
      </c>
      <c r="J177" s="513">
        <v>457518</v>
      </c>
      <c r="K177" s="520">
        <v>0.4</v>
      </c>
      <c r="L177" s="495">
        <v>173857</v>
      </c>
      <c r="M177" s="496">
        <v>0.1</v>
      </c>
      <c r="N177" s="500">
        <f t="shared" ref="N177:N179" si="39">L177*M177</f>
        <v>17385.7</v>
      </c>
      <c r="O177" s="497">
        <f t="shared" si="38"/>
        <v>156471.29999999999</v>
      </c>
      <c r="P177" s="516"/>
      <c r="Q177" s="499" t="e">
        <f>VLOOKUP(G:G,list!B:D,3,FALSE)</f>
        <v>#N/A</v>
      </c>
    </row>
    <row r="178" spans="2:17" ht="18" customHeight="1">
      <c r="B178" s="490">
        <v>173</v>
      </c>
      <c r="C178" s="491" t="e">
        <f>VLOOKUP(G:G,list!B:D,2,FALSE)</f>
        <v>#N/A</v>
      </c>
      <c r="D178" s="491" t="s">
        <v>67</v>
      </c>
      <c r="E178" s="491" t="s">
        <v>9</v>
      </c>
      <c r="F178" s="491" t="s">
        <v>65</v>
      </c>
      <c r="G178" s="491" t="s">
        <v>152</v>
      </c>
      <c r="H178" s="492">
        <v>44105</v>
      </c>
      <c r="I178" s="491" t="s">
        <v>368</v>
      </c>
      <c r="J178" s="513">
        <v>1923323</v>
      </c>
      <c r="K178" s="517">
        <v>0.4</v>
      </c>
      <c r="L178" s="495">
        <v>769329</v>
      </c>
      <c r="M178" s="496">
        <v>0.12</v>
      </c>
      <c r="N178" s="500">
        <f t="shared" si="39"/>
        <v>92319.48</v>
      </c>
      <c r="O178" s="497">
        <f t="shared" ref="O178:O188" si="40">L178-N178</f>
        <v>677009.52</v>
      </c>
      <c r="P178" s="502"/>
      <c r="Q178" s="499" t="e">
        <f>VLOOKUP(G:G,list!B:D,3,FALSE)</f>
        <v>#N/A</v>
      </c>
    </row>
    <row r="179" spans="2:17" ht="18" customHeight="1">
      <c r="B179" s="490">
        <v>174</v>
      </c>
      <c r="C179" s="491" t="e">
        <f>VLOOKUP(G:G,list!B:D,2,FALSE)</f>
        <v>#N/A</v>
      </c>
      <c r="D179" s="491" t="s">
        <v>67</v>
      </c>
      <c r="E179" s="491" t="s">
        <v>9</v>
      </c>
      <c r="F179" s="491" t="s">
        <v>65</v>
      </c>
      <c r="G179" s="491" t="s">
        <v>153</v>
      </c>
      <c r="H179" s="492">
        <v>44111</v>
      </c>
      <c r="I179" s="491" t="s">
        <v>368</v>
      </c>
      <c r="J179" s="513">
        <v>968978</v>
      </c>
      <c r="K179" s="517">
        <v>0.4</v>
      </c>
      <c r="L179" s="495">
        <v>387591</v>
      </c>
      <c r="M179" s="496">
        <v>0.1</v>
      </c>
      <c r="N179" s="497">
        <f t="shared" si="39"/>
        <v>38759.1</v>
      </c>
      <c r="O179" s="497">
        <f t="shared" si="40"/>
        <v>348831.9</v>
      </c>
      <c r="P179" s="502"/>
      <c r="Q179" s="499" t="e">
        <f>VLOOKUP(G:G,list!B:D,3,FALSE)</f>
        <v>#N/A</v>
      </c>
    </row>
    <row r="180" spans="2:17" ht="18" customHeight="1">
      <c r="B180" s="490">
        <v>175</v>
      </c>
      <c r="C180" s="491" t="str">
        <f>VLOOKUP(G:G,list!B:D,2,FALSE)</f>
        <v>작가기획</v>
      </c>
      <c r="D180" s="491" t="s">
        <v>67</v>
      </c>
      <c r="E180" s="491" t="s">
        <v>9</v>
      </c>
      <c r="F180" s="491" t="s">
        <v>65</v>
      </c>
      <c r="G180" s="491" t="s">
        <v>139</v>
      </c>
      <c r="H180" s="492">
        <v>43921</v>
      </c>
      <c r="I180" s="491" t="s">
        <v>368</v>
      </c>
      <c r="J180" s="513">
        <v>118485</v>
      </c>
      <c r="K180" s="517">
        <v>0.4</v>
      </c>
      <c r="L180" s="495">
        <v>47394</v>
      </c>
      <c r="M180" s="496" t="s">
        <v>203</v>
      </c>
      <c r="N180" s="500">
        <v>0</v>
      </c>
      <c r="O180" s="497">
        <f t="shared" si="40"/>
        <v>47394</v>
      </c>
      <c r="P180" s="474"/>
      <c r="Q180" s="499" t="str">
        <f>VLOOKUP(G:G,list!B:D,3,FALSE)</f>
        <v>Y</v>
      </c>
    </row>
    <row r="181" spans="2:17" ht="18" customHeight="1">
      <c r="B181" s="490">
        <v>176</v>
      </c>
      <c r="C181" s="491" t="str">
        <f>VLOOKUP(G:G,list!B:D,2,FALSE)</f>
        <v>작가기획</v>
      </c>
      <c r="D181" s="491" t="s">
        <v>67</v>
      </c>
      <c r="E181" s="491" t="s">
        <v>9</v>
      </c>
      <c r="F181" s="491" t="s">
        <v>65</v>
      </c>
      <c r="G181" s="491" t="s">
        <v>180</v>
      </c>
      <c r="H181" s="492">
        <v>43941</v>
      </c>
      <c r="I181" s="491" t="s">
        <v>368</v>
      </c>
      <c r="J181" s="513">
        <v>1884048</v>
      </c>
      <c r="K181" s="517">
        <v>0.4</v>
      </c>
      <c r="L181" s="495">
        <v>753619</v>
      </c>
      <c r="M181" s="496" t="s">
        <v>203</v>
      </c>
      <c r="N181" s="497">
        <v>0</v>
      </c>
      <c r="O181" s="497">
        <f>L181-N181</f>
        <v>753619</v>
      </c>
      <c r="P181" s="474"/>
      <c r="Q181" s="499" t="str">
        <f>VLOOKUP(G:G,list!B:D,3,FALSE)</f>
        <v>Y</v>
      </c>
    </row>
    <row r="182" spans="2:17" ht="18" customHeight="1">
      <c r="B182" s="490">
        <v>177</v>
      </c>
      <c r="C182" s="491" t="str">
        <f>VLOOKUP(G:G,list!B:D,2,FALSE)</f>
        <v>원작료</v>
      </c>
      <c r="D182" s="491" t="s">
        <v>67</v>
      </c>
      <c r="E182" s="491" t="s">
        <v>64</v>
      </c>
      <c r="F182" s="491" t="s">
        <v>65</v>
      </c>
      <c r="G182" s="491" t="s">
        <v>151</v>
      </c>
      <c r="H182" s="492">
        <v>44258</v>
      </c>
      <c r="I182" s="491" t="s">
        <v>368</v>
      </c>
      <c r="J182" s="513">
        <v>1507690</v>
      </c>
      <c r="K182" s="517">
        <v>0.4</v>
      </c>
      <c r="L182" s="495">
        <v>603076</v>
      </c>
      <c r="M182" s="496">
        <v>0.1</v>
      </c>
      <c r="N182" s="497">
        <f>L182*M182</f>
        <v>60307.600000000006</v>
      </c>
      <c r="O182" s="497">
        <f t="shared" si="40"/>
        <v>542768.4</v>
      </c>
      <c r="P182" s="502"/>
      <c r="Q182" s="499" t="str">
        <f>VLOOKUP(G:G,list!B:D,3,FALSE)</f>
        <v>Y</v>
      </c>
    </row>
    <row r="183" spans="2:17" ht="18" customHeight="1">
      <c r="B183" s="490">
        <v>178</v>
      </c>
      <c r="C183" s="491" t="e">
        <f>VLOOKUP(G:G,list!B:D,2,FALSE)</f>
        <v>#N/A</v>
      </c>
      <c r="D183" s="491" t="s">
        <v>67</v>
      </c>
      <c r="E183" s="491" t="s">
        <v>64</v>
      </c>
      <c r="F183" s="491" t="s">
        <v>65</v>
      </c>
      <c r="G183" s="491" t="s">
        <v>179</v>
      </c>
      <c r="H183" s="492">
        <v>44233</v>
      </c>
      <c r="I183" s="491" t="s">
        <v>368</v>
      </c>
      <c r="J183" s="513">
        <v>3339368</v>
      </c>
      <c r="K183" s="517">
        <v>0.4</v>
      </c>
      <c r="L183" s="495">
        <v>1335747</v>
      </c>
      <c r="M183" s="496">
        <v>0.1</v>
      </c>
      <c r="N183" s="500">
        <f>L183*M183</f>
        <v>133574.70000000001</v>
      </c>
      <c r="O183" s="497">
        <f t="shared" si="40"/>
        <v>1202172.3</v>
      </c>
      <c r="P183" s="474" t="s">
        <v>85</v>
      </c>
      <c r="Q183" s="499" t="e">
        <f>VLOOKUP(G:G,list!B:D,3,FALSE)</f>
        <v>#N/A</v>
      </c>
    </row>
    <row r="184" spans="2:17" ht="18" customHeight="1">
      <c r="B184" s="490">
        <v>179</v>
      </c>
      <c r="C184" s="491" t="e">
        <f>VLOOKUP(G:G,list!B:D,2,FALSE)</f>
        <v>#N/A</v>
      </c>
      <c r="D184" s="491" t="s">
        <v>67</v>
      </c>
      <c r="E184" s="491" t="s">
        <v>64</v>
      </c>
      <c r="F184" s="491" t="s">
        <v>65</v>
      </c>
      <c r="G184" s="491" t="s">
        <v>74</v>
      </c>
      <c r="H184" s="492">
        <v>44254</v>
      </c>
      <c r="I184" s="491" t="s">
        <v>368</v>
      </c>
      <c r="J184" s="513">
        <v>372090</v>
      </c>
      <c r="K184" s="517">
        <v>0.4</v>
      </c>
      <c r="L184" s="495">
        <v>148836</v>
      </c>
      <c r="M184" s="496">
        <v>0.1</v>
      </c>
      <c r="N184" s="497">
        <f>L184*M184</f>
        <v>14883.6</v>
      </c>
      <c r="O184" s="497">
        <f t="shared" si="40"/>
        <v>133952.4</v>
      </c>
      <c r="P184" s="502"/>
      <c r="Q184" s="499" t="e">
        <f>VLOOKUP(G:G,list!B:D,3,FALSE)</f>
        <v>#N/A</v>
      </c>
    </row>
    <row r="185" spans="2:17" ht="18" customHeight="1">
      <c r="B185" s="490">
        <v>180</v>
      </c>
      <c r="C185" s="491" t="e">
        <f>VLOOKUP(G:G,list!B:D,2,FALSE)</f>
        <v>#N/A</v>
      </c>
      <c r="D185" s="491" t="s">
        <v>67</v>
      </c>
      <c r="E185" s="491" t="s">
        <v>64</v>
      </c>
      <c r="F185" s="491" t="s">
        <v>65</v>
      </c>
      <c r="G185" s="491" t="s">
        <v>147</v>
      </c>
      <c r="H185" s="492">
        <v>44260</v>
      </c>
      <c r="I185" s="491" t="s">
        <v>368</v>
      </c>
      <c r="J185" s="513">
        <v>448938</v>
      </c>
      <c r="K185" s="517">
        <v>0.4</v>
      </c>
      <c r="L185" s="495">
        <v>179575</v>
      </c>
      <c r="M185" s="496" t="s">
        <v>203</v>
      </c>
      <c r="N185" s="500">
        <v>0</v>
      </c>
      <c r="O185" s="497">
        <f t="shared" si="40"/>
        <v>179575</v>
      </c>
      <c r="P185" s="502"/>
      <c r="Q185" s="499" t="e">
        <f>VLOOKUP(G:G,list!B:D,3,FALSE)</f>
        <v>#N/A</v>
      </c>
    </row>
    <row r="186" spans="2:17" ht="18" customHeight="1">
      <c r="B186" s="490">
        <v>181</v>
      </c>
      <c r="C186" s="491" t="e">
        <f>VLOOKUP(G:G,list!B:D,2,FALSE)</f>
        <v>#N/A</v>
      </c>
      <c r="D186" s="491" t="s">
        <v>67</v>
      </c>
      <c r="E186" s="491" t="s">
        <v>64</v>
      </c>
      <c r="F186" s="491" t="s">
        <v>65</v>
      </c>
      <c r="G186" s="491" t="s">
        <v>187</v>
      </c>
      <c r="H186" s="492">
        <v>44289</v>
      </c>
      <c r="I186" s="491" t="s">
        <v>368</v>
      </c>
      <c r="J186" s="513">
        <v>242648</v>
      </c>
      <c r="K186" s="517">
        <v>0.4</v>
      </c>
      <c r="L186" s="495">
        <v>97059</v>
      </c>
      <c r="M186" s="496" t="s">
        <v>203</v>
      </c>
      <c r="N186" s="500">
        <v>0</v>
      </c>
      <c r="O186" s="497">
        <f t="shared" si="40"/>
        <v>97059</v>
      </c>
      <c r="P186" s="502"/>
      <c r="Q186" s="499" t="e">
        <f>VLOOKUP(G:G,list!B:D,3,FALSE)</f>
        <v>#N/A</v>
      </c>
    </row>
    <row r="187" spans="2:17" ht="18" customHeight="1">
      <c r="B187" s="490">
        <v>182</v>
      </c>
      <c r="C187" s="491" t="e">
        <f>VLOOKUP(G:G,list!B:D,2,FALSE)</f>
        <v>#N/A</v>
      </c>
      <c r="D187" s="491" t="s">
        <v>67</v>
      </c>
      <c r="E187" s="491" t="s">
        <v>64</v>
      </c>
      <c r="F187" s="491" t="s">
        <v>65</v>
      </c>
      <c r="G187" s="491" t="s">
        <v>188</v>
      </c>
      <c r="H187" s="492">
        <v>44449</v>
      </c>
      <c r="I187" s="491" t="s">
        <v>368</v>
      </c>
      <c r="J187" s="513">
        <v>5593045</v>
      </c>
      <c r="K187" s="517">
        <v>0.4</v>
      </c>
      <c r="L187" s="495">
        <v>2237218</v>
      </c>
      <c r="M187" s="496" t="s">
        <v>203</v>
      </c>
      <c r="N187" s="500">
        <v>0</v>
      </c>
      <c r="O187" s="497">
        <f t="shared" ref="O187" si="41">L187-N187</f>
        <v>2237218</v>
      </c>
      <c r="P187" s="474"/>
      <c r="Q187" s="499" t="e">
        <f>VLOOKUP(G:G,list!B:D,3,FALSE)</f>
        <v>#N/A</v>
      </c>
    </row>
    <row r="188" spans="2:17" ht="18" customHeight="1">
      <c r="B188" s="490">
        <v>183</v>
      </c>
      <c r="C188" s="491" t="e">
        <f>VLOOKUP(G:G,list!B:D,2,FALSE)</f>
        <v>#N/A</v>
      </c>
      <c r="D188" s="491" t="s">
        <v>182</v>
      </c>
      <c r="E188" s="491" t="s">
        <v>9</v>
      </c>
      <c r="F188" s="491" t="s">
        <v>264</v>
      </c>
      <c r="G188" s="491" t="s">
        <v>279</v>
      </c>
      <c r="H188" s="492">
        <v>44772</v>
      </c>
      <c r="I188" s="491" t="s">
        <v>377</v>
      </c>
      <c r="J188" s="513">
        <v>6750000</v>
      </c>
      <c r="K188" s="517" t="s">
        <v>203</v>
      </c>
      <c r="L188" s="495">
        <v>6750000</v>
      </c>
      <c r="M188" s="496">
        <v>0.1</v>
      </c>
      <c r="N188" s="500">
        <f>L188*M188</f>
        <v>675000</v>
      </c>
      <c r="O188" s="497">
        <f t="shared" si="40"/>
        <v>6075000</v>
      </c>
      <c r="P188" s="474" t="s">
        <v>430</v>
      </c>
      <c r="Q188" s="499" t="e">
        <f>VLOOKUP(G:G,list!B:D,3,FALSE)</f>
        <v>#N/A</v>
      </c>
    </row>
    <row r="189" spans="2:17">
      <c r="B189" s="52"/>
      <c r="C189" s="430"/>
      <c r="D189" s="430"/>
      <c r="E189" s="431"/>
      <c r="F189" s="430"/>
      <c r="G189" s="432"/>
      <c r="H189" s="433"/>
      <c r="I189" s="434"/>
      <c r="J189" s="435"/>
      <c r="K189" s="436"/>
      <c r="L189" s="467"/>
      <c r="M189" s="438"/>
      <c r="N189" s="439"/>
      <c r="O189" s="440"/>
      <c r="P189" s="441"/>
      <c r="Q189" s="486"/>
    </row>
    <row r="190" spans="2:17" s="7" customFormat="1">
      <c r="B190" s="534" t="s">
        <v>387</v>
      </c>
      <c r="C190" s="535"/>
      <c r="D190" s="535"/>
      <c r="E190" s="536"/>
      <c r="F190" s="535"/>
      <c r="G190" s="535"/>
      <c r="H190" s="311"/>
      <c r="I190" s="311"/>
      <c r="J190" s="311"/>
      <c r="K190" s="311"/>
      <c r="L190" s="311"/>
      <c r="M190" s="424"/>
      <c r="N190"/>
      <c r="O190" s="333"/>
      <c r="P190" s="18"/>
      <c r="Q190" s="484"/>
    </row>
    <row r="191" spans="2:17" s="7" customFormat="1">
      <c r="B191" s="537" t="s">
        <v>299</v>
      </c>
      <c r="C191" s="535"/>
      <c r="D191" s="535"/>
      <c r="E191" s="536"/>
      <c r="F191" s="535"/>
      <c r="G191" s="535"/>
      <c r="H191" s="311"/>
      <c r="I191" s="311"/>
      <c r="J191" s="311"/>
      <c r="K191" s="311"/>
      <c r="L191" s="311"/>
      <c r="M191" s="424"/>
      <c r="N191"/>
      <c r="O191" s="333"/>
      <c r="P191" s="18"/>
      <c r="Q191" s="484"/>
    </row>
    <row r="192" spans="2:17" s="7" customFormat="1">
      <c r="B192" s="537" t="s">
        <v>302</v>
      </c>
      <c r="C192" s="535"/>
      <c r="D192" s="535"/>
      <c r="E192" s="536"/>
      <c r="F192" s="535"/>
      <c r="G192" s="535"/>
      <c r="H192" s="311"/>
      <c r="I192" s="311"/>
      <c r="J192" s="311"/>
      <c r="K192" s="311"/>
      <c r="L192" s="311"/>
      <c r="M192" s="424"/>
      <c r="N192"/>
      <c r="O192" s="333"/>
      <c r="P192" s="18"/>
      <c r="Q192" s="484"/>
    </row>
    <row r="193" spans="2:17" s="7" customFormat="1">
      <c r="B193" s="538" t="s">
        <v>303</v>
      </c>
      <c r="C193" s="535"/>
      <c r="D193" s="535"/>
      <c r="E193" s="536"/>
      <c r="F193" s="535"/>
      <c r="G193" s="535"/>
      <c r="H193" s="311"/>
      <c r="I193" s="311"/>
      <c r="J193" s="311"/>
      <c r="K193" s="311"/>
      <c r="L193" s="311"/>
      <c r="M193" s="424"/>
      <c r="N193"/>
      <c r="O193" s="333"/>
      <c r="P193" s="18"/>
      <c r="Q193" s="484"/>
    </row>
    <row r="194" spans="2:17">
      <c r="B194" s="537" t="s">
        <v>340</v>
      </c>
      <c r="C194" s="535"/>
      <c r="D194" s="535"/>
      <c r="E194" s="536"/>
      <c r="F194" s="535"/>
      <c r="G194" s="535"/>
      <c r="H194" s="311"/>
      <c r="I194" s="311"/>
      <c r="J194" s="311"/>
      <c r="K194" s="311"/>
    </row>
    <row r="195" spans="2:17">
      <c r="B195" s="537" t="s">
        <v>462</v>
      </c>
      <c r="C195" s="535"/>
      <c r="D195" s="535"/>
      <c r="E195" s="536"/>
      <c r="F195" s="535"/>
      <c r="G195" s="535"/>
      <c r="H195" s="311"/>
      <c r="I195" s="311"/>
      <c r="J195" s="311"/>
      <c r="K195" s="311"/>
    </row>
    <row r="196" spans="2:17">
      <c r="B196" s="537" t="s">
        <v>461</v>
      </c>
      <c r="C196" s="535"/>
      <c r="D196" s="535"/>
      <c r="E196" s="536"/>
      <c r="F196" s="535"/>
      <c r="G196" s="535"/>
      <c r="H196" s="311"/>
      <c r="I196" s="311"/>
      <c r="J196" s="311"/>
      <c r="K196" s="311"/>
    </row>
    <row r="197" spans="2:17">
      <c r="B197" s="537" t="s">
        <v>404</v>
      </c>
      <c r="C197" s="535"/>
      <c r="D197" s="535"/>
      <c r="E197" s="536"/>
      <c r="F197" s="535"/>
      <c r="G197" s="535"/>
      <c r="H197" s="311"/>
      <c r="I197" s="311"/>
      <c r="J197" s="311"/>
      <c r="K197" s="311"/>
    </row>
    <row r="198" spans="2:17">
      <c r="B198" s="535"/>
      <c r="C198" s="535"/>
      <c r="D198" s="535"/>
      <c r="E198" s="536"/>
      <c r="F198" s="535"/>
      <c r="G198" s="535"/>
      <c r="H198" s="311"/>
      <c r="I198" s="311"/>
      <c r="J198" s="311"/>
      <c r="K198" s="311"/>
    </row>
    <row r="199" spans="2:17">
      <c r="H199" s="311"/>
      <c r="I199" s="311"/>
      <c r="J199" s="311"/>
      <c r="K199" s="311"/>
    </row>
    <row r="200" spans="2:17">
      <c r="H200" s="311"/>
      <c r="I200" s="311"/>
      <c r="J200" s="311"/>
      <c r="K200" s="311"/>
    </row>
    <row r="201" spans="2:17">
      <c r="H201" s="311"/>
      <c r="I201" s="311"/>
      <c r="J201" s="311"/>
      <c r="K201" s="311"/>
    </row>
    <row r="202" spans="2:17">
      <c r="J202" s="7"/>
    </row>
    <row r="203" spans="2:17">
      <c r="J203" s="7"/>
    </row>
    <row r="204" spans="2:17">
      <c r="J204" s="7"/>
    </row>
    <row r="205" spans="2:17">
      <c r="J205" s="7"/>
    </row>
    <row r="206" spans="2:17">
      <c r="J206" s="7"/>
    </row>
    <row r="207" spans="2:17" s="7" customFormat="1">
      <c r="E207" s="186"/>
      <c r="H207"/>
      <c r="I207"/>
      <c r="L207" s="311"/>
      <c r="M207" s="424"/>
      <c r="N207"/>
      <c r="O207" s="333"/>
      <c r="P207" s="18"/>
      <c r="Q207" s="484"/>
    </row>
    <row r="208" spans="2:17" s="7" customFormat="1">
      <c r="E208" s="186"/>
      <c r="H208"/>
      <c r="I208"/>
      <c r="L208" s="311"/>
      <c r="M208" s="424"/>
      <c r="N208"/>
      <c r="O208" s="333"/>
      <c r="P208" s="18"/>
      <c r="Q208" s="484"/>
    </row>
    <row r="209" spans="5:17" s="7" customFormat="1">
      <c r="E209" s="186"/>
      <c r="H209"/>
      <c r="I209"/>
      <c r="L209" s="311"/>
      <c r="M209" s="424"/>
      <c r="N209"/>
      <c r="O209" s="333"/>
      <c r="P209" s="18"/>
      <c r="Q209" s="484"/>
    </row>
    <row r="210" spans="5:17" s="7" customFormat="1">
      <c r="E210" s="186"/>
      <c r="H210"/>
      <c r="I210"/>
      <c r="L210" s="311"/>
      <c r="M210" s="424"/>
      <c r="N210"/>
      <c r="O210" s="333"/>
      <c r="P210" s="18"/>
      <c r="Q210" s="484"/>
    </row>
    <row r="211" spans="5:17" s="7" customFormat="1">
      <c r="E211" s="186"/>
      <c r="H211"/>
      <c r="I211"/>
      <c r="L211" s="311"/>
      <c r="M211" s="424"/>
      <c r="N211"/>
      <c r="O211" s="333"/>
      <c r="P211" s="18"/>
      <c r="Q211" s="484"/>
    </row>
    <row r="212" spans="5:17" s="7" customFormat="1">
      <c r="E212" s="186"/>
      <c r="H212"/>
      <c r="I212"/>
      <c r="L212" s="311"/>
      <c r="M212" s="424"/>
      <c r="N212"/>
      <c r="O212" s="333"/>
      <c r="P212" s="18"/>
      <c r="Q212" s="484"/>
    </row>
    <row r="213" spans="5:17" s="7" customFormat="1">
      <c r="E213" s="186"/>
      <c r="H213"/>
      <c r="I213"/>
      <c r="L213" s="311"/>
      <c r="M213" s="424"/>
      <c r="N213"/>
      <c r="O213" s="333"/>
      <c r="P213" s="18"/>
      <c r="Q213" s="484"/>
    </row>
    <row r="214" spans="5:17" s="7" customFormat="1">
      <c r="E214" s="186"/>
      <c r="H214"/>
      <c r="I214"/>
      <c r="L214" s="311"/>
      <c r="M214" s="424"/>
      <c r="N214"/>
      <c r="O214" s="333"/>
      <c r="P214" s="18"/>
      <c r="Q214" s="484"/>
    </row>
    <row r="215" spans="5:17" s="7" customFormat="1">
      <c r="E215" s="186"/>
      <c r="H215"/>
      <c r="I215"/>
      <c r="L215" s="311"/>
      <c r="M215" s="424"/>
      <c r="N215"/>
      <c r="O215" s="333"/>
      <c r="P215" s="18"/>
      <c r="Q215" s="484"/>
    </row>
    <row r="216" spans="5:17" s="7" customFormat="1">
      <c r="E216" s="186"/>
      <c r="H216"/>
      <c r="I216"/>
      <c r="L216" s="311"/>
      <c r="M216" s="424"/>
      <c r="N216"/>
      <c r="O216" s="333"/>
      <c r="P216" s="18"/>
      <c r="Q216" s="484"/>
    </row>
    <row r="217" spans="5:17" s="7" customFormat="1">
      <c r="E217" s="186"/>
      <c r="H217"/>
      <c r="I217"/>
      <c r="L217" s="311"/>
      <c r="M217" s="424"/>
      <c r="N217"/>
      <c r="O217" s="333"/>
      <c r="P217" s="18"/>
      <c r="Q217" s="484"/>
    </row>
    <row r="218" spans="5:17" s="7" customFormat="1">
      <c r="E218" s="186"/>
      <c r="H218"/>
      <c r="I218"/>
      <c r="L218" s="311"/>
      <c r="M218" s="424"/>
      <c r="N218"/>
      <c r="O218" s="333"/>
      <c r="P218" s="18"/>
      <c r="Q218" s="484"/>
    </row>
    <row r="219" spans="5:17" s="7" customFormat="1">
      <c r="E219" s="186"/>
      <c r="H219"/>
      <c r="I219"/>
      <c r="L219" s="311"/>
      <c r="M219" s="424"/>
      <c r="N219"/>
      <c r="O219" s="333"/>
      <c r="P219" s="18"/>
      <c r="Q219" s="484"/>
    </row>
    <row r="220" spans="5:17" s="7" customFormat="1">
      <c r="E220" s="186"/>
      <c r="H220"/>
      <c r="I220"/>
      <c r="L220" s="311"/>
      <c r="M220" s="424"/>
      <c r="N220"/>
      <c r="O220" s="333"/>
      <c r="P220" s="18"/>
      <c r="Q220" s="484"/>
    </row>
    <row r="221" spans="5:17" s="7" customFormat="1">
      <c r="E221" s="186"/>
      <c r="H221"/>
      <c r="I221"/>
      <c r="L221" s="311"/>
      <c r="M221" s="424"/>
      <c r="N221"/>
      <c r="O221" s="333"/>
      <c r="P221" s="18"/>
      <c r="Q221" s="484"/>
    </row>
  </sheetData>
  <autoFilter ref="A5:Q188" xr:uid="{C10520CE-9959-41F0-AE47-7F44CCD1A9A0}"/>
  <mergeCells count="1">
    <mergeCell ref="P2:Q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20CE-9959-41F0-AE47-7F44CCD1A9A0}">
  <dimension ref="B1:Q243"/>
  <sheetViews>
    <sheetView showGridLines="0" zoomScaleNormal="100" workbookViewId="0">
      <pane xSplit="7" ySplit="4" topLeftCell="H92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4.3984375" style="7" customWidth="1"/>
    <col min="3" max="3" width="13" style="7" customWidth="1"/>
    <col min="4" max="4" width="8.3984375" style="7" customWidth="1"/>
    <col min="5" max="5" width="7.3984375" style="186" customWidth="1"/>
    <col min="6" max="6" width="16.8984375" style="7" customWidth="1"/>
    <col min="7" max="7" width="28" style="7" customWidth="1"/>
    <col min="8" max="8" width="12.5" customWidth="1"/>
    <col min="9" max="9" width="13.59765625" customWidth="1"/>
    <col min="10" max="10" width="14.19921875" bestFit="1" customWidth="1"/>
    <col min="11" max="11" width="11.19921875" style="7" customWidth="1"/>
    <col min="12" max="12" width="13.59765625" style="335" customWidth="1"/>
    <col min="13" max="13" width="13.59765625" style="424" customWidth="1"/>
    <col min="14" max="14" width="13.59765625" customWidth="1"/>
    <col min="15" max="15" width="13.59765625" style="333" customWidth="1"/>
    <col min="16" max="16" width="37.59765625" style="18" customWidth="1"/>
    <col min="17" max="17" width="43" style="184" customWidth="1"/>
  </cols>
  <sheetData>
    <row r="1" spans="2:17" ht="16.5" customHeight="1"/>
    <row r="2" spans="2:17" ht="30" customHeight="1" thickBot="1">
      <c r="B2" s="4" t="s">
        <v>349</v>
      </c>
      <c r="C2" s="4"/>
      <c r="D2" s="4"/>
      <c r="E2" s="187"/>
      <c r="F2" s="4"/>
      <c r="J2" s="410"/>
      <c r="K2" s="410"/>
      <c r="L2" s="336" t="s">
        <v>196</v>
      </c>
      <c r="M2" s="425"/>
      <c r="P2" s="683"/>
      <c r="Q2" s="684"/>
    </row>
    <row r="3" spans="2:17" s="6" customFormat="1" ht="18.600000000000001" thickTop="1" thickBot="1">
      <c r="B3" s="8"/>
      <c r="C3" s="8"/>
      <c r="D3" s="8"/>
      <c r="E3" s="188"/>
      <c r="F3" s="8"/>
      <c r="G3" s="8"/>
      <c r="J3" s="200" t="s">
        <v>88</v>
      </c>
      <c r="K3" s="8"/>
      <c r="L3" s="337">
        <f>SUBTOTAL(109,L5:L1048576)</f>
        <v>563012990</v>
      </c>
      <c r="M3" s="426"/>
      <c r="N3" s="340">
        <f>SUBTOTAL(109,N5:N1048576)</f>
        <v>54676054.090000011</v>
      </c>
      <c r="O3" s="309">
        <f>SUBTOTAL(109,O5:O1048576)</f>
        <v>508336935.91000015</v>
      </c>
      <c r="P3" s="19"/>
      <c r="Q3" s="185"/>
    </row>
    <row r="4" spans="2:17" s="9" customFormat="1" ht="24" customHeight="1">
      <c r="B4" s="275" t="s">
        <v>7</v>
      </c>
      <c r="C4" s="276" t="s">
        <v>345</v>
      </c>
      <c r="D4" s="277" t="s">
        <v>76</v>
      </c>
      <c r="E4" s="278" t="s">
        <v>3</v>
      </c>
      <c r="F4" s="277" t="s">
        <v>0</v>
      </c>
      <c r="G4" s="279" t="s">
        <v>4</v>
      </c>
      <c r="H4" s="278" t="s">
        <v>5</v>
      </c>
      <c r="I4" s="278" t="s">
        <v>6</v>
      </c>
      <c r="J4" s="278" t="s">
        <v>2</v>
      </c>
      <c r="K4" s="280" t="s">
        <v>1</v>
      </c>
      <c r="L4" s="338" t="s">
        <v>88</v>
      </c>
      <c r="M4" s="427" t="s">
        <v>341</v>
      </c>
      <c r="N4" s="281" t="s">
        <v>232</v>
      </c>
      <c r="O4" s="334" t="s">
        <v>233</v>
      </c>
      <c r="P4" s="281" t="s">
        <v>82</v>
      </c>
      <c r="Q4" s="281" t="s">
        <v>274</v>
      </c>
    </row>
    <row r="5" spans="2:17" ht="18" customHeight="1">
      <c r="B5" s="341">
        <v>1</v>
      </c>
      <c r="C5" s="341" t="e">
        <f>VLOOKUP(G:G,list!B:D,2,FALSE)</f>
        <v>#N/A</v>
      </c>
      <c r="D5" s="341" t="s">
        <v>78</v>
      </c>
      <c r="E5" s="342" t="s">
        <v>115</v>
      </c>
      <c r="F5" s="341" t="s">
        <v>268</v>
      </c>
      <c r="G5" s="342" t="s">
        <v>39</v>
      </c>
      <c r="H5" s="343">
        <v>44553</v>
      </c>
      <c r="I5" s="341" t="s">
        <v>351</v>
      </c>
      <c r="J5" s="344">
        <v>4200</v>
      </c>
      <c r="K5" s="345" t="s">
        <v>271</v>
      </c>
      <c r="L5" s="346">
        <v>2940</v>
      </c>
      <c r="M5" s="428">
        <v>0.1</v>
      </c>
      <c r="N5" s="274">
        <f>L5*M5</f>
        <v>294</v>
      </c>
      <c r="O5" s="274">
        <f t="shared" ref="O5:O52" si="0">L5-N5</f>
        <v>2646</v>
      </c>
      <c r="P5" s="370"/>
      <c r="Q5" s="393" t="e">
        <f>VLOOKUP(G:G,list!B:D,3,FALSE)</f>
        <v>#N/A</v>
      </c>
    </row>
    <row r="6" spans="2:17" ht="18" customHeight="1">
      <c r="B6" s="341">
        <v>2</v>
      </c>
      <c r="C6" s="341" t="e">
        <f>VLOOKUP(G:G,list!B:D,2,FALSE)</f>
        <v>#N/A</v>
      </c>
      <c r="D6" s="341" t="s">
        <v>78</v>
      </c>
      <c r="E6" s="342" t="s">
        <v>115</v>
      </c>
      <c r="F6" s="341" t="s">
        <v>268</v>
      </c>
      <c r="G6" s="342" t="s">
        <v>40</v>
      </c>
      <c r="H6" s="343">
        <v>44554</v>
      </c>
      <c r="I6" s="341" t="s">
        <v>350</v>
      </c>
      <c r="J6" s="344">
        <v>5200</v>
      </c>
      <c r="K6" s="345" t="s">
        <v>271</v>
      </c>
      <c r="L6" s="346">
        <v>3640</v>
      </c>
      <c r="M6" s="428">
        <v>0.1</v>
      </c>
      <c r="N6" s="194">
        <f>L6*M6</f>
        <v>364</v>
      </c>
      <c r="O6" s="274">
        <f t="shared" si="0"/>
        <v>3276</v>
      </c>
      <c r="P6" s="370"/>
      <c r="Q6" s="393" t="e">
        <f>VLOOKUP(G:G,list!B:D,3,FALSE)</f>
        <v>#N/A</v>
      </c>
    </row>
    <row r="7" spans="2:17" ht="18" customHeight="1">
      <c r="B7" s="341">
        <v>3</v>
      </c>
      <c r="C7" s="341" t="e">
        <f>VLOOKUP(G:G,list!B:D,2,FALSE)</f>
        <v>#N/A</v>
      </c>
      <c r="D7" s="341" t="s">
        <v>78</v>
      </c>
      <c r="E7" s="342" t="s">
        <v>115</v>
      </c>
      <c r="F7" s="341" t="s">
        <v>268</v>
      </c>
      <c r="G7" s="342" t="s">
        <v>202</v>
      </c>
      <c r="H7" s="343">
        <v>44609</v>
      </c>
      <c r="I7" s="341" t="s">
        <v>350</v>
      </c>
      <c r="J7" s="344">
        <v>23400</v>
      </c>
      <c r="K7" s="345" t="s">
        <v>271</v>
      </c>
      <c r="L7" s="346">
        <v>16140</v>
      </c>
      <c r="M7" s="428" t="s">
        <v>203</v>
      </c>
      <c r="N7" s="194">
        <v>0</v>
      </c>
      <c r="O7" s="274">
        <f t="shared" si="0"/>
        <v>16140</v>
      </c>
      <c r="P7" s="392"/>
      <c r="Q7" s="393" t="e">
        <f>VLOOKUP(G:G,list!B:D,3,FALSE)</f>
        <v>#N/A</v>
      </c>
    </row>
    <row r="8" spans="2:17" ht="18" customHeight="1">
      <c r="B8" s="341">
        <v>4</v>
      </c>
      <c r="C8" s="341" t="e">
        <f>VLOOKUP(G:G,list!B:D,2,FALSE)</f>
        <v>#N/A</v>
      </c>
      <c r="D8" s="341" t="s">
        <v>78</v>
      </c>
      <c r="E8" s="342" t="s">
        <v>9</v>
      </c>
      <c r="F8" s="341" t="s">
        <v>242</v>
      </c>
      <c r="G8" s="342" t="s">
        <v>11</v>
      </c>
      <c r="H8" s="343">
        <v>44308</v>
      </c>
      <c r="I8" s="341" t="s">
        <v>351</v>
      </c>
      <c r="J8" s="344">
        <v>3369184</v>
      </c>
      <c r="K8" s="345">
        <v>0.6</v>
      </c>
      <c r="L8" s="346">
        <v>2021510</v>
      </c>
      <c r="M8" s="428" t="s">
        <v>203</v>
      </c>
      <c r="N8" s="274">
        <v>0</v>
      </c>
      <c r="O8" s="274">
        <f t="shared" si="0"/>
        <v>2021510</v>
      </c>
      <c r="P8" s="347"/>
      <c r="Q8" s="393" t="e">
        <f>VLOOKUP(G:G,list!B:D,3,FALSE)</f>
        <v>#N/A</v>
      </c>
    </row>
    <row r="9" spans="2:17" ht="18" customHeight="1">
      <c r="B9" s="341">
        <v>5</v>
      </c>
      <c r="C9" s="341" t="e">
        <f>VLOOKUP(G:G,list!B:D,2,FALSE)</f>
        <v>#N/A</v>
      </c>
      <c r="D9" s="341" t="s">
        <v>78</v>
      </c>
      <c r="E9" s="342" t="s">
        <v>9</v>
      </c>
      <c r="F9" s="341" t="s">
        <v>242</v>
      </c>
      <c r="G9" s="342" t="s">
        <v>10</v>
      </c>
      <c r="H9" s="343">
        <v>44309</v>
      </c>
      <c r="I9" s="341" t="s">
        <v>350</v>
      </c>
      <c r="J9" s="344">
        <v>87714920</v>
      </c>
      <c r="K9" s="345">
        <v>0.6</v>
      </c>
      <c r="L9" s="346">
        <v>52628952</v>
      </c>
      <c r="M9" s="428">
        <v>0.1</v>
      </c>
      <c r="N9" s="274">
        <f>L9*M9</f>
        <v>5262895.2</v>
      </c>
      <c r="O9" s="274">
        <f t="shared" si="0"/>
        <v>47366056.799999997</v>
      </c>
      <c r="P9" s="191"/>
      <c r="Q9" s="393" t="e">
        <f>VLOOKUP(G:G,list!B:D,3,FALSE)</f>
        <v>#N/A</v>
      </c>
    </row>
    <row r="10" spans="2:17" ht="18" customHeight="1">
      <c r="B10" s="341">
        <v>6</v>
      </c>
      <c r="C10" s="341" t="e">
        <f>VLOOKUP(G:G,list!B:D,2,FALSE)</f>
        <v>#N/A</v>
      </c>
      <c r="D10" s="341" t="s">
        <v>78</v>
      </c>
      <c r="E10" s="342" t="s">
        <v>9</v>
      </c>
      <c r="F10" s="341" t="s">
        <v>242</v>
      </c>
      <c r="G10" s="342" t="s">
        <v>136</v>
      </c>
      <c r="H10" s="343">
        <v>44240</v>
      </c>
      <c r="I10" s="341" t="s">
        <v>350</v>
      </c>
      <c r="J10" s="348">
        <v>1321705</v>
      </c>
      <c r="K10" s="345">
        <v>0.6</v>
      </c>
      <c r="L10" s="346">
        <v>793023</v>
      </c>
      <c r="M10" s="428">
        <v>0.1</v>
      </c>
      <c r="N10" s="274">
        <f>L10*M10</f>
        <v>79302.3</v>
      </c>
      <c r="O10" s="274">
        <f t="shared" si="0"/>
        <v>713720.7</v>
      </c>
      <c r="P10" s="391"/>
      <c r="Q10" s="393" t="e">
        <f>VLOOKUP(G:G,list!B:D,3,FALSE)</f>
        <v>#N/A</v>
      </c>
    </row>
    <row r="11" spans="2:17" ht="18" customHeight="1">
      <c r="B11" s="341">
        <v>7</v>
      </c>
      <c r="C11" s="341" t="e">
        <f>VLOOKUP(G:G,list!B:D,2,FALSE)</f>
        <v>#N/A</v>
      </c>
      <c r="D11" s="341" t="s">
        <v>78</v>
      </c>
      <c r="E11" s="342" t="s">
        <v>9</v>
      </c>
      <c r="F11" s="341" t="s">
        <v>242</v>
      </c>
      <c r="G11" s="342" t="s">
        <v>17</v>
      </c>
      <c r="H11" s="343">
        <v>44391</v>
      </c>
      <c r="I11" s="341" t="s">
        <v>350</v>
      </c>
      <c r="J11" s="349">
        <v>41054747</v>
      </c>
      <c r="K11" s="350">
        <v>0.6</v>
      </c>
      <c r="L11" s="346">
        <v>24632849</v>
      </c>
      <c r="M11" s="428">
        <v>0.12</v>
      </c>
      <c r="N11" s="194">
        <f>L11*M11</f>
        <v>2955941.88</v>
      </c>
      <c r="O11" s="274">
        <f t="shared" si="0"/>
        <v>21676907.120000001</v>
      </c>
      <c r="P11" s="191"/>
      <c r="Q11" s="393" t="e">
        <f>VLOOKUP(G:G,list!B:D,3,FALSE)</f>
        <v>#N/A</v>
      </c>
    </row>
    <row r="12" spans="2:17" ht="18" customHeight="1">
      <c r="B12" s="341">
        <v>8</v>
      </c>
      <c r="C12" s="341" t="e">
        <f>VLOOKUP(G:G,list!B:D,2,FALSE)</f>
        <v>#N/A</v>
      </c>
      <c r="D12" s="341" t="s">
        <v>78</v>
      </c>
      <c r="E12" s="342" t="s">
        <v>9</v>
      </c>
      <c r="F12" s="341" t="s">
        <v>242</v>
      </c>
      <c r="G12" s="342" t="s">
        <v>306</v>
      </c>
      <c r="H12" s="343">
        <v>44603</v>
      </c>
      <c r="I12" s="341" t="s">
        <v>350</v>
      </c>
      <c r="J12" s="349">
        <v>3006305</v>
      </c>
      <c r="K12" s="350">
        <v>0.6</v>
      </c>
      <c r="L12" s="346">
        <v>1803783</v>
      </c>
      <c r="M12" s="428" t="s">
        <v>203</v>
      </c>
      <c r="N12" s="194">
        <v>0</v>
      </c>
      <c r="O12" s="274">
        <f t="shared" si="0"/>
        <v>1803783</v>
      </c>
      <c r="P12" s="391"/>
      <c r="Q12" s="393" t="e">
        <f>VLOOKUP(G:G,list!B:D,3,FALSE)</f>
        <v>#N/A</v>
      </c>
    </row>
    <row r="13" spans="2:17" ht="18" customHeight="1">
      <c r="B13" s="341">
        <v>9</v>
      </c>
      <c r="C13" s="341" t="e">
        <f>VLOOKUP(G:G,list!B:D,2,FALSE)</f>
        <v>#N/A</v>
      </c>
      <c r="D13" s="341" t="s">
        <v>78</v>
      </c>
      <c r="E13" s="342" t="s">
        <v>9</v>
      </c>
      <c r="F13" s="341" t="s">
        <v>242</v>
      </c>
      <c r="G13" s="342" t="s">
        <v>357</v>
      </c>
      <c r="H13" s="343">
        <v>44703</v>
      </c>
      <c r="I13" s="341" t="s">
        <v>350</v>
      </c>
      <c r="J13" s="349">
        <v>7979680</v>
      </c>
      <c r="K13" s="350">
        <v>0.6</v>
      </c>
      <c r="L13" s="346">
        <v>4787808</v>
      </c>
      <c r="M13" s="428">
        <v>0.1</v>
      </c>
      <c r="N13" s="194">
        <f>L13*M13</f>
        <v>478780.80000000005</v>
      </c>
      <c r="O13" s="274">
        <f>L13-N13</f>
        <v>4309027.2</v>
      </c>
      <c r="P13" s="391" t="s">
        <v>333</v>
      </c>
      <c r="Q13" s="393" t="e">
        <f>VLOOKUP(G:G,list!B:D,3,FALSE)</f>
        <v>#N/A</v>
      </c>
    </row>
    <row r="14" spans="2:17" ht="18" customHeight="1">
      <c r="B14" s="341">
        <v>10</v>
      </c>
      <c r="C14" s="341" t="e">
        <f>VLOOKUP(G:G,list!B:D,2,FALSE)</f>
        <v>#N/A</v>
      </c>
      <c r="D14" s="341" t="s">
        <v>78</v>
      </c>
      <c r="E14" s="342" t="s">
        <v>115</v>
      </c>
      <c r="F14" s="341" t="s">
        <v>242</v>
      </c>
      <c r="G14" s="342" t="s">
        <v>204</v>
      </c>
      <c r="H14" s="343">
        <v>44428</v>
      </c>
      <c r="I14" s="341" t="s">
        <v>350</v>
      </c>
      <c r="J14" s="351">
        <v>365608</v>
      </c>
      <c r="K14" s="352">
        <v>0.7</v>
      </c>
      <c r="L14" s="346">
        <v>255926</v>
      </c>
      <c r="M14" s="428">
        <v>0.1</v>
      </c>
      <c r="N14" s="194">
        <f>L14*M14</f>
        <v>25592.600000000002</v>
      </c>
      <c r="O14" s="274">
        <f t="shared" si="0"/>
        <v>230333.4</v>
      </c>
      <c r="P14" s="193"/>
      <c r="Q14" s="393" t="e">
        <f>VLOOKUP(G:G,list!B:D,3,FALSE)</f>
        <v>#N/A</v>
      </c>
    </row>
    <row r="15" spans="2:17" ht="18" customHeight="1">
      <c r="B15" s="341">
        <v>11</v>
      </c>
      <c r="C15" s="341" t="e">
        <f>VLOOKUP(G:G,list!B:D,2,FALSE)</f>
        <v>#N/A</v>
      </c>
      <c r="D15" s="341" t="s">
        <v>78</v>
      </c>
      <c r="E15" s="342" t="s">
        <v>115</v>
      </c>
      <c r="F15" s="341" t="s">
        <v>242</v>
      </c>
      <c r="G15" s="342" t="s">
        <v>202</v>
      </c>
      <c r="H15" s="343">
        <v>44525</v>
      </c>
      <c r="I15" s="341" t="s">
        <v>350</v>
      </c>
      <c r="J15" s="348">
        <v>23052</v>
      </c>
      <c r="K15" s="345">
        <v>0.7</v>
      </c>
      <c r="L15" s="346">
        <v>16136</v>
      </c>
      <c r="M15" s="428" t="s">
        <v>203</v>
      </c>
      <c r="N15" s="274">
        <v>0</v>
      </c>
      <c r="O15" s="274">
        <f t="shared" si="0"/>
        <v>16136</v>
      </c>
      <c r="P15" s="193"/>
      <c r="Q15" s="393" t="e">
        <f>VLOOKUP(G:G,list!B:D,3,FALSE)</f>
        <v>#N/A</v>
      </c>
    </row>
    <row r="16" spans="2:17" ht="18" customHeight="1">
      <c r="B16" s="341">
        <v>12</v>
      </c>
      <c r="C16" s="341" t="str">
        <f>VLOOKUP(G:G,list!B:D,2,FALSE)</f>
        <v>작가기획</v>
      </c>
      <c r="D16" s="341" t="s">
        <v>78</v>
      </c>
      <c r="E16" s="342" t="s">
        <v>9</v>
      </c>
      <c r="F16" s="341" t="s">
        <v>272</v>
      </c>
      <c r="G16" s="342" t="s">
        <v>139</v>
      </c>
      <c r="H16" s="353">
        <v>44513</v>
      </c>
      <c r="I16" s="354" t="s">
        <v>323</v>
      </c>
      <c r="J16" s="348">
        <v>31290</v>
      </c>
      <c r="K16" s="345">
        <v>0.5</v>
      </c>
      <c r="L16" s="346">
        <v>15645</v>
      </c>
      <c r="M16" s="428" t="s">
        <v>203</v>
      </c>
      <c r="N16" s="274">
        <v>0</v>
      </c>
      <c r="O16" s="274">
        <f t="shared" si="0"/>
        <v>15645</v>
      </c>
      <c r="P16" s="355"/>
      <c r="Q16" s="393" t="str">
        <f>VLOOKUP(G:G,list!B:D,3,FALSE)</f>
        <v>Y</v>
      </c>
    </row>
    <row r="17" spans="2:17" ht="18" customHeight="1">
      <c r="B17" s="341">
        <v>13</v>
      </c>
      <c r="C17" s="341" t="e">
        <f>VLOOKUP(G:G,list!B:D,2,FALSE)</f>
        <v>#N/A</v>
      </c>
      <c r="D17" s="341" t="s">
        <v>78</v>
      </c>
      <c r="E17" s="342" t="s">
        <v>115</v>
      </c>
      <c r="F17" s="341" t="s">
        <v>245</v>
      </c>
      <c r="G17" s="342" t="s">
        <v>202</v>
      </c>
      <c r="H17" s="353">
        <v>44441</v>
      </c>
      <c r="I17" s="341" t="s">
        <v>351</v>
      </c>
      <c r="J17" s="348">
        <v>0</v>
      </c>
      <c r="K17" s="345" t="s">
        <v>203</v>
      </c>
      <c r="L17" s="346">
        <v>106200</v>
      </c>
      <c r="M17" s="428" t="s">
        <v>203</v>
      </c>
      <c r="N17" s="274">
        <v>0</v>
      </c>
      <c r="O17" s="274">
        <f t="shared" si="0"/>
        <v>106200</v>
      </c>
      <c r="P17" s="193"/>
      <c r="Q17" s="393" t="e">
        <f>VLOOKUP(G:G,list!B:D,3,FALSE)</f>
        <v>#N/A</v>
      </c>
    </row>
    <row r="18" spans="2:17" ht="18" customHeight="1">
      <c r="B18" s="341">
        <v>14</v>
      </c>
      <c r="C18" s="341" t="e">
        <f>VLOOKUP(G:G,list!B:D,2,FALSE)</f>
        <v>#N/A</v>
      </c>
      <c r="D18" s="341" t="s">
        <v>78</v>
      </c>
      <c r="E18" s="342" t="s">
        <v>115</v>
      </c>
      <c r="F18" s="341" t="s">
        <v>201</v>
      </c>
      <c r="G18" s="342" t="s">
        <v>202</v>
      </c>
      <c r="H18" s="343">
        <v>44300</v>
      </c>
      <c r="I18" s="341" t="s">
        <v>323</v>
      </c>
      <c r="J18" s="349">
        <v>581808</v>
      </c>
      <c r="K18" s="345">
        <v>0.7</v>
      </c>
      <c r="L18" s="346">
        <v>407266</v>
      </c>
      <c r="M18" s="428" t="s">
        <v>203</v>
      </c>
      <c r="N18" s="274">
        <v>0</v>
      </c>
      <c r="O18" s="274">
        <f t="shared" si="0"/>
        <v>407266</v>
      </c>
      <c r="P18" s="193"/>
      <c r="Q18" s="393" t="e">
        <f>VLOOKUP(G:G,list!B:D,3,FALSE)</f>
        <v>#N/A</v>
      </c>
    </row>
    <row r="19" spans="2:17" ht="18" customHeight="1">
      <c r="B19" s="341">
        <v>15</v>
      </c>
      <c r="C19" s="341" t="e">
        <f>VLOOKUP(G:G,list!B:D,2,FALSE)</f>
        <v>#N/A</v>
      </c>
      <c r="D19" s="341" t="s">
        <v>78</v>
      </c>
      <c r="E19" s="342" t="s">
        <v>9</v>
      </c>
      <c r="F19" s="341" t="s">
        <v>201</v>
      </c>
      <c r="G19" s="342" t="s">
        <v>279</v>
      </c>
      <c r="H19" s="343">
        <v>44644</v>
      </c>
      <c r="I19" s="341" t="s">
        <v>323</v>
      </c>
      <c r="J19" s="349">
        <v>3169666</v>
      </c>
      <c r="K19" s="345">
        <v>0.6</v>
      </c>
      <c r="L19" s="346">
        <v>1901800</v>
      </c>
      <c r="M19" s="428">
        <v>0.1</v>
      </c>
      <c r="N19" s="194">
        <f>L19*M19</f>
        <v>190180</v>
      </c>
      <c r="O19" s="274">
        <f t="shared" si="0"/>
        <v>1711620</v>
      </c>
      <c r="P19" s="422"/>
      <c r="Q19" s="393" t="e">
        <f>VLOOKUP(G:G,list!B:D,3,FALSE)</f>
        <v>#N/A</v>
      </c>
    </row>
    <row r="20" spans="2:17" ht="18" customHeight="1">
      <c r="B20" s="341">
        <v>16</v>
      </c>
      <c r="C20" s="341" t="str">
        <f>VLOOKUP(G:G,list!B:D,2,FALSE)</f>
        <v>작가기획</v>
      </c>
      <c r="D20" s="341" t="s">
        <v>78</v>
      </c>
      <c r="E20" s="342" t="s">
        <v>9</v>
      </c>
      <c r="F20" s="341" t="s">
        <v>246</v>
      </c>
      <c r="G20" s="342" t="s">
        <v>36</v>
      </c>
      <c r="H20" s="343">
        <v>43810</v>
      </c>
      <c r="I20" s="341" t="s">
        <v>351</v>
      </c>
      <c r="J20" s="349">
        <v>3263760</v>
      </c>
      <c r="K20" s="345" t="s">
        <v>165</v>
      </c>
      <c r="L20" s="346">
        <v>1324944</v>
      </c>
      <c r="M20" s="428" t="s">
        <v>203</v>
      </c>
      <c r="N20" s="274">
        <v>0</v>
      </c>
      <c r="O20" s="274">
        <f t="shared" si="0"/>
        <v>1324944</v>
      </c>
      <c r="P20" s="193"/>
      <c r="Q20" s="393" t="str">
        <f>VLOOKUP(G:G,list!B:D,3,FALSE)</f>
        <v>Y</v>
      </c>
    </row>
    <row r="21" spans="2:17" ht="18" customHeight="1">
      <c r="B21" s="341">
        <v>17</v>
      </c>
      <c r="C21" s="341" t="str">
        <f>VLOOKUP(G:G,list!B:D,2,FALSE)</f>
        <v>작가기획</v>
      </c>
      <c r="D21" s="341" t="s">
        <v>78</v>
      </c>
      <c r="E21" s="342" t="s">
        <v>9</v>
      </c>
      <c r="F21" s="341" t="s">
        <v>246</v>
      </c>
      <c r="G21" s="342" t="s">
        <v>139</v>
      </c>
      <c r="H21" s="343">
        <v>43852</v>
      </c>
      <c r="I21" s="341" t="s">
        <v>351</v>
      </c>
      <c r="J21" s="349">
        <v>45900</v>
      </c>
      <c r="K21" s="345" t="s">
        <v>165</v>
      </c>
      <c r="L21" s="346">
        <v>17253</v>
      </c>
      <c r="M21" s="428" t="s">
        <v>203</v>
      </c>
      <c r="N21" s="274">
        <v>0</v>
      </c>
      <c r="O21" s="274">
        <f t="shared" si="0"/>
        <v>17253</v>
      </c>
      <c r="P21" s="355"/>
      <c r="Q21" s="393" t="str">
        <f>VLOOKUP(G:G,list!B:D,3,FALSE)</f>
        <v>Y</v>
      </c>
    </row>
    <row r="22" spans="2:17" ht="18" customHeight="1">
      <c r="B22" s="341">
        <v>18</v>
      </c>
      <c r="C22" s="341" t="e">
        <f>VLOOKUP(G:G,list!B:D,2,FALSE)</f>
        <v>#N/A</v>
      </c>
      <c r="D22" s="341" t="s">
        <v>78</v>
      </c>
      <c r="E22" s="342" t="s">
        <v>115</v>
      </c>
      <c r="F22" s="341" t="s">
        <v>246</v>
      </c>
      <c r="G22" s="342" t="s">
        <v>19</v>
      </c>
      <c r="H22" s="343">
        <v>44328</v>
      </c>
      <c r="I22" s="341" t="s">
        <v>351</v>
      </c>
      <c r="J22" s="349">
        <v>262800</v>
      </c>
      <c r="K22" s="345" t="s">
        <v>120</v>
      </c>
      <c r="L22" s="346">
        <v>124783</v>
      </c>
      <c r="M22" s="428" t="s">
        <v>203</v>
      </c>
      <c r="N22" s="274">
        <v>0</v>
      </c>
      <c r="O22" s="274">
        <f t="shared" si="0"/>
        <v>124783</v>
      </c>
      <c r="P22" s="191"/>
      <c r="Q22" s="393" t="e">
        <f>VLOOKUP(G:G,list!B:D,3,FALSE)</f>
        <v>#N/A</v>
      </c>
    </row>
    <row r="23" spans="2:17" ht="18" customHeight="1">
      <c r="B23" s="341">
        <v>19</v>
      </c>
      <c r="C23" s="341" t="e">
        <f>VLOOKUP(G:G,list!B:D,2,FALSE)</f>
        <v>#N/A</v>
      </c>
      <c r="D23" s="341" t="s">
        <v>78</v>
      </c>
      <c r="E23" s="342" t="s">
        <v>115</v>
      </c>
      <c r="F23" s="341" t="s">
        <v>197</v>
      </c>
      <c r="G23" s="342" t="s">
        <v>202</v>
      </c>
      <c r="H23" s="356">
        <v>44328</v>
      </c>
      <c r="I23" s="341" t="s">
        <v>351</v>
      </c>
      <c r="J23" s="357">
        <v>0</v>
      </c>
      <c r="K23" s="345">
        <v>0.7</v>
      </c>
      <c r="L23" s="346">
        <v>0</v>
      </c>
      <c r="M23" s="428" t="s">
        <v>203</v>
      </c>
      <c r="N23" s="274">
        <v>0</v>
      </c>
      <c r="O23" s="274">
        <f t="shared" si="0"/>
        <v>0</v>
      </c>
      <c r="P23" s="347"/>
      <c r="Q23" s="393" t="e">
        <f>VLOOKUP(G:G,list!B:D,3,FALSE)</f>
        <v>#N/A</v>
      </c>
    </row>
    <row r="24" spans="2:17" ht="18" customHeight="1">
      <c r="B24" s="341">
        <v>20</v>
      </c>
      <c r="C24" s="341" t="e">
        <f>VLOOKUP(G:G,list!B:D,2,FALSE)</f>
        <v>#N/A</v>
      </c>
      <c r="D24" s="341" t="s">
        <v>78</v>
      </c>
      <c r="E24" s="342" t="s">
        <v>115</v>
      </c>
      <c r="F24" s="341" t="s">
        <v>309</v>
      </c>
      <c r="G24" s="342" t="s">
        <v>39</v>
      </c>
      <c r="H24" s="356">
        <v>44602</v>
      </c>
      <c r="I24" s="341" t="s">
        <v>351</v>
      </c>
      <c r="J24" s="357">
        <v>200</v>
      </c>
      <c r="K24" s="345">
        <v>0.7</v>
      </c>
      <c r="L24" s="346">
        <v>140</v>
      </c>
      <c r="M24" s="428">
        <v>0.1</v>
      </c>
      <c r="N24" s="274">
        <f t="shared" ref="N24:N31" si="1">L24*M24</f>
        <v>14</v>
      </c>
      <c r="O24" s="274">
        <f t="shared" si="0"/>
        <v>126</v>
      </c>
      <c r="P24" s="347"/>
      <c r="Q24" s="393" t="e">
        <f>VLOOKUP(G:G,list!B:D,3,FALSE)</f>
        <v>#N/A</v>
      </c>
    </row>
    <row r="25" spans="2:17" ht="18" customHeight="1">
      <c r="B25" s="341">
        <v>21</v>
      </c>
      <c r="C25" s="341" t="e">
        <f>VLOOKUP(G:G,list!B:D,2,FALSE)</f>
        <v>#N/A</v>
      </c>
      <c r="D25" s="341" t="s">
        <v>78</v>
      </c>
      <c r="E25" s="342" t="s">
        <v>115</v>
      </c>
      <c r="F25" s="341" t="s">
        <v>309</v>
      </c>
      <c r="G25" s="342" t="s">
        <v>40</v>
      </c>
      <c r="H25" s="356">
        <v>44603</v>
      </c>
      <c r="I25" s="341" t="s">
        <v>351</v>
      </c>
      <c r="J25" s="357">
        <v>0</v>
      </c>
      <c r="K25" s="345">
        <v>0.7</v>
      </c>
      <c r="L25" s="346">
        <v>0</v>
      </c>
      <c r="M25" s="428">
        <v>0.1</v>
      </c>
      <c r="N25" s="194">
        <f t="shared" si="1"/>
        <v>0</v>
      </c>
      <c r="O25" s="274">
        <f t="shared" si="0"/>
        <v>0</v>
      </c>
      <c r="P25" s="347" t="s">
        <v>366</v>
      </c>
      <c r="Q25" s="393" t="e">
        <f>VLOOKUP(G:G,list!B:D,3,FALSE)</f>
        <v>#N/A</v>
      </c>
    </row>
    <row r="26" spans="2:17" ht="18" customHeight="1">
      <c r="B26" s="341">
        <v>22</v>
      </c>
      <c r="C26" s="341" t="e">
        <f>VLOOKUP(G:G,list!B:D,2,FALSE)</f>
        <v>#N/A</v>
      </c>
      <c r="D26" s="341" t="s">
        <v>78</v>
      </c>
      <c r="E26" s="342" t="s">
        <v>115</v>
      </c>
      <c r="F26" s="341" t="s">
        <v>309</v>
      </c>
      <c r="G26" s="342" t="s">
        <v>38</v>
      </c>
      <c r="H26" s="356">
        <v>44603</v>
      </c>
      <c r="I26" s="341" t="s">
        <v>351</v>
      </c>
      <c r="J26" s="357">
        <v>1600</v>
      </c>
      <c r="K26" s="345">
        <v>0.7</v>
      </c>
      <c r="L26" s="346">
        <v>1120</v>
      </c>
      <c r="M26" s="428">
        <v>0.1</v>
      </c>
      <c r="N26" s="194">
        <f t="shared" si="1"/>
        <v>112</v>
      </c>
      <c r="O26" s="274">
        <f t="shared" si="0"/>
        <v>1008</v>
      </c>
      <c r="P26" s="347"/>
      <c r="Q26" s="393" t="e">
        <f>VLOOKUP(G:G,list!B:D,3,FALSE)</f>
        <v>#N/A</v>
      </c>
    </row>
    <row r="27" spans="2:17" ht="18" customHeight="1">
      <c r="B27" s="341">
        <v>23</v>
      </c>
      <c r="C27" s="341" t="e">
        <f>VLOOKUP(G:G,list!B:D,2,FALSE)</f>
        <v>#N/A</v>
      </c>
      <c r="D27" s="341" t="s">
        <v>78</v>
      </c>
      <c r="E27" s="358" t="s">
        <v>9</v>
      </c>
      <c r="F27" s="341" t="s">
        <v>209</v>
      </c>
      <c r="G27" s="358" t="s">
        <v>28</v>
      </c>
      <c r="H27" s="359">
        <v>44409</v>
      </c>
      <c r="I27" s="341" t="s">
        <v>350</v>
      </c>
      <c r="J27" s="357">
        <v>1916600</v>
      </c>
      <c r="K27" s="345">
        <v>0.55000030549787249</v>
      </c>
      <c r="L27" s="346">
        <v>1054131</v>
      </c>
      <c r="M27" s="428">
        <v>0.12</v>
      </c>
      <c r="N27" s="194">
        <f t="shared" si="1"/>
        <v>126495.72</v>
      </c>
      <c r="O27" s="274">
        <f t="shared" si="0"/>
        <v>927635.28</v>
      </c>
      <c r="P27" s="191"/>
      <c r="Q27" s="393" t="e">
        <f>VLOOKUP(G:G,list!B:D,3,FALSE)</f>
        <v>#N/A</v>
      </c>
    </row>
    <row r="28" spans="2:17" ht="18" customHeight="1">
      <c r="B28" s="341">
        <v>24</v>
      </c>
      <c r="C28" s="341" t="e">
        <f>VLOOKUP(G:G,list!B:D,2,FALSE)</f>
        <v>#N/A</v>
      </c>
      <c r="D28" s="341" t="s">
        <v>78</v>
      </c>
      <c r="E28" s="358" t="s">
        <v>9</v>
      </c>
      <c r="F28" s="341" t="s">
        <v>209</v>
      </c>
      <c r="G28" s="358" t="s">
        <v>42</v>
      </c>
      <c r="H28" s="359">
        <v>44409</v>
      </c>
      <c r="I28" s="341" t="s">
        <v>350</v>
      </c>
      <c r="J28" s="357">
        <v>8873723</v>
      </c>
      <c r="K28" s="345">
        <v>0.55000005938954677</v>
      </c>
      <c r="L28" s="346">
        <v>4880549</v>
      </c>
      <c r="M28" s="428">
        <v>0.1</v>
      </c>
      <c r="N28" s="194">
        <f>L28*M28</f>
        <v>488054.9</v>
      </c>
      <c r="O28" s="274">
        <f t="shared" si="0"/>
        <v>4392494.0999999996</v>
      </c>
      <c r="P28" s="195" t="s">
        <v>144</v>
      </c>
      <c r="Q28" s="393" t="e">
        <f>VLOOKUP(G:G,list!B:D,3,FALSE)</f>
        <v>#N/A</v>
      </c>
    </row>
    <row r="29" spans="2:17" ht="18" customHeight="1">
      <c r="B29" s="341">
        <v>25</v>
      </c>
      <c r="C29" s="341" t="e">
        <f>VLOOKUP(G:G,list!B:D,2,FALSE)</f>
        <v>#N/A</v>
      </c>
      <c r="D29" s="341" t="s">
        <v>78</v>
      </c>
      <c r="E29" s="358" t="s">
        <v>9</v>
      </c>
      <c r="F29" s="341" t="s">
        <v>209</v>
      </c>
      <c r="G29" s="358" t="s">
        <v>54</v>
      </c>
      <c r="H29" s="359">
        <v>44409</v>
      </c>
      <c r="I29" s="341" t="s">
        <v>350</v>
      </c>
      <c r="J29" s="357">
        <v>228275</v>
      </c>
      <c r="K29" s="345">
        <v>0.55000086238120693</v>
      </c>
      <c r="L29" s="346">
        <v>125551</v>
      </c>
      <c r="M29" s="428">
        <v>0.1</v>
      </c>
      <c r="N29" s="274">
        <f t="shared" si="1"/>
        <v>12555.1</v>
      </c>
      <c r="O29" s="274">
        <f>L29-N29</f>
        <v>112995.9</v>
      </c>
      <c r="P29" s="191"/>
      <c r="Q29" s="393" t="e">
        <f>VLOOKUP(G:G,list!B:D,3,FALSE)</f>
        <v>#N/A</v>
      </c>
    </row>
    <row r="30" spans="2:17" ht="18" customHeight="1">
      <c r="B30" s="341">
        <v>26</v>
      </c>
      <c r="C30" s="341" t="e">
        <f>VLOOKUP(G:G,list!B:D,2,FALSE)</f>
        <v>#N/A</v>
      </c>
      <c r="D30" s="341" t="s">
        <v>78</v>
      </c>
      <c r="E30" s="358" t="s">
        <v>9</v>
      </c>
      <c r="F30" s="341" t="s">
        <v>209</v>
      </c>
      <c r="G30" s="358" t="s">
        <v>46</v>
      </c>
      <c r="H30" s="359">
        <v>44409</v>
      </c>
      <c r="I30" s="341" t="s">
        <v>350</v>
      </c>
      <c r="J30" s="357">
        <v>1784543</v>
      </c>
      <c r="K30" s="345">
        <v>0.55000030235412922</v>
      </c>
      <c r="L30" s="346">
        <v>981500</v>
      </c>
      <c r="M30" s="428">
        <v>0.1</v>
      </c>
      <c r="N30" s="194">
        <f t="shared" si="1"/>
        <v>98150</v>
      </c>
      <c r="O30" s="274">
        <f t="shared" si="0"/>
        <v>883350</v>
      </c>
      <c r="P30" s="347"/>
      <c r="Q30" s="393" t="e">
        <f>VLOOKUP(G:G,list!B:D,3,FALSE)</f>
        <v>#N/A</v>
      </c>
    </row>
    <row r="31" spans="2:17" ht="18" customHeight="1">
      <c r="B31" s="341">
        <v>27</v>
      </c>
      <c r="C31" s="341" t="str">
        <f>VLOOKUP(G:G,list!B:D,2,FALSE)</f>
        <v>원작료</v>
      </c>
      <c r="D31" s="341" t="s">
        <v>78</v>
      </c>
      <c r="E31" s="358" t="s">
        <v>9</v>
      </c>
      <c r="F31" s="341" t="s">
        <v>209</v>
      </c>
      <c r="G31" s="358" t="s">
        <v>30</v>
      </c>
      <c r="H31" s="359">
        <v>44409</v>
      </c>
      <c r="I31" s="341" t="s">
        <v>350</v>
      </c>
      <c r="J31" s="357">
        <v>944246</v>
      </c>
      <c r="K31" s="345">
        <v>0.55000024483664012</v>
      </c>
      <c r="L31" s="346">
        <v>519337</v>
      </c>
      <c r="M31" s="428">
        <v>0.1</v>
      </c>
      <c r="N31" s="274">
        <f t="shared" si="1"/>
        <v>51933.700000000004</v>
      </c>
      <c r="O31" s="274">
        <f t="shared" si="0"/>
        <v>467403.3</v>
      </c>
      <c r="P31" s="191"/>
      <c r="Q31" s="393" t="str">
        <f>VLOOKUP(G:G,list!B:D,3,FALSE)</f>
        <v>Y</v>
      </c>
    </row>
    <row r="32" spans="2:17" ht="18" customHeight="1">
      <c r="B32" s="341">
        <v>28</v>
      </c>
      <c r="C32" s="341" t="e">
        <f>VLOOKUP(G:G,list!B:D,2,FALSE)</f>
        <v>#N/A</v>
      </c>
      <c r="D32" s="341" t="s">
        <v>78</v>
      </c>
      <c r="E32" s="358" t="s">
        <v>9</v>
      </c>
      <c r="F32" s="341" t="s">
        <v>209</v>
      </c>
      <c r="G32" s="358" t="s">
        <v>53</v>
      </c>
      <c r="H32" s="359">
        <v>44409</v>
      </c>
      <c r="I32" s="341" t="s">
        <v>350</v>
      </c>
      <c r="J32" s="357">
        <v>1166400</v>
      </c>
      <c r="K32" s="345">
        <v>0.55000033990713737</v>
      </c>
      <c r="L32" s="346">
        <v>641520</v>
      </c>
      <c r="M32" s="428" t="s">
        <v>203</v>
      </c>
      <c r="N32" s="274">
        <v>0</v>
      </c>
      <c r="O32" s="274">
        <f t="shared" si="0"/>
        <v>641520</v>
      </c>
      <c r="P32" s="347"/>
      <c r="Q32" s="393" t="e">
        <f>VLOOKUP(G:G,list!B:D,3,FALSE)</f>
        <v>#N/A</v>
      </c>
    </row>
    <row r="33" spans="2:17" ht="18" customHeight="1">
      <c r="B33" s="341">
        <v>29</v>
      </c>
      <c r="C33" s="341" t="e">
        <f>VLOOKUP(G:G,list!B:D,2,FALSE)</f>
        <v>#N/A</v>
      </c>
      <c r="D33" s="341" t="s">
        <v>78</v>
      </c>
      <c r="E33" s="358" t="s">
        <v>9</v>
      </c>
      <c r="F33" s="341" t="s">
        <v>209</v>
      </c>
      <c r="G33" s="358" t="s">
        <v>43</v>
      </c>
      <c r="H33" s="359">
        <v>44465</v>
      </c>
      <c r="I33" s="341" t="s">
        <v>350</v>
      </c>
      <c r="J33" s="357">
        <v>5516299</v>
      </c>
      <c r="K33" s="345">
        <v>0.5500000916758343</v>
      </c>
      <c r="L33" s="346">
        <v>3033965</v>
      </c>
      <c r="M33" s="428">
        <v>0.1</v>
      </c>
      <c r="N33" s="194">
        <f>L33*M33</f>
        <v>303396.5</v>
      </c>
      <c r="O33" s="274">
        <f t="shared" si="0"/>
        <v>2730568.5</v>
      </c>
      <c r="P33" s="191"/>
      <c r="Q33" s="393" t="e">
        <f>VLOOKUP(G:G,list!B:D,3,FALSE)</f>
        <v>#N/A</v>
      </c>
    </row>
    <row r="34" spans="2:17" ht="18" customHeight="1">
      <c r="B34" s="341">
        <v>30</v>
      </c>
      <c r="C34" s="341" t="e">
        <f>VLOOKUP(G:G,list!B:D,2,FALSE)</f>
        <v>#N/A</v>
      </c>
      <c r="D34" s="341" t="s">
        <v>78</v>
      </c>
      <c r="E34" s="358" t="s">
        <v>9</v>
      </c>
      <c r="F34" s="341" t="s">
        <v>209</v>
      </c>
      <c r="G34" s="358" t="s">
        <v>225</v>
      </c>
      <c r="H34" s="359">
        <v>44484</v>
      </c>
      <c r="I34" s="341" t="s">
        <v>350</v>
      </c>
      <c r="J34" s="357">
        <v>506807</v>
      </c>
      <c r="K34" s="345">
        <v>0.55000056541116071</v>
      </c>
      <c r="L34" s="346">
        <v>278744</v>
      </c>
      <c r="M34" s="428">
        <v>0.1</v>
      </c>
      <c r="N34" s="274">
        <f>L34*M34</f>
        <v>27874.400000000001</v>
      </c>
      <c r="O34" s="274">
        <f t="shared" si="0"/>
        <v>250869.6</v>
      </c>
      <c r="P34" s="191"/>
      <c r="Q34" s="393" t="e">
        <f>VLOOKUP(G:G,list!B:D,3,FALSE)</f>
        <v>#N/A</v>
      </c>
    </row>
    <row r="35" spans="2:17" ht="18" customHeight="1">
      <c r="B35" s="341">
        <v>31</v>
      </c>
      <c r="C35" s="341" t="e">
        <f>VLOOKUP(G:G,list!B:D,2,FALSE)</f>
        <v>#N/A</v>
      </c>
      <c r="D35" s="341" t="s">
        <v>78</v>
      </c>
      <c r="E35" s="358" t="s">
        <v>9</v>
      </c>
      <c r="F35" s="341" t="s">
        <v>209</v>
      </c>
      <c r="G35" s="358" t="s">
        <v>29</v>
      </c>
      <c r="H35" s="359">
        <v>44510</v>
      </c>
      <c r="I35" s="341" t="s">
        <v>350</v>
      </c>
      <c r="J35" s="357">
        <v>1400832</v>
      </c>
      <c r="K35" s="345">
        <v>0.55000024262484026</v>
      </c>
      <c r="L35" s="346">
        <v>770458</v>
      </c>
      <c r="M35" s="428">
        <v>0.1</v>
      </c>
      <c r="N35" s="274">
        <f>L35*M35</f>
        <v>77045.8</v>
      </c>
      <c r="O35" s="274">
        <f t="shared" si="0"/>
        <v>693412.2</v>
      </c>
      <c r="P35" s="191"/>
      <c r="Q35" s="393" t="e">
        <f>VLOOKUP(G:G,list!B:D,3,FALSE)</f>
        <v>#N/A</v>
      </c>
    </row>
    <row r="36" spans="2:17" ht="18" customHeight="1">
      <c r="B36" s="341">
        <v>32</v>
      </c>
      <c r="C36" s="341" t="e">
        <f>VLOOKUP(G:G,list!B:D,2,FALSE)</f>
        <v>#N/A</v>
      </c>
      <c r="D36" s="341" t="s">
        <v>78</v>
      </c>
      <c r="E36" s="358" t="s">
        <v>9</v>
      </c>
      <c r="F36" s="341" t="s">
        <v>209</v>
      </c>
      <c r="G36" s="358" t="s">
        <v>59</v>
      </c>
      <c r="H36" s="359">
        <v>44595</v>
      </c>
      <c r="I36" s="341" t="s">
        <v>350</v>
      </c>
      <c r="J36" s="357">
        <v>6464963</v>
      </c>
      <c r="K36" s="345">
        <v>0.55000024262484026</v>
      </c>
      <c r="L36" s="346">
        <v>3555730</v>
      </c>
      <c r="M36" s="428">
        <v>0.1</v>
      </c>
      <c r="N36" s="274">
        <f>L36*M36</f>
        <v>355573</v>
      </c>
      <c r="O36" s="274">
        <f t="shared" si="0"/>
        <v>3200157</v>
      </c>
      <c r="P36" s="391"/>
      <c r="Q36" s="393" t="e">
        <f>VLOOKUP(G:G,list!B:D,3,FALSE)</f>
        <v>#N/A</v>
      </c>
    </row>
    <row r="37" spans="2:17" ht="18" customHeight="1">
      <c r="B37" s="341">
        <v>33</v>
      </c>
      <c r="C37" s="341" t="e">
        <f>VLOOKUP(G:G,list!B:D,2,FALSE)</f>
        <v>#N/A</v>
      </c>
      <c r="D37" s="341" t="s">
        <v>78</v>
      </c>
      <c r="E37" s="358" t="s">
        <v>9</v>
      </c>
      <c r="F37" s="341" t="s">
        <v>209</v>
      </c>
      <c r="G37" s="358" t="s">
        <v>173</v>
      </c>
      <c r="H37" s="359">
        <v>44624</v>
      </c>
      <c r="I37" s="341" t="s">
        <v>350</v>
      </c>
      <c r="J37" s="357">
        <v>1234608</v>
      </c>
      <c r="K37" s="345">
        <v>0.60000003881483055</v>
      </c>
      <c r="L37" s="346">
        <v>740765</v>
      </c>
      <c r="M37" s="428">
        <v>0.1</v>
      </c>
      <c r="N37" s="274">
        <f>L37*M37</f>
        <v>74076.5</v>
      </c>
      <c r="O37" s="274">
        <f t="shared" si="0"/>
        <v>666688.5</v>
      </c>
      <c r="P37" s="391"/>
      <c r="Q37" s="393" t="e">
        <f>VLOOKUP(G:G,list!B:D,3,FALSE)</f>
        <v>#N/A</v>
      </c>
    </row>
    <row r="38" spans="2:17" ht="18" customHeight="1">
      <c r="B38" s="341">
        <v>34</v>
      </c>
      <c r="C38" s="341" t="e">
        <f>VLOOKUP(G:G,list!B:D,2,FALSE)</f>
        <v>#N/A</v>
      </c>
      <c r="D38" s="341" t="s">
        <v>78</v>
      </c>
      <c r="E38" s="358" t="s">
        <v>9</v>
      </c>
      <c r="F38" s="341" t="s">
        <v>209</v>
      </c>
      <c r="G38" s="358" t="s">
        <v>324</v>
      </c>
      <c r="H38" s="359">
        <v>44672</v>
      </c>
      <c r="I38" s="341" t="s">
        <v>350</v>
      </c>
      <c r="J38" s="357">
        <v>2368069</v>
      </c>
      <c r="K38" s="345">
        <v>0.55000024262484026</v>
      </c>
      <c r="L38" s="346">
        <v>1302439</v>
      </c>
      <c r="M38" s="428" t="s">
        <v>203</v>
      </c>
      <c r="N38" s="274">
        <v>0</v>
      </c>
      <c r="O38" s="274">
        <f t="shared" si="0"/>
        <v>1302439</v>
      </c>
      <c r="P38" s="347"/>
      <c r="Q38" s="393" t="e">
        <f>VLOOKUP(G:G,list!B:D,3,FALSE)</f>
        <v>#N/A</v>
      </c>
    </row>
    <row r="39" spans="2:17" ht="18" customHeight="1">
      <c r="B39" s="341">
        <v>35</v>
      </c>
      <c r="C39" s="341" t="e">
        <f>VLOOKUP(G:G,list!B:D,2,FALSE)</f>
        <v>#N/A</v>
      </c>
      <c r="D39" s="341" t="s">
        <v>78</v>
      </c>
      <c r="E39" s="360" t="s">
        <v>250</v>
      </c>
      <c r="F39" s="341" t="s">
        <v>126</v>
      </c>
      <c r="G39" s="360" t="s">
        <v>53</v>
      </c>
      <c r="H39" s="356">
        <v>44224</v>
      </c>
      <c r="I39" s="341" t="s">
        <v>351</v>
      </c>
      <c r="J39" s="357">
        <v>2406100</v>
      </c>
      <c r="K39" s="345" t="s">
        <v>206</v>
      </c>
      <c r="L39" s="346">
        <v>1323355</v>
      </c>
      <c r="M39" s="428" t="s">
        <v>203</v>
      </c>
      <c r="N39" s="194">
        <v>0</v>
      </c>
      <c r="O39" s="274">
        <f t="shared" si="0"/>
        <v>1323355</v>
      </c>
      <c r="P39" s="191"/>
      <c r="Q39" s="393" t="e">
        <f>VLOOKUP(G:G,list!B:D,3,FALSE)</f>
        <v>#N/A</v>
      </c>
    </row>
    <row r="40" spans="2:17" ht="18" customHeight="1">
      <c r="B40" s="341">
        <v>36</v>
      </c>
      <c r="C40" s="341" t="str">
        <f>VLOOKUP(G:G,list!B:D,2,FALSE)</f>
        <v>원작료</v>
      </c>
      <c r="D40" s="341" t="s">
        <v>78</v>
      </c>
      <c r="E40" s="360" t="s">
        <v>250</v>
      </c>
      <c r="F40" s="341" t="s">
        <v>126</v>
      </c>
      <c r="G40" s="360" t="s">
        <v>30</v>
      </c>
      <c r="H40" s="356">
        <v>44199</v>
      </c>
      <c r="I40" s="341" t="s">
        <v>351</v>
      </c>
      <c r="J40" s="357">
        <v>3606400</v>
      </c>
      <c r="K40" s="345" t="s">
        <v>206</v>
      </c>
      <c r="L40" s="346">
        <v>1983521</v>
      </c>
      <c r="M40" s="428">
        <v>0.1</v>
      </c>
      <c r="N40" s="274">
        <f>(L40-1000000)*10%</f>
        <v>98352.1</v>
      </c>
      <c r="O40" s="274">
        <f t="shared" si="0"/>
        <v>1885168.9</v>
      </c>
      <c r="P40" s="191" t="s">
        <v>263</v>
      </c>
      <c r="Q40" s="393" t="str">
        <f>VLOOKUP(G:G,list!B:D,3,FALSE)</f>
        <v>Y</v>
      </c>
    </row>
    <row r="41" spans="2:17" ht="18" customHeight="1">
      <c r="B41" s="341">
        <v>37</v>
      </c>
      <c r="C41" s="341" t="e">
        <f>VLOOKUP(G:G,list!B:D,2,FALSE)</f>
        <v>#N/A</v>
      </c>
      <c r="D41" s="341" t="s">
        <v>78</v>
      </c>
      <c r="E41" s="360" t="s">
        <v>250</v>
      </c>
      <c r="F41" s="341" t="s">
        <v>126</v>
      </c>
      <c r="G41" s="360" t="s">
        <v>29</v>
      </c>
      <c r="H41" s="356">
        <v>44040</v>
      </c>
      <c r="I41" s="341" t="s">
        <v>351</v>
      </c>
      <c r="J41" s="357">
        <v>2336648</v>
      </c>
      <c r="K41" s="345" t="s">
        <v>206</v>
      </c>
      <c r="L41" s="346">
        <v>1285157</v>
      </c>
      <c r="M41" s="428">
        <v>0.1</v>
      </c>
      <c r="N41" s="274">
        <f t="shared" ref="N41:N49" si="2">L41*M41</f>
        <v>128515.70000000001</v>
      </c>
      <c r="O41" s="274">
        <f t="shared" si="0"/>
        <v>1156641.3</v>
      </c>
      <c r="P41" s="347"/>
      <c r="Q41" s="393" t="e">
        <f>VLOOKUP(G:G,list!B:D,3,FALSE)</f>
        <v>#N/A</v>
      </c>
    </row>
    <row r="42" spans="2:17" ht="18" customHeight="1">
      <c r="B42" s="341">
        <v>38</v>
      </c>
      <c r="C42" s="341" t="e">
        <f>VLOOKUP(G:G,list!B:D,2,FALSE)</f>
        <v>#N/A</v>
      </c>
      <c r="D42" s="341" t="s">
        <v>78</v>
      </c>
      <c r="E42" s="360" t="s">
        <v>250</v>
      </c>
      <c r="F42" s="341" t="s">
        <v>126</v>
      </c>
      <c r="G42" s="360" t="s">
        <v>28</v>
      </c>
      <c r="H42" s="356">
        <v>43994</v>
      </c>
      <c r="I42" s="341" t="s">
        <v>351</v>
      </c>
      <c r="J42" s="357">
        <v>15703645</v>
      </c>
      <c r="K42" s="345" t="s">
        <v>206</v>
      </c>
      <c r="L42" s="346">
        <v>8637006</v>
      </c>
      <c r="M42" s="428">
        <v>0.12</v>
      </c>
      <c r="N42" s="194">
        <f>(L42-4000000)*M42</f>
        <v>556440.72</v>
      </c>
      <c r="O42" s="274">
        <f t="shared" si="0"/>
        <v>8080565.2800000003</v>
      </c>
      <c r="P42" s="191" t="s">
        <v>343</v>
      </c>
      <c r="Q42" s="393" t="e">
        <f>VLOOKUP(G:G,list!B:D,3,FALSE)</f>
        <v>#N/A</v>
      </c>
    </row>
    <row r="43" spans="2:17" ht="18" customHeight="1">
      <c r="B43" s="341">
        <v>39</v>
      </c>
      <c r="C43" s="341" t="e">
        <f>VLOOKUP(G:G,list!B:D,2,FALSE)</f>
        <v>#N/A</v>
      </c>
      <c r="D43" s="341" t="s">
        <v>78</v>
      </c>
      <c r="E43" s="360" t="s">
        <v>250</v>
      </c>
      <c r="F43" s="341" t="s">
        <v>126</v>
      </c>
      <c r="G43" s="360" t="s">
        <v>54</v>
      </c>
      <c r="H43" s="356">
        <v>44098</v>
      </c>
      <c r="I43" s="341" t="s">
        <v>351</v>
      </c>
      <c r="J43" s="357">
        <v>1292390</v>
      </c>
      <c r="K43" s="345" t="s">
        <v>206</v>
      </c>
      <c r="L43" s="346">
        <v>710815</v>
      </c>
      <c r="M43" s="428">
        <v>0.1</v>
      </c>
      <c r="N43" s="274">
        <f t="shared" si="2"/>
        <v>71081.5</v>
      </c>
      <c r="O43" s="274">
        <f t="shared" si="0"/>
        <v>639733.5</v>
      </c>
      <c r="P43" s="191"/>
      <c r="Q43" s="393" t="e">
        <f>VLOOKUP(G:G,list!B:D,3,FALSE)</f>
        <v>#N/A</v>
      </c>
    </row>
    <row r="44" spans="2:17" ht="18" customHeight="1">
      <c r="B44" s="341">
        <v>40</v>
      </c>
      <c r="C44" s="341" t="e">
        <f>VLOOKUP(G:G,list!B:D,2,FALSE)</f>
        <v>#N/A</v>
      </c>
      <c r="D44" s="341" t="s">
        <v>78</v>
      </c>
      <c r="E44" s="360" t="s">
        <v>250</v>
      </c>
      <c r="F44" s="341" t="s">
        <v>126</v>
      </c>
      <c r="G44" s="360" t="s">
        <v>55</v>
      </c>
      <c r="H44" s="356">
        <v>44320</v>
      </c>
      <c r="I44" s="341" t="s">
        <v>351</v>
      </c>
      <c r="J44" s="357">
        <v>1045077</v>
      </c>
      <c r="K44" s="345" t="s">
        <v>206</v>
      </c>
      <c r="L44" s="346">
        <v>574792</v>
      </c>
      <c r="M44" s="428">
        <v>0.1</v>
      </c>
      <c r="N44" s="274">
        <f t="shared" si="2"/>
        <v>57479.200000000004</v>
      </c>
      <c r="O44" s="274">
        <f t="shared" si="0"/>
        <v>517312.8</v>
      </c>
      <c r="P44" s="191"/>
      <c r="Q44" s="393" t="e">
        <f>VLOOKUP(G:G,list!B:D,3,FALSE)</f>
        <v>#N/A</v>
      </c>
    </row>
    <row r="45" spans="2:17" ht="18" customHeight="1">
      <c r="B45" s="341">
        <v>41</v>
      </c>
      <c r="C45" s="341" t="e">
        <f>VLOOKUP(G:G,list!B:D,2,FALSE)</f>
        <v>#N/A</v>
      </c>
      <c r="D45" s="341" t="s">
        <v>78</v>
      </c>
      <c r="E45" s="360" t="s">
        <v>250</v>
      </c>
      <c r="F45" s="341" t="s">
        <v>126</v>
      </c>
      <c r="G45" s="360" t="s">
        <v>42</v>
      </c>
      <c r="H45" s="356">
        <v>44074</v>
      </c>
      <c r="I45" s="341" t="s">
        <v>351</v>
      </c>
      <c r="J45" s="357">
        <v>64182648.178399995</v>
      </c>
      <c r="K45" s="345" t="s">
        <v>206</v>
      </c>
      <c r="L45" s="346">
        <v>35300457</v>
      </c>
      <c r="M45" s="428">
        <v>0.1</v>
      </c>
      <c r="N45" s="194">
        <f t="shared" si="2"/>
        <v>3530045.7</v>
      </c>
      <c r="O45" s="274">
        <f t="shared" si="0"/>
        <v>31770411.300000001</v>
      </c>
      <c r="P45" s="195" t="s">
        <v>144</v>
      </c>
      <c r="Q45" s="393" t="e">
        <f>VLOOKUP(G:G,list!B:D,3,FALSE)</f>
        <v>#N/A</v>
      </c>
    </row>
    <row r="46" spans="2:17" ht="17.25" customHeight="1">
      <c r="B46" s="341">
        <v>42</v>
      </c>
      <c r="C46" s="341" t="e">
        <f>VLOOKUP(G:G,list!B:D,2,FALSE)</f>
        <v>#N/A</v>
      </c>
      <c r="D46" s="341" t="s">
        <v>78</v>
      </c>
      <c r="E46" s="360" t="s">
        <v>250</v>
      </c>
      <c r="F46" s="341" t="s">
        <v>126</v>
      </c>
      <c r="G46" s="360" t="s">
        <v>191</v>
      </c>
      <c r="H46" s="356">
        <v>44372</v>
      </c>
      <c r="I46" s="341" t="s">
        <v>351</v>
      </c>
      <c r="J46" s="357">
        <v>8844298</v>
      </c>
      <c r="K46" s="345" t="s">
        <v>207</v>
      </c>
      <c r="L46" s="346">
        <v>5306578</v>
      </c>
      <c r="M46" s="428">
        <v>0.1</v>
      </c>
      <c r="N46" s="194">
        <f t="shared" si="2"/>
        <v>530657.80000000005</v>
      </c>
      <c r="O46" s="274">
        <f t="shared" si="0"/>
        <v>4775920.2</v>
      </c>
      <c r="P46" s="191"/>
      <c r="Q46" s="393" t="e">
        <f>VLOOKUP(G:G,list!B:D,3,FALSE)</f>
        <v>#N/A</v>
      </c>
    </row>
    <row r="47" spans="2:17" ht="18" customHeight="1">
      <c r="B47" s="341">
        <v>43</v>
      </c>
      <c r="C47" s="341" t="e">
        <f>VLOOKUP(G:G,list!B:D,2,FALSE)</f>
        <v>#N/A</v>
      </c>
      <c r="D47" s="341" t="s">
        <v>78</v>
      </c>
      <c r="E47" s="360" t="s">
        <v>250</v>
      </c>
      <c r="F47" s="341" t="s">
        <v>126</v>
      </c>
      <c r="G47" s="360" t="s">
        <v>57</v>
      </c>
      <c r="H47" s="356">
        <v>44331</v>
      </c>
      <c r="I47" s="341" t="s">
        <v>351</v>
      </c>
      <c r="J47" s="357">
        <v>1566990</v>
      </c>
      <c r="K47" s="345" t="s">
        <v>206</v>
      </c>
      <c r="L47" s="346">
        <v>861845</v>
      </c>
      <c r="M47" s="428">
        <v>0.1</v>
      </c>
      <c r="N47" s="274">
        <f t="shared" si="2"/>
        <v>86184.5</v>
      </c>
      <c r="O47" s="274">
        <f t="shared" si="0"/>
        <v>775660.5</v>
      </c>
      <c r="P47" s="191"/>
      <c r="Q47" s="393" t="e">
        <f>VLOOKUP(G:G,list!B:D,3,FALSE)</f>
        <v>#N/A</v>
      </c>
    </row>
    <row r="48" spans="2:17" ht="18" customHeight="1">
      <c r="B48" s="341">
        <v>44</v>
      </c>
      <c r="C48" s="341" t="e">
        <f>VLOOKUP(G:G,list!B:D,2,FALSE)</f>
        <v>#N/A</v>
      </c>
      <c r="D48" s="341" t="s">
        <v>78</v>
      </c>
      <c r="E48" s="360" t="s">
        <v>250</v>
      </c>
      <c r="F48" s="341" t="s">
        <v>126</v>
      </c>
      <c r="G48" s="360" t="s">
        <v>59</v>
      </c>
      <c r="H48" s="356">
        <v>44392</v>
      </c>
      <c r="I48" s="341" t="s">
        <v>351</v>
      </c>
      <c r="J48" s="357">
        <v>40341108</v>
      </c>
      <c r="K48" s="345" t="s">
        <v>206</v>
      </c>
      <c r="L48" s="346">
        <v>22187610</v>
      </c>
      <c r="M48" s="428">
        <v>0.1</v>
      </c>
      <c r="N48" s="274">
        <f t="shared" si="2"/>
        <v>2218761</v>
      </c>
      <c r="O48" s="274">
        <f t="shared" si="0"/>
        <v>19968849</v>
      </c>
      <c r="P48" s="191"/>
      <c r="Q48" s="393" t="e">
        <f>VLOOKUP(G:G,list!B:D,3,FALSE)</f>
        <v>#N/A</v>
      </c>
    </row>
    <row r="49" spans="2:17" ht="18" customHeight="1">
      <c r="B49" s="341">
        <v>45</v>
      </c>
      <c r="C49" s="341" t="e">
        <f>VLOOKUP(G:G,list!B:D,2,FALSE)</f>
        <v>#N/A</v>
      </c>
      <c r="D49" s="341" t="s">
        <v>78</v>
      </c>
      <c r="E49" s="360" t="s">
        <v>250</v>
      </c>
      <c r="F49" s="341" t="s">
        <v>126</v>
      </c>
      <c r="G49" s="360" t="s">
        <v>173</v>
      </c>
      <c r="H49" s="356">
        <v>44457</v>
      </c>
      <c r="I49" s="341" t="s">
        <v>351</v>
      </c>
      <c r="J49" s="357">
        <v>1830769</v>
      </c>
      <c r="K49" s="345" t="s">
        <v>207</v>
      </c>
      <c r="L49" s="346">
        <v>1098461</v>
      </c>
      <c r="M49" s="428">
        <v>0.1</v>
      </c>
      <c r="N49" s="274">
        <f t="shared" si="2"/>
        <v>109846.1</v>
      </c>
      <c r="O49" s="274">
        <f t="shared" si="0"/>
        <v>988614.9</v>
      </c>
      <c r="P49" s="191"/>
      <c r="Q49" s="393" t="e">
        <f>VLOOKUP(G:G,list!B:D,3,FALSE)</f>
        <v>#N/A</v>
      </c>
    </row>
    <row r="50" spans="2:17" ht="18" customHeight="1">
      <c r="B50" s="341">
        <v>46</v>
      </c>
      <c r="C50" s="341" t="e">
        <f>VLOOKUP(G:G,list!B:D,2,FALSE)</f>
        <v>#N/A</v>
      </c>
      <c r="D50" s="341" t="s">
        <v>78</v>
      </c>
      <c r="E50" s="360" t="s">
        <v>250</v>
      </c>
      <c r="F50" s="341" t="s">
        <v>126</v>
      </c>
      <c r="G50" s="360" t="s">
        <v>174</v>
      </c>
      <c r="H50" s="356">
        <v>44469</v>
      </c>
      <c r="I50" s="341" t="s">
        <v>351</v>
      </c>
      <c r="J50" s="357">
        <v>2646055</v>
      </c>
      <c r="K50" s="345" t="s">
        <v>206</v>
      </c>
      <c r="L50" s="346">
        <v>1455331</v>
      </c>
      <c r="M50" s="428" t="s">
        <v>203</v>
      </c>
      <c r="N50" s="194">
        <v>0</v>
      </c>
      <c r="O50" s="274">
        <f t="shared" si="0"/>
        <v>1455331</v>
      </c>
      <c r="P50" s="191"/>
      <c r="Q50" s="393" t="e">
        <f>VLOOKUP(G:G,list!B:D,3,FALSE)</f>
        <v>#N/A</v>
      </c>
    </row>
    <row r="51" spans="2:17" ht="18" customHeight="1">
      <c r="B51" s="341">
        <v>47</v>
      </c>
      <c r="C51" s="341" t="str">
        <f>VLOOKUP(G:G,list!B:D,2,FALSE)</f>
        <v>작가기획</v>
      </c>
      <c r="D51" s="341" t="s">
        <v>78</v>
      </c>
      <c r="E51" s="360" t="s">
        <v>250</v>
      </c>
      <c r="F51" s="341" t="s">
        <v>126</v>
      </c>
      <c r="G51" s="360" t="s">
        <v>308</v>
      </c>
      <c r="H51" s="356">
        <v>44607</v>
      </c>
      <c r="I51" s="341" t="s">
        <v>351</v>
      </c>
      <c r="J51" s="357">
        <v>1003700</v>
      </c>
      <c r="K51" s="345" t="s">
        <v>207</v>
      </c>
      <c r="L51" s="346">
        <v>602220</v>
      </c>
      <c r="M51" s="428" t="s">
        <v>203</v>
      </c>
      <c r="N51" s="194">
        <v>0</v>
      </c>
      <c r="O51" s="274">
        <f t="shared" si="0"/>
        <v>602220</v>
      </c>
      <c r="P51" s="347"/>
      <c r="Q51" s="393" t="str">
        <f>VLOOKUP(G:G,list!B:D,3,FALSE)</f>
        <v>Y</v>
      </c>
    </row>
    <row r="52" spans="2:17" ht="18" customHeight="1">
      <c r="B52" s="341">
        <v>48</v>
      </c>
      <c r="C52" s="341" t="str">
        <f>VLOOKUP(G:G,list!B:D,2,FALSE)</f>
        <v>원작료</v>
      </c>
      <c r="D52" s="341" t="s">
        <v>78</v>
      </c>
      <c r="E52" s="360" t="s">
        <v>250</v>
      </c>
      <c r="F52" s="341" t="s">
        <v>126</v>
      </c>
      <c r="G52" s="360" t="s">
        <v>316</v>
      </c>
      <c r="H52" s="356">
        <v>44639</v>
      </c>
      <c r="I52" s="341" t="s">
        <v>351</v>
      </c>
      <c r="J52" s="357">
        <v>16618426</v>
      </c>
      <c r="K52" s="345" t="s">
        <v>207</v>
      </c>
      <c r="L52" s="346">
        <v>9971055</v>
      </c>
      <c r="M52" s="428">
        <v>0.1</v>
      </c>
      <c r="N52" s="194">
        <f>L52*M52</f>
        <v>997105.5</v>
      </c>
      <c r="O52" s="274">
        <f t="shared" si="0"/>
        <v>8973949.5</v>
      </c>
      <c r="P52" s="347"/>
      <c r="Q52" s="393" t="str">
        <f>VLOOKUP(G:G,list!B:D,3,FALSE)</f>
        <v>Y</v>
      </c>
    </row>
    <row r="53" spans="2:17" ht="18" customHeight="1">
      <c r="B53" s="341">
        <v>49</v>
      </c>
      <c r="C53" s="341" t="e">
        <f>VLOOKUP(G:G,list!B:D,2,FALSE)</f>
        <v>#N/A</v>
      </c>
      <c r="D53" s="341" t="s">
        <v>78</v>
      </c>
      <c r="E53" s="360" t="s">
        <v>250</v>
      </c>
      <c r="F53" s="341" t="s">
        <v>126</v>
      </c>
      <c r="G53" s="360" t="s">
        <v>321</v>
      </c>
      <c r="H53" s="356">
        <v>44669</v>
      </c>
      <c r="I53" s="341" t="s">
        <v>351</v>
      </c>
      <c r="J53" s="357">
        <v>28681686.338399999</v>
      </c>
      <c r="K53" s="345" t="s">
        <v>207</v>
      </c>
      <c r="L53" s="346">
        <v>17209012</v>
      </c>
      <c r="M53" s="428">
        <v>0.1</v>
      </c>
      <c r="N53" s="194">
        <f>L53*M53</f>
        <v>1720901.2000000002</v>
      </c>
      <c r="O53" s="274">
        <f>L53-N53</f>
        <v>15488110.800000001</v>
      </c>
      <c r="P53" s="347"/>
      <c r="Q53" s="393" t="e">
        <f>VLOOKUP(G:G,list!B:D,3,FALSE)</f>
        <v>#N/A</v>
      </c>
    </row>
    <row r="54" spans="2:17" ht="18" customHeight="1">
      <c r="B54" s="341">
        <v>50</v>
      </c>
      <c r="C54" s="341" t="e">
        <f>VLOOKUP(G:G,list!B:D,2,FALSE)</f>
        <v>#N/A</v>
      </c>
      <c r="D54" s="341" t="s">
        <v>78</v>
      </c>
      <c r="E54" s="360" t="s">
        <v>250</v>
      </c>
      <c r="F54" s="341" t="s">
        <v>126</v>
      </c>
      <c r="G54" s="360" t="s">
        <v>322</v>
      </c>
      <c r="H54" s="356">
        <v>44675</v>
      </c>
      <c r="I54" s="341" t="s">
        <v>351</v>
      </c>
      <c r="J54" s="357">
        <v>6622404.6677000001</v>
      </c>
      <c r="K54" s="345" t="s">
        <v>207</v>
      </c>
      <c r="L54" s="346">
        <v>3973443</v>
      </c>
      <c r="M54" s="428">
        <v>0.12</v>
      </c>
      <c r="N54" s="194">
        <f>L54*M54</f>
        <v>476813.16</v>
      </c>
      <c r="O54" s="274">
        <f>L54-N54</f>
        <v>3496629.84</v>
      </c>
      <c r="P54" s="347"/>
      <c r="Q54" s="393" t="e">
        <f>VLOOKUP(G:G,list!B:D,3,FALSE)</f>
        <v>#N/A</v>
      </c>
    </row>
    <row r="55" spans="2:17" ht="18" customHeight="1">
      <c r="B55" s="341">
        <v>51</v>
      </c>
      <c r="C55" s="341" t="str">
        <f>VLOOKUP(G:G,list!B:D,2,FALSE)</f>
        <v>원작료</v>
      </c>
      <c r="D55" s="341" t="s">
        <v>78</v>
      </c>
      <c r="E55" s="360" t="s">
        <v>250</v>
      </c>
      <c r="F55" s="341" t="s">
        <v>126</v>
      </c>
      <c r="G55" s="360" t="s">
        <v>352</v>
      </c>
      <c r="H55" s="356">
        <v>44691</v>
      </c>
      <c r="I55" s="341" t="s">
        <v>351</v>
      </c>
      <c r="J55" s="357">
        <v>47152342</v>
      </c>
      <c r="K55" s="345" t="s">
        <v>207</v>
      </c>
      <c r="L55" s="346">
        <v>28291405</v>
      </c>
      <c r="M55" s="428">
        <v>0.1</v>
      </c>
      <c r="N55" s="194">
        <f>L55*M55</f>
        <v>2829140.5</v>
      </c>
      <c r="O55" s="274">
        <f>L55-N55</f>
        <v>25462264.5</v>
      </c>
      <c r="P55" s="347" t="s">
        <v>354</v>
      </c>
      <c r="Q55" s="393" t="str">
        <f>VLOOKUP(G:G,list!B:D,3,FALSE)</f>
        <v>Y</v>
      </c>
    </row>
    <row r="56" spans="2:17" ht="18" customHeight="1">
      <c r="B56" s="341">
        <v>52</v>
      </c>
      <c r="C56" s="341" t="str">
        <f>VLOOKUP(G:G,list!B:D,2,FALSE)</f>
        <v>원작료</v>
      </c>
      <c r="D56" s="341" t="s">
        <v>78</v>
      </c>
      <c r="E56" s="360" t="s">
        <v>250</v>
      </c>
      <c r="F56" s="341" t="s">
        <v>126</v>
      </c>
      <c r="G56" s="360" t="s">
        <v>353</v>
      </c>
      <c r="H56" s="356">
        <v>44709</v>
      </c>
      <c r="I56" s="341" t="s">
        <v>351</v>
      </c>
      <c r="J56" s="357">
        <v>51378164</v>
      </c>
      <c r="K56" s="345" t="s">
        <v>207</v>
      </c>
      <c r="L56" s="346">
        <v>30826898</v>
      </c>
      <c r="M56" s="428">
        <v>0.11</v>
      </c>
      <c r="N56" s="274">
        <f>L56*M56</f>
        <v>3390958.78</v>
      </c>
      <c r="O56" s="274">
        <f t="shared" ref="O56:O118" si="3">L56-N56</f>
        <v>27435939.219999999</v>
      </c>
      <c r="P56" s="347" t="s">
        <v>354</v>
      </c>
      <c r="Q56" s="393" t="str">
        <f>VLOOKUP(G:G,list!B:D,3,FALSE)</f>
        <v>N</v>
      </c>
    </row>
    <row r="57" spans="2:17" ht="18" customHeight="1">
      <c r="B57" s="341">
        <v>53</v>
      </c>
      <c r="C57" s="341" t="e">
        <f>VLOOKUP(G:G,list!B:D,2,FALSE)</f>
        <v>#N/A</v>
      </c>
      <c r="D57" s="341" t="s">
        <v>78</v>
      </c>
      <c r="E57" s="360" t="s">
        <v>249</v>
      </c>
      <c r="F57" s="341" t="s">
        <v>126</v>
      </c>
      <c r="G57" s="360" t="s">
        <v>58</v>
      </c>
      <c r="H57" s="356">
        <v>44328</v>
      </c>
      <c r="I57" s="341" t="s">
        <v>351</v>
      </c>
      <c r="J57" s="357">
        <v>101360</v>
      </c>
      <c r="K57" s="345" t="s">
        <v>207</v>
      </c>
      <c r="L57" s="346">
        <v>69796</v>
      </c>
      <c r="M57" s="428" t="s">
        <v>203</v>
      </c>
      <c r="N57" s="194">
        <v>0</v>
      </c>
      <c r="O57" s="274">
        <f t="shared" si="3"/>
        <v>69796</v>
      </c>
      <c r="P57" s="347"/>
      <c r="Q57" s="393" t="e">
        <f>VLOOKUP(G:G,list!B:D,3,FALSE)</f>
        <v>#N/A</v>
      </c>
    </row>
    <row r="58" spans="2:17" ht="18" customHeight="1">
      <c r="B58" s="341">
        <v>54</v>
      </c>
      <c r="C58" s="341" t="e">
        <f>VLOOKUP(G:G,list!B:D,2,FALSE)</f>
        <v>#N/A</v>
      </c>
      <c r="D58" s="341" t="s">
        <v>78</v>
      </c>
      <c r="E58" s="360" t="s">
        <v>249</v>
      </c>
      <c r="F58" s="341" t="s">
        <v>248</v>
      </c>
      <c r="G58" s="360" t="s">
        <v>39</v>
      </c>
      <c r="H58" s="356">
        <v>44327</v>
      </c>
      <c r="I58" s="341" t="s">
        <v>351</v>
      </c>
      <c r="J58" s="357">
        <v>561600</v>
      </c>
      <c r="K58" s="345" t="s">
        <v>124</v>
      </c>
      <c r="L58" s="346">
        <v>390280</v>
      </c>
      <c r="M58" s="428">
        <v>0.1</v>
      </c>
      <c r="N58" s="274">
        <f>L58*M58</f>
        <v>39028</v>
      </c>
      <c r="O58" s="274">
        <f t="shared" si="3"/>
        <v>351252</v>
      </c>
      <c r="P58" s="191"/>
      <c r="Q58" s="393" t="e">
        <f>VLOOKUP(G:G,list!B:D,3,FALSE)</f>
        <v>#N/A</v>
      </c>
    </row>
    <row r="59" spans="2:17" ht="18" customHeight="1">
      <c r="B59" s="341">
        <v>55</v>
      </c>
      <c r="C59" s="341" t="e">
        <f>VLOOKUP(G:G,list!B:D,2,FALSE)</f>
        <v>#N/A</v>
      </c>
      <c r="D59" s="341" t="s">
        <v>78</v>
      </c>
      <c r="E59" s="360" t="s">
        <v>249</v>
      </c>
      <c r="F59" s="341" t="s">
        <v>248</v>
      </c>
      <c r="G59" s="360" t="s">
        <v>40</v>
      </c>
      <c r="H59" s="356">
        <v>44328</v>
      </c>
      <c r="I59" s="341" t="s">
        <v>351</v>
      </c>
      <c r="J59" s="357">
        <v>508850</v>
      </c>
      <c r="K59" s="345" t="s">
        <v>124</v>
      </c>
      <c r="L59" s="346">
        <v>351100</v>
      </c>
      <c r="M59" s="428">
        <v>0.1</v>
      </c>
      <c r="N59" s="194">
        <f>L59*M59</f>
        <v>35110</v>
      </c>
      <c r="O59" s="274">
        <f t="shared" si="3"/>
        <v>315990</v>
      </c>
      <c r="P59" s="191"/>
      <c r="Q59" s="393" t="e">
        <f>VLOOKUP(G:G,list!B:D,3,FALSE)</f>
        <v>#N/A</v>
      </c>
    </row>
    <row r="60" spans="2:17" ht="18" customHeight="1">
      <c r="B60" s="341">
        <v>56</v>
      </c>
      <c r="C60" s="341" t="e">
        <f>VLOOKUP(G:G,list!B:D,2,FALSE)</f>
        <v>#N/A</v>
      </c>
      <c r="D60" s="341" t="s">
        <v>78</v>
      </c>
      <c r="E60" s="360" t="s">
        <v>249</v>
      </c>
      <c r="F60" s="341" t="s">
        <v>248</v>
      </c>
      <c r="G60" s="360" t="s">
        <v>38</v>
      </c>
      <c r="H60" s="356">
        <v>44329</v>
      </c>
      <c r="I60" s="341" t="s">
        <v>351</v>
      </c>
      <c r="J60" s="357">
        <v>2196470</v>
      </c>
      <c r="K60" s="345" t="s">
        <v>124</v>
      </c>
      <c r="L60" s="346">
        <v>1519512</v>
      </c>
      <c r="M60" s="428">
        <v>0.1</v>
      </c>
      <c r="N60" s="194">
        <f>L60*M60</f>
        <v>151951.20000000001</v>
      </c>
      <c r="O60" s="274">
        <f t="shared" si="3"/>
        <v>1367560.8</v>
      </c>
      <c r="P60" s="191"/>
      <c r="Q60" s="393" t="e">
        <f>VLOOKUP(G:G,list!B:D,3,FALSE)</f>
        <v>#N/A</v>
      </c>
    </row>
    <row r="61" spans="2:17" ht="18" customHeight="1">
      <c r="B61" s="341">
        <v>57</v>
      </c>
      <c r="C61" s="341" t="e">
        <f>VLOOKUP(G:G,list!B:D,2,FALSE)</f>
        <v>#N/A</v>
      </c>
      <c r="D61" s="341" t="s">
        <v>78</v>
      </c>
      <c r="E61" s="360" t="s">
        <v>250</v>
      </c>
      <c r="F61" s="341" t="s">
        <v>248</v>
      </c>
      <c r="G61" s="360" t="s">
        <v>46</v>
      </c>
      <c r="H61" s="356">
        <v>44246</v>
      </c>
      <c r="I61" s="341" t="s">
        <v>351</v>
      </c>
      <c r="J61" s="357">
        <v>426220</v>
      </c>
      <c r="K61" s="345" t="s">
        <v>206</v>
      </c>
      <c r="L61" s="346">
        <v>234421</v>
      </c>
      <c r="M61" s="428">
        <v>0.1</v>
      </c>
      <c r="N61" s="194">
        <f>L61*M61</f>
        <v>23442.100000000002</v>
      </c>
      <c r="O61" s="274">
        <f t="shared" si="3"/>
        <v>210978.9</v>
      </c>
      <c r="P61" s="191"/>
      <c r="Q61" s="393" t="e">
        <f>VLOOKUP(G:G,list!B:D,3,FALSE)</f>
        <v>#N/A</v>
      </c>
    </row>
    <row r="62" spans="2:17" ht="18" customHeight="1">
      <c r="B62" s="341">
        <v>58</v>
      </c>
      <c r="C62" s="341" t="e">
        <f>VLOOKUP(G:G,list!B:D,2,FALSE)</f>
        <v>#N/A</v>
      </c>
      <c r="D62" s="341" t="s">
        <v>78</v>
      </c>
      <c r="E62" s="360" t="s">
        <v>250</v>
      </c>
      <c r="F62" s="341" t="s">
        <v>248</v>
      </c>
      <c r="G62" s="360" t="s">
        <v>47</v>
      </c>
      <c r="H62" s="356">
        <v>44152</v>
      </c>
      <c r="I62" s="341" t="s">
        <v>351</v>
      </c>
      <c r="J62" s="357">
        <v>1375460</v>
      </c>
      <c r="K62" s="345" t="s">
        <v>206</v>
      </c>
      <c r="L62" s="346">
        <v>756503</v>
      </c>
      <c r="M62" s="428">
        <v>0.1</v>
      </c>
      <c r="N62" s="194">
        <f>L62*M62</f>
        <v>75650.3</v>
      </c>
      <c r="O62" s="274">
        <f t="shared" si="3"/>
        <v>680852.7</v>
      </c>
      <c r="P62" s="347"/>
      <c r="Q62" s="393" t="e">
        <f>VLOOKUP(G:G,list!B:D,3,FALSE)</f>
        <v>#N/A</v>
      </c>
    </row>
    <row r="63" spans="2:17" ht="18" customHeight="1">
      <c r="B63" s="341">
        <v>59</v>
      </c>
      <c r="C63" s="341" t="str">
        <f>VLOOKUP(G:G,list!B:D,2,FALSE)</f>
        <v>외부제작</v>
      </c>
      <c r="D63" s="341" t="s">
        <v>78</v>
      </c>
      <c r="E63" s="360" t="s">
        <v>250</v>
      </c>
      <c r="F63" s="341" t="s">
        <v>248</v>
      </c>
      <c r="G63" s="360" t="s">
        <v>315</v>
      </c>
      <c r="H63" s="356">
        <v>44629</v>
      </c>
      <c r="I63" s="341" t="s">
        <v>351</v>
      </c>
      <c r="J63" s="357">
        <v>4449639</v>
      </c>
      <c r="K63" s="345" t="s">
        <v>207</v>
      </c>
      <c r="L63" s="346">
        <v>2669784</v>
      </c>
      <c r="M63" s="428" t="s">
        <v>203</v>
      </c>
      <c r="N63" s="194">
        <v>0</v>
      </c>
      <c r="O63" s="274">
        <f t="shared" si="3"/>
        <v>2669784</v>
      </c>
      <c r="P63" s="347"/>
      <c r="Q63" s="393" t="str">
        <f>VLOOKUP(G:G,list!B:D,3,FALSE)</f>
        <v>N</v>
      </c>
    </row>
    <row r="64" spans="2:17" ht="18" customHeight="1">
      <c r="B64" s="341">
        <v>60</v>
      </c>
      <c r="C64" s="341" t="e">
        <f>VLOOKUP(G:G,list!B:D,2,FALSE)</f>
        <v>#N/A</v>
      </c>
      <c r="D64" s="341" t="s">
        <v>78</v>
      </c>
      <c r="E64" s="341" t="s">
        <v>9</v>
      </c>
      <c r="F64" s="341" t="s">
        <v>175</v>
      </c>
      <c r="G64" s="341" t="s">
        <v>212</v>
      </c>
      <c r="H64" s="353">
        <v>44268</v>
      </c>
      <c r="I64" s="341" t="s">
        <v>351</v>
      </c>
      <c r="J64" s="357">
        <v>7870455</v>
      </c>
      <c r="K64" s="345" t="s">
        <v>206</v>
      </c>
      <c r="L64" s="346">
        <v>4328751</v>
      </c>
      <c r="M64" s="428">
        <v>0.1</v>
      </c>
      <c r="N64" s="194">
        <f t="shared" ref="N64:N70" si="4">L64*M64</f>
        <v>432875.10000000003</v>
      </c>
      <c r="O64" s="274">
        <f t="shared" si="3"/>
        <v>3895875.9</v>
      </c>
      <c r="P64" s="191"/>
      <c r="Q64" s="393" t="e">
        <f>VLOOKUP(G:G,list!B:D,3,FALSE)</f>
        <v>#N/A</v>
      </c>
    </row>
    <row r="65" spans="2:17" ht="18" customHeight="1">
      <c r="B65" s="341">
        <v>61</v>
      </c>
      <c r="C65" s="341" t="e">
        <f>VLOOKUP(G:G,list!B:D,2,FALSE)</f>
        <v>#N/A</v>
      </c>
      <c r="D65" s="341" t="s">
        <v>78</v>
      </c>
      <c r="E65" s="360" t="s">
        <v>249</v>
      </c>
      <c r="F65" s="341" t="s">
        <v>172</v>
      </c>
      <c r="G65" s="360" t="s">
        <v>40</v>
      </c>
      <c r="H65" s="356">
        <v>44379</v>
      </c>
      <c r="I65" s="341" t="s">
        <v>351</v>
      </c>
      <c r="J65" s="357">
        <v>1202030</v>
      </c>
      <c r="K65" s="345">
        <v>0.6</v>
      </c>
      <c r="L65" s="346">
        <v>721218</v>
      </c>
      <c r="M65" s="428">
        <v>0.1</v>
      </c>
      <c r="N65" s="194">
        <f t="shared" si="4"/>
        <v>72121.8</v>
      </c>
      <c r="O65" s="274">
        <f t="shared" si="3"/>
        <v>649096.19999999995</v>
      </c>
      <c r="P65" s="191"/>
      <c r="Q65" s="393" t="e">
        <f>VLOOKUP(G:G,list!B:D,3,FALSE)</f>
        <v>#N/A</v>
      </c>
    </row>
    <row r="66" spans="2:17" ht="18" customHeight="1">
      <c r="B66" s="341">
        <v>62</v>
      </c>
      <c r="C66" s="341" t="e">
        <f>VLOOKUP(G:G,list!B:D,2,FALSE)</f>
        <v>#N/A</v>
      </c>
      <c r="D66" s="341" t="s">
        <v>78</v>
      </c>
      <c r="E66" s="360" t="s">
        <v>249</v>
      </c>
      <c r="F66" s="341" t="s">
        <v>172</v>
      </c>
      <c r="G66" s="360" t="s">
        <v>39</v>
      </c>
      <c r="H66" s="356">
        <v>44385</v>
      </c>
      <c r="I66" s="341" t="s">
        <v>351</v>
      </c>
      <c r="J66" s="357">
        <v>1223045</v>
      </c>
      <c r="K66" s="345">
        <v>0.6</v>
      </c>
      <c r="L66" s="346">
        <v>733827</v>
      </c>
      <c r="M66" s="428">
        <v>0.1</v>
      </c>
      <c r="N66" s="274">
        <f t="shared" si="4"/>
        <v>73382.7</v>
      </c>
      <c r="O66" s="274">
        <f t="shared" si="3"/>
        <v>660444.30000000005</v>
      </c>
      <c r="P66" s="191"/>
      <c r="Q66" s="393" t="e">
        <f>VLOOKUP(G:G,list!B:D,3,FALSE)</f>
        <v>#N/A</v>
      </c>
    </row>
    <row r="67" spans="2:17" ht="18" customHeight="1">
      <c r="B67" s="341">
        <v>63</v>
      </c>
      <c r="C67" s="341" t="e">
        <f>VLOOKUP(G:G,list!B:D,2,FALSE)</f>
        <v>#N/A</v>
      </c>
      <c r="D67" s="341" t="s">
        <v>78</v>
      </c>
      <c r="E67" s="360" t="s">
        <v>249</v>
      </c>
      <c r="F67" s="341" t="s">
        <v>172</v>
      </c>
      <c r="G67" s="360" t="s">
        <v>38</v>
      </c>
      <c r="H67" s="356">
        <v>44362</v>
      </c>
      <c r="I67" s="341" t="s">
        <v>351</v>
      </c>
      <c r="J67" s="361">
        <v>96050</v>
      </c>
      <c r="K67" s="345">
        <v>0.6</v>
      </c>
      <c r="L67" s="346">
        <v>57630</v>
      </c>
      <c r="M67" s="428">
        <v>0.1</v>
      </c>
      <c r="N67" s="194">
        <f t="shared" si="4"/>
        <v>5763</v>
      </c>
      <c r="O67" s="274">
        <f t="shared" si="3"/>
        <v>51867</v>
      </c>
      <c r="P67" s="347"/>
      <c r="Q67" s="393" t="e">
        <f>VLOOKUP(G:G,list!B:D,3,FALSE)</f>
        <v>#N/A</v>
      </c>
    </row>
    <row r="68" spans="2:17" ht="18" customHeight="1">
      <c r="B68" s="341">
        <v>64</v>
      </c>
      <c r="C68" s="341" t="e">
        <f>VLOOKUP(G:G,list!B:D,2,FALSE)</f>
        <v>#N/A</v>
      </c>
      <c r="D68" s="341" t="s">
        <v>78</v>
      </c>
      <c r="E68" s="341" t="s">
        <v>115</v>
      </c>
      <c r="F68" s="341" t="s">
        <v>269</v>
      </c>
      <c r="G68" s="341" t="s">
        <v>39</v>
      </c>
      <c r="H68" s="353">
        <v>44553</v>
      </c>
      <c r="I68" s="341" t="s">
        <v>351</v>
      </c>
      <c r="J68" s="357">
        <v>99700</v>
      </c>
      <c r="K68" s="345">
        <v>0.7</v>
      </c>
      <c r="L68" s="346">
        <v>69790</v>
      </c>
      <c r="M68" s="428">
        <v>0.1</v>
      </c>
      <c r="N68" s="274">
        <f t="shared" si="4"/>
        <v>6979</v>
      </c>
      <c r="O68" s="274">
        <f t="shared" si="3"/>
        <v>62811</v>
      </c>
      <c r="P68" s="392"/>
      <c r="Q68" s="393" t="e">
        <f>VLOOKUP(G:G,list!B:D,3,FALSE)</f>
        <v>#N/A</v>
      </c>
    </row>
    <row r="69" spans="2:17" ht="18" customHeight="1">
      <c r="B69" s="341">
        <v>65</v>
      </c>
      <c r="C69" s="341" t="e">
        <f>VLOOKUP(G:G,list!B:D,2,FALSE)</f>
        <v>#N/A</v>
      </c>
      <c r="D69" s="341" t="s">
        <v>78</v>
      </c>
      <c r="E69" s="341" t="s">
        <v>115</v>
      </c>
      <c r="F69" s="341" t="s">
        <v>269</v>
      </c>
      <c r="G69" s="341" t="s">
        <v>40</v>
      </c>
      <c r="H69" s="353">
        <v>44554</v>
      </c>
      <c r="I69" s="341" t="s">
        <v>350</v>
      </c>
      <c r="J69" s="357">
        <v>0</v>
      </c>
      <c r="K69" s="345">
        <v>0.7</v>
      </c>
      <c r="L69" s="346">
        <v>0</v>
      </c>
      <c r="M69" s="428">
        <v>0.1</v>
      </c>
      <c r="N69" s="194">
        <f t="shared" si="4"/>
        <v>0</v>
      </c>
      <c r="O69" s="274">
        <f t="shared" si="3"/>
        <v>0</v>
      </c>
      <c r="P69" s="347" t="s">
        <v>366</v>
      </c>
      <c r="Q69" s="393" t="e">
        <f>VLOOKUP(G:G,list!B:D,3,FALSE)</f>
        <v>#N/A</v>
      </c>
    </row>
    <row r="70" spans="2:17" ht="18" customHeight="1">
      <c r="B70" s="341">
        <v>66</v>
      </c>
      <c r="C70" s="341" t="e">
        <f>VLOOKUP(G:G,list!B:D,2,FALSE)</f>
        <v>#N/A</v>
      </c>
      <c r="D70" s="341" t="s">
        <v>78</v>
      </c>
      <c r="E70" s="341" t="s">
        <v>115</v>
      </c>
      <c r="F70" s="341" t="s">
        <v>269</v>
      </c>
      <c r="G70" s="341" t="s">
        <v>38</v>
      </c>
      <c r="H70" s="353">
        <v>44554</v>
      </c>
      <c r="I70" s="341" t="s">
        <v>350</v>
      </c>
      <c r="J70" s="357">
        <v>21100</v>
      </c>
      <c r="K70" s="345">
        <v>0.7</v>
      </c>
      <c r="L70" s="346">
        <v>14770</v>
      </c>
      <c r="M70" s="428">
        <v>0.1</v>
      </c>
      <c r="N70" s="194">
        <f t="shared" si="4"/>
        <v>1477</v>
      </c>
      <c r="O70" s="274">
        <f t="shared" si="3"/>
        <v>13293</v>
      </c>
      <c r="P70" s="392"/>
      <c r="Q70" s="393" t="e">
        <f>VLOOKUP(G:G,list!B:D,3,FALSE)</f>
        <v>#N/A</v>
      </c>
    </row>
    <row r="71" spans="2:17" ht="18" customHeight="1">
      <c r="B71" s="341">
        <v>67</v>
      </c>
      <c r="C71" s="341" t="e">
        <f>VLOOKUP(G:G,list!B:D,2,FALSE)</f>
        <v>#N/A</v>
      </c>
      <c r="D71" s="341" t="s">
        <v>78</v>
      </c>
      <c r="E71" s="341" t="s">
        <v>115</v>
      </c>
      <c r="F71" s="341" t="s">
        <v>269</v>
      </c>
      <c r="G71" s="341" t="s">
        <v>19</v>
      </c>
      <c r="H71" s="353">
        <v>44609</v>
      </c>
      <c r="I71" s="341" t="s">
        <v>350</v>
      </c>
      <c r="J71" s="357">
        <v>1200</v>
      </c>
      <c r="K71" s="345">
        <v>0.7</v>
      </c>
      <c r="L71" s="346">
        <v>840</v>
      </c>
      <c r="M71" s="428" t="s">
        <v>203</v>
      </c>
      <c r="N71" s="274">
        <v>0</v>
      </c>
      <c r="O71" s="274">
        <f t="shared" si="3"/>
        <v>840</v>
      </c>
      <c r="P71" s="392"/>
      <c r="Q71" s="393" t="e">
        <f>VLOOKUP(G:G,list!B:D,3,FALSE)</f>
        <v>#N/A</v>
      </c>
    </row>
    <row r="72" spans="2:17" ht="18" customHeight="1">
      <c r="B72" s="341">
        <v>68</v>
      </c>
      <c r="C72" s="341" t="str">
        <f>VLOOKUP(G:G,list!B:D,2,FALSE)</f>
        <v>작가기획</v>
      </c>
      <c r="D72" s="341" t="s">
        <v>78</v>
      </c>
      <c r="E72" s="341" t="s">
        <v>9</v>
      </c>
      <c r="F72" s="341" t="s">
        <v>131</v>
      </c>
      <c r="G72" s="341" t="s">
        <v>210</v>
      </c>
      <c r="H72" s="353">
        <v>44333</v>
      </c>
      <c r="I72" s="341" t="s">
        <v>351</v>
      </c>
      <c r="J72" s="357">
        <v>22200</v>
      </c>
      <c r="K72" s="345">
        <v>0.5</v>
      </c>
      <c r="L72" s="346">
        <v>11100</v>
      </c>
      <c r="M72" s="428" t="s">
        <v>203</v>
      </c>
      <c r="N72" s="274">
        <v>0</v>
      </c>
      <c r="O72" s="274">
        <f t="shared" si="3"/>
        <v>11100</v>
      </c>
      <c r="P72" s="191"/>
      <c r="Q72" s="393" t="str">
        <f>VLOOKUP(G:G,list!B:D,3,FALSE)</f>
        <v>N</v>
      </c>
    </row>
    <row r="73" spans="2:17" ht="18" customHeight="1">
      <c r="B73" s="341">
        <v>69</v>
      </c>
      <c r="C73" s="341" t="e">
        <f>VLOOKUP(G:G,list!B:D,2,FALSE)</f>
        <v>#N/A</v>
      </c>
      <c r="D73" s="366" t="s">
        <v>253</v>
      </c>
      <c r="E73" s="366" t="s">
        <v>9</v>
      </c>
      <c r="F73" s="341" t="s">
        <v>184</v>
      </c>
      <c r="G73" s="366" t="s">
        <v>218</v>
      </c>
      <c r="H73" s="365">
        <v>44356</v>
      </c>
      <c r="I73" s="341" t="s">
        <v>350</v>
      </c>
      <c r="J73" s="367">
        <v>6973250</v>
      </c>
      <c r="K73" s="368">
        <v>0.3</v>
      </c>
      <c r="L73" s="346">
        <v>2091975</v>
      </c>
      <c r="M73" s="428">
        <v>0.1</v>
      </c>
      <c r="N73" s="274">
        <f>L73*M73</f>
        <v>209197.5</v>
      </c>
      <c r="O73" s="274">
        <f t="shared" si="3"/>
        <v>1882777.5</v>
      </c>
      <c r="P73" s="364" t="s">
        <v>221</v>
      </c>
      <c r="Q73" s="393" t="e">
        <f>VLOOKUP(G:G,list!B:D,3,FALSE)</f>
        <v>#N/A</v>
      </c>
    </row>
    <row r="74" spans="2:17" ht="18" customHeight="1">
      <c r="B74" s="341">
        <v>70</v>
      </c>
      <c r="C74" s="341" t="e">
        <f>VLOOKUP(G:G,list!B:D,2,FALSE)</f>
        <v>#N/A</v>
      </c>
      <c r="D74" s="366" t="s">
        <v>177</v>
      </c>
      <c r="E74" s="366" t="s">
        <v>9</v>
      </c>
      <c r="F74" s="341" t="s">
        <v>184</v>
      </c>
      <c r="G74" s="366" t="s">
        <v>219</v>
      </c>
      <c r="H74" s="365">
        <v>44598</v>
      </c>
      <c r="I74" s="341" t="s">
        <v>350</v>
      </c>
      <c r="J74" s="367">
        <v>5099743</v>
      </c>
      <c r="K74" s="368">
        <v>0.3</v>
      </c>
      <c r="L74" s="346">
        <v>1529923</v>
      </c>
      <c r="M74" s="428">
        <v>0.12</v>
      </c>
      <c r="N74" s="194">
        <f>L74*M74</f>
        <v>183590.75999999998</v>
      </c>
      <c r="O74" s="274">
        <f t="shared" si="3"/>
        <v>1346332.24</v>
      </c>
      <c r="P74" s="364" t="s">
        <v>221</v>
      </c>
      <c r="Q74" s="393" t="e">
        <f>VLOOKUP(G:G,list!B:D,3,FALSE)</f>
        <v>#N/A</v>
      </c>
    </row>
    <row r="75" spans="2:17" ht="18" customHeight="1">
      <c r="B75" s="341">
        <v>71</v>
      </c>
      <c r="C75" s="341" t="e">
        <f>VLOOKUP(G:G,list!B:D,2,FALSE)</f>
        <v>#N/A</v>
      </c>
      <c r="D75" s="362" t="s">
        <v>177</v>
      </c>
      <c r="E75" s="362" t="s">
        <v>9</v>
      </c>
      <c r="F75" s="369" t="s">
        <v>257</v>
      </c>
      <c r="G75" s="362" t="s">
        <v>42</v>
      </c>
      <c r="H75" s="363">
        <v>44419</v>
      </c>
      <c r="I75" s="341" t="s">
        <v>351</v>
      </c>
      <c r="J75" s="361">
        <v>7829985</v>
      </c>
      <c r="K75" s="371">
        <v>0.28000008425415068</v>
      </c>
      <c r="L75" s="346">
        <v>2192395</v>
      </c>
      <c r="M75" s="428">
        <v>0.1</v>
      </c>
      <c r="N75" s="194">
        <f>L75*M75</f>
        <v>219239.5</v>
      </c>
      <c r="O75" s="274">
        <f t="shared" si="3"/>
        <v>1973155.5</v>
      </c>
      <c r="P75" s="195" t="s">
        <v>85</v>
      </c>
      <c r="Q75" s="393" t="e">
        <f>VLOOKUP(G:G,list!B:D,3,FALSE)</f>
        <v>#N/A</v>
      </c>
    </row>
    <row r="76" spans="2:17" ht="18" customHeight="1">
      <c r="B76" s="341">
        <v>72</v>
      </c>
      <c r="C76" s="341" t="e">
        <f>VLOOKUP(G:G,list!B:D,2,FALSE)</f>
        <v>#N/A</v>
      </c>
      <c r="D76" s="362" t="s">
        <v>177</v>
      </c>
      <c r="E76" s="362" t="s">
        <v>9</v>
      </c>
      <c r="F76" s="369" t="s">
        <v>257</v>
      </c>
      <c r="G76" s="362" t="s">
        <v>212</v>
      </c>
      <c r="H76" s="363">
        <v>44477</v>
      </c>
      <c r="I76" s="341" t="s">
        <v>350</v>
      </c>
      <c r="J76" s="361">
        <v>3971898</v>
      </c>
      <c r="K76" s="397">
        <v>0.24500002911191202</v>
      </c>
      <c r="L76" s="346">
        <v>973116</v>
      </c>
      <c r="M76" s="428">
        <v>0.1</v>
      </c>
      <c r="N76" s="194">
        <f t="shared" ref="N76:N82" si="5">L76*M76</f>
        <v>97311.6</v>
      </c>
      <c r="O76" s="274">
        <f t="shared" si="3"/>
        <v>875804.4</v>
      </c>
      <c r="P76" s="197"/>
      <c r="Q76" s="393" t="e">
        <f>VLOOKUP(G:G,list!B:D,3,FALSE)</f>
        <v>#N/A</v>
      </c>
    </row>
    <row r="77" spans="2:17" ht="18" customHeight="1">
      <c r="B77" s="341">
        <v>73</v>
      </c>
      <c r="C77" s="341" t="e">
        <f>VLOOKUP(G:G,list!B:D,2,FALSE)</f>
        <v>#N/A</v>
      </c>
      <c r="D77" s="362" t="s">
        <v>177</v>
      </c>
      <c r="E77" s="362" t="s">
        <v>9</v>
      </c>
      <c r="F77" s="369" t="s">
        <v>257</v>
      </c>
      <c r="G77" s="362" t="s">
        <v>173</v>
      </c>
      <c r="H77" s="363">
        <v>44636</v>
      </c>
      <c r="I77" s="341" t="s">
        <v>351</v>
      </c>
      <c r="J77" s="361">
        <v>2476978</v>
      </c>
      <c r="K77" s="371">
        <v>0.35</v>
      </c>
      <c r="L77" s="346">
        <v>866942</v>
      </c>
      <c r="M77" s="428">
        <v>0.1</v>
      </c>
      <c r="N77" s="274">
        <f t="shared" si="5"/>
        <v>86694.200000000012</v>
      </c>
      <c r="O77" s="274">
        <f t="shared" si="3"/>
        <v>780247.8</v>
      </c>
      <c r="P77" s="197"/>
      <c r="Q77" s="393" t="e">
        <f>VLOOKUP(G:G,list!B:D,3,FALSE)</f>
        <v>#N/A</v>
      </c>
    </row>
    <row r="78" spans="2:17" ht="18" customHeight="1">
      <c r="B78" s="341">
        <v>74</v>
      </c>
      <c r="C78" s="341" t="e">
        <f>VLOOKUP(G:G,list!B:D,2,FALSE)</f>
        <v>#N/A</v>
      </c>
      <c r="D78" s="362" t="s">
        <v>177</v>
      </c>
      <c r="E78" s="362" t="s">
        <v>9</v>
      </c>
      <c r="F78" s="369" t="s">
        <v>257</v>
      </c>
      <c r="G78" s="362" t="s">
        <v>336</v>
      </c>
      <c r="H78" s="363">
        <v>44676</v>
      </c>
      <c r="I78" s="341" t="s">
        <v>351</v>
      </c>
      <c r="J78" s="361">
        <v>2253243</v>
      </c>
      <c r="K78" s="397">
        <v>0.28000000000000003</v>
      </c>
      <c r="L78" s="346">
        <v>630909</v>
      </c>
      <c r="M78" s="428">
        <v>0.1</v>
      </c>
      <c r="N78" s="274">
        <f t="shared" si="5"/>
        <v>63090.9</v>
      </c>
      <c r="O78" s="274">
        <f t="shared" si="3"/>
        <v>567818.1</v>
      </c>
      <c r="P78" s="347"/>
      <c r="Q78" s="393" t="e">
        <f>VLOOKUP(G:G,list!B:D,3,FALSE)</f>
        <v>#N/A</v>
      </c>
    </row>
    <row r="79" spans="2:17" ht="18" customHeight="1">
      <c r="B79" s="341">
        <v>75</v>
      </c>
      <c r="C79" s="341" t="e">
        <f>VLOOKUP(G:G,list!B:D,2,FALSE)</f>
        <v>#N/A</v>
      </c>
      <c r="D79" s="366" t="s">
        <v>255</v>
      </c>
      <c r="E79" s="366" t="s">
        <v>9</v>
      </c>
      <c r="F79" s="341" t="s">
        <v>184</v>
      </c>
      <c r="G79" s="366" t="s">
        <v>218</v>
      </c>
      <c r="H79" s="365">
        <v>44456</v>
      </c>
      <c r="I79" s="341" t="s">
        <v>350</v>
      </c>
      <c r="J79" s="367">
        <v>788427</v>
      </c>
      <c r="K79" s="368">
        <v>0.3</v>
      </c>
      <c r="L79" s="346">
        <v>236528</v>
      </c>
      <c r="M79" s="428">
        <v>0.1</v>
      </c>
      <c r="N79" s="274">
        <f t="shared" si="5"/>
        <v>23652.800000000003</v>
      </c>
      <c r="O79" s="274">
        <f>L79-N79</f>
        <v>212875.2</v>
      </c>
      <c r="P79" s="364" t="s">
        <v>221</v>
      </c>
      <c r="Q79" s="393" t="e">
        <f>VLOOKUP(G:G,list!B:D,3,FALSE)</f>
        <v>#N/A</v>
      </c>
    </row>
    <row r="80" spans="2:17" ht="18" customHeight="1">
      <c r="B80" s="341">
        <v>76</v>
      </c>
      <c r="C80" s="341" t="e">
        <f>VLOOKUP(G:G,list!B:D,2,FALSE)</f>
        <v>#N/A</v>
      </c>
      <c r="D80" s="366" t="s">
        <v>255</v>
      </c>
      <c r="E80" s="366" t="s">
        <v>9</v>
      </c>
      <c r="F80" s="341" t="s">
        <v>184</v>
      </c>
      <c r="G80" s="362" t="s">
        <v>336</v>
      </c>
      <c r="H80" s="445">
        <v>44661</v>
      </c>
      <c r="I80" s="341" t="s">
        <v>351</v>
      </c>
      <c r="J80" s="367">
        <v>1981330</v>
      </c>
      <c r="K80" s="368">
        <v>0.3</v>
      </c>
      <c r="L80" s="346">
        <v>594399</v>
      </c>
      <c r="M80" s="428">
        <v>0.1</v>
      </c>
      <c r="N80" s="274">
        <f t="shared" si="5"/>
        <v>59439.9</v>
      </c>
      <c r="O80" s="274">
        <f>L80-N80</f>
        <v>534959.1</v>
      </c>
      <c r="P80" s="364" t="s">
        <v>359</v>
      </c>
      <c r="Q80" s="393" t="e">
        <f>VLOOKUP(G:G,list!B:D,3,FALSE)</f>
        <v>#N/A</v>
      </c>
    </row>
    <row r="81" spans="2:17" ht="18" customHeight="1">
      <c r="B81" s="341">
        <v>77</v>
      </c>
      <c r="C81" s="341" t="e">
        <f>VLOOKUP(G:G,list!B:D,2,FALSE)</f>
        <v>#N/A</v>
      </c>
      <c r="D81" s="366" t="s">
        <v>66</v>
      </c>
      <c r="E81" s="366" t="s">
        <v>9</v>
      </c>
      <c r="F81" s="341" t="s">
        <v>184</v>
      </c>
      <c r="G81" s="366" t="s">
        <v>314</v>
      </c>
      <c r="H81" s="365">
        <v>44691</v>
      </c>
      <c r="I81" s="341" t="s">
        <v>351</v>
      </c>
      <c r="J81" s="367">
        <v>390297</v>
      </c>
      <c r="K81" s="368">
        <v>0.3</v>
      </c>
      <c r="L81" s="346">
        <v>117089</v>
      </c>
      <c r="M81" s="428">
        <v>0.1</v>
      </c>
      <c r="N81" s="274">
        <f t="shared" si="5"/>
        <v>11708.900000000001</v>
      </c>
      <c r="O81" s="274">
        <f>L81-N81</f>
        <v>105380.1</v>
      </c>
      <c r="P81" s="364" t="s">
        <v>365</v>
      </c>
      <c r="Q81" s="393" t="e">
        <f>VLOOKUP(G:G,list!B:D,3,FALSE)</f>
        <v>#N/A</v>
      </c>
    </row>
    <row r="82" spans="2:17" ht="18" customHeight="1">
      <c r="B82" s="341">
        <v>78</v>
      </c>
      <c r="C82" s="341" t="e">
        <f>VLOOKUP(G:G,list!B:D,2,FALSE)</f>
        <v>#N/A</v>
      </c>
      <c r="D82" s="369" t="s">
        <v>66</v>
      </c>
      <c r="E82" s="341" t="s">
        <v>64</v>
      </c>
      <c r="F82" s="369" t="s">
        <v>65</v>
      </c>
      <c r="G82" s="342" t="s">
        <v>152</v>
      </c>
      <c r="H82" s="396">
        <v>44235</v>
      </c>
      <c r="I82" s="341" t="s">
        <v>351</v>
      </c>
      <c r="J82" s="361">
        <v>956888</v>
      </c>
      <c r="K82" s="368">
        <v>0.4</v>
      </c>
      <c r="L82" s="346">
        <v>382755</v>
      </c>
      <c r="M82" s="428">
        <v>0.12</v>
      </c>
      <c r="N82" s="194">
        <f t="shared" si="5"/>
        <v>45930.6</v>
      </c>
      <c r="O82" s="274">
        <f t="shared" si="3"/>
        <v>336824.4</v>
      </c>
      <c r="P82" s="191"/>
      <c r="Q82" s="393" t="e">
        <f>VLOOKUP(G:G,list!B:D,3,FALSE)</f>
        <v>#N/A</v>
      </c>
    </row>
    <row r="83" spans="2:17" ht="18" customHeight="1">
      <c r="B83" s="341">
        <v>79</v>
      </c>
      <c r="C83" s="341" t="e">
        <f>VLOOKUP(G:G,list!B:D,2,FALSE)</f>
        <v>#N/A</v>
      </c>
      <c r="D83" s="369" t="s">
        <v>66</v>
      </c>
      <c r="E83" s="341" t="s">
        <v>64</v>
      </c>
      <c r="F83" s="369" t="s">
        <v>65</v>
      </c>
      <c r="G83" s="342" t="s">
        <v>179</v>
      </c>
      <c r="H83" s="343">
        <v>44198</v>
      </c>
      <c r="I83" s="341" t="s">
        <v>351</v>
      </c>
      <c r="J83" s="361">
        <v>659763</v>
      </c>
      <c r="K83" s="368">
        <v>0.4</v>
      </c>
      <c r="L83" s="346">
        <v>263905</v>
      </c>
      <c r="M83" s="428">
        <v>0.1</v>
      </c>
      <c r="N83" s="194">
        <f>L83*M83</f>
        <v>26390.5</v>
      </c>
      <c r="O83" s="274">
        <f t="shared" si="3"/>
        <v>237514.5</v>
      </c>
      <c r="P83" s="195" t="s">
        <v>85</v>
      </c>
      <c r="Q83" s="393" t="e">
        <f>VLOOKUP(G:G,list!B:D,3,FALSE)</f>
        <v>#N/A</v>
      </c>
    </row>
    <row r="84" spans="2:17" ht="18" customHeight="1">
      <c r="B84" s="341">
        <v>80</v>
      </c>
      <c r="C84" s="341" t="e">
        <f>VLOOKUP(G:G,list!B:D,2,FALSE)</f>
        <v>#N/A</v>
      </c>
      <c r="D84" s="369" t="s">
        <v>66</v>
      </c>
      <c r="E84" s="341" t="s">
        <v>64</v>
      </c>
      <c r="F84" s="369" t="s">
        <v>65</v>
      </c>
      <c r="G84" s="342" t="s">
        <v>147</v>
      </c>
      <c r="H84" s="343">
        <v>44288</v>
      </c>
      <c r="I84" s="341" t="s">
        <v>351</v>
      </c>
      <c r="J84" s="361">
        <v>385473</v>
      </c>
      <c r="K84" s="368">
        <v>0.4</v>
      </c>
      <c r="L84" s="346">
        <v>154189</v>
      </c>
      <c r="M84" s="428" t="s">
        <v>203</v>
      </c>
      <c r="N84" s="194">
        <v>0</v>
      </c>
      <c r="O84" s="274">
        <f t="shared" si="3"/>
        <v>154189</v>
      </c>
      <c r="P84" s="191"/>
      <c r="Q84" s="393" t="e">
        <f>VLOOKUP(G:G,list!B:D,3,FALSE)</f>
        <v>#N/A</v>
      </c>
    </row>
    <row r="85" spans="2:17" ht="18" customHeight="1">
      <c r="B85" s="341">
        <v>81</v>
      </c>
      <c r="C85" s="341" t="e">
        <f>VLOOKUP(G:G,list!B:D,2,FALSE)</f>
        <v>#N/A</v>
      </c>
      <c r="D85" s="369" t="s">
        <v>66</v>
      </c>
      <c r="E85" s="341" t="s">
        <v>64</v>
      </c>
      <c r="F85" s="369" t="s">
        <v>65</v>
      </c>
      <c r="G85" s="342" t="s">
        <v>187</v>
      </c>
      <c r="H85" s="343">
        <v>44289</v>
      </c>
      <c r="I85" s="341" t="s">
        <v>351</v>
      </c>
      <c r="J85" s="361">
        <v>484145</v>
      </c>
      <c r="K85" s="368">
        <v>0.4</v>
      </c>
      <c r="L85" s="346">
        <v>193658</v>
      </c>
      <c r="M85" s="428" t="s">
        <v>203</v>
      </c>
      <c r="N85" s="194">
        <v>0</v>
      </c>
      <c r="O85" s="274">
        <f t="shared" si="3"/>
        <v>193658</v>
      </c>
      <c r="P85" s="347"/>
      <c r="Q85" s="393" t="e">
        <f>VLOOKUP(G:G,list!B:D,3,FALSE)</f>
        <v>#N/A</v>
      </c>
    </row>
    <row r="86" spans="2:17" ht="18" customHeight="1">
      <c r="B86" s="341">
        <v>82</v>
      </c>
      <c r="C86" s="341" t="e">
        <f>VLOOKUP(G:G,list!B:D,2,FALSE)</f>
        <v>#N/A</v>
      </c>
      <c r="D86" s="369" t="s">
        <v>66</v>
      </c>
      <c r="E86" s="341" t="s">
        <v>64</v>
      </c>
      <c r="F86" s="369" t="s">
        <v>65</v>
      </c>
      <c r="G86" s="342" t="s">
        <v>74</v>
      </c>
      <c r="H86" s="343">
        <v>44246</v>
      </c>
      <c r="I86" s="341" t="s">
        <v>351</v>
      </c>
      <c r="J86" s="361">
        <v>286060</v>
      </c>
      <c r="K86" s="368">
        <v>0.4</v>
      </c>
      <c r="L86" s="346">
        <v>114424</v>
      </c>
      <c r="M86" s="428">
        <v>0.1</v>
      </c>
      <c r="N86" s="274">
        <f>L86*M86</f>
        <v>11442.400000000001</v>
      </c>
      <c r="O86" s="274">
        <f t="shared" si="3"/>
        <v>102981.6</v>
      </c>
      <c r="P86" s="191"/>
      <c r="Q86" s="393" t="e">
        <f>VLOOKUP(G:G,list!B:D,3,FALSE)</f>
        <v>#N/A</v>
      </c>
    </row>
    <row r="87" spans="2:17" ht="18" customHeight="1">
      <c r="B87" s="341">
        <v>83</v>
      </c>
      <c r="C87" s="341" t="e">
        <f>VLOOKUP(G:G,list!B:D,2,FALSE)</f>
        <v>#N/A</v>
      </c>
      <c r="D87" s="369" t="s">
        <v>66</v>
      </c>
      <c r="E87" s="341" t="s">
        <v>64</v>
      </c>
      <c r="F87" s="369" t="s">
        <v>65</v>
      </c>
      <c r="G87" s="342" t="s">
        <v>188</v>
      </c>
      <c r="H87" s="343">
        <v>44415</v>
      </c>
      <c r="I87" s="341" t="s">
        <v>351</v>
      </c>
      <c r="J87" s="361">
        <v>1297668</v>
      </c>
      <c r="K87" s="368">
        <v>0.4</v>
      </c>
      <c r="L87" s="346">
        <v>519067</v>
      </c>
      <c r="M87" s="428" t="s">
        <v>203</v>
      </c>
      <c r="N87" s="194">
        <v>0</v>
      </c>
      <c r="O87" s="274">
        <f t="shared" si="3"/>
        <v>519067</v>
      </c>
      <c r="P87" s="191"/>
      <c r="Q87" s="393" t="e">
        <f>VLOOKUP(G:G,list!B:D,3,FALSE)</f>
        <v>#N/A</v>
      </c>
    </row>
    <row r="88" spans="2:17" ht="18" customHeight="1">
      <c r="B88" s="341">
        <v>84</v>
      </c>
      <c r="C88" s="341" t="str">
        <f>VLOOKUP(G:G,list!B:D,2,FALSE)</f>
        <v>원작료</v>
      </c>
      <c r="D88" s="369" t="s">
        <v>66</v>
      </c>
      <c r="E88" s="341" t="s">
        <v>64</v>
      </c>
      <c r="F88" s="369" t="s">
        <v>65</v>
      </c>
      <c r="G88" s="342" t="s">
        <v>30</v>
      </c>
      <c r="H88" s="343">
        <v>44586</v>
      </c>
      <c r="I88" s="341" t="s">
        <v>351</v>
      </c>
      <c r="J88" s="361">
        <v>764893</v>
      </c>
      <c r="K88" s="368">
        <v>0.4</v>
      </c>
      <c r="L88" s="346">
        <v>305957</v>
      </c>
      <c r="M88" s="428">
        <v>0.1</v>
      </c>
      <c r="N88" s="274">
        <f>L88*M88</f>
        <v>30595.7</v>
      </c>
      <c r="O88" s="274">
        <f t="shared" si="3"/>
        <v>275361.3</v>
      </c>
      <c r="P88" s="191"/>
      <c r="Q88" s="393" t="str">
        <f>VLOOKUP(G:G,list!B:D,3,FALSE)</f>
        <v>Y</v>
      </c>
    </row>
    <row r="89" spans="2:17" ht="18" customHeight="1">
      <c r="B89" s="341">
        <v>85</v>
      </c>
      <c r="C89" s="341" t="e">
        <f>VLOOKUP(G:G,list!B:D,2,FALSE)</f>
        <v>#N/A</v>
      </c>
      <c r="D89" s="369" t="s">
        <v>66</v>
      </c>
      <c r="E89" s="341" t="s">
        <v>64</v>
      </c>
      <c r="F89" s="369" t="s">
        <v>65</v>
      </c>
      <c r="G89" s="342" t="s">
        <v>29</v>
      </c>
      <c r="H89" s="343">
        <v>44702</v>
      </c>
      <c r="I89" s="341" t="s">
        <v>351</v>
      </c>
      <c r="J89" s="361">
        <v>945153</v>
      </c>
      <c r="K89" s="368">
        <v>0.4</v>
      </c>
      <c r="L89" s="346">
        <v>378061</v>
      </c>
      <c r="M89" s="428">
        <v>0.1</v>
      </c>
      <c r="N89" s="274">
        <f t="shared" ref="N89" si="6">L89*M89</f>
        <v>37806.1</v>
      </c>
      <c r="O89" s="274">
        <f t="shared" si="3"/>
        <v>340254.9</v>
      </c>
      <c r="P89" s="347" t="s">
        <v>354</v>
      </c>
      <c r="Q89" s="393" t="e">
        <f>VLOOKUP(G:G,list!B:D,3,FALSE)</f>
        <v>#N/A</v>
      </c>
    </row>
    <row r="90" spans="2:17" ht="18" customHeight="1">
      <c r="B90" s="341">
        <v>86</v>
      </c>
      <c r="C90" s="341" t="e">
        <f>VLOOKUP(G:G,list!B:D,2,FALSE)</f>
        <v>#N/A</v>
      </c>
      <c r="D90" s="366" t="s">
        <v>215</v>
      </c>
      <c r="E90" s="366" t="s">
        <v>9</v>
      </c>
      <c r="F90" s="341" t="s">
        <v>184</v>
      </c>
      <c r="G90" s="366" t="s">
        <v>218</v>
      </c>
      <c r="H90" s="365">
        <v>44395</v>
      </c>
      <c r="I90" s="341" t="s">
        <v>350</v>
      </c>
      <c r="J90" s="367">
        <v>25122617</v>
      </c>
      <c r="K90" s="368">
        <v>0.3</v>
      </c>
      <c r="L90" s="346">
        <v>7536785</v>
      </c>
      <c r="M90" s="428">
        <v>0.1</v>
      </c>
      <c r="N90" s="274">
        <f>L90*M90</f>
        <v>753678.5</v>
      </c>
      <c r="O90" s="274">
        <f t="shared" si="3"/>
        <v>6783106.5</v>
      </c>
      <c r="P90" s="364" t="s">
        <v>221</v>
      </c>
      <c r="Q90" s="393" t="e">
        <f>VLOOKUP(G:G,list!B:D,3,FALSE)</f>
        <v>#N/A</v>
      </c>
    </row>
    <row r="91" spans="2:17" ht="18" customHeight="1">
      <c r="B91" s="341">
        <v>87</v>
      </c>
      <c r="C91" s="341" t="e">
        <f>VLOOKUP(G:G,list!B:D,2,FALSE)</f>
        <v>#N/A</v>
      </c>
      <c r="D91" s="366" t="s">
        <v>215</v>
      </c>
      <c r="E91" s="366" t="s">
        <v>9</v>
      </c>
      <c r="F91" s="341" t="s">
        <v>184</v>
      </c>
      <c r="G91" s="366" t="s">
        <v>219</v>
      </c>
      <c r="H91" s="365">
        <v>44486</v>
      </c>
      <c r="I91" s="341" t="s">
        <v>350</v>
      </c>
      <c r="J91" s="367">
        <v>20128503</v>
      </c>
      <c r="K91" s="368">
        <v>0.3</v>
      </c>
      <c r="L91" s="346">
        <v>6038551</v>
      </c>
      <c r="M91" s="428">
        <v>0.12</v>
      </c>
      <c r="N91" s="194">
        <f>L91*M91</f>
        <v>724626.12</v>
      </c>
      <c r="O91" s="274">
        <f t="shared" si="3"/>
        <v>5313924.88</v>
      </c>
      <c r="P91" s="364" t="s">
        <v>221</v>
      </c>
      <c r="Q91" s="393" t="e">
        <f>VLOOKUP(G:G,list!B:D,3,FALSE)</f>
        <v>#N/A</v>
      </c>
    </row>
    <row r="92" spans="2:17" ht="18" customHeight="1">
      <c r="B92" s="341">
        <v>88</v>
      </c>
      <c r="C92" s="341" t="e">
        <f>VLOOKUP(G:G,list!B:D,2,FALSE)</f>
        <v>#N/A</v>
      </c>
      <c r="D92" s="366" t="s">
        <v>215</v>
      </c>
      <c r="E92" s="366" t="s">
        <v>9</v>
      </c>
      <c r="F92" s="341" t="s">
        <v>184</v>
      </c>
      <c r="G92" s="366" t="s">
        <v>219</v>
      </c>
      <c r="H92" s="365">
        <v>44486</v>
      </c>
      <c r="I92" s="341" t="s">
        <v>323</v>
      </c>
      <c r="J92" s="361">
        <v>584183</v>
      </c>
      <c r="K92" s="368">
        <v>0.3</v>
      </c>
      <c r="L92" s="346">
        <v>175255</v>
      </c>
      <c r="M92" s="428">
        <v>0.12</v>
      </c>
      <c r="N92" s="194">
        <f>L92*M92</f>
        <v>21030.6</v>
      </c>
      <c r="O92" s="274">
        <f t="shared" si="3"/>
        <v>154224.4</v>
      </c>
      <c r="P92" s="364" t="s">
        <v>283</v>
      </c>
      <c r="Q92" s="393" t="e">
        <f>VLOOKUP(G:G,list!B:D,3,FALSE)</f>
        <v>#N/A</v>
      </c>
    </row>
    <row r="93" spans="2:17" ht="18" customHeight="1">
      <c r="B93" s="341">
        <v>89</v>
      </c>
      <c r="C93" s="341" t="e">
        <f>VLOOKUP(G:G,list!B:D,2,FALSE)</f>
        <v>#N/A</v>
      </c>
      <c r="D93" s="366" t="s">
        <v>215</v>
      </c>
      <c r="E93" s="366" t="s">
        <v>9</v>
      </c>
      <c r="F93" s="341" t="s">
        <v>184</v>
      </c>
      <c r="G93" s="366" t="s">
        <v>12</v>
      </c>
      <c r="H93" s="365">
        <v>44544</v>
      </c>
      <c r="I93" s="341" t="s">
        <v>323</v>
      </c>
      <c r="J93" s="361">
        <v>137880</v>
      </c>
      <c r="K93" s="368">
        <v>0.3</v>
      </c>
      <c r="L93" s="346">
        <v>41364</v>
      </c>
      <c r="M93" s="428">
        <v>0.1</v>
      </c>
      <c r="N93" s="274">
        <f>L93*M93</f>
        <v>4136.4000000000005</v>
      </c>
      <c r="O93" s="274">
        <f t="shared" si="3"/>
        <v>37227.599999999999</v>
      </c>
      <c r="P93" s="364" t="s">
        <v>283</v>
      </c>
      <c r="Q93" s="393" t="e">
        <f>VLOOKUP(G:G,list!B:D,3,FALSE)</f>
        <v>#N/A</v>
      </c>
    </row>
    <row r="94" spans="2:17" ht="18" customHeight="1">
      <c r="B94" s="341">
        <v>90</v>
      </c>
      <c r="C94" s="341" t="e">
        <f>VLOOKUP(G:G,list!B:D,2,FALSE)</f>
        <v>#N/A</v>
      </c>
      <c r="D94" s="366" t="s">
        <v>215</v>
      </c>
      <c r="E94" s="366" t="s">
        <v>9</v>
      </c>
      <c r="F94" s="341" t="s">
        <v>184</v>
      </c>
      <c r="G94" s="366" t="s">
        <v>135</v>
      </c>
      <c r="H94" s="365">
        <v>44420</v>
      </c>
      <c r="I94" s="341" t="s">
        <v>351</v>
      </c>
      <c r="J94" s="361">
        <v>3301537</v>
      </c>
      <c r="K94" s="368">
        <v>0.3</v>
      </c>
      <c r="L94" s="346">
        <v>990461</v>
      </c>
      <c r="M94" s="428" t="s">
        <v>203</v>
      </c>
      <c r="N94" s="194">
        <v>0</v>
      </c>
      <c r="O94" s="274">
        <f t="shared" si="3"/>
        <v>990461</v>
      </c>
      <c r="P94" s="364" t="s">
        <v>221</v>
      </c>
      <c r="Q94" s="393" t="e">
        <f>VLOOKUP(G:G,list!B:D,3,FALSE)</f>
        <v>#N/A</v>
      </c>
    </row>
    <row r="95" spans="2:17" ht="18" customHeight="1">
      <c r="B95" s="341">
        <v>91</v>
      </c>
      <c r="C95" s="341" t="e">
        <f>VLOOKUP(G:G,list!B:D,2,FALSE)</f>
        <v>#N/A</v>
      </c>
      <c r="D95" s="366" t="s">
        <v>215</v>
      </c>
      <c r="E95" s="366" t="s">
        <v>9</v>
      </c>
      <c r="F95" s="341" t="s">
        <v>184</v>
      </c>
      <c r="G95" s="366" t="s">
        <v>135</v>
      </c>
      <c r="H95" s="365">
        <v>44637</v>
      </c>
      <c r="I95" s="341" t="s">
        <v>323</v>
      </c>
      <c r="J95" s="361">
        <v>175747</v>
      </c>
      <c r="K95" s="368">
        <v>0.3</v>
      </c>
      <c r="L95" s="346">
        <v>52724</v>
      </c>
      <c r="M95" s="428" t="s">
        <v>203</v>
      </c>
      <c r="N95" s="194">
        <v>0</v>
      </c>
      <c r="O95" s="274">
        <f t="shared" si="3"/>
        <v>52724</v>
      </c>
      <c r="P95" s="364" t="s">
        <v>360</v>
      </c>
      <c r="Q95" s="393" t="e">
        <f>VLOOKUP(G:G,list!B:D,3,FALSE)</f>
        <v>#N/A</v>
      </c>
    </row>
    <row r="96" spans="2:17" ht="18" customHeight="1">
      <c r="B96" s="341">
        <v>92</v>
      </c>
      <c r="C96" s="341" t="e">
        <f>VLOOKUP(G:G,list!B:D,2,FALSE)</f>
        <v>#N/A</v>
      </c>
      <c r="D96" s="369" t="s">
        <v>69</v>
      </c>
      <c r="E96" s="369" t="s">
        <v>68</v>
      </c>
      <c r="F96" s="372" t="s">
        <v>70</v>
      </c>
      <c r="G96" s="362" t="s">
        <v>42</v>
      </c>
      <c r="H96" s="363">
        <v>44293</v>
      </c>
      <c r="I96" s="341" t="s">
        <v>323</v>
      </c>
      <c r="J96" s="361">
        <v>13403</v>
      </c>
      <c r="K96" s="371">
        <v>0.5</v>
      </c>
      <c r="L96" s="346">
        <v>6702</v>
      </c>
      <c r="M96" s="428">
        <v>0.1</v>
      </c>
      <c r="N96" s="194">
        <f t="shared" ref="N96:N103" si="7">L96*M96</f>
        <v>670.2</v>
      </c>
      <c r="O96" s="274">
        <f t="shared" si="3"/>
        <v>6031.8</v>
      </c>
      <c r="P96" s="195" t="s">
        <v>85</v>
      </c>
      <c r="Q96" s="393" t="e">
        <f>VLOOKUP(G:G,list!B:D,3,FALSE)</f>
        <v>#N/A</v>
      </c>
    </row>
    <row r="97" spans="2:17" ht="18" customHeight="1">
      <c r="B97" s="341">
        <v>93</v>
      </c>
      <c r="C97" s="341" t="e">
        <f>VLOOKUP(G:G,list!B:D,2,FALSE)</f>
        <v>#N/A</v>
      </c>
      <c r="D97" s="369" t="s">
        <v>69</v>
      </c>
      <c r="E97" s="369" t="s">
        <v>68</v>
      </c>
      <c r="F97" s="372" t="s">
        <v>70</v>
      </c>
      <c r="G97" s="362" t="s">
        <v>224</v>
      </c>
      <c r="H97" s="363">
        <v>44341</v>
      </c>
      <c r="I97" s="341" t="s">
        <v>323</v>
      </c>
      <c r="J97" s="361">
        <v>1204</v>
      </c>
      <c r="K97" s="371">
        <v>0.5</v>
      </c>
      <c r="L97" s="346">
        <v>602</v>
      </c>
      <c r="M97" s="428">
        <v>0.1</v>
      </c>
      <c r="N97" s="274">
        <f t="shared" si="7"/>
        <v>60.2</v>
      </c>
      <c r="O97" s="274">
        <f t="shared" si="3"/>
        <v>541.79999999999995</v>
      </c>
      <c r="P97" s="197"/>
      <c r="Q97" s="393" t="e">
        <f>VLOOKUP(G:G,list!B:D,3,FALSE)</f>
        <v>#N/A</v>
      </c>
    </row>
    <row r="98" spans="2:17" ht="18" customHeight="1">
      <c r="B98" s="341">
        <v>94</v>
      </c>
      <c r="C98" s="341" t="e">
        <f>VLOOKUP(G:G,list!B:D,2,FALSE)</f>
        <v>#N/A</v>
      </c>
      <c r="D98" s="369" t="s">
        <v>69</v>
      </c>
      <c r="E98" s="369" t="s">
        <v>68</v>
      </c>
      <c r="F98" s="372" t="s">
        <v>70</v>
      </c>
      <c r="G98" s="362" t="s">
        <v>28</v>
      </c>
      <c r="H98" s="363">
        <v>44291</v>
      </c>
      <c r="I98" s="341" t="s">
        <v>323</v>
      </c>
      <c r="J98" s="361">
        <v>8106</v>
      </c>
      <c r="K98" s="371">
        <v>0.5</v>
      </c>
      <c r="L98" s="346">
        <v>4053</v>
      </c>
      <c r="M98" s="428">
        <v>0.12</v>
      </c>
      <c r="N98" s="194">
        <f t="shared" si="7"/>
        <v>486.35999999999996</v>
      </c>
      <c r="O98" s="274">
        <f t="shared" si="3"/>
        <v>3566.64</v>
      </c>
      <c r="P98" s="197"/>
      <c r="Q98" s="393" t="e">
        <f>VLOOKUP(G:G,list!B:D,3,FALSE)</f>
        <v>#N/A</v>
      </c>
    </row>
    <row r="99" spans="2:17" ht="18" customHeight="1">
      <c r="B99" s="341">
        <v>95</v>
      </c>
      <c r="C99" s="341" t="e">
        <f>VLOOKUP(G:G,list!B:D,2,FALSE)</f>
        <v>#N/A</v>
      </c>
      <c r="D99" s="369" t="s">
        <v>69</v>
      </c>
      <c r="E99" s="369" t="s">
        <v>68</v>
      </c>
      <c r="F99" s="372" t="s">
        <v>70</v>
      </c>
      <c r="G99" s="362" t="s">
        <v>29</v>
      </c>
      <c r="H99" s="363">
        <v>44410</v>
      </c>
      <c r="I99" s="341" t="s">
        <v>323</v>
      </c>
      <c r="J99" s="361">
        <v>4816</v>
      </c>
      <c r="K99" s="371">
        <v>0.5</v>
      </c>
      <c r="L99" s="346">
        <v>2408</v>
      </c>
      <c r="M99" s="428">
        <v>0.1</v>
      </c>
      <c r="N99" s="274">
        <f t="shared" si="7"/>
        <v>240.8</v>
      </c>
      <c r="O99" s="274">
        <f t="shared" si="3"/>
        <v>2167.1999999999998</v>
      </c>
      <c r="P99" s="194"/>
      <c r="Q99" s="393" t="e">
        <f>VLOOKUP(G:G,list!B:D,3,FALSE)</f>
        <v>#N/A</v>
      </c>
    </row>
    <row r="100" spans="2:17" ht="18" customHeight="1">
      <c r="B100" s="341">
        <v>96</v>
      </c>
      <c r="C100" s="341" t="str">
        <f>VLOOKUP(G:G,list!B:D,2,FALSE)</f>
        <v>원작료</v>
      </c>
      <c r="D100" s="369" t="s">
        <v>69</v>
      </c>
      <c r="E100" s="369" t="s">
        <v>68</v>
      </c>
      <c r="F100" s="372" t="s">
        <v>70</v>
      </c>
      <c r="G100" s="362" t="s">
        <v>151</v>
      </c>
      <c r="H100" s="363">
        <v>44524</v>
      </c>
      <c r="I100" s="341" t="s">
        <v>323</v>
      </c>
      <c r="J100" s="361">
        <v>1445</v>
      </c>
      <c r="K100" s="371">
        <v>0.5</v>
      </c>
      <c r="L100" s="346">
        <v>722</v>
      </c>
      <c r="M100" s="428">
        <v>0.1</v>
      </c>
      <c r="N100" s="274">
        <f t="shared" si="7"/>
        <v>72.2</v>
      </c>
      <c r="O100" s="274">
        <f t="shared" si="3"/>
        <v>649.79999999999995</v>
      </c>
      <c r="P100" s="370"/>
      <c r="Q100" s="393" t="str">
        <f>VLOOKUP(G:G,list!B:D,3,FALSE)</f>
        <v>Y</v>
      </c>
    </row>
    <row r="101" spans="2:17" ht="18" customHeight="1">
      <c r="B101" s="341">
        <v>97</v>
      </c>
      <c r="C101" s="341" t="e">
        <f>VLOOKUP(G:G,list!B:D,2,FALSE)</f>
        <v>#N/A</v>
      </c>
      <c r="D101" s="369" t="s">
        <v>182</v>
      </c>
      <c r="E101" s="369" t="s">
        <v>9</v>
      </c>
      <c r="F101" s="372" t="s">
        <v>228</v>
      </c>
      <c r="G101" s="374" t="s">
        <v>179</v>
      </c>
      <c r="H101" s="353">
        <v>44180</v>
      </c>
      <c r="I101" s="341" t="s">
        <v>323</v>
      </c>
      <c r="J101" s="361">
        <v>440978</v>
      </c>
      <c r="K101" s="371">
        <v>0.5</v>
      </c>
      <c r="L101" s="346">
        <v>220489</v>
      </c>
      <c r="M101" s="428">
        <v>0.1</v>
      </c>
      <c r="N101" s="194">
        <f t="shared" si="7"/>
        <v>22048.9</v>
      </c>
      <c r="O101" s="274">
        <f t="shared" si="3"/>
        <v>198440.1</v>
      </c>
      <c r="P101" s="195" t="s">
        <v>85</v>
      </c>
      <c r="Q101" s="393" t="e">
        <f>VLOOKUP(G:G,list!B:D,3,FALSE)</f>
        <v>#N/A</v>
      </c>
    </row>
    <row r="102" spans="2:17" ht="18" customHeight="1">
      <c r="B102" s="341">
        <v>98</v>
      </c>
      <c r="C102" s="341" t="e">
        <f>VLOOKUP(G:G,list!B:D,2,FALSE)</f>
        <v>#N/A</v>
      </c>
      <c r="D102" s="369" t="s">
        <v>182</v>
      </c>
      <c r="E102" s="369" t="s">
        <v>9</v>
      </c>
      <c r="F102" s="372" t="s">
        <v>228</v>
      </c>
      <c r="G102" s="374" t="s">
        <v>152</v>
      </c>
      <c r="H102" s="353">
        <v>44180</v>
      </c>
      <c r="I102" s="341" t="s">
        <v>323</v>
      </c>
      <c r="J102" s="361">
        <v>245072</v>
      </c>
      <c r="K102" s="371">
        <v>0.5</v>
      </c>
      <c r="L102" s="346">
        <v>122536</v>
      </c>
      <c r="M102" s="428">
        <v>0.12</v>
      </c>
      <c r="N102" s="194">
        <f t="shared" si="7"/>
        <v>14704.32</v>
      </c>
      <c r="O102" s="274">
        <f t="shared" si="3"/>
        <v>107831.67999999999</v>
      </c>
      <c r="P102" s="194"/>
      <c r="Q102" s="393" t="e">
        <f>VLOOKUP(G:G,list!B:D,3,FALSE)</f>
        <v>#N/A</v>
      </c>
    </row>
    <row r="103" spans="2:17" ht="18" customHeight="1">
      <c r="B103" s="341">
        <v>99</v>
      </c>
      <c r="C103" s="341" t="e">
        <f>VLOOKUP(G:G,list!B:D,2,FALSE)</f>
        <v>#N/A</v>
      </c>
      <c r="D103" s="369" t="s">
        <v>182</v>
      </c>
      <c r="E103" s="369" t="s">
        <v>9</v>
      </c>
      <c r="F103" s="372" t="s">
        <v>228</v>
      </c>
      <c r="G103" s="374" t="s">
        <v>153</v>
      </c>
      <c r="H103" s="353">
        <v>44180</v>
      </c>
      <c r="I103" s="341" t="s">
        <v>323</v>
      </c>
      <c r="J103" s="361">
        <v>197527</v>
      </c>
      <c r="K103" s="371">
        <v>0.5</v>
      </c>
      <c r="L103" s="346">
        <v>98763.5</v>
      </c>
      <c r="M103" s="428">
        <v>0.1</v>
      </c>
      <c r="N103" s="274">
        <f t="shared" si="7"/>
        <v>9876.35</v>
      </c>
      <c r="O103" s="274">
        <f t="shared" si="3"/>
        <v>88887.15</v>
      </c>
      <c r="P103" s="194"/>
      <c r="Q103" s="393" t="e">
        <f>VLOOKUP(G:G,list!B:D,3,FALSE)</f>
        <v>#N/A</v>
      </c>
    </row>
    <row r="104" spans="2:17" ht="18" customHeight="1">
      <c r="B104" s="341">
        <v>100</v>
      </c>
      <c r="C104" s="341" t="e">
        <f>VLOOKUP(G:G,list!B:D,2,FALSE)</f>
        <v>#N/A</v>
      </c>
      <c r="D104" s="369" t="s">
        <v>182</v>
      </c>
      <c r="E104" s="369" t="s">
        <v>9</v>
      </c>
      <c r="F104" s="372" t="s">
        <v>228</v>
      </c>
      <c r="G104" s="374" t="s">
        <v>74</v>
      </c>
      <c r="H104" s="353">
        <v>44180</v>
      </c>
      <c r="I104" s="341" t="s">
        <v>323</v>
      </c>
      <c r="J104" s="361">
        <v>136796</v>
      </c>
      <c r="K104" s="371">
        <v>0.5</v>
      </c>
      <c r="L104" s="346">
        <v>68398</v>
      </c>
      <c r="M104" s="428">
        <v>0.1</v>
      </c>
      <c r="N104" s="274">
        <f>L104*M104</f>
        <v>6839.8</v>
      </c>
      <c r="O104" s="274">
        <f>L104-N104</f>
        <v>61558.2</v>
      </c>
      <c r="P104" s="347"/>
      <c r="Q104" s="393" t="e">
        <f>VLOOKUP(G:G,list!B:D,3,FALSE)</f>
        <v>#N/A</v>
      </c>
    </row>
    <row r="105" spans="2:17" ht="18" customHeight="1">
      <c r="B105" s="341">
        <v>101</v>
      </c>
      <c r="C105" s="341" t="str">
        <f>VLOOKUP(G:G,list!B:D,2,FALSE)</f>
        <v>작가기획</v>
      </c>
      <c r="D105" s="369" t="s">
        <v>182</v>
      </c>
      <c r="E105" s="369" t="s">
        <v>9</v>
      </c>
      <c r="F105" s="372" t="s">
        <v>228</v>
      </c>
      <c r="G105" s="374" t="s">
        <v>180</v>
      </c>
      <c r="H105" s="353">
        <v>44180</v>
      </c>
      <c r="I105" s="341" t="s">
        <v>323</v>
      </c>
      <c r="J105" s="361">
        <v>1534958</v>
      </c>
      <c r="K105" s="371">
        <v>0.5</v>
      </c>
      <c r="L105" s="346">
        <v>767479</v>
      </c>
      <c r="M105" s="428" t="s">
        <v>203</v>
      </c>
      <c r="N105" s="274">
        <v>0</v>
      </c>
      <c r="O105" s="274">
        <f t="shared" si="3"/>
        <v>767479</v>
      </c>
      <c r="P105" s="194"/>
      <c r="Q105" s="393" t="str">
        <f>VLOOKUP(G:G,list!B:D,3,FALSE)</f>
        <v>Y</v>
      </c>
    </row>
    <row r="106" spans="2:17" ht="18" customHeight="1">
      <c r="B106" s="341">
        <v>102</v>
      </c>
      <c r="C106" s="341" t="str">
        <f>VLOOKUP(G:G,list!B:D,2,FALSE)</f>
        <v>작가기획</v>
      </c>
      <c r="D106" s="369" t="s">
        <v>182</v>
      </c>
      <c r="E106" s="369" t="s">
        <v>9</v>
      </c>
      <c r="F106" s="372" t="s">
        <v>228</v>
      </c>
      <c r="G106" s="374" t="s">
        <v>139</v>
      </c>
      <c r="H106" s="353">
        <v>44180</v>
      </c>
      <c r="I106" s="341" t="s">
        <v>323</v>
      </c>
      <c r="J106" s="361">
        <v>18370</v>
      </c>
      <c r="K106" s="371">
        <v>0.5</v>
      </c>
      <c r="L106" s="346">
        <v>9185</v>
      </c>
      <c r="M106" s="428" t="s">
        <v>203</v>
      </c>
      <c r="N106" s="194">
        <v>0</v>
      </c>
      <c r="O106" s="274">
        <f t="shared" si="3"/>
        <v>9185</v>
      </c>
      <c r="P106" s="194"/>
      <c r="Q106" s="393" t="str">
        <f>VLOOKUP(G:G,list!B:D,3,FALSE)</f>
        <v>Y</v>
      </c>
    </row>
    <row r="107" spans="2:17" ht="18" customHeight="1">
      <c r="B107" s="341">
        <v>103</v>
      </c>
      <c r="C107" s="341" t="e">
        <f>VLOOKUP(G:G,list!B:D,2,FALSE)</f>
        <v>#N/A</v>
      </c>
      <c r="D107" s="369" t="s">
        <v>182</v>
      </c>
      <c r="E107" s="369" t="s">
        <v>115</v>
      </c>
      <c r="F107" s="372" t="s">
        <v>228</v>
      </c>
      <c r="G107" s="375" t="s">
        <v>231</v>
      </c>
      <c r="H107" s="353">
        <v>44180</v>
      </c>
      <c r="I107" s="341" t="s">
        <v>323</v>
      </c>
      <c r="J107" s="361">
        <v>252096</v>
      </c>
      <c r="K107" s="371">
        <v>0.5</v>
      </c>
      <c r="L107" s="346">
        <v>126048</v>
      </c>
      <c r="M107" s="428" t="s">
        <v>203</v>
      </c>
      <c r="N107" s="194">
        <v>0</v>
      </c>
      <c r="O107" s="274">
        <f t="shared" si="3"/>
        <v>126048</v>
      </c>
      <c r="P107" s="194"/>
      <c r="Q107" s="393" t="e">
        <f>VLOOKUP(G:G,list!B:D,3,FALSE)</f>
        <v>#N/A</v>
      </c>
    </row>
    <row r="108" spans="2:17" ht="18" customHeight="1">
      <c r="B108" s="341">
        <v>104</v>
      </c>
      <c r="C108" s="341" t="str">
        <f>VLOOKUP(G:G,list!B:D,2,FALSE)</f>
        <v>원작료</v>
      </c>
      <c r="D108" s="369" t="s">
        <v>182</v>
      </c>
      <c r="E108" s="369" t="s">
        <v>9</v>
      </c>
      <c r="F108" s="372" t="s">
        <v>228</v>
      </c>
      <c r="G108" s="374" t="s">
        <v>151</v>
      </c>
      <c r="H108" s="353">
        <v>44207</v>
      </c>
      <c r="I108" s="341" t="s">
        <v>323</v>
      </c>
      <c r="J108" s="361">
        <v>41602</v>
      </c>
      <c r="K108" s="371">
        <v>0.5</v>
      </c>
      <c r="L108" s="346">
        <v>20801</v>
      </c>
      <c r="M108" s="428">
        <v>0.1</v>
      </c>
      <c r="N108" s="274">
        <f t="shared" ref="N108:N114" si="8">L108*M108</f>
        <v>2080.1</v>
      </c>
      <c r="O108" s="274">
        <f t="shared" si="3"/>
        <v>18720.900000000001</v>
      </c>
      <c r="P108" s="194"/>
      <c r="Q108" s="393" t="str">
        <f>VLOOKUP(G:G,list!B:D,3,FALSE)</f>
        <v>Y</v>
      </c>
    </row>
    <row r="109" spans="2:17" ht="18" customHeight="1">
      <c r="B109" s="341">
        <v>105</v>
      </c>
      <c r="C109" s="341" t="e">
        <f>VLOOKUP(G:G,list!B:D,2,FALSE)</f>
        <v>#N/A</v>
      </c>
      <c r="D109" s="369" t="s">
        <v>182</v>
      </c>
      <c r="E109" s="369" t="s">
        <v>9</v>
      </c>
      <c r="F109" s="372" t="s">
        <v>228</v>
      </c>
      <c r="G109" s="374" t="s">
        <v>225</v>
      </c>
      <c r="H109" s="353">
        <v>44357</v>
      </c>
      <c r="I109" s="341" t="s">
        <v>323</v>
      </c>
      <c r="J109" s="361">
        <v>57051</v>
      </c>
      <c r="K109" s="371">
        <v>0.5</v>
      </c>
      <c r="L109" s="346">
        <v>28525.5</v>
      </c>
      <c r="M109" s="428">
        <v>0.1</v>
      </c>
      <c r="N109" s="274">
        <f t="shared" si="8"/>
        <v>2852.55</v>
      </c>
      <c r="O109" s="274">
        <f t="shared" si="3"/>
        <v>25672.95</v>
      </c>
      <c r="P109" s="347"/>
      <c r="Q109" s="393" t="e">
        <f>VLOOKUP(G:G,list!B:D,3,FALSE)</f>
        <v>#N/A</v>
      </c>
    </row>
    <row r="110" spans="2:17" ht="18" customHeight="1">
      <c r="B110" s="341">
        <v>106</v>
      </c>
      <c r="C110" s="341" t="e">
        <f>VLOOKUP(G:G,list!B:D,2,FALSE)</f>
        <v>#N/A</v>
      </c>
      <c r="D110" s="369" t="s">
        <v>182</v>
      </c>
      <c r="E110" s="369" t="s">
        <v>115</v>
      </c>
      <c r="F110" s="372" t="s">
        <v>228</v>
      </c>
      <c r="G110" s="374" t="s">
        <v>204</v>
      </c>
      <c r="H110" s="353">
        <v>44365</v>
      </c>
      <c r="I110" s="341" t="s">
        <v>323</v>
      </c>
      <c r="J110" s="361">
        <v>45821</v>
      </c>
      <c r="K110" s="371">
        <v>0.5</v>
      </c>
      <c r="L110" s="346">
        <v>22910.5</v>
      </c>
      <c r="M110" s="428">
        <v>0.1</v>
      </c>
      <c r="N110" s="194">
        <f t="shared" si="8"/>
        <v>2291.0500000000002</v>
      </c>
      <c r="O110" s="274">
        <f t="shared" si="3"/>
        <v>20619.45</v>
      </c>
      <c r="P110" s="194"/>
      <c r="Q110" s="393" t="e">
        <f>VLOOKUP(G:G,list!B:D,3,FALSE)</f>
        <v>#N/A</v>
      </c>
    </row>
    <row r="111" spans="2:17" ht="18" customHeight="1">
      <c r="B111" s="341">
        <v>107</v>
      </c>
      <c r="C111" s="341" t="e">
        <f>VLOOKUP(G:G,list!B:D,2,FALSE)</f>
        <v>#N/A</v>
      </c>
      <c r="D111" s="369" t="s">
        <v>182</v>
      </c>
      <c r="E111" s="369" t="s">
        <v>9</v>
      </c>
      <c r="F111" s="372" t="s">
        <v>228</v>
      </c>
      <c r="G111" s="374" t="s">
        <v>226</v>
      </c>
      <c r="H111" s="353">
        <v>44371</v>
      </c>
      <c r="I111" s="341" t="s">
        <v>323</v>
      </c>
      <c r="J111" s="361">
        <v>20852</v>
      </c>
      <c r="K111" s="371">
        <v>0.5</v>
      </c>
      <c r="L111" s="346">
        <v>10426</v>
      </c>
      <c r="M111" s="428">
        <v>0.1</v>
      </c>
      <c r="N111" s="274">
        <f>L111*M111</f>
        <v>1042.6000000000001</v>
      </c>
      <c r="O111" s="274">
        <f>L111-N111</f>
        <v>9383.4</v>
      </c>
      <c r="P111" s="347"/>
      <c r="Q111" s="393" t="e">
        <f>VLOOKUP(G:G,list!B:D,3,FALSE)</f>
        <v>#N/A</v>
      </c>
    </row>
    <row r="112" spans="2:17" ht="18" customHeight="1">
      <c r="B112" s="341">
        <v>108</v>
      </c>
      <c r="C112" s="341" t="e">
        <f>VLOOKUP(G:G,list!B:D,2,FALSE)</f>
        <v>#N/A</v>
      </c>
      <c r="D112" s="369" t="s">
        <v>182</v>
      </c>
      <c r="E112" s="369" t="s">
        <v>9</v>
      </c>
      <c r="F112" s="372" t="s">
        <v>228</v>
      </c>
      <c r="G112" s="374" t="s">
        <v>191</v>
      </c>
      <c r="H112" s="353">
        <v>44372</v>
      </c>
      <c r="I112" s="341" t="s">
        <v>323</v>
      </c>
      <c r="J112" s="361">
        <v>129450</v>
      </c>
      <c r="K112" s="371">
        <v>0.5</v>
      </c>
      <c r="L112" s="346">
        <v>64725</v>
      </c>
      <c r="M112" s="428">
        <v>0.1</v>
      </c>
      <c r="N112" s="194">
        <f t="shared" si="8"/>
        <v>6472.5</v>
      </c>
      <c r="O112" s="274">
        <f t="shared" si="3"/>
        <v>58252.5</v>
      </c>
      <c r="P112" s="194"/>
      <c r="Q112" s="393" t="e">
        <f>VLOOKUP(G:G,list!B:D,3,FALSE)</f>
        <v>#N/A</v>
      </c>
    </row>
    <row r="113" spans="2:17" ht="18" customHeight="1">
      <c r="B113" s="341">
        <v>109</v>
      </c>
      <c r="C113" s="341" t="e">
        <f>VLOOKUP(G:G,list!B:D,2,FALSE)</f>
        <v>#N/A</v>
      </c>
      <c r="D113" s="369" t="s">
        <v>182</v>
      </c>
      <c r="E113" s="369" t="s">
        <v>9</v>
      </c>
      <c r="F113" s="372" t="s">
        <v>228</v>
      </c>
      <c r="G113" s="360" t="s">
        <v>59</v>
      </c>
      <c r="H113" s="310">
        <v>44392</v>
      </c>
      <c r="I113" s="341" t="s">
        <v>323</v>
      </c>
      <c r="J113" s="361">
        <v>1244720</v>
      </c>
      <c r="K113" s="371">
        <v>0.5</v>
      </c>
      <c r="L113" s="346">
        <v>622360</v>
      </c>
      <c r="M113" s="428">
        <v>0.1</v>
      </c>
      <c r="N113" s="274">
        <f t="shared" si="8"/>
        <v>62236</v>
      </c>
      <c r="O113" s="274">
        <f t="shared" si="3"/>
        <v>560124</v>
      </c>
      <c r="P113" s="194"/>
      <c r="Q113" s="393" t="e">
        <f>VLOOKUP(G:G,list!B:D,3,FALSE)</f>
        <v>#N/A</v>
      </c>
    </row>
    <row r="114" spans="2:17" ht="18" customHeight="1">
      <c r="B114" s="341">
        <v>110</v>
      </c>
      <c r="C114" s="341" t="e">
        <f>VLOOKUP(G:G,list!B:D,2,FALSE)</f>
        <v>#N/A</v>
      </c>
      <c r="D114" s="369" t="s">
        <v>182</v>
      </c>
      <c r="E114" s="362" t="s">
        <v>9</v>
      </c>
      <c r="F114" s="372" t="s">
        <v>228</v>
      </c>
      <c r="G114" s="374" t="s">
        <v>227</v>
      </c>
      <c r="H114" s="353">
        <v>44439</v>
      </c>
      <c r="I114" s="341" t="s">
        <v>323</v>
      </c>
      <c r="J114" s="361">
        <v>23013</v>
      </c>
      <c r="K114" s="371">
        <v>0.5</v>
      </c>
      <c r="L114" s="346">
        <v>11506.5</v>
      </c>
      <c r="M114" s="428">
        <v>0.1</v>
      </c>
      <c r="N114" s="194">
        <f t="shared" si="8"/>
        <v>1150.6500000000001</v>
      </c>
      <c r="O114" s="274">
        <f t="shared" si="3"/>
        <v>10355.85</v>
      </c>
      <c r="P114" s="194"/>
      <c r="Q114" s="393" t="e">
        <f>VLOOKUP(G:G,list!B:D,3,FALSE)</f>
        <v>#N/A</v>
      </c>
    </row>
    <row r="115" spans="2:17" ht="18" customHeight="1">
      <c r="B115" s="341">
        <v>111</v>
      </c>
      <c r="C115" s="341" t="e">
        <f>VLOOKUP(G:G,list!B:D,2,FALSE)</f>
        <v>#N/A</v>
      </c>
      <c r="D115" s="369" t="s">
        <v>182</v>
      </c>
      <c r="E115" s="362" t="s">
        <v>115</v>
      </c>
      <c r="F115" s="372" t="s">
        <v>228</v>
      </c>
      <c r="G115" s="374" t="s">
        <v>202</v>
      </c>
      <c r="H115" s="310">
        <v>44463</v>
      </c>
      <c r="I115" s="341" t="s">
        <v>323</v>
      </c>
      <c r="J115" s="361">
        <v>56292</v>
      </c>
      <c r="K115" s="371">
        <v>0.5</v>
      </c>
      <c r="L115" s="346">
        <v>28146</v>
      </c>
      <c r="M115" s="428" t="s">
        <v>203</v>
      </c>
      <c r="N115" s="274">
        <v>0</v>
      </c>
      <c r="O115" s="274">
        <f t="shared" si="3"/>
        <v>28146</v>
      </c>
      <c r="P115" s="194"/>
      <c r="Q115" s="393" t="e">
        <f>VLOOKUP(G:G,list!B:D,3,FALSE)</f>
        <v>#N/A</v>
      </c>
    </row>
    <row r="116" spans="2:17" ht="18" customHeight="1">
      <c r="B116" s="341">
        <v>112</v>
      </c>
      <c r="C116" s="341" t="e">
        <f>VLOOKUP(G:G,list!B:D,2,FALSE)</f>
        <v>#N/A</v>
      </c>
      <c r="D116" s="369" t="s">
        <v>182</v>
      </c>
      <c r="E116" s="369" t="s">
        <v>9</v>
      </c>
      <c r="F116" s="372" t="s">
        <v>228</v>
      </c>
      <c r="G116" s="376" t="s">
        <v>38</v>
      </c>
      <c r="H116" s="310">
        <v>44491</v>
      </c>
      <c r="I116" s="341" t="s">
        <v>323</v>
      </c>
      <c r="J116" s="361">
        <v>91411</v>
      </c>
      <c r="K116" s="371">
        <v>0.5</v>
      </c>
      <c r="L116" s="346">
        <v>45705.5</v>
      </c>
      <c r="M116" s="428">
        <v>0.1</v>
      </c>
      <c r="N116" s="194">
        <f t="shared" ref="N116:N122" si="9">L116*M116</f>
        <v>4570.55</v>
      </c>
      <c r="O116" s="274">
        <f t="shared" si="3"/>
        <v>41134.949999999997</v>
      </c>
      <c r="P116" s="347"/>
      <c r="Q116" s="393" t="e">
        <f>VLOOKUP(G:G,list!B:D,3,FALSE)</f>
        <v>#N/A</v>
      </c>
    </row>
    <row r="117" spans="2:17" ht="18" customHeight="1">
      <c r="B117" s="341">
        <v>113</v>
      </c>
      <c r="C117" s="341" t="e">
        <f>VLOOKUP(G:G,list!B:D,2,FALSE)</f>
        <v>#N/A</v>
      </c>
      <c r="D117" s="369" t="s">
        <v>182</v>
      </c>
      <c r="E117" s="369" t="s">
        <v>9</v>
      </c>
      <c r="F117" s="372" t="s">
        <v>228</v>
      </c>
      <c r="G117" s="376" t="s">
        <v>335</v>
      </c>
      <c r="H117" s="310">
        <v>44674</v>
      </c>
      <c r="I117" s="341" t="s">
        <v>323</v>
      </c>
      <c r="J117" s="361">
        <v>207033</v>
      </c>
      <c r="K117" s="371">
        <v>0.5</v>
      </c>
      <c r="L117" s="346">
        <v>103516.5</v>
      </c>
      <c r="M117" s="428">
        <v>0.1</v>
      </c>
      <c r="N117" s="194">
        <f t="shared" ref="N117" si="10">L117*M117</f>
        <v>10351.650000000001</v>
      </c>
      <c r="O117" s="274">
        <f t="shared" ref="O117" si="11">L117-N117</f>
        <v>93164.85</v>
      </c>
      <c r="P117" s="347" t="s">
        <v>287</v>
      </c>
      <c r="Q117" s="393" t="e">
        <f>VLOOKUP(G:G,list!B:D,3,FALSE)</f>
        <v>#N/A</v>
      </c>
    </row>
    <row r="118" spans="2:17" ht="18" customHeight="1">
      <c r="B118" s="341">
        <v>114</v>
      </c>
      <c r="C118" s="341" t="e">
        <f>VLOOKUP(G:G,list!B:D,2,FALSE)</f>
        <v>#N/A</v>
      </c>
      <c r="D118" s="369" t="s">
        <v>182</v>
      </c>
      <c r="E118" s="369" t="s">
        <v>9</v>
      </c>
      <c r="F118" s="372" t="s">
        <v>283</v>
      </c>
      <c r="G118" s="374" t="s">
        <v>74</v>
      </c>
      <c r="H118" s="353">
        <v>44271</v>
      </c>
      <c r="I118" s="341" t="s">
        <v>328</v>
      </c>
      <c r="J118" s="361">
        <v>209520</v>
      </c>
      <c r="K118" s="371">
        <v>0.5</v>
      </c>
      <c r="L118" s="346">
        <v>104760</v>
      </c>
      <c r="M118" s="428">
        <v>0.1</v>
      </c>
      <c r="N118" s="274">
        <f t="shared" si="9"/>
        <v>10476</v>
      </c>
      <c r="O118" s="274">
        <f t="shared" si="3"/>
        <v>94284</v>
      </c>
      <c r="P118" s="347"/>
      <c r="Q118" s="393" t="e">
        <f>VLOOKUP(G:G,list!B:D,3,FALSE)</f>
        <v>#N/A</v>
      </c>
    </row>
    <row r="119" spans="2:17" ht="18" customHeight="1">
      <c r="B119" s="341">
        <v>115</v>
      </c>
      <c r="C119" s="341" t="e">
        <f>VLOOKUP(G:G,list!B:D,2,FALSE)</f>
        <v>#N/A</v>
      </c>
      <c r="D119" s="369" t="s">
        <v>182</v>
      </c>
      <c r="E119" s="369" t="s">
        <v>9</v>
      </c>
      <c r="F119" s="372" t="s">
        <v>283</v>
      </c>
      <c r="G119" s="362" t="s">
        <v>153</v>
      </c>
      <c r="H119" s="353">
        <v>44273</v>
      </c>
      <c r="I119" s="341" t="s">
        <v>328</v>
      </c>
      <c r="J119" s="361">
        <v>786600</v>
      </c>
      <c r="K119" s="371">
        <v>0.5</v>
      </c>
      <c r="L119" s="346">
        <v>393300</v>
      </c>
      <c r="M119" s="428">
        <v>0.1</v>
      </c>
      <c r="N119" s="274">
        <f t="shared" si="9"/>
        <v>39330</v>
      </c>
      <c r="O119" s="274">
        <f t="shared" ref="O119:O123" si="12">L119-N119</f>
        <v>353970</v>
      </c>
      <c r="P119" s="347"/>
      <c r="Q119" s="393" t="e">
        <f>VLOOKUP(G:G,list!B:D,3,FALSE)</f>
        <v>#N/A</v>
      </c>
    </row>
    <row r="120" spans="2:17" ht="18" customHeight="1">
      <c r="B120" s="341">
        <v>116</v>
      </c>
      <c r="C120" s="341" t="e">
        <f>VLOOKUP(G:G,list!B:D,2,FALSE)</f>
        <v>#N/A</v>
      </c>
      <c r="D120" s="369" t="s">
        <v>182</v>
      </c>
      <c r="E120" s="369" t="s">
        <v>9</v>
      </c>
      <c r="F120" s="372" t="s">
        <v>283</v>
      </c>
      <c r="G120" s="362" t="s">
        <v>152</v>
      </c>
      <c r="H120" s="353">
        <v>44280</v>
      </c>
      <c r="I120" s="341" t="s">
        <v>328</v>
      </c>
      <c r="J120" s="361">
        <v>1381320</v>
      </c>
      <c r="K120" s="371">
        <v>0.5</v>
      </c>
      <c r="L120" s="346">
        <v>690660</v>
      </c>
      <c r="M120" s="428">
        <v>0.12</v>
      </c>
      <c r="N120" s="194">
        <f t="shared" si="9"/>
        <v>82879.199999999997</v>
      </c>
      <c r="O120" s="274">
        <f t="shared" si="12"/>
        <v>607780.80000000005</v>
      </c>
      <c r="P120" s="347"/>
      <c r="Q120" s="393" t="e">
        <f>VLOOKUP(G:G,list!B:D,3,FALSE)</f>
        <v>#N/A</v>
      </c>
    </row>
    <row r="121" spans="2:17" ht="18" customHeight="1">
      <c r="B121" s="341">
        <v>117</v>
      </c>
      <c r="C121" s="341" t="e">
        <f>VLOOKUP(G:G,list!B:D,2,FALSE)</f>
        <v>#N/A</v>
      </c>
      <c r="D121" s="369" t="s">
        <v>182</v>
      </c>
      <c r="E121" s="369" t="s">
        <v>9</v>
      </c>
      <c r="F121" s="372" t="s">
        <v>283</v>
      </c>
      <c r="G121" s="362" t="s">
        <v>179</v>
      </c>
      <c r="H121" s="353">
        <v>44287</v>
      </c>
      <c r="I121" s="341" t="s">
        <v>328</v>
      </c>
      <c r="J121" s="361">
        <v>7435380</v>
      </c>
      <c r="K121" s="371">
        <v>0.5</v>
      </c>
      <c r="L121" s="346">
        <v>3717690</v>
      </c>
      <c r="M121" s="428">
        <v>0.1</v>
      </c>
      <c r="N121" s="194">
        <f>L121*M121</f>
        <v>371769</v>
      </c>
      <c r="O121" s="274">
        <f t="shared" si="12"/>
        <v>3345921</v>
      </c>
      <c r="P121" s="195" t="s">
        <v>85</v>
      </c>
      <c r="Q121" s="393" t="e">
        <f>VLOOKUP(G:G,list!B:D,3,FALSE)</f>
        <v>#N/A</v>
      </c>
    </row>
    <row r="122" spans="2:17" ht="18" customHeight="1">
      <c r="B122" s="341">
        <v>118</v>
      </c>
      <c r="C122" s="341" t="str">
        <f>VLOOKUP(G:G,list!B:D,2,FALSE)</f>
        <v>원작료</v>
      </c>
      <c r="D122" s="369" t="s">
        <v>182</v>
      </c>
      <c r="E122" s="369" t="s">
        <v>9</v>
      </c>
      <c r="F122" s="372" t="s">
        <v>283</v>
      </c>
      <c r="G122" s="362" t="s">
        <v>151</v>
      </c>
      <c r="H122" s="353">
        <v>44357</v>
      </c>
      <c r="I122" s="341" t="s">
        <v>328</v>
      </c>
      <c r="J122" s="361">
        <v>467280</v>
      </c>
      <c r="K122" s="371">
        <v>0.5</v>
      </c>
      <c r="L122" s="346">
        <v>233640</v>
      </c>
      <c r="M122" s="428">
        <v>0.1</v>
      </c>
      <c r="N122" s="274">
        <f t="shared" si="9"/>
        <v>23364</v>
      </c>
      <c r="O122" s="274">
        <f t="shared" si="12"/>
        <v>210276</v>
      </c>
      <c r="P122" s="347"/>
      <c r="Q122" s="393" t="str">
        <f>VLOOKUP(G:G,list!B:D,3,FALSE)</f>
        <v>Y</v>
      </c>
    </row>
    <row r="123" spans="2:17" ht="18" customHeight="1">
      <c r="B123" s="341">
        <v>119</v>
      </c>
      <c r="C123" s="341" t="e">
        <f>VLOOKUP(G:G,list!B:D,2,FALSE)</f>
        <v>#N/A</v>
      </c>
      <c r="D123" s="369" t="s">
        <v>182</v>
      </c>
      <c r="E123" s="369" t="s">
        <v>9</v>
      </c>
      <c r="F123" s="372" t="s">
        <v>283</v>
      </c>
      <c r="G123" s="375" t="s">
        <v>231</v>
      </c>
      <c r="H123" s="353">
        <v>44271</v>
      </c>
      <c r="I123" s="341" t="s">
        <v>328</v>
      </c>
      <c r="J123" s="361">
        <v>2147400</v>
      </c>
      <c r="K123" s="371">
        <v>0.5</v>
      </c>
      <c r="L123" s="346">
        <v>1073700</v>
      </c>
      <c r="M123" s="428" t="s">
        <v>203</v>
      </c>
      <c r="N123" s="194">
        <v>0</v>
      </c>
      <c r="O123" s="274">
        <f t="shared" si="12"/>
        <v>1073700</v>
      </c>
      <c r="P123" s="347"/>
      <c r="Q123" s="393" t="e">
        <f>VLOOKUP(G:G,list!B:D,3,FALSE)</f>
        <v>#N/A</v>
      </c>
    </row>
    <row r="124" spans="2:17" ht="18" customHeight="1">
      <c r="B124" s="341">
        <v>120</v>
      </c>
      <c r="C124" s="341" t="e">
        <f>VLOOKUP(G:G,list!B:D,2,FALSE)</f>
        <v>#N/A</v>
      </c>
      <c r="D124" s="369" t="s">
        <v>182</v>
      </c>
      <c r="E124" s="362" t="s">
        <v>115</v>
      </c>
      <c r="F124" s="372" t="s">
        <v>283</v>
      </c>
      <c r="G124" s="374" t="s">
        <v>225</v>
      </c>
      <c r="H124" s="353">
        <v>44358</v>
      </c>
      <c r="I124" s="341" t="s">
        <v>328</v>
      </c>
      <c r="J124" s="361">
        <v>600540</v>
      </c>
      <c r="K124" s="371">
        <v>0.5</v>
      </c>
      <c r="L124" s="346">
        <v>300270</v>
      </c>
      <c r="M124" s="428">
        <v>0.1</v>
      </c>
      <c r="N124" s="274">
        <f>L124*M124</f>
        <v>30027</v>
      </c>
      <c r="O124" s="274">
        <f>L124-N124</f>
        <v>270243</v>
      </c>
      <c r="P124" s="347"/>
      <c r="Q124" s="393" t="e">
        <f>VLOOKUP(G:G,list!B:D,3,FALSE)</f>
        <v>#N/A</v>
      </c>
    </row>
    <row r="125" spans="2:17" ht="18" customHeight="1">
      <c r="B125" s="341">
        <v>121</v>
      </c>
      <c r="C125" s="341" t="e">
        <f>VLOOKUP(G:G,list!B:D,2,FALSE)</f>
        <v>#N/A</v>
      </c>
      <c r="D125" s="369" t="s">
        <v>182</v>
      </c>
      <c r="E125" s="369" t="s">
        <v>9</v>
      </c>
      <c r="F125" s="372" t="s">
        <v>283</v>
      </c>
      <c r="G125" s="374" t="s">
        <v>191</v>
      </c>
      <c r="H125" s="353">
        <v>44392</v>
      </c>
      <c r="I125" s="341" t="s">
        <v>328</v>
      </c>
      <c r="J125" s="361">
        <v>5453280</v>
      </c>
      <c r="K125" s="371">
        <v>0.5</v>
      </c>
      <c r="L125" s="346">
        <v>2726640</v>
      </c>
      <c r="M125" s="428">
        <v>0.1</v>
      </c>
      <c r="N125" s="194">
        <f>L125*M125</f>
        <v>272664</v>
      </c>
      <c r="O125" s="274">
        <f t="shared" ref="O125:O126" si="13">L125-N125</f>
        <v>2453976</v>
      </c>
      <c r="P125" s="347"/>
      <c r="Q125" s="393" t="e">
        <f>VLOOKUP(G:G,list!B:D,3,FALSE)</f>
        <v>#N/A</v>
      </c>
    </row>
    <row r="126" spans="2:17" ht="18" customHeight="1">
      <c r="B126" s="341">
        <v>122</v>
      </c>
      <c r="C126" s="341" t="e">
        <f>VLOOKUP(G:G,list!B:D,2,FALSE)</f>
        <v>#N/A</v>
      </c>
      <c r="D126" s="369" t="s">
        <v>182</v>
      </c>
      <c r="E126" s="369" t="s">
        <v>33</v>
      </c>
      <c r="F126" s="372" t="s">
        <v>331</v>
      </c>
      <c r="G126" s="362" t="s">
        <v>74</v>
      </c>
      <c r="H126" s="353">
        <v>44612</v>
      </c>
      <c r="I126" s="341" t="s">
        <v>328</v>
      </c>
      <c r="J126" s="361">
        <v>60125</v>
      </c>
      <c r="K126" s="371">
        <v>0.5</v>
      </c>
      <c r="L126" s="346">
        <v>30062.5</v>
      </c>
      <c r="M126" s="428">
        <v>0.1</v>
      </c>
      <c r="N126" s="274">
        <f t="shared" ref="N126" si="14">L126*M126</f>
        <v>3006.25</v>
      </c>
      <c r="O126" s="274">
        <f t="shared" si="13"/>
        <v>27056.25</v>
      </c>
      <c r="P126" s="347" t="s">
        <v>287</v>
      </c>
      <c r="Q126" s="393" t="e">
        <f>VLOOKUP(G:G,list!B:D,3,FALSE)</f>
        <v>#N/A</v>
      </c>
    </row>
    <row r="127" spans="2:17" ht="18" customHeight="1">
      <c r="B127" s="341">
        <v>123</v>
      </c>
      <c r="C127" s="341" t="e">
        <f>VLOOKUP(G:G,list!B:D,2,FALSE)</f>
        <v>#N/A</v>
      </c>
      <c r="D127" s="369" t="s">
        <v>182</v>
      </c>
      <c r="E127" s="369" t="s">
        <v>33</v>
      </c>
      <c r="F127" s="372" t="s">
        <v>331</v>
      </c>
      <c r="G127" s="362" t="s">
        <v>29</v>
      </c>
      <c r="H127" s="353">
        <v>44604</v>
      </c>
      <c r="I127" s="341" t="s">
        <v>328</v>
      </c>
      <c r="J127" s="361">
        <v>4902861</v>
      </c>
      <c r="K127" s="371">
        <v>0.5</v>
      </c>
      <c r="L127" s="346">
        <v>2451430.5</v>
      </c>
      <c r="M127" s="428">
        <v>0.1</v>
      </c>
      <c r="N127" s="274">
        <f t="shared" ref="N127" si="15">L127*M127</f>
        <v>245143.05000000002</v>
      </c>
      <c r="O127" s="274">
        <f t="shared" ref="O127:O128" si="16">L127-N127</f>
        <v>2206287.4500000002</v>
      </c>
      <c r="P127" s="347" t="s">
        <v>287</v>
      </c>
      <c r="Q127" s="393" t="e">
        <f>VLOOKUP(G:G,list!B:D,3,FALSE)</f>
        <v>#N/A</v>
      </c>
    </row>
    <row r="128" spans="2:17" ht="18" customHeight="1">
      <c r="B128" s="341">
        <v>124</v>
      </c>
      <c r="C128" s="341" t="e">
        <f>VLOOKUP(G:G,list!B:D,2,FALSE)</f>
        <v>#N/A</v>
      </c>
      <c r="D128" s="369" t="s">
        <v>182</v>
      </c>
      <c r="E128" s="369" t="s">
        <v>33</v>
      </c>
      <c r="F128" s="372" t="s">
        <v>331</v>
      </c>
      <c r="G128" s="362" t="s">
        <v>42</v>
      </c>
      <c r="H128" s="353">
        <v>44596</v>
      </c>
      <c r="I128" s="341" t="s">
        <v>328</v>
      </c>
      <c r="J128" s="361">
        <v>4503372</v>
      </c>
      <c r="K128" s="371">
        <v>0.5</v>
      </c>
      <c r="L128" s="346">
        <v>2251686</v>
      </c>
      <c r="M128" s="428">
        <v>0.1</v>
      </c>
      <c r="N128" s="194">
        <f>L128*M128</f>
        <v>225168.6</v>
      </c>
      <c r="O128" s="274">
        <f t="shared" si="16"/>
        <v>2026517.4</v>
      </c>
      <c r="P128" s="195" t="s">
        <v>348</v>
      </c>
      <c r="Q128" s="393" t="e">
        <f>VLOOKUP(G:G,list!B:D,3,FALSE)</f>
        <v>#N/A</v>
      </c>
    </row>
    <row r="129" spans="2:17" ht="18" customHeight="1">
      <c r="B129" s="341">
        <v>125</v>
      </c>
      <c r="C129" s="341" t="str">
        <f>VLOOKUP(G:G,list!B:D,2,FALSE)</f>
        <v>원작료</v>
      </c>
      <c r="D129" s="369" t="s">
        <v>182</v>
      </c>
      <c r="E129" s="369" t="s">
        <v>33</v>
      </c>
      <c r="F129" s="372" t="s">
        <v>331</v>
      </c>
      <c r="G129" s="362" t="s">
        <v>151</v>
      </c>
      <c r="H129" s="353">
        <v>44591</v>
      </c>
      <c r="I129" s="341" t="s">
        <v>328</v>
      </c>
      <c r="J129" s="361">
        <v>576257</v>
      </c>
      <c r="K129" s="371">
        <v>0.5</v>
      </c>
      <c r="L129" s="346">
        <v>288128.5</v>
      </c>
      <c r="M129" s="428">
        <v>0.1</v>
      </c>
      <c r="N129" s="274">
        <f t="shared" ref="N129:N146" si="17">L129*M129</f>
        <v>28812.850000000002</v>
      </c>
      <c r="O129" s="274">
        <f t="shared" ref="O129:O131" si="18">L129-N129</f>
        <v>259315.65</v>
      </c>
      <c r="P129" s="347"/>
      <c r="Q129" s="393" t="str">
        <f>VLOOKUP(G:G,list!B:D,3,FALSE)</f>
        <v>Y</v>
      </c>
    </row>
    <row r="130" spans="2:17" ht="18" customHeight="1">
      <c r="B130" s="341">
        <v>126</v>
      </c>
      <c r="C130" s="341" t="e">
        <f>VLOOKUP(G:G,list!B:D,2,FALSE)</f>
        <v>#N/A</v>
      </c>
      <c r="D130" s="369" t="s">
        <v>182</v>
      </c>
      <c r="E130" s="369" t="s">
        <v>33</v>
      </c>
      <c r="F130" s="372" t="s">
        <v>331</v>
      </c>
      <c r="G130" s="362" t="s">
        <v>40</v>
      </c>
      <c r="H130" s="353">
        <v>44615</v>
      </c>
      <c r="I130" s="341" t="s">
        <v>328</v>
      </c>
      <c r="J130" s="361">
        <v>2663071</v>
      </c>
      <c r="K130" s="371">
        <v>0.5</v>
      </c>
      <c r="L130" s="346">
        <v>1331535.5</v>
      </c>
      <c r="M130" s="428">
        <v>0.1</v>
      </c>
      <c r="N130" s="194">
        <f t="shared" si="17"/>
        <v>133153.55000000002</v>
      </c>
      <c r="O130" s="274">
        <f t="shared" si="18"/>
        <v>1198381.95</v>
      </c>
      <c r="P130" s="347" t="s">
        <v>287</v>
      </c>
      <c r="Q130" s="393" t="e">
        <f>VLOOKUP(G:G,list!B:D,3,FALSE)</f>
        <v>#N/A</v>
      </c>
    </row>
    <row r="131" spans="2:17" ht="18" customHeight="1">
      <c r="B131" s="341">
        <v>127</v>
      </c>
      <c r="C131" s="341" t="e">
        <f>VLOOKUP(G:G,list!B:D,2,FALSE)</f>
        <v>#N/A</v>
      </c>
      <c r="D131" s="369" t="s">
        <v>182</v>
      </c>
      <c r="E131" s="369" t="s">
        <v>33</v>
      </c>
      <c r="F131" s="372" t="s">
        <v>331</v>
      </c>
      <c r="G131" s="362" t="s">
        <v>53</v>
      </c>
      <c r="H131" s="353">
        <v>44593</v>
      </c>
      <c r="I131" s="341" t="s">
        <v>328</v>
      </c>
      <c r="J131" s="361">
        <v>357791</v>
      </c>
      <c r="K131" s="371">
        <v>0.5</v>
      </c>
      <c r="L131" s="346">
        <v>178895.5</v>
      </c>
      <c r="M131" s="428" t="s">
        <v>203</v>
      </c>
      <c r="N131" s="194">
        <v>0</v>
      </c>
      <c r="O131" s="274">
        <f t="shared" si="18"/>
        <v>178895.5</v>
      </c>
      <c r="P131" s="347" t="s">
        <v>287</v>
      </c>
      <c r="Q131" s="393" t="e">
        <f>VLOOKUP(G:G,list!B:D,3,FALSE)</f>
        <v>#N/A</v>
      </c>
    </row>
    <row r="132" spans="2:17" ht="18" customHeight="1">
      <c r="B132" s="341">
        <v>128</v>
      </c>
      <c r="C132" s="341" t="e">
        <f>VLOOKUP(G:G,list!B:D,2,FALSE)</f>
        <v>#N/A</v>
      </c>
      <c r="D132" s="369" t="s">
        <v>182</v>
      </c>
      <c r="E132" s="369" t="s">
        <v>33</v>
      </c>
      <c r="F132" s="372" t="s">
        <v>331</v>
      </c>
      <c r="G132" s="362" t="s">
        <v>191</v>
      </c>
      <c r="H132" s="353">
        <v>44599</v>
      </c>
      <c r="I132" s="341" t="s">
        <v>328</v>
      </c>
      <c r="J132" s="361">
        <v>8748353</v>
      </c>
      <c r="K132" s="371">
        <v>0.5</v>
      </c>
      <c r="L132" s="346">
        <v>4374176.5</v>
      </c>
      <c r="M132" s="428">
        <v>0.1</v>
      </c>
      <c r="N132" s="194">
        <f>L132*M132</f>
        <v>437417.65</v>
      </c>
      <c r="O132" s="274">
        <f t="shared" ref="O132" si="19">L132-N132</f>
        <v>3936758.85</v>
      </c>
      <c r="P132" s="347" t="s">
        <v>287</v>
      </c>
      <c r="Q132" s="393" t="e">
        <f>VLOOKUP(G:G,list!B:D,3,FALSE)</f>
        <v>#N/A</v>
      </c>
    </row>
    <row r="133" spans="2:17" ht="18" customHeight="1">
      <c r="B133" s="341">
        <v>129</v>
      </c>
      <c r="C133" s="341" t="e">
        <f>VLOOKUP(G:G,list!B:D,2,FALSE)</f>
        <v>#N/A</v>
      </c>
      <c r="D133" s="366" t="s">
        <v>313</v>
      </c>
      <c r="E133" s="366" t="s">
        <v>9</v>
      </c>
      <c r="F133" s="341" t="s">
        <v>184</v>
      </c>
      <c r="G133" s="366" t="s">
        <v>219</v>
      </c>
      <c r="H133" s="365">
        <v>44642</v>
      </c>
      <c r="I133" s="341" t="s">
        <v>351</v>
      </c>
      <c r="J133" s="367">
        <v>2132080</v>
      </c>
      <c r="K133" s="368">
        <v>0.3</v>
      </c>
      <c r="L133" s="346">
        <v>639624</v>
      </c>
      <c r="M133" s="428">
        <v>0.12</v>
      </c>
      <c r="N133" s="194">
        <f t="shared" si="17"/>
        <v>76754.87999999999</v>
      </c>
      <c r="O133" s="274">
        <f>L133-N133</f>
        <v>562869.12</v>
      </c>
      <c r="P133" s="364" t="s">
        <v>221</v>
      </c>
      <c r="Q133" s="393" t="e">
        <f>VLOOKUP(G:G,list!B:D,3,FALSE)</f>
        <v>#N/A</v>
      </c>
    </row>
    <row r="134" spans="2:17" ht="18" customHeight="1">
      <c r="B134" s="341">
        <v>130</v>
      </c>
      <c r="C134" s="341" t="e">
        <f>VLOOKUP(G:G,list!B:D,2,FALSE)</f>
        <v>#N/A</v>
      </c>
      <c r="D134" s="366" t="s">
        <v>313</v>
      </c>
      <c r="E134" s="366" t="s">
        <v>9</v>
      </c>
      <c r="F134" s="341" t="s">
        <v>184</v>
      </c>
      <c r="G134" s="366" t="s">
        <v>218</v>
      </c>
      <c r="H134" s="446">
        <v>44653</v>
      </c>
      <c r="I134" s="341" t="s">
        <v>350</v>
      </c>
      <c r="J134" s="367">
        <v>1142513</v>
      </c>
      <c r="K134" s="368">
        <v>0.3</v>
      </c>
      <c r="L134" s="346">
        <v>342754</v>
      </c>
      <c r="M134" s="428">
        <v>0.1</v>
      </c>
      <c r="N134" s="274">
        <f t="shared" si="17"/>
        <v>34275.4</v>
      </c>
      <c r="O134" s="274">
        <f t="shared" ref="O134:O156" si="20">L134-N134</f>
        <v>308478.59999999998</v>
      </c>
      <c r="P134" s="347" t="s">
        <v>361</v>
      </c>
      <c r="Q134" s="393" t="e">
        <f>VLOOKUP(G:G,list!B:D,3,FALSE)</f>
        <v>#N/A</v>
      </c>
    </row>
    <row r="135" spans="2:17" ht="18" customHeight="1">
      <c r="B135" s="341">
        <v>131</v>
      </c>
      <c r="C135" s="341" t="e">
        <f>VLOOKUP(G:G,list!B:D,2,FALSE)</f>
        <v>#N/A</v>
      </c>
      <c r="D135" s="366" t="s">
        <v>313</v>
      </c>
      <c r="E135" s="366" t="s">
        <v>9</v>
      </c>
      <c r="F135" s="341" t="s">
        <v>184</v>
      </c>
      <c r="G135" s="366" t="s">
        <v>226</v>
      </c>
      <c r="H135" s="447">
        <v>44666</v>
      </c>
      <c r="I135" s="341" t="s">
        <v>350</v>
      </c>
      <c r="J135" s="367">
        <v>83673</v>
      </c>
      <c r="K135" s="368">
        <v>0.3</v>
      </c>
      <c r="L135" s="346">
        <v>25102</v>
      </c>
      <c r="M135" s="428">
        <v>0.1</v>
      </c>
      <c r="N135" s="274">
        <f t="shared" si="17"/>
        <v>2510.2000000000003</v>
      </c>
      <c r="O135" s="274">
        <f t="shared" si="20"/>
        <v>22591.8</v>
      </c>
      <c r="P135" s="347" t="s">
        <v>361</v>
      </c>
      <c r="Q135" s="393" t="e">
        <f>VLOOKUP(G:G,list!B:D,3,FALSE)</f>
        <v>#N/A</v>
      </c>
    </row>
    <row r="136" spans="2:17" ht="18" customHeight="1">
      <c r="B136" s="341">
        <v>132</v>
      </c>
      <c r="C136" s="341" t="e">
        <f>VLOOKUP(G:G,list!B:D,2,FALSE)</f>
        <v>#N/A</v>
      </c>
      <c r="D136" s="341" t="s">
        <v>189</v>
      </c>
      <c r="E136" s="362" t="s">
        <v>9</v>
      </c>
      <c r="F136" s="341" t="s">
        <v>41</v>
      </c>
      <c r="G136" s="362" t="s">
        <v>179</v>
      </c>
      <c r="H136" s="363">
        <v>44114</v>
      </c>
      <c r="I136" s="341" t="s">
        <v>323</v>
      </c>
      <c r="J136" s="357">
        <v>275724</v>
      </c>
      <c r="K136" s="345">
        <v>0.8</v>
      </c>
      <c r="L136" s="346">
        <v>220579</v>
      </c>
      <c r="M136" s="428">
        <v>0.1</v>
      </c>
      <c r="N136" s="194">
        <f t="shared" si="17"/>
        <v>22057.9</v>
      </c>
      <c r="O136" s="274">
        <f t="shared" si="20"/>
        <v>198521.1</v>
      </c>
      <c r="P136" s="195" t="s">
        <v>85</v>
      </c>
      <c r="Q136" s="393" t="e">
        <f>VLOOKUP(G:G,list!B:D,3,FALSE)</f>
        <v>#N/A</v>
      </c>
    </row>
    <row r="137" spans="2:17" ht="18" customHeight="1">
      <c r="B137" s="341">
        <v>133</v>
      </c>
      <c r="C137" s="341" t="e">
        <f>VLOOKUP(G:G,list!B:D,2,FALSE)</f>
        <v>#N/A</v>
      </c>
      <c r="D137" s="341" t="s">
        <v>189</v>
      </c>
      <c r="E137" s="362" t="s">
        <v>9</v>
      </c>
      <c r="F137" s="341" t="s">
        <v>41</v>
      </c>
      <c r="G137" s="362" t="s">
        <v>153</v>
      </c>
      <c r="H137" s="363">
        <v>44122</v>
      </c>
      <c r="I137" s="341" t="s">
        <v>323</v>
      </c>
      <c r="J137" s="357">
        <v>259846</v>
      </c>
      <c r="K137" s="345">
        <v>0.8</v>
      </c>
      <c r="L137" s="346">
        <v>207876</v>
      </c>
      <c r="M137" s="428">
        <v>0.1</v>
      </c>
      <c r="N137" s="274">
        <f t="shared" si="17"/>
        <v>20787.600000000002</v>
      </c>
      <c r="O137" s="274">
        <f t="shared" si="20"/>
        <v>187088.4</v>
      </c>
      <c r="P137" s="191"/>
      <c r="Q137" s="393" t="e">
        <f>VLOOKUP(G:G,list!B:D,3,FALSE)</f>
        <v>#N/A</v>
      </c>
    </row>
    <row r="138" spans="2:17" ht="18" customHeight="1">
      <c r="B138" s="341">
        <v>134</v>
      </c>
      <c r="C138" s="341" t="e">
        <f>VLOOKUP(G:G,list!B:D,2,FALSE)</f>
        <v>#N/A</v>
      </c>
      <c r="D138" s="341" t="s">
        <v>189</v>
      </c>
      <c r="E138" s="362" t="s">
        <v>9</v>
      </c>
      <c r="F138" s="341" t="s">
        <v>41</v>
      </c>
      <c r="G138" s="362" t="s">
        <v>152</v>
      </c>
      <c r="H138" s="363">
        <v>44250</v>
      </c>
      <c r="I138" s="341" t="s">
        <v>323</v>
      </c>
      <c r="J138" s="357">
        <v>144034</v>
      </c>
      <c r="K138" s="345">
        <v>0.8</v>
      </c>
      <c r="L138" s="346">
        <v>115227</v>
      </c>
      <c r="M138" s="428">
        <v>0.12</v>
      </c>
      <c r="N138" s="194">
        <f t="shared" si="17"/>
        <v>13827.24</v>
      </c>
      <c r="O138" s="274">
        <f t="shared" si="20"/>
        <v>101399.76</v>
      </c>
      <c r="P138" s="191"/>
      <c r="Q138" s="393" t="e">
        <f>VLOOKUP(G:G,list!B:D,3,FALSE)</f>
        <v>#N/A</v>
      </c>
    </row>
    <row r="139" spans="2:17" ht="18" customHeight="1">
      <c r="B139" s="341">
        <v>135</v>
      </c>
      <c r="C139" s="341" t="str">
        <f>VLOOKUP(G:G,list!B:D,2,FALSE)</f>
        <v>원작료</v>
      </c>
      <c r="D139" s="341" t="s">
        <v>189</v>
      </c>
      <c r="E139" s="362" t="s">
        <v>9</v>
      </c>
      <c r="F139" s="341" t="s">
        <v>41</v>
      </c>
      <c r="G139" s="362" t="s">
        <v>151</v>
      </c>
      <c r="H139" s="363">
        <v>44265</v>
      </c>
      <c r="I139" s="341" t="s">
        <v>323</v>
      </c>
      <c r="J139" s="357">
        <v>114162</v>
      </c>
      <c r="K139" s="345">
        <v>0.8</v>
      </c>
      <c r="L139" s="346">
        <v>91329</v>
      </c>
      <c r="M139" s="428">
        <v>0.1</v>
      </c>
      <c r="N139" s="274">
        <f t="shared" si="17"/>
        <v>9132.9</v>
      </c>
      <c r="O139" s="274">
        <f t="shared" si="20"/>
        <v>82196.100000000006</v>
      </c>
      <c r="P139" s="364"/>
      <c r="Q139" s="393" t="str">
        <f>VLOOKUP(G:G,list!B:D,3,FALSE)</f>
        <v>Y</v>
      </c>
    </row>
    <row r="140" spans="2:17" ht="18" customHeight="1">
      <c r="B140" s="341">
        <v>136</v>
      </c>
      <c r="C140" s="341" t="e">
        <f>VLOOKUP(G:G,list!B:D,2,FALSE)</f>
        <v>#N/A</v>
      </c>
      <c r="D140" s="366" t="s">
        <v>217</v>
      </c>
      <c r="E140" s="366" t="s">
        <v>9</v>
      </c>
      <c r="F140" s="341" t="s">
        <v>184</v>
      </c>
      <c r="G140" s="366" t="s">
        <v>218</v>
      </c>
      <c r="H140" s="365">
        <v>44366</v>
      </c>
      <c r="I140" s="341" t="s">
        <v>350</v>
      </c>
      <c r="J140" s="367">
        <v>18060367</v>
      </c>
      <c r="K140" s="368">
        <v>0.3</v>
      </c>
      <c r="L140" s="346">
        <v>5418110</v>
      </c>
      <c r="M140" s="428">
        <v>0.1</v>
      </c>
      <c r="N140" s="274">
        <f t="shared" si="17"/>
        <v>541811</v>
      </c>
      <c r="O140" s="274">
        <f t="shared" si="20"/>
        <v>4876299</v>
      </c>
      <c r="P140" s="364" t="s">
        <v>221</v>
      </c>
      <c r="Q140" s="393" t="e">
        <f>VLOOKUP(G:G,list!B:D,3,FALSE)</f>
        <v>#N/A</v>
      </c>
    </row>
    <row r="141" spans="2:17" ht="18" customHeight="1">
      <c r="B141" s="341">
        <v>137</v>
      </c>
      <c r="C141" s="341" t="e">
        <f>VLOOKUP(G:G,list!B:D,2,FALSE)</f>
        <v>#N/A</v>
      </c>
      <c r="D141" s="366" t="s">
        <v>217</v>
      </c>
      <c r="E141" s="366" t="s">
        <v>9</v>
      </c>
      <c r="F141" s="341" t="s">
        <v>184</v>
      </c>
      <c r="G141" s="366" t="s">
        <v>219</v>
      </c>
      <c r="H141" s="365">
        <v>44466</v>
      </c>
      <c r="I141" s="341" t="s">
        <v>351</v>
      </c>
      <c r="J141" s="367">
        <v>8194017</v>
      </c>
      <c r="K141" s="368">
        <v>0.3</v>
      </c>
      <c r="L141" s="346">
        <v>2458205</v>
      </c>
      <c r="M141" s="428">
        <v>0.12</v>
      </c>
      <c r="N141" s="194">
        <f t="shared" si="17"/>
        <v>294984.59999999998</v>
      </c>
      <c r="O141" s="274">
        <f t="shared" si="20"/>
        <v>2163220.4</v>
      </c>
      <c r="P141" s="364" t="s">
        <v>221</v>
      </c>
      <c r="Q141" s="393" t="e">
        <f>VLOOKUP(G:G,list!B:D,3,FALSE)</f>
        <v>#N/A</v>
      </c>
    </row>
    <row r="142" spans="2:17" ht="18" customHeight="1">
      <c r="B142" s="341">
        <v>138</v>
      </c>
      <c r="C142" s="341" t="e">
        <f>VLOOKUP(G:G,list!B:D,2,FALSE)</f>
        <v>#N/A</v>
      </c>
      <c r="D142" s="341" t="s">
        <v>251</v>
      </c>
      <c r="E142" s="341" t="s">
        <v>9</v>
      </c>
      <c r="F142" s="341" t="s">
        <v>41</v>
      </c>
      <c r="G142" s="341" t="s">
        <v>212</v>
      </c>
      <c r="H142" s="365">
        <v>44327</v>
      </c>
      <c r="I142" s="341" t="s">
        <v>323</v>
      </c>
      <c r="J142" s="357">
        <v>735153</v>
      </c>
      <c r="K142" s="345">
        <v>0.8</v>
      </c>
      <c r="L142" s="346">
        <v>588122</v>
      </c>
      <c r="M142" s="428">
        <v>0.1</v>
      </c>
      <c r="N142" s="194">
        <f t="shared" si="17"/>
        <v>58812.200000000004</v>
      </c>
      <c r="O142" s="274">
        <f t="shared" si="20"/>
        <v>529309.80000000005</v>
      </c>
      <c r="P142" s="364"/>
      <c r="Q142" s="393" t="e">
        <f>VLOOKUP(G:G,list!B:D,3,FALSE)</f>
        <v>#N/A</v>
      </c>
    </row>
    <row r="143" spans="2:17" ht="18" customHeight="1">
      <c r="B143" s="341">
        <v>139</v>
      </c>
      <c r="C143" s="341" t="e">
        <f>VLOOKUP(G:G,list!B:D,2,FALSE)</f>
        <v>#N/A</v>
      </c>
      <c r="D143" s="366" t="s">
        <v>217</v>
      </c>
      <c r="E143" s="366" t="s">
        <v>9</v>
      </c>
      <c r="F143" s="341" t="s">
        <v>257</v>
      </c>
      <c r="G143" s="341" t="s">
        <v>179</v>
      </c>
      <c r="H143" s="365">
        <v>44678</v>
      </c>
      <c r="I143" s="341" t="s">
        <v>351</v>
      </c>
      <c r="J143" s="357">
        <v>1867098</v>
      </c>
      <c r="K143" s="345">
        <v>0.35000108854200684</v>
      </c>
      <c r="L143" s="346">
        <v>653485</v>
      </c>
      <c r="M143" s="428">
        <v>0.1</v>
      </c>
      <c r="N143" s="194">
        <f t="shared" si="17"/>
        <v>65348.5</v>
      </c>
      <c r="O143" s="274">
        <f t="shared" si="20"/>
        <v>588136.5</v>
      </c>
      <c r="P143" s="347" t="s">
        <v>356</v>
      </c>
      <c r="Q143" s="393" t="e">
        <f>VLOOKUP(G:G,list!B:D,3,FALSE)</f>
        <v>#N/A</v>
      </c>
    </row>
    <row r="144" spans="2:17" ht="18" customHeight="1">
      <c r="B144" s="341">
        <v>140</v>
      </c>
      <c r="C144" s="341" t="e">
        <f>VLOOKUP(G:G,list!B:D,2,FALSE)</f>
        <v>#N/A</v>
      </c>
      <c r="D144" s="366" t="s">
        <v>217</v>
      </c>
      <c r="E144" s="366" t="s">
        <v>9</v>
      </c>
      <c r="F144" s="341" t="s">
        <v>257</v>
      </c>
      <c r="G144" s="341" t="s">
        <v>336</v>
      </c>
      <c r="H144" s="365">
        <v>44685</v>
      </c>
      <c r="I144" s="341" t="s">
        <v>350</v>
      </c>
      <c r="J144" s="357">
        <v>12783221</v>
      </c>
      <c r="K144" s="345">
        <v>0.34999999665349402</v>
      </c>
      <c r="L144" s="346">
        <v>4474128</v>
      </c>
      <c r="M144" s="428">
        <v>0.1</v>
      </c>
      <c r="N144" s="274">
        <f t="shared" si="17"/>
        <v>447412.80000000005</v>
      </c>
      <c r="O144" s="274">
        <f t="shared" si="20"/>
        <v>4026715.2</v>
      </c>
      <c r="P144" s="347" t="s">
        <v>287</v>
      </c>
      <c r="Q144" s="393" t="e">
        <f>VLOOKUP(G:G,list!B:D,3,FALSE)</f>
        <v>#N/A</v>
      </c>
    </row>
    <row r="145" spans="2:17" ht="18" customHeight="1">
      <c r="B145" s="341">
        <v>141</v>
      </c>
      <c r="C145" s="341" t="e">
        <f>VLOOKUP(G:G,list!B:D,2,FALSE)</f>
        <v>#N/A</v>
      </c>
      <c r="D145" s="366" t="s">
        <v>217</v>
      </c>
      <c r="E145" s="366" t="s">
        <v>9</v>
      </c>
      <c r="F145" s="341" t="s">
        <v>257</v>
      </c>
      <c r="G145" s="341" t="s">
        <v>335</v>
      </c>
      <c r="H145" s="365">
        <v>44678</v>
      </c>
      <c r="I145" s="341" t="s">
        <v>351</v>
      </c>
      <c r="J145" s="357">
        <v>704893</v>
      </c>
      <c r="K145" s="345">
        <v>0.35001111092118081</v>
      </c>
      <c r="L145" s="346">
        <v>246712</v>
      </c>
      <c r="M145" s="428">
        <v>0.1</v>
      </c>
      <c r="N145" s="274">
        <f t="shared" si="17"/>
        <v>24671.200000000001</v>
      </c>
      <c r="O145" s="274">
        <f t="shared" si="20"/>
        <v>222040.8</v>
      </c>
      <c r="P145" s="347"/>
      <c r="Q145" s="393" t="e">
        <f>VLOOKUP(G:G,list!B:D,3,FALSE)</f>
        <v>#N/A</v>
      </c>
    </row>
    <row r="146" spans="2:17" ht="18" customHeight="1">
      <c r="B146" s="341">
        <v>142</v>
      </c>
      <c r="C146" s="341" t="e">
        <f>VLOOKUP(G:G,list!B:D,2,FALSE)</f>
        <v>#N/A</v>
      </c>
      <c r="D146" s="366" t="s">
        <v>252</v>
      </c>
      <c r="E146" s="366" t="s">
        <v>9</v>
      </c>
      <c r="F146" s="341" t="s">
        <v>184</v>
      </c>
      <c r="G146" s="366" t="s">
        <v>218</v>
      </c>
      <c r="H146" s="365">
        <v>44466</v>
      </c>
      <c r="I146" s="341" t="s">
        <v>355</v>
      </c>
      <c r="J146" s="357">
        <v>91773977</v>
      </c>
      <c r="K146" s="345">
        <v>0.3</v>
      </c>
      <c r="L146" s="346">
        <v>27532193</v>
      </c>
      <c r="M146" s="428">
        <v>0.1</v>
      </c>
      <c r="N146" s="274">
        <f t="shared" si="17"/>
        <v>2753219.3000000003</v>
      </c>
      <c r="O146" s="274">
        <f>L146-N146</f>
        <v>24778973.699999999</v>
      </c>
      <c r="P146" s="364" t="s">
        <v>282</v>
      </c>
      <c r="Q146" s="393" t="e">
        <f>VLOOKUP(G:G,list!B:D,3,FALSE)</f>
        <v>#N/A</v>
      </c>
    </row>
    <row r="147" spans="2:17" ht="18" customHeight="1">
      <c r="B147" s="341">
        <v>143</v>
      </c>
      <c r="C147" s="341" t="e">
        <f>VLOOKUP(G:G,list!B:D,2,FALSE)</f>
        <v>#N/A</v>
      </c>
      <c r="D147" s="366" t="s">
        <v>252</v>
      </c>
      <c r="E147" s="366" t="s">
        <v>9</v>
      </c>
      <c r="F147" s="341" t="s">
        <v>184</v>
      </c>
      <c r="G147" s="366" t="s">
        <v>135</v>
      </c>
      <c r="H147" s="365">
        <v>44468</v>
      </c>
      <c r="I147" s="341" t="s">
        <v>355</v>
      </c>
      <c r="J147" s="357">
        <v>165617</v>
      </c>
      <c r="K147" s="345">
        <v>0.3</v>
      </c>
      <c r="L147" s="346">
        <v>49685</v>
      </c>
      <c r="M147" s="428" t="s">
        <v>203</v>
      </c>
      <c r="N147" s="194">
        <v>0</v>
      </c>
      <c r="O147" s="274">
        <f t="shared" si="20"/>
        <v>49685</v>
      </c>
      <c r="P147" s="364" t="s">
        <v>282</v>
      </c>
      <c r="Q147" s="393" t="e">
        <f>VLOOKUP(G:G,list!B:D,3,FALSE)</f>
        <v>#N/A</v>
      </c>
    </row>
    <row r="148" spans="2:17" ht="18" customHeight="1">
      <c r="B148" s="341">
        <v>144</v>
      </c>
      <c r="C148" s="341" t="e">
        <f>VLOOKUP(G:G,list!B:D,2,FALSE)</f>
        <v>#N/A</v>
      </c>
      <c r="D148" s="366" t="s">
        <v>252</v>
      </c>
      <c r="E148" s="366" t="s">
        <v>9</v>
      </c>
      <c r="F148" s="341" t="s">
        <v>184</v>
      </c>
      <c r="G148" s="366" t="s">
        <v>219</v>
      </c>
      <c r="H148" s="365">
        <v>44498</v>
      </c>
      <c r="I148" s="341" t="s">
        <v>355</v>
      </c>
      <c r="J148" s="367">
        <v>29745550</v>
      </c>
      <c r="K148" s="345">
        <v>0.3</v>
      </c>
      <c r="L148" s="346">
        <v>8923665</v>
      </c>
      <c r="M148" s="428">
        <v>0.12</v>
      </c>
      <c r="N148" s="194">
        <f t="shared" ref="N148:N153" si="21">L148*M148</f>
        <v>1070839.8</v>
      </c>
      <c r="O148" s="274">
        <f t="shared" si="20"/>
        <v>7852825.2000000002</v>
      </c>
      <c r="P148" s="364" t="s">
        <v>282</v>
      </c>
      <c r="Q148" s="393" t="e">
        <f>VLOOKUP(G:G,list!B:D,3,FALSE)</f>
        <v>#N/A</v>
      </c>
    </row>
    <row r="149" spans="2:17" ht="18" customHeight="1">
      <c r="B149" s="341">
        <v>145</v>
      </c>
      <c r="C149" s="341" t="e">
        <f>VLOOKUP(G:G,list!B:D,2,FALSE)</f>
        <v>#N/A</v>
      </c>
      <c r="D149" s="366" t="s">
        <v>252</v>
      </c>
      <c r="E149" s="366" t="s">
        <v>9</v>
      </c>
      <c r="F149" s="341" t="s">
        <v>184</v>
      </c>
      <c r="G149" s="366" t="s">
        <v>12</v>
      </c>
      <c r="H149" s="365">
        <v>44552</v>
      </c>
      <c r="I149" s="341" t="s">
        <v>355</v>
      </c>
      <c r="J149" s="367">
        <v>1242343</v>
      </c>
      <c r="K149" s="345">
        <v>0.3</v>
      </c>
      <c r="L149" s="346">
        <v>372703</v>
      </c>
      <c r="M149" s="428">
        <v>0.1</v>
      </c>
      <c r="N149" s="274">
        <f t="shared" si="21"/>
        <v>37270.300000000003</v>
      </c>
      <c r="O149" s="274">
        <f t="shared" si="20"/>
        <v>335432.7</v>
      </c>
      <c r="P149" s="364" t="s">
        <v>282</v>
      </c>
      <c r="Q149" s="393" t="e">
        <f>VLOOKUP(G:G,list!B:D,3,FALSE)</f>
        <v>#N/A</v>
      </c>
    </row>
    <row r="150" spans="2:17" ht="18" customHeight="1">
      <c r="B150" s="341">
        <v>146</v>
      </c>
      <c r="C150" s="341" t="e">
        <f>VLOOKUP(G:G,list!B:D,2,FALSE)</f>
        <v>#N/A</v>
      </c>
      <c r="D150" s="369" t="s">
        <v>252</v>
      </c>
      <c r="E150" s="362" t="s">
        <v>9</v>
      </c>
      <c r="F150" s="369" t="s">
        <v>73</v>
      </c>
      <c r="G150" s="362" t="s">
        <v>179</v>
      </c>
      <c r="H150" s="363">
        <v>44198</v>
      </c>
      <c r="I150" s="341" t="s">
        <v>355</v>
      </c>
      <c r="J150" s="361">
        <v>67184074</v>
      </c>
      <c r="K150" s="387">
        <v>0.224</v>
      </c>
      <c r="L150" s="346">
        <v>13544311</v>
      </c>
      <c r="M150" s="428">
        <v>0.1</v>
      </c>
      <c r="N150" s="194">
        <f t="shared" si="21"/>
        <v>1354431.1</v>
      </c>
      <c r="O150" s="274">
        <f t="shared" si="20"/>
        <v>12189879.9</v>
      </c>
      <c r="P150" s="195" t="s">
        <v>85</v>
      </c>
      <c r="Q150" s="393" t="e">
        <f>VLOOKUP(G:G,list!B:D,3,FALSE)</f>
        <v>#N/A</v>
      </c>
    </row>
    <row r="151" spans="2:17" ht="18" customHeight="1">
      <c r="B151" s="341">
        <v>147</v>
      </c>
      <c r="C151" s="341" t="e">
        <f>VLOOKUP(G:G,list!B:D,2,FALSE)</f>
        <v>#N/A</v>
      </c>
      <c r="D151" s="369" t="s">
        <v>252</v>
      </c>
      <c r="E151" s="362" t="s">
        <v>9</v>
      </c>
      <c r="F151" s="369" t="s">
        <v>73</v>
      </c>
      <c r="G151" s="362" t="s">
        <v>28</v>
      </c>
      <c r="H151" s="363">
        <v>44228</v>
      </c>
      <c r="I151" s="341" t="s">
        <v>355</v>
      </c>
      <c r="J151" s="361">
        <v>12269999</v>
      </c>
      <c r="K151" s="387">
        <v>0.224</v>
      </c>
      <c r="L151" s="346">
        <v>2473640</v>
      </c>
      <c r="M151" s="428">
        <v>0.12</v>
      </c>
      <c r="N151" s="194">
        <f t="shared" si="21"/>
        <v>296836.8</v>
      </c>
      <c r="O151" s="274">
        <f t="shared" si="20"/>
        <v>2176803.2000000002</v>
      </c>
      <c r="P151" s="194"/>
      <c r="Q151" s="393" t="e">
        <f>VLOOKUP(G:G,list!B:D,3,FALSE)</f>
        <v>#N/A</v>
      </c>
    </row>
    <row r="152" spans="2:17" ht="18" customHeight="1">
      <c r="B152" s="341">
        <v>148</v>
      </c>
      <c r="C152" s="341" t="e">
        <f>VLOOKUP(G:G,list!B:D,2,FALSE)</f>
        <v>#N/A</v>
      </c>
      <c r="D152" s="369" t="s">
        <v>252</v>
      </c>
      <c r="E152" s="362" t="s">
        <v>9</v>
      </c>
      <c r="F152" s="369" t="s">
        <v>73</v>
      </c>
      <c r="G152" s="362" t="s">
        <v>54</v>
      </c>
      <c r="H152" s="363">
        <v>44265</v>
      </c>
      <c r="I152" s="341" t="s">
        <v>355</v>
      </c>
      <c r="J152" s="361">
        <v>1040606</v>
      </c>
      <c r="K152" s="387">
        <v>0.224</v>
      </c>
      <c r="L152" s="346">
        <v>209795</v>
      </c>
      <c r="M152" s="428">
        <v>0.1</v>
      </c>
      <c r="N152" s="274">
        <f t="shared" si="21"/>
        <v>20979.5</v>
      </c>
      <c r="O152" s="274">
        <f t="shared" si="20"/>
        <v>188815.5</v>
      </c>
      <c r="P152" s="194"/>
      <c r="Q152" s="393" t="e">
        <f>VLOOKUP(G:G,list!B:D,3,FALSE)</f>
        <v>#N/A</v>
      </c>
    </row>
    <row r="153" spans="2:17" ht="18" customHeight="1">
      <c r="B153" s="341">
        <v>149</v>
      </c>
      <c r="C153" s="341" t="e">
        <f>VLOOKUP(G:G,list!B:D,2,FALSE)</f>
        <v>#N/A</v>
      </c>
      <c r="D153" s="369" t="s">
        <v>252</v>
      </c>
      <c r="E153" s="362" t="s">
        <v>9</v>
      </c>
      <c r="F153" s="369" t="s">
        <v>73</v>
      </c>
      <c r="G153" s="362" t="s">
        <v>29</v>
      </c>
      <c r="H153" s="363">
        <v>44315</v>
      </c>
      <c r="I153" s="341" t="s">
        <v>355</v>
      </c>
      <c r="J153" s="361">
        <v>8004576</v>
      </c>
      <c r="K153" s="387">
        <v>0.224</v>
      </c>
      <c r="L153" s="346">
        <v>1613724</v>
      </c>
      <c r="M153" s="428">
        <v>0.1</v>
      </c>
      <c r="N153" s="274">
        <f t="shared" si="21"/>
        <v>161372.40000000002</v>
      </c>
      <c r="O153" s="274">
        <f t="shared" si="20"/>
        <v>1452351.6</v>
      </c>
      <c r="P153" s="347"/>
      <c r="Q153" s="393" t="e">
        <f>VLOOKUP(G:G,list!B:D,3,FALSE)</f>
        <v>#N/A</v>
      </c>
    </row>
    <row r="154" spans="2:17" ht="18" customHeight="1">
      <c r="B154" s="341">
        <v>150</v>
      </c>
      <c r="C154" s="341" t="str">
        <f>VLOOKUP(G:G,list!B:D,2,FALSE)</f>
        <v>원작료</v>
      </c>
      <c r="D154" s="369" t="s">
        <v>252</v>
      </c>
      <c r="E154" s="362" t="s">
        <v>9</v>
      </c>
      <c r="F154" s="369" t="s">
        <v>73</v>
      </c>
      <c r="G154" s="362" t="s">
        <v>30</v>
      </c>
      <c r="H154" s="363">
        <v>44359</v>
      </c>
      <c r="I154" s="341" t="s">
        <v>355</v>
      </c>
      <c r="J154" s="361">
        <v>18930961</v>
      </c>
      <c r="K154" s="387">
        <v>0.224</v>
      </c>
      <c r="L154" s="346">
        <v>3816489</v>
      </c>
      <c r="M154" s="428">
        <v>0.1</v>
      </c>
      <c r="N154" s="274">
        <f>(L154-3000000)*10%</f>
        <v>81648.900000000009</v>
      </c>
      <c r="O154" s="274">
        <f t="shared" si="20"/>
        <v>3734840.1</v>
      </c>
      <c r="P154" s="191" t="s">
        <v>263</v>
      </c>
      <c r="Q154" s="393" t="str">
        <f>VLOOKUP(G:G,list!B:D,3,FALSE)</f>
        <v>Y</v>
      </c>
    </row>
    <row r="155" spans="2:17" ht="18" customHeight="1">
      <c r="B155" s="341">
        <v>151</v>
      </c>
      <c r="C155" s="341" t="e">
        <f>VLOOKUP(G:G,list!B:D,2,FALSE)</f>
        <v>#N/A</v>
      </c>
      <c r="D155" s="369" t="s">
        <v>252</v>
      </c>
      <c r="E155" s="362" t="s">
        <v>9</v>
      </c>
      <c r="F155" s="369" t="s">
        <v>73</v>
      </c>
      <c r="G155" s="362" t="s">
        <v>212</v>
      </c>
      <c r="H155" s="363">
        <v>44378</v>
      </c>
      <c r="I155" s="341" t="s">
        <v>355</v>
      </c>
      <c r="J155" s="361">
        <v>159813036</v>
      </c>
      <c r="K155" s="387">
        <v>0.24</v>
      </c>
      <c r="L155" s="346">
        <v>34519615</v>
      </c>
      <c r="M155" s="428">
        <v>0.1</v>
      </c>
      <c r="N155" s="194">
        <f>L155*M155</f>
        <v>3451961.5</v>
      </c>
      <c r="O155" s="274">
        <f t="shared" si="20"/>
        <v>31067653.5</v>
      </c>
      <c r="P155" s="194"/>
      <c r="Q155" s="393" t="e">
        <f>VLOOKUP(G:G,list!B:D,3,FALSE)</f>
        <v>#N/A</v>
      </c>
    </row>
    <row r="156" spans="2:17" ht="18" customHeight="1">
      <c r="B156" s="341">
        <v>152</v>
      </c>
      <c r="C156" s="341" t="e">
        <f>VLOOKUP(G:G,list!B:D,2,FALSE)</f>
        <v>#N/A</v>
      </c>
      <c r="D156" s="369" t="s">
        <v>252</v>
      </c>
      <c r="E156" s="362" t="s">
        <v>9</v>
      </c>
      <c r="F156" s="369" t="s">
        <v>73</v>
      </c>
      <c r="G156" s="362" t="s">
        <v>147</v>
      </c>
      <c r="H156" s="363">
        <v>44435</v>
      </c>
      <c r="I156" s="341" t="s">
        <v>355</v>
      </c>
      <c r="J156" s="361">
        <v>3374824</v>
      </c>
      <c r="K156" s="387">
        <v>0.224</v>
      </c>
      <c r="L156" s="346">
        <v>680370</v>
      </c>
      <c r="M156" s="428" t="s">
        <v>203</v>
      </c>
      <c r="N156" s="194">
        <v>0</v>
      </c>
      <c r="O156" s="274">
        <f t="shared" si="20"/>
        <v>680370</v>
      </c>
      <c r="P156" s="194"/>
      <c r="Q156" s="393" t="e">
        <f>VLOOKUP(G:G,list!B:D,3,FALSE)</f>
        <v>#N/A</v>
      </c>
    </row>
    <row r="157" spans="2:17" ht="18" customHeight="1">
      <c r="B157" s="341">
        <v>153</v>
      </c>
      <c r="C157" s="341" t="e">
        <f>VLOOKUP(G:G,list!B:D,2,FALSE)</f>
        <v>#N/A</v>
      </c>
      <c r="D157" s="369" t="s">
        <v>252</v>
      </c>
      <c r="E157" s="362" t="s">
        <v>9</v>
      </c>
      <c r="F157" s="369" t="s">
        <v>73</v>
      </c>
      <c r="G157" s="362" t="s">
        <v>225</v>
      </c>
      <c r="H157" s="363">
        <v>44479</v>
      </c>
      <c r="I157" s="341" t="s">
        <v>355</v>
      </c>
      <c r="J157" s="361">
        <v>1237060</v>
      </c>
      <c r="K157" s="387">
        <v>0.224</v>
      </c>
      <c r="L157" s="346">
        <v>249392</v>
      </c>
      <c r="M157" s="428">
        <v>0.1</v>
      </c>
      <c r="N157" s="274">
        <f t="shared" ref="N157:N162" si="22">L157*M157</f>
        <v>24939.200000000001</v>
      </c>
      <c r="O157" s="274">
        <f>L157-N157</f>
        <v>224452.8</v>
      </c>
      <c r="P157" s="194"/>
      <c r="Q157" s="393" t="e">
        <f>VLOOKUP(G:G,list!B:D,3,FALSE)</f>
        <v>#N/A</v>
      </c>
    </row>
    <row r="158" spans="2:17" ht="18" customHeight="1">
      <c r="B158" s="341">
        <v>154</v>
      </c>
      <c r="C158" s="341" t="e">
        <f>VLOOKUP(G:G,list!B:D,2,FALSE)</f>
        <v>#N/A</v>
      </c>
      <c r="D158" s="369" t="s">
        <v>252</v>
      </c>
      <c r="E158" s="362" t="s">
        <v>9</v>
      </c>
      <c r="F158" s="369" t="s">
        <v>73</v>
      </c>
      <c r="G158" s="362" t="s">
        <v>59</v>
      </c>
      <c r="H158" s="363">
        <v>44597</v>
      </c>
      <c r="I158" s="341" t="s">
        <v>323</v>
      </c>
      <c r="J158" s="361">
        <v>75658956</v>
      </c>
      <c r="K158" s="387">
        <v>0.224</v>
      </c>
      <c r="L158" s="346">
        <v>15252848</v>
      </c>
      <c r="M158" s="428">
        <v>0.1</v>
      </c>
      <c r="N158" s="274">
        <f t="shared" si="22"/>
        <v>1525284.8</v>
      </c>
      <c r="O158" s="274">
        <f>L158-N158</f>
        <v>13727563.199999999</v>
      </c>
      <c r="P158" s="370"/>
      <c r="Q158" s="393" t="e">
        <f>VLOOKUP(G:G,list!B:D,3,FALSE)</f>
        <v>#N/A</v>
      </c>
    </row>
    <row r="159" spans="2:17" ht="18" customHeight="1">
      <c r="B159" s="341">
        <v>155</v>
      </c>
      <c r="C159" s="341" t="e">
        <f>VLOOKUP(G:G,list!B:D,2,FALSE)</f>
        <v>#N/A</v>
      </c>
      <c r="D159" s="369" t="s">
        <v>252</v>
      </c>
      <c r="E159" s="362" t="s">
        <v>9</v>
      </c>
      <c r="F159" s="369" t="s">
        <v>73</v>
      </c>
      <c r="G159" s="366" t="s">
        <v>191</v>
      </c>
      <c r="H159" s="363">
        <v>44629</v>
      </c>
      <c r="I159" s="341" t="s">
        <v>355</v>
      </c>
      <c r="J159" s="361">
        <v>41725505</v>
      </c>
      <c r="K159" s="387">
        <v>0.224</v>
      </c>
      <c r="L159" s="346">
        <v>8411864</v>
      </c>
      <c r="M159" s="428">
        <v>0.1</v>
      </c>
      <c r="N159" s="194">
        <f t="shared" si="22"/>
        <v>841186.4</v>
      </c>
      <c r="O159" s="274">
        <f t="shared" ref="O159" si="23">L159-N159</f>
        <v>7570677.5999999996</v>
      </c>
      <c r="P159" s="347"/>
      <c r="Q159" s="393" t="e">
        <f>VLOOKUP(G:G,list!B:D,3,FALSE)</f>
        <v>#N/A</v>
      </c>
    </row>
    <row r="160" spans="2:17" ht="18" customHeight="1">
      <c r="B160" s="341">
        <v>156</v>
      </c>
      <c r="C160" s="341" t="e">
        <f>VLOOKUP(G:G,list!B:D,2,FALSE)</f>
        <v>#N/A</v>
      </c>
      <c r="D160" s="366" t="s">
        <v>214</v>
      </c>
      <c r="E160" s="366" t="s">
        <v>9</v>
      </c>
      <c r="F160" s="341" t="s">
        <v>184</v>
      </c>
      <c r="G160" s="366" t="s">
        <v>218</v>
      </c>
      <c r="H160" s="365">
        <v>44356</v>
      </c>
      <c r="I160" s="341" t="s">
        <v>351</v>
      </c>
      <c r="J160" s="361">
        <v>195483</v>
      </c>
      <c r="K160" s="368">
        <v>0.3</v>
      </c>
      <c r="L160" s="346">
        <v>58645</v>
      </c>
      <c r="M160" s="428">
        <v>0.1</v>
      </c>
      <c r="N160" s="274">
        <f t="shared" si="22"/>
        <v>5864.5</v>
      </c>
      <c r="O160" s="274">
        <f>L160-N160</f>
        <v>52780.5</v>
      </c>
      <c r="P160" s="364" t="s">
        <v>220</v>
      </c>
      <c r="Q160" s="393" t="e">
        <f>VLOOKUP(G:G,list!B:D,3,FALSE)</f>
        <v>#N/A</v>
      </c>
    </row>
    <row r="161" spans="2:17" ht="18" customHeight="1">
      <c r="B161" s="341">
        <v>157</v>
      </c>
      <c r="C161" s="341" t="e">
        <f>VLOOKUP(G:G,list!B:D,2,FALSE)</f>
        <v>#N/A</v>
      </c>
      <c r="D161" s="366" t="s">
        <v>214</v>
      </c>
      <c r="E161" s="366" t="s">
        <v>9</v>
      </c>
      <c r="F161" s="341" t="s">
        <v>184</v>
      </c>
      <c r="G161" s="366" t="s">
        <v>219</v>
      </c>
      <c r="H161" s="365">
        <v>44477</v>
      </c>
      <c r="I161" s="341" t="s">
        <v>351</v>
      </c>
      <c r="J161" s="367">
        <v>34490</v>
      </c>
      <c r="K161" s="368">
        <v>0.3</v>
      </c>
      <c r="L161" s="346">
        <v>10347</v>
      </c>
      <c r="M161" s="428">
        <v>0.12</v>
      </c>
      <c r="N161" s="194">
        <f t="shared" si="22"/>
        <v>1241.6399999999999</v>
      </c>
      <c r="O161" s="274">
        <f>L161-N161</f>
        <v>9105.36</v>
      </c>
      <c r="P161" s="364" t="s">
        <v>220</v>
      </c>
      <c r="Q161" s="393" t="e">
        <f>VLOOKUP(G:G,list!B:D,3,FALSE)</f>
        <v>#N/A</v>
      </c>
    </row>
    <row r="162" spans="2:17" ht="18" customHeight="1">
      <c r="B162" s="341">
        <v>158</v>
      </c>
      <c r="C162" s="341" t="e">
        <f>VLOOKUP(G:G,list!B:D,2,FALSE)</f>
        <v>#N/A</v>
      </c>
      <c r="D162" s="366" t="s">
        <v>214</v>
      </c>
      <c r="E162" s="366" t="s">
        <v>9</v>
      </c>
      <c r="F162" s="341" t="s">
        <v>184</v>
      </c>
      <c r="G162" s="366" t="s">
        <v>136</v>
      </c>
      <c r="H162" s="365">
        <v>44364</v>
      </c>
      <c r="I162" s="341" t="s">
        <v>351</v>
      </c>
      <c r="J162" s="367">
        <v>897083</v>
      </c>
      <c r="K162" s="368">
        <v>0.3</v>
      </c>
      <c r="L162" s="346">
        <v>269125</v>
      </c>
      <c r="M162" s="428">
        <v>0.1</v>
      </c>
      <c r="N162" s="274">
        <f t="shared" si="22"/>
        <v>26912.5</v>
      </c>
      <c r="O162" s="274">
        <f>L162-N162</f>
        <v>242212.5</v>
      </c>
      <c r="P162" s="364" t="s">
        <v>220</v>
      </c>
      <c r="Q162" s="393" t="e">
        <f>VLOOKUP(G:G,list!B:D,3,FALSE)</f>
        <v>#N/A</v>
      </c>
    </row>
    <row r="163" spans="2:17" ht="18" customHeight="1">
      <c r="B163" s="341">
        <v>159</v>
      </c>
      <c r="C163" s="341" t="e">
        <f>VLOOKUP(G:G,list!B:D,2,FALSE)</f>
        <v>#N/A</v>
      </c>
      <c r="D163" s="366" t="s">
        <v>214</v>
      </c>
      <c r="E163" s="366" t="s">
        <v>9</v>
      </c>
      <c r="F163" s="341" t="s">
        <v>184</v>
      </c>
      <c r="G163" s="366" t="s">
        <v>135</v>
      </c>
      <c r="H163" s="365">
        <v>44381</v>
      </c>
      <c r="I163" s="341" t="s">
        <v>350</v>
      </c>
      <c r="J163" s="361">
        <v>7930</v>
      </c>
      <c r="K163" s="368">
        <v>0.3</v>
      </c>
      <c r="L163" s="346">
        <v>2379</v>
      </c>
      <c r="M163" s="428" t="s">
        <v>203</v>
      </c>
      <c r="N163" s="194">
        <v>0</v>
      </c>
      <c r="O163" s="274">
        <f>L163-N163</f>
        <v>2379</v>
      </c>
      <c r="P163" s="364" t="s">
        <v>220</v>
      </c>
      <c r="Q163" s="393" t="e">
        <f>VLOOKUP(G:G,list!B:D,3,FALSE)</f>
        <v>#N/A</v>
      </c>
    </row>
    <row r="164" spans="2:17" ht="18" customHeight="1">
      <c r="B164" s="341">
        <v>160</v>
      </c>
      <c r="C164" s="341" t="e">
        <f>VLOOKUP(G:G,list!B:D,2,FALSE)</f>
        <v>#N/A</v>
      </c>
      <c r="D164" s="369" t="s">
        <v>214</v>
      </c>
      <c r="E164" s="362" t="s">
        <v>9</v>
      </c>
      <c r="F164" s="369" t="s">
        <v>260</v>
      </c>
      <c r="G164" s="341" t="s">
        <v>258</v>
      </c>
      <c r="H164" s="310">
        <v>44492</v>
      </c>
      <c r="I164" s="341" t="s">
        <v>323</v>
      </c>
      <c r="J164" s="361">
        <v>213811</v>
      </c>
      <c r="K164" s="368">
        <v>0.5</v>
      </c>
      <c r="L164" s="346">
        <v>90042</v>
      </c>
      <c r="M164" s="428">
        <v>0.1</v>
      </c>
      <c r="N164" s="194">
        <f>L164*M164</f>
        <v>9004.2000000000007</v>
      </c>
      <c r="O164" s="274">
        <f t="shared" ref="O164:O166" si="24">L164-N164</f>
        <v>81037.8</v>
      </c>
      <c r="P164" s="197"/>
      <c r="Q164" s="393" t="e">
        <f>VLOOKUP(G:G,list!B:D,3,FALSE)</f>
        <v>#N/A</v>
      </c>
    </row>
    <row r="165" spans="2:17" ht="18" customHeight="1">
      <c r="B165" s="341">
        <v>161</v>
      </c>
      <c r="C165" s="341" t="e">
        <f>VLOOKUP(G:G,list!B:D,2,FALSE)</f>
        <v>#N/A</v>
      </c>
      <c r="D165" s="369" t="s">
        <v>22</v>
      </c>
      <c r="E165" s="362" t="s">
        <v>62</v>
      </c>
      <c r="F165" s="369" t="s">
        <v>358</v>
      </c>
      <c r="G165" s="341" t="s">
        <v>29</v>
      </c>
      <c r="H165" s="310">
        <v>44223</v>
      </c>
      <c r="I165" s="341" t="s">
        <v>327</v>
      </c>
      <c r="J165" s="361">
        <v>809298</v>
      </c>
      <c r="K165" s="368">
        <v>0.6</v>
      </c>
      <c r="L165" s="346">
        <v>412346</v>
      </c>
      <c r="M165" s="428">
        <v>0.1</v>
      </c>
      <c r="N165" s="274">
        <f>L165*M165</f>
        <v>41234.600000000006</v>
      </c>
      <c r="O165" s="274">
        <f t="shared" si="24"/>
        <v>371111.4</v>
      </c>
      <c r="P165" s="197"/>
      <c r="Q165" s="393" t="e">
        <f>VLOOKUP(G:G,list!B:D,3,FALSE)</f>
        <v>#N/A</v>
      </c>
    </row>
    <row r="166" spans="2:17" ht="18" customHeight="1">
      <c r="B166" s="341">
        <v>162</v>
      </c>
      <c r="C166" s="341" t="e">
        <f>VLOOKUP(G:G,list!B:D,2,FALSE)</f>
        <v>#N/A</v>
      </c>
      <c r="D166" s="369" t="s">
        <v>22</v>
      </c>
      <c r="E166" s="362" t="s">
        <v>62</v>
      </c>
      <c r="F166" s="369" t="s">
        <v>358</v>
      </c>
      <c r="G166" s="341" t="s">
        <v>28</v>
      </c>
      <c r="H166" s="310">
        <v>44253</v>
      </c>
      <c r="I166" s="341" t="s">
        <v>327</v>
      </c>
      <c r="J166" s="361">
        <v>1779149</v>
      </c>
      <c r="K166" s="368">
        <v>0.6</v>
      </c>
      <c r="L166" s="346">
        <v>906594</v>
      </c>
      <c r="M166" s="428">
        <v>0.12</v>
      </c>
      <c r="N166" s="194">
        <f t="shared" ref="N166" si="25">L166*M166</f>
        <v>108791.28</v>
      </c>
      <c r="O166" s="274">
        <f t="shared" si="24"/>
        <v>797802.72</v>
      </c>
      <c r="P166" s="197"/>
      <c r="Q166" s="393" t="e">
        <f>VLOOKUP(G:G,list!B:D,3,FALSE)</f>
        <v>#N/A</v>
      </c>
    </row>
    <row r="167" spans="2:17" ht="18" customHeight="1">
      <c r="B167" s="341">
        <v>163</v>
      </c>
      <c r="C167" s="341" t="e">
        <f>VLOOKUP(G:G,list!B:D,2,FALSE)</f>
        <v>#N/A</v>
      </c>
      <c r="D167" s="369" t="s">
        <v>22</v>
      </c>
      <c r="E167" s="362" t="s">
        <v>62</v>
      </c>
      <c r="F167" s="369" t="s">
        <v>358</v>
      </c>
      <c r="G167" s="341" t="s">
        <v>54</v>
      </c>
      <c r="H167" s="310">
        <v>44247</v>
      </c>
      <c r="I167" s="341" t="s">
        <v>327</v>
      </c>
      <c r="J167" s="361">
        <v>69561</v>
      </c>
      <c r="K167" s="368">
        <v>0.5</v>
      </c>
      <c r="L167" s="346">
        <v>29295</v>
      </c>
      <c r="M167" s="428">
        <v>0.1</v>
      </c>
      <c r="N167" s="274">
        <f t="shared" ref="N167" si="26">L167*M167</f>
        <v>2929.5</v>
      </c>
      <c r="O167" s="274">
        <f t="shared" ref="O167" si="27">L167-N167</f>
        <v>26365.5</v>
      </c>
      <c r="P167" s="197"/>
      <c r="Q167" s="393" t="e">
        <f>VLOOKUP(G:G,list!B:D,3,FALSE)</f>
        <v>#N/A</v>
      </c>
    </row>
    <row r="168" spans="2:17" ht="18" customHeight="1">
      <c r="B168" s="341">
        <v>164</v>
      </c>
      <c r="C168" s="341" t="str">
        <f>VLOOKUP(G:G,list!B:D,2,FALSE)</f>
        <v>원작료</v>
      </c>
      <c r="D168" s="369" t="s">
        <v>22</v>
      </c>
      <c r="E168" s="362" t="s">
        <v>62</v>
      </c>
      <c r="F168" s="369" t="s">
        <v>358</v>
      </c>
      <c r="G168" s="341" t="s">
        <v>30</v>
      </c>
      <c r="H168" s="310">
        <v>44281</v>
      </c>
      <c r="I168" s="341" t="s">
        <v>327</v>
      </c>
      <c r="J168" s="361">
        <v>888328</v>
      </c>
      <c r="K168" s="368">
        <v>0.5</v>
      </c>
      <c r="L168" s="346">
        <v>374113</v>
      </c>
      <c r="M168" s="428">
        <v>0.1</v>
      </c>
      <c r="N168" s="194">
        <f>L168*M168</f>
        <v>37411.300000000003</v>
      </c>
      <c r="O168" s="274">
        <f>L168-N168</f>
        <v>336701.7</v>
      </c>
      <c r="P168" s="197"/>
      <c r="Q168" s="393" t="str">
        <f>VLOOKUP(G:G,list!B:D,3,FALSE)</f>
        <v>Y</v>
      </c>
    </row>
    <row r="169" spans="2:17" ht="18" customHeight="1">
      <c r="B169" s="341">
        <v>165</v>
      </c>
      <c r="C169" s="341" t="str">
        <f>VLOOKUP(G:G,list!B:D,2,FALSE)</f>
        <v>작가기획</v>
      </c>
      <c r="D169" s="369" t="s">
        <v>22</v>
      </c>
      <c r="E169" s="362" t="s">
        <v>62</v>
      </c>
      <c r="F169" s="369" t="s">
        <v>358</v>
      </c>
      <c r="G169" s="341" t="s">
        <v>36</v>
      </c>
      <c r="H169" s="310">
        <v>44293</v>
      </c>
      <c r="I169" s="341" t="s">
        <v>327</v>
      </c>
      <c r="J169" s="361">
        <v>54188</v>
      </c>
      <c r="K169" s="368">
        <v>0.5</v>
      </c>
      <c r="L169" s="346">
        <v>22821</v>
      </c>
      <c r="M169" s="274">
        <v>0</v>
      </c>
      <c r="N169" s="194">
        <v>0</v>
      </c>
      <c r="O169" s="274">
        <f>L169-N169</f>
        <v>22821</v>
      </c>
      <c r="P169" s="197"/>
      <c r="Q169" s="393" t="str">
        <f>VLOOKUP(G:G,list!B:D,3,FALSE)</f>
        <v>Y</v>
      </c>
    </row>
    <row r="170" spans="2:17" ht="18" customHeight="1">
      <c r="B170" s="341">
        <v>166</v>
      </c>
      <c r="C170" s="341" t="e">
        <f>VLOOKUP(G:G,list!B:D,2,FALSE)</f>
        <v>#N/A</v>
      </c>
      <c r="D170" s="369" t="s">
        <v>22</v>
      </c>
      <c r="E170" s="362" t="s">
        <v>62</v>
      </c>
      <c r="F170" s="369" t="s">
        <v>358</v>
      </c>
      <c r="G170" s="341" t="s">
        <v>42</v>
      </c>
      <c r="H170" s="310">
        <v>44163</v>
      </c>
      <c r="I170" s="341" t="s">
        <v>327</v>
      </c>
      <c r="J170" s="361">
        <v>28920516</v>
      </c>
      <c r="K170" s="368">
        <v>0.5</v>
      </c>
      <c r="L170" s="346">
        <v>12291831</v>
      </c>
      <c r="M170" s="428">
        <v>0.1</v>
      </c>
      <c r="N170" s="194">
        <f t="shared" ref="N170" si="28">L170*M170</f>
        <v>1229183.1000000001</v>
      </c>
      <c r="O170" s="274">
        <f t="shared" ref="O170" si="29">L170-N170</f>
        <v>11062647.9</v>
      </c>
      <c r="P170" s="195" t="s">
        <v>85</v>
      </c>
      <c r="Q170" s="393" t="e">
        <f>VLOOKUP(G:G,list!B:D,3,FALSE)</f>
        <v>#N/A</v>
      </c>
    </row>
    <row r="171" spans="2:17" ht="18" customHeight="1">
      <c r="B171" s="341">
        <v>167</v>
      </c>
      <c r="C171" s="341" t="e">
        <f>VLOOKUP(G:G,list!B:D,2,FALSE)</f>
        <v>#N/A</v>
      </c>
      <c r="D171" s="369" t="s">
        <v>22</v>
      </c>
      <c r="E171" s="362" t="s">
        <v>62</v>
      </c>
      <c r="F171" s="369" t="s">
        <v>358</v>
      </c>
      <c r="G171" s="341" t="s">
        <v>29</v>
      </c>
      <c r="H171" s="310">
        <v>44223</v>
      </c>
      <c r="I171" s="341" t="s">
        <v>328</v>
      </c>
      <c r="J171" s="361">
        <v>694049</v>
      </c>
      <c r="K171" s="368">
        <v>0.6</v>
      </c>
      <c r="L171" s="346">
        <v>353635</v>
      </c>
      <c r="M171" s="428">
        <v>0.1</v>
      </c>
      <c r="N171" s="274">
        <f>L171*M171</f>
        <v>35363.5</v>
      </c>
      <c r="O171" s="274">
        <f t="shared" ref="O171:O172" si="30">L171-N171</f>
        <v>318271.5</v>
      </c>
      <c r="P171" s="197"/>
      <c r="Q171" s="393" t="e">
        <f>VLOOKUP(G:G,list!B:D,3,FALSE)</f>
        <v>#N/A</v>
      </c>
    </row>
    <row r="172" spans="2:17" ht="18" customHeight="1">
      <c r="B172" s="341">
        <v>168</v>
      </c>
      <c r="C172" s="341" t="e">
        <f>VLOOKUP(G:G,list!B:D,2,FALSE)</f>
        <v>#N/A</v>
      </c>
      <c r="D172" s="369" t="s">
        <v>22</v>
      </c>
      <c r="E172" s="362" t="s">
        <v>62</v>
      </c>
      <c r="F172" s="369" t="s">
        <v>358</v>
      </c>
      <c r="G172" s="341" t="s">
        <v>28</v>
      </c>
      <c r="H172" s="310">
        <v>44253</v>
      </c>
      <c r="I172" s="341" t="s">
        <v>328</v>
      </c>
      <c r="J172" s="361">
        <v>2883216</v>
      </c>
      <c r="K172" s="368">
        <v>0.6</v>
      </c>
      <c r="L172" s="346">
        <v>1469055</v>
      </c>
      <c r="M172" s="428">
        <v>0.12</v>
      </c>
      <c r="N172" s="194">
        <f t="shared" ref="N172" si="31">L172*M172</f>
        <v>176286.6</v>
      </c>
      <c r="O172" s="274">
        <f t="shared" si="30"/>
        <v>1292768.3999999999</v>
      </c>
      <c r="P172" s="197"/>
      <c r="Q172" s="393" t="e">
        <f>VLOOKUP(G:G,list!B:D,3,FALSE)</f>
        <v>#N/A</v>
      </c>
    </row>
    <row r="173" spans="2:17" ht="18" customHeight="1">
      <c r="B173" s="341">
        <v>169</v>
      </c>
      <c r="C173" s="341" t="e">
        <f>VLOOKUP(G:G,list!B:D,2,FALSE)</f>
        <v>#N/A</v>
      </c>
      <c r="D173" s="369" t="s">
        <v>22</v>
      </c>
      <c r="E173" s="362" t="s">
        <v>62</v>
      </c>
      <c r="F173" s="369" t="s">
        <v>358</v>
      </c>
      <c r="G173" s="341" t="s">
        <v>54</v>
      </c>
      <c r="H173" s="310">
        <v>44247</v>
      </c>
      <c r="I173" s="341" t="s">
        <v>328</v>
      </c>
      <c r="J173" s="361">
        <v>376234</v>
      </c>
      <c r="K173" s="368">
        <v>0.5</v>
      </c>
      <c r="L173" s="346">
        <v>158952</v>
      </c>
      <c r="M173" s="428">
        <v>0.1</v>
      </c>
      <c r="N173" s="274">
        <f t="shared" ref="N173" si="32">L173*M173</f>
        <v>15895.2</v>
      </c>
      <c r="O173" s="274">
        <f t="shared" ref="O173" si="33">L173-N173</f>
        <v>143056.79999999999</v>
      </c>
      <c r="P173" s="197"/>
      <c r="Q173" s="393" t="e">
        <f>VLOOKUP(G:G,list!B:D,3,FALSE)</f>
        <v>#N/A</v>
      </c>
    </row>
    <row r="174" spans="2:17" ht="18" customHeight="1">
      <c r="B174" s="341">
        <v>170</v>
      </c>
      <c r="C174" s="341" t="str">
        <f>VLOOKUP(G:G,list!B:D,2,FALSE)</f>
        <v>원작료</v>
      </c>
      <c r="D174" s="369" t="s">
        <v>22</v>
      </c>
      <c r="E174" s="362" t="s">
        <v>62</v>
      </c>
      <c r="F174" s="369" t="s">
        <v>358</v>
      </c>
      <c r="G174" s="341" t="s">
        <v>30</v>
      </c>
      <c r="H174" s="310">
        <v>44281</v>
      </c>
      <c r="I174" s="341" t="s">
        <v>328</v>
      </c>
      <c r="J174" s="361">
        <v>2238125</v>
      </c>
      <c r="K174" s="368">
        <v>0.5</v>
      </c>
      <c r="L174" s="346">
        <v>943536</v>
      </c>
      <c r="M174" s="428">
        <v>0.1</v>
      </c>
      <c r="N174" s="194">
        <f>L174*M174</f>
        <v>94353.600000000006</v>
      </c>
      <c r="O174" s="274">
        <f>L174-N174</f>
        <v>849182.4</v>
      </c>
      <c r="P174" s="197"/>
      <c r="Q174" s="393" t="str">
        <f>VLOOKUP(G:G,list!B:D,3,FALSE)</f>
        <v>Y</v>
      </c>
    </row>
    <row r="175" spans="2:17" ht="18" customHeight="1">
      <c r="B175" s="341">
        <v>171</v>
      </c>
      <c r="C175" s="341" t="str">
        <f>VLOOKUP(G:G,list!B:D,2,FALSE)</f>
        <v>작가기획</v>
      </c>
      <c r="D175" s="369" t="s">
        <v>22</v>
      </c>
      <c r="E175" s="362" t="s">
        <v>62</v>
      </c>
      <c r="F175" s="369" t="s">
        <v>358</v>
      </c>
      <c r="G175" s="341" t="s">
        <v>36</v>
      </c>
      <c r="H175" s="310">
        <v>44293</v>
      </c>
      <c r="I175" s="341" t="s">
        <v>328</v>
      </c>
      <c r="J175" s="361">
        <v>1191030</v>
      </c>
      <c r="K175" s="368">
        <v>0.5</v>
      </c>
      <c r="L175" s="346">
        <v>501598</v>
      </c>
      <c r="M175" s="274">
        <v>0</v>
      </c>
      <c r="N175" s="194">
        <v>0</v>
      </c>
      <c r="O175" s="274">
        <f>L175-N175</f>
        <v>501598</v>
      </c>
      <c r="P175" s="197"/>
      <c r="Q175" s="393" t="str">
        <f>VLOOKUP(G:G,list!B:D,3,FALSE)</f>
        <v>Y</v>
      </c>
    </row>
    <row r="176" spans="2:17" ht="18" customHeight="1">
      <c r="B176" s="341">
        <v>172</v>
      </c>
      <c r="C176" s="341" t="e">
        <f>VLOOKUP(G:G,list!B:D,2,FALSE)</f>
        <v>#N/A</v>
      </c>
      <c r="D176" s="369" t="s">
        <v>22</v>
      </c>
      <c r="E176" s="362" t="s">
        <v>62</v>
      </c>
      <c r="F176" s="369" t="s">
        <v>358</v>
      </c>
      <c r="G176" s="341" t="s">
        <v>42</v>
      </c>
      <c r="H176" s="310">
        <v>44163</v>
      </c>
      <c r="I176" s="341" t="s">
        <v>328</v>
      </c>
      <c r="J176" s="361">
        <v>25741783</v>
      </c>
      <c r="K176" s="368">
        <v>0.5</v>
      </c>
      <c r="L176" s="346">
        <v>10961837</v>
      </c>
      <c r="M176" s="428">
        <v>0.1</v>
      </c>
      <c r="N176" s="194">
        <f t="shared" ref="N176" si="34">L176*M176</f>
        <v>1096183.7</v>
      </c>
      <c r="O176" s="274">
        <f t="shared" ref="O176" si="35">L176-N176</f>
        <v>9865653.3000000007</v>
      </c>
      <c r="P176" s="195" t="s">
        <v>85</v>
      </c>
      <c r="Q176" s="393" t="e">
        <f>VLOOKUP(G:G,list!B:D,3,FALSE)</f>
        <v>#N/A</v>
      </c>
    </row>
    <row r="177" spans="2:17" ht="18" customHeight="1">
      <c r="B177" s="341">
        <v>173</v>
      </c>
      <c r="C177" s="341" t="e">
        <f>VLOOKUP(G:G,list!B:D,2,FALSE)</f>
        <v>#N/A</v>
      </c>
      <c r="D177" s="369" t="s">
        <v>22</v>
      </c>
      <c r="E177" s="362" t="s">
        <v>62</v>
      </c>
      <c r="F177" s="369" t="s">
        <v>358</v>
      </c>
      <c r="G177" s="341" t="s">
        <v>29</v>
      </c>
      <c r="H177" s="310">
        <v>44223</v>
      </c>
      <c r="I177" s="341" t="s">
        <v>325</v>
      </c>
      <c r="J177" s="361">
        <v>731645</v>
      </c>
      <c r="K177" s="368">
        <v>0.6</v>
      </c>
      <c r="L177" s="346">
        <v>372815</v>
      </c>
      <c r="M177" s="428">
        <v>0.1</v>
      </c>
      <c r="N177" s="274">
        <f>L177*M177</f>
        <v>37281.5</v>
      </c>
      <c r="O177" s="274">
        <f t="shared" ref="O177:O178" si="36">L177-N177</f>
        <v>335533.5</v>
      </c>
      <c r="P177" s="197"/>
      <c r="Q177" s="393" t="e">
        <f>VLOOKUP(G:G,list!B:D,3,FALSE)</f>
        <v>#N/A</v>
      </c>
    </row>
    <row r="178" spans="2:17" ht="18" customHeight="1">
      <c r="B178" s="341">
        <v>174</v>
      </c>
      <c r="C178" s="341" t="e">
        <f>VLOOKUP(G:G,list!B:D,2,FALSE)</f>
        <v>#N/A</v>
      </c>
      <c r="D178" s="369" t="s">
        <v>22</v>
      </c>
      <c r="E178" s="362" t="s">
        <v>62</v>
      </c>
      <c r="F178" s="369" t="s">
        <v>358</v>
      </c>
      <c r="G178" s="341" t="s">
        <v>28</v>
      </c>
      <c r="H178" s="310">
        <v>44253</v>
      </c>
      <c r="I178" s="341" t="s">
        <v>325</v>
      </c>
      <c r="J178" s="361">
        <v>2945083</v>
      </c>
      <c r="K178" s="368">
        <v>0.6</v>
      </c>
      <c r="L178" s="346">
        <v>1500971</v>
      </c>
      <c r="M178" s="428">
        <v>0.12</v>
      </c>
      <c r="N178" s="194">
        <f t="shared" ref="N178" si="37">L178*M178</f>
        <v>180116.52</v>
      </c>
      <c r="O178" s="274">
        <f t="shared" si="36"/>
        <v>1320854.48</v>
      </c>
      <c r="P178" s="197"/>
      <c r="Q178" s="393" t="e">
        <f>VLOOKUP(G:G,list!B:D,3,FALSE)</f>
        <v>#N/A</v>
      </c>
    </row>
    <row r="179" spans="2:17" ht="18" customHeight="1">
      <c r="B179" s="341">
        <v>175</v>
      </c>
      <c r="C179" s="341" t="e">
        <f>VLOOKUP(G:G,list!B:D,2,FALSE)</f>
        <v>#N/A</v>
      </c>
      <c r="D179" s="369" t="s">
        <v>22</v>
      </c>
      <c r="E179" s="362" t="s">
        <v>62</v>
      </c>
      <c r="F179" s="369" t="s">
        <v>358</v>
      </c>
      <c r="G179" s="341" t="s">
        <v>54</v>
      </c>
      <c r="H179" s="310">
        <v>44247</v>
      </c>
      <c r="I179" s="341" t="s">
        <v>325</v>
      </c>
      <c r="J179" s="361">
        <v>439287</v>
      </c>
      <c r="K179" s="368">
        <v>0.5</v>
      </c>
      <c r="L179" s="346">
        <v>184998</v>
      </c>
      <c r="M179" s="428">
        <v>0.1</v>
      </c>
      <c r="N179" s="274">
        <f t="shared" ref="N179" si="38">L179*M179</f>
        <v>18499.8</v>
      </c>
      <c r="O179" s="274">
        <f t="shared" ref="O179" si="39">L179-N179</f>
        <v>166498.20000000001</v>
      </c>
      <c r="P179" s="197"/>
      <c r="Q179" s="393" t="e">
        <f>VLOOKUP(G:G,list!B:D,3,FALSE)</f>
        <v>#N/A</v>
      </c>
    </row>
    <row r="180" spans="2:17" ht="18" customHeight="1">
      <c r="B180" s="341">
        <v>176</v>
      </c>
      <c r="C180" s="341" t="str">
        <f>VLOOKUP(G:G,list!B:D,2,FALSE)</f>
        <v>원작료</v>
      </c>
      <c r="D180" s="369" t="s">
        <v>22</v>
      </c>
      <c r="E180" s="362" t="s">
        <v>62</v>
      </c>
      <c r="F180" s="369" t="s">
        <v>358</v>
      </c>
      <c r="G180" s="341" t="s">
        <v>30</v>
      </c>
      <c r="H180" s="310">
        <v>44281</v>
      </c>
      <c r="I180" s="341" t="s">
        <v>325</v>
      </c>
      <c r="J180" s="361">
        <v>2320855</v>
      </c>
      <c r="K180" s="368">
        <v>0.5</v>
      </c>
      <c r="L180" s="346">
        <v>980592</v>
      </c>
      <c r="M180" s="428">
        <v>0.1</v>
      </c>
      <c r="N180" s="194">
        <f>L180*M180</f>
        <v>98059.200000000012</v>
      </c>
      <c r="O180" s="274">
        <f>L180-N180</f>
        <v>882532.8</v>
      </c>
      <c r="P180" s="197"/>
      <c r="Q180" s="393" t="str">
        <f>VLOOKUP(G:G,list!B:D,3,FALSE)</f>
        <v>Y</v>
      </c>
    </row>
    <row r="181" spans="2:17" ht="18" customHeight="1">
      <c r="B181" s="341">
        <v>177</v>
      </c>
      <c r="C181" s="341" t="str">
        <f>VLOOKUP(G:G,list!B:D,2,FALSE)</f>
        <v>작가기획</v>
      </c>
      <c r="D181" s="369" t="s">
        <v>22</v>
      </c>
      <c r="E181" s="362" t="s">
        <v>62</v>
      </c>
      <c r="F181" s="369" t="s">
        <v>358</v>
      </c>
      <c r="G181" s="341" t="s">
        <v>36</v>
      </c>
      <c r="H181" s="310">
        <v>44293</v>
      </c>
      <c r="I181" s="341" t="s">
        <v>325</v>
      </c>
      <c r="J181" s="361">
        <v>355319</v>
      </c>
      <c r="K181" s="368">
        <v>0.5</v>
      </c>
      <c r="L181" s="346">
        <v>150982</v>
      </c>
      <c r="M181" s="274">
        <v>0</v>
      </c>
      <c r="N181" s="194">
        <v>0</v>
      </c>
      <c r="O181" s="274">
        <f>L181-N181</f>
        <v>150982</v>
      </c>
      <c r="P181" s="197"/>
      <c r="Q181" s="393" t="str">
        <f>VLOOKUP(G:G,list!B:D,3,FALSE)</f>
        <v>Y</v>
      </c>
    </row>
    <row r="182" spans="2:17" ht="18" customHeight="1">
      <c r="B182" s="341">
        <v>178</v>
      </c>
      <c r="C182" s="341" t="e">
        <f>VLOOKUP(G:G,list!B:D,2,FALSE)</f>
        <v>#N/A</v>
      </c>
      <c r="D182" s="369" t="s">
        <v>22</v>
      </c>
      <c r="E182" s="362" t="s">
        <v>62</v>
      </c>
      <c r="F182" s="369" t="s">
        <v>358</v>
      </c>
      <c r="G182" s="341" t="s">
        <v>42</v>
      </c>
      <c r="H182" s="310">
        <v>44163</v>
      </c>
      <c r="I182" s="341" t="s">
        <v>325</v>
      </c>
      <c r="J182" s="361">
        <v>26608578</v>
      </c>
      <c r="K182" s="368">
        <v>0.5</v>
      </c>
      <c r="L182" s="346">
        <v>11310901</v>
      </c>
      <c r="M182" s="428">
        <v>0.1</v>
      </c>
      <c r="N182" s="194">
        <f t="shared" ref="N182" si="40">L182*M182</f>
        <v>1131090.1000000001</v>
      </c>
      <c r="O182" s="274">
        <f t="shared" ref="O182" si="41">L182-N182</f>
        <v>10179810.9</v>
      </c>
      <c r="P182" s="195" t="s">
        <v>85</v>
      </c>
      <c r="Q182" s="393" t="e">
        <f>VLOOKUP(G:G,list!B:D,3,FALSE)</f>
        <v>#N/A</v>
      </c>
    </row>
    <row r="183" spans="2:17" ht="18" customHeight="1">
      <c r="B183" s="341">
        <v>179</v>
      </c>
      <c r="C183" s="341" t="e">
        <f>VLOOKUP(G:G,list!B:D,2,FALSE)</f>
        <v>#N/A</v>
      </c>
      <c r="D183" s="366" t="s">
        <v>216</v>
      </c>
      <c r="E183" s="366" t="s">
        <v>9</v>
      </c>
      <c r="F183" s="341" t="s">
        <v>184</v>
      </c>
      <c r="G183" s="366" t="s">
        <v>218</v>
      </c>
      <c r="H183" s="365">
        <v>44396</v>
      </c>
      <c r="I183" s="341" t="s">
        <v>350</v>
      </c>
      <c r="J183" s="367">
        <v>11126077</v>
      </c>
      <c r="K183" s="368">
        <v>0.3</v>
      </c>
      <c r="L183" s="346">
        <v>3337823</v>
      </c>
      <c r="M183" s="428">
        <v>0.1</v>
      </c>
      <c r="N183" s="274">
        <f t="shared" ref="N183:N184" si="42">L183*M183</f>
        <v>333782.30000000005</v>
      </c>
      <c r="O183" s="274">
        <f>L183-N183</f>
        <v>3004040.7</v>
      </c>
      <c r="P183" s="364" t="s">
        <v>221</v>
      </c>
      <c r="Q183" s="393" t="e">
        <f>VLOOKUP(G:G,list!B:D,3,FALSE)</f>
        <v>#N/A</v>
      </c>
    </row>
    <row r="184" spans="2:17" ht="18" customHeight="1">
      <c r="B184" s="341">
        <v>180</v>
      </c>
      <c r="C184" s="341" t="e">
        <f>VLOOKUP(G:G,list!B:D,2,FALSE)</f>
        <v>#N/A</v>
      </c>
      <c r="D184" s="366" t="s">
        <v>216</v>
      </c>
      <c r="E184" s="366" t="s">
        <v>9</v>
      </c>
      <c r="F184" s="341" t="s">
        <v>184</v>
      </c>
      <c r="G184" s="366" t="s">
        <v>219</v>
      </c>
      <c r="H184" s="365">
        <v>44497</v>
      </c>
      <c r="I184" s="341" t="s">
        <v>350</v>
      </c>
      <c r="J184" s="367">
        <v>3082687</v>
      </c>
      <c r="K184" s="368">
        <v>0.3</v>
      </c>
      <c r="L184" s="346">
        <v>924806</v>
      </c>
      <c r="M184" s="428">
        <v>0.12</v>
      </c>
      <c r="N184" s="194">
        <f t="shared" si="42"/>
        <v>110976.72</v>
      </c>
      <c r="O184" s="274">
        <f>L184-N184</f>
        <v>813829.28</v>
      </c>
      <c r="P184" s="364" t="s">
        <v>221</v>
      </c>
      <c r="Q184" s="393" t="e">
        <f>VLOOKUP(G:G,list!B:D,3,FALSE)</f>
        <v>#N/A</v>
      </c>
    </row>
    <row r="185" spans="2:17" ht="18" customHeight="1">
      <c r="B185" s="341">
        <v>181</v>
      </c>
      <c r="C185" s="341" t="e">
        <f>VLOOKUP(G:G,list!B:D,2,FALSE)</f>
        <v>#N/A</v>
      </c>
      <c r="D185" s="366" t="s">
        <v>216</v>
      </c>
      <c r="E185" s="366" t="s">
        <v>9</v>
      </c>
      <c r="F185" s="341" t="s">
        <v>184</v>
      </c>
      <c r="G185" s="366" t="s">
        <v>135</v>
      </c>
      <c r="H185" s="365">
        <v>44370</v>
      </c>
      <c r="I185" s="341" t="s">
        <v>350</v>
      </c>
      <c r="J185" s="367">
        <v>222890</v>
      </c>
      <c r="K185" s="368">
        <v>0.3</v>
      </c>
      <c r="L185" s="346">
        <v>66867</v>
      </c>
      <c r="M185" s="428" t="s">
        <v>203</v>
      </c>
      <c r="N185" s="194">
        <v>0</v>
      </c>
      <c r="O185" s="274">
        <f t="shared" ref="O185:O201" si="43">L185-N185</f>
        <v>66867</v>
      </c>
      <c r="P185" s="364" t="s">
        <v>221</v>
      </c>
      <c r="Q185" s="393" t="e">
        <f>VLOOKUP(G:G,list!B:D,3,FALSE)</f>
        <v>#N/A</v>
      </c>
    </row>
    <row r="186" spans="2:17" ht="18" customHeight="1">
      <c r="B186" s="341">
        <v>182</v>
      </c>
      <c r="C186" s="341" t="e">
        <f>VLOOKUP(G:G,list!B:D,2,FALSE)</f>
        <v>#N/A</v>
      </c>
      <c r="D186" s="369" t="s">
        <v>216</v>
      </c>
      <c r="E186" s="342" t="s">
        <v>115</v>
      </c>
      <c r="F186" s="369" t="s">
        <v>31</v>
      </c>
      <c r="G186" s="342" t="s">
        <v>28</v>
      </c>
      <c r="H186" s="396">
        <v>44096</v>
      </c>
      <c r="I186" s="341" t="s">
        <v>323</v>
      </c>
      <c r="J186" s="361">
        <v>450088</v>
      </c>
      <c r="K186" s="368">
        <v>0.4</v>
      </c>
      <c r="L186" s="346">
        <v>171036</v>
      </c>
      <c r="M186" s="428">
        <v>0.12</v>
      </c>
      <c r="N186" s="194">
        <f t="shared" ref="N186:N195" si="44">L186*M186</f>
        <v>20524.32</v>
      </c>
      <c r="O186" s="274">
        <f t="shared" si="43"/>
        <v>150511.67999999999</v>
      </c>
      <c r="P186" s="191"/>
      <c r="Q186" s="393" t="e">
        <f>VLOOKUP(G:G,list!B:D,3,FALSE)</f>
        <v>#N/A</v>
      </c>
    </row>
    <row r="187" spans="2:17" ht="18" customHeight="1">
      <c r="B187" s="341">
        <v>183</v>
      </c>
      <c r="C187" s="341" t="e">
        <f>VLOOKUP(G:G,list!B:D,2,FALSE)</f>
        <v>#N/A</v>
      </c>
      <c r="D187" s="369" t="s">
        <v>216</v>
      </c>
      <c r="E187" s="342" t="s">
        <v>115</v>
      </c>
      <c r="F187" s="369" t="s">
        <v>31</v>
      </c>
      <c r="G187" s="342" t="s">
        <v>29</v>
      </c>
      <c r="H187" s="343">
        <v>44137</v>
      </c>
      <c r="I187" s="341" t="s">
        <v>323</v>
      </c>
      <c r="J187" s="361">
        <v>305485</v>
      </c>
      <c r="K187" s="368">
        <v>0.4</v>
      </c>
      <c r="L187" s="346">
        <v>116074</v>
      </c>
      <c r="M187" s="428">
        <v>0.1</v>
      </c>
      <c r="N187" s="274">
        <f t="shared" si="44"/>
        <v>11607.400000000001</v>
      </c>
      <c r="O187" s="274">
        <f t="shared" si="43"/>
        <v>104466.6</v>
      </c>
      <c r="P187" s="191"/>
      <c r="Q187" s="393" t="e">
        <f>VLOOKUP(G:G,list!B:D,3,FALSE)</f>
        <v>#N/A</v>
      </c>
    </row>
    <row r="188" spans="2:17" ht="18" customHeight="1">
      <c r="B188" s="341">
        <v>184</v>
      </c>
      <c r="C188" s="341" t="str">
        <f>VLOOKUP(G:G,list!B:D,2,FALSE)</f>
        <v>원작료</v>
      </c>
      <c r="D188" s="369" t="s">
        <v>216</v>
      </c>
      <c r="E188" s="342" t="s">
        <v>115</v>
      </c>
      <c r="F188" s="369" t="s">
        <v>31</v>
      </c>
      <c r="G188" s="342" t="s">
        <v>151</v>
      </c>
      <c r="H188" s="396">
        <v>44239</v>
      </c>
      <c r="I188" s="341" t="s">
        <v>323</v>
      </c>
      <c r="J188" s="361">
        <v>1805809</v>
      </c>
      <c r="K188" s="368">
        <v>0.4</v>
      </c>
      <c r="L188" s="346">
        <v>686204</v>
      </c>
      <c r="M188" s="428">
        <v>0.1</v>
      </c>
      <c r="N188" s="274">
        <f t="shared" si="44"/>
        <v>68620.400000000009</v>
      </c>
      <c r="O188" s="274">
        <f t="shared" si="43"/>
        <v>617583.6</v>
      </c>
      <c r="P188" s="347"/>
      <c r="Q188" s="393" t="str">
        <f>VLOOKUP(G:G,list!B:D,3,FALSE)</f>
        <v>Y</v>
      </c>
    </row>
    <row r="189" spans="2:17" ht="18" customHeight="1">
      <c r="B189" s="341">
        <v>185</v>
      </c>
      <c r="C189" s="341" t="e">
        <f>VLOOKUP(G:G,list!B:D,2,FALSE)</f>
        <v>#N/A</v>
      </c>
      <c r="D189" s="369" t="s">
        <v>216</v>
      </c>
      <c r="E189" s="342" t="s">
        <v>115</v>
      </c>
      <c r="F189" s="369" t="s">
        <v>31</v>
      </c>
      <c r="G189" s="342" t="s">
        <v>256</v>
      </c>
      <c r="H189" s="396">
        <v>44487</v>
      </c>
      <c r="I189" s="341" t="s">
        <v>323</v>
      </c>
      <c r="J189" s="361">
        <v>53348</v>
      </c>
      <c r="K189" s="368">
        <v>0.4</v>
      </c>
      <c r="L189" s="346">
        <v>20272</v>
      </c>
      <c r="M189" s="428">
        <v>0.1</v>
      </c>
      <c r="N189" s="274">
        <f t="shared" si="44"/>
        <v>2027.2</v>
      </c>
      <c r="O189" s="274">
        <f t="shared" si="43"/>
        <v>18244.8</v>
      </c>
      <c r="P189" s="194"/>
      <c r="Q189" s="393" t="e">
        <f>VLOOKUP(G:G,list!B:D,3,FALSE)</f>
        <v>#N/A</v>
      </c>
    </row>
    <row r="190" spans="2:17" ht="18" customHeight="1">
      <c r="B190" s="341">
        <v>186</v>
      </c>
      <c r="C190" s="341" t="e">
        <f>VLOOKUP(G:G,list!B:D,2,FALSE)</f>
        <v>#N/A</v>
      </c>
      <c r="D190" s="369" t="s">
        <v>216</v>
      </c>
      <c r="E190" s="342" t="s">
        <v>115</v>
      </c>
      <c r="F190" s="369" t="s">
        <v>31</v>
      </c>
      <c r="G190" s="342" t="s">
        <v>204</v>
      </c>
      <c r="H190" s="396">
        <v>44453</v>
      </c>
      <c r="I190" s="341" t="s">
        <v>323</v>
      </c>
      <c r="J190" s="361">
        <v>50772</v>
      </c>
      <c r="K190" s="368">
        <v>0.4</v>
      </c>
      <c r="L190" s="346">
        <v>19298</v>
      </c>
      <c r="M190" s="428">
        <v>0.1</v>
      </c>
      <c r="N190" s="194">
        <f t="shared" si="44"/>
        <v>1929.8000000000002</v>
      </c>
      <c r="O190" s="274">
        <f t="shared" si="43"/>
        <v>17368.2</v>
      </c>
      <c r="P190" s="197"/>
      <c r="Q190" s="393" t="e">
        <f>VLOOKUP(G:G,list!B:D,3,FALSE)</f>
        <v>#N/A</v>
      </c>
    </row>
    <row r="191" spans="2:17" ht="18" customHeight="1">
      <c r="B191" s="341">
        <v>187</v>
      </c>
      <c r="C191" s="341" t="e">
        <f>VLOOKUP(G:G,list!B:D,2,FALSE)</f>
        <v>#N/A</v>
      </c>
      <c r="D191" s="369" t="s">
        <v>216</v>
      </c>
      <c r="E191" s="342" t="s">
        <v>115</v>
      </c>
      <c r="F191" s="369" t="s">
        <v>31</v>
      </c>
      <c r="G191" s="342" t="s">
        <v>38</v>
      </c>
      <c r="H191" s="382">
        <v>44470</v>
      </c>
      <c r="I191" s="341" t="s">
        <v>323</v>
      </c>
      <c r="J191" s="361">
        <v>217730</v>
      </c>
      <c r="K191" s="368">
        <v>0.4</v>
      </c>
      <c r="L191" s="346">
        <v>82739</v>
      </c>
      <c r="M191" s="428">
        <v>0.1</v>
      </c>
      <c r="N191" s="194">
        <f t="shared" si="44"/>
        <v>8273.9</v>
      </c>
      <c r="O191" s="274">
        <f t="shared" si="43"/>
        <v>74465.100000000006</v>
      </c>
      <c r="P191" s="370"/>
      <c r="Q191" s="393" t="e">
        <f>VLOOKUP(G:G,list!B:D,3,FALSE)</f>
        <v>#N/A</v>
      </c>
    </row>
    <row r="192" spans="2:17" ht="18" customHeight="1">
      <c r="B192" s="341">
        <v>188</v>
      </c>
      <c r="C192" s="341" t="e">
        <f>VLOOKUP(G:G,list!B:D,2,FALSE)</f>
        <v>#N/A</v>
      </c>
      <c r="D192" s="362" t="s">
        <v>32</v>
      </c>
      <c r="E192" s="362" t="s">
        <v>9</v>
      </c>
      <c r="F192" s="369" t="s">
        <v>257</v>
      </c>
      <c r="G192" s="362" t="s">
        <v>42</v>
      </c>
      <c r="H192" s="409">
        <v>44354</v>
      </c>
      <c r="I192" s="341" t="s">
        <v>351</v>
      </c>
      <c r="J192" s="361">
        <v>15170291</v>
      </c>
      <c r="K192" s="371">
        <v>0.27999995826320889</v>
      </c>
      <c r="L192" s="346">
        <v>4247682</v>
      </c>
      <c r="M192" s="428">
        <v>0.1</v>
      </c>
      <c r="N192" s="194">
        <f t="shared" si="44"/>
        <v>424768.2</v>
      </c>
      <c r="O192" s="274">
        <f t="shared" si="43"/>
        <v>3822913.8</v>
      </c>
      <c r="P192" s="195" t="s">
        <v>85</v>
      </c>
      <c r="Q192" s="393" t="e">
        <f>VLOOKUP(G:G,list!B:D,3,FALSE)</f>
        <v>#N/A</v>
      </c>
    </row>
    <row r="193" spans="2:17" ht="18" customHeight="1">
      <c r="B193" s="341">
        <v>189</v>
      </c>
      <c r="C193" s="341" t="e">
        <f>VLOOKUP(G:G,list!B:D,2,FALSE)</f>
        <v>#N/A</v>
      </c>
      <c r="D193" s="362" t="s">
        <v>32</v>
      </c>
      <c r="E193" s="362" t="s">
        <v>9</v>
      </c>
      <c r="F193" s="369" t="s">
        <v>257</v>
      </c>
      <c r="G193" s="362" t="s">
        <v>335</v>
      </c>
      <c r="H193" s="409">
        <v>44698</v>
      </c>
      <c r="I193" s="341" t="s">
        <v>351</v>
      </c>
      <c r="J193" s="361">
        <v>6937607</v>
      </c>
      <c r="K193" s="371">
        <v>0.35000007927805654</v>
      </c>
      <c r="L193" s="346">
        <v>2428163</v>
      </c>
      <c r="M193" s="428">
        <v>0.1</v>
      </c>
      <c r="N193" s="274">
        <f t="shared" si="44"/>
        <v>242816.30000000002</v>
      </c>
      <c r="O193" s="274">
        <f t="shared" si="43"/>
        <v>2185346.7000000002</v>
      </c>
      <c r="P193" s="195" t="s">
        <v>287</v>
      </c>
      <c r="Q193" s="393" t="e">
        <f>VLOOKUP(G:G,list!B:D,3,FALSE)</f>
        <v>#N/A</v>
      </c>
    </row>
    <row r="194" spans="2:17" ht="18" customHeight="1">
      <c r="B194" s="341">
        <v>190</v>
      </c>
      <c r="C194" s="341" t="e">
        <f>VLOOKUP(G:G,list!B:D,2,FALSE)</f>
        <v>#N/A</v>
      </c>
      <c r="D194" s="362" t="s">
        <v>32</v>
      </c>
      <c r="E194" s="362" t="s">
        <v>9</v>
      </c>
      <c r="F194" s="369" t="s">
        <v>257</v>
      </c>
      <c r="G194" s="362" t="s">
        <v>336</v>
      </c>
      <c r="H194" s="409">
        <v>44692</v>
      </c>
      <c r="I194" s="341" t="s">
        <v>350</v>
      </c>
      <c r="J194" s="361">
        <v>44822869</v>
      </c>
      <c r="K194" s="371">
        <v>0.34999999665349402</v>
      </c>
      <c r="L194" s="346">
        <v>15688004</v>
      </c>
      <c r="M194" s="428">
        <v>0.1</v>
      </c>
      <c r="N194" s="274">
        <f t="shared" si="44"/>
        <v>1568800.4000000001</v>
      </c>
      <c r="O194" s="274">
        <f>L194-N194</f>
        <v>14119203.6</v>
      </c>
      <c r="P194" s="195" t="s">
        <v>287</v>
      </c>
      <c r="Q194" s="393" t="e">
        <f>VLOOKUP(G:G,list!B:D,3,FALSE)</f>
        <v>#N/A</v>
      </c>
    </row>
    <row r="195" spans="2:17" ht="18" customHeight="1">
      <c r="B195" s="341">
        <v>191</v>
      </c>
      <c r="C195" s="341" t="e">
        <f>VLOOKUP(G:G,list!B:D,2,FALSE)</f>
        <v>#N/A</v>
      </c>
      <c r="D195" s="362" t="s">
        <v>32</v>
      </c>
      <c r="E195" s="362" t="s">
        <v>9</v>
      </c>
      <c r="F195" s="369" t="s">
        <v>257</v>
      </c>
      <c r="G195" s="362" t="s">
        <v>212</v>
      </c>
      <c r="H195" s="363">
        <v>44507</v>
      </c>
      <c r="I195" s="341" t="s">
        <v>351</v>
      </c>
      <c r="J195" s="361">
        <v>14267626</v>
      </c>
      <c r="K195" s="397">
        <v>0.24499999976453651</v>
      </c>
      <c r="L195" s="346">
        <v>3495568</v>
      </c>
      <c r="M195" s="428">
        <v>0.1</v>
      </c>
      <c r="N195" s="194">
        <f t="shared" si="44"/>
        <v>349556.80000000005</v>
      </c>
      <c r="O195" s="274">
        <f t="shared" si="43"/>
        <v>3146011.2</v>
      </c>
      <c r="P195" s="197"/>
      <c r="Q195" s="393" t="e">
        <f>VLOOKUP(G:G,list!B:D,3,FALSE)</f>
        <v>#N/A</v>
      </c>
    </row>
    <row r="196" spans="2:17" ht="18" customHeight="1">
      <c r="B196" s="341">
        <v>192</v>
      </c>
      <c r="C196" s="341" t="str">
        <f>VLOOKUP(G:G,list!B:D,2,FALSE)</f>
        <v>작가기획</v>
      </c>
      <c r="D196" s="369" t="s">
        <v>216</v>
      </c>
      <c r="E196" s="362" t="s">
        <v>9</v>
      </c>
      <c r="F196" s="372" t="s">
        <v>154</v>
      </c>
      <c r="G196" s="362" t="s">
        <v>36</v>
      </c>
      <c r="H196" s="409">
        <v>44106</v>
      </c>
      <c r="I196" s="341" t="s">
        <v>323</v>
      </c>
      <c r="J196" s="361">
        <v>1894429</v>
      </c>
      <c r="K196" s="373">
        <v>0.4</v>
      </c>
      <c r="L196" s="346">
        <v>719883</v>
      </c>
      <c r="M196" s="428" t="s">
        <v>203</v>
      </c>
      <c r="N196" s="274">
        <v>0</v>
      </c>
      <c r="O196" s="274">
        <f>L196-N196</f>
        <v>719883</v>
      </c>
      <c r="P196" s="197"/>
      <c r="Q196" s="393" t="str">
        <f>VLOOKUP(G:G,list!B:D,3,FALSE)</f>
        <v>Y</v>
      </c>
    </row>
    <row r="197" spans="2:17" ht="18" customHeight="1">
      <c r="B197" s="341">
        <v>193</v>
      </c>
      <c r="C197" s="341" t="str">
        <f>VLOOKUP(G:G,list!B:D,2,FALSE)</f>
        <v>작가기획</v>
      </c>
      <c r="D197" s="369" t="s">
        <v>216</v>
      </c>
      <c r="E197" s="362" t="s">
        <v>9</v>
      </c>
      <c r="F197" s="372" t="s">
        <v>154</v>
      </c>
      <c r="G197" s="362" t="s">
        <v>37</v>
      </c>
      <c r="H197" s="363">
        <v>44113</v>
      </c>
      <c r="I197" s="341" t="s">
        <v>323</v>
      </c>
      <c r="J197" s="361">
        <v>44319</v>
      </c>
      <c r="K197" s="373">
        <v>0.4</v>
      </c>
      <c r="L197" s="346">
        <v>16841</v>
      </c>
      <c r="M197" s="428" t="s">
        <v>203</v>
      </c>
      <c r="N197" s="274">
        <v>0</v>
      </c>
      <c r="O197" s="274">
        <f t="shared" si="43"/>
        <v>16841</v>
      </c>
      <c r="P197" s="197"/>
      <c r="Q197" s="393" t="str">
        <f>VLOOKUP(G:G,list!B:D,3,FALSE)</f>
        <v>Y</v>
      </c>
    </row>
    <row r="198" spans="2:17" ht="18" customHeight="1">
      <c r="B198" s="341">
        <v>194</v>
      </c>
      <c r="C198" s="341" t="e">
        <f>VLOOKUP(G:G,list!B:D,2,FALSE)</f>
        <v>#N/A</v>
      </c>
      <c r="D198" s="369" t="s">
        <v>216</v>
      </c>
      <c r="E198" s="362" t="s">
        <v>115</v>
      </c>
      <c r="F198" s="372" t="s">
        <v>154</v>
      </c>
      <c r="G198" s="362" t="s">
        <v>258</v>
      </c>
      <c r="H198" s="363">
        <v>44386</v>
      </c>
      <c r="I198" s="341" t="s">
        <v>323</v>
      </c>
      <c r="J198" s="361">
        <v>527791</v>
      </c>
      <c r="K198" s="373">
        <v>0.4</v>
      </c>
      <c r="L198" s="346">
        <v>200561</v>
      </c>
      <c r="M198" s="428">
        <v>0.1</v>
      </c>
      <c r="N198" s="194">
        <f t="shared" ref="N198:N204" si="45">L198*M198</f>
        <v>20056.100000000002</v>
      </c>
      <c r="O198" s="274">
        <f t="shared" si="43"/>
        <v>180504.9</v>
      </c>
      <c r="P198" s="197"/>
      <c r="Q198" s="393" t="e">
        <f>VLOOKUP(G:G,list!B:D,3,FALSE)</f>
        <v>#N/A</v>
      </c>
    </row>
    <row r="199" spans="2:17" ht="18" customHeight="1">
      <c r="B199" s="341">
        <v>195</v>
      </c>
      <c r="C199" s="341" t="e">
        <f>VLOOKUP(G:G,list!B:D,2,FALSE)</f>
        <v>#N/A</v>
      </c>
      <c r="D199" s="366" t="s">
        <v>254</v>
      </c>
      <c r="E199" s="366" t="s">
        <v>9</v>
      </c>
      <c r="F199" s="341" t="s">
        <v>184</v>
      </c>
      <c r="G199" s="366" t="s">
        <v>218</v>
      </c>
      <c r="H199" s="365">
        <v>44516</v>
      </c>
      <c r="I199" s="341" t="s">
        <v>350</v>
      </c>
      <c r="J199" s="367">
        <v>11710283</v>
      </c>
      <c r="K199" s="368">
        <v>0.3</v>
      </c>
      <c r="L199" s="346">
        <v>3513085</v>
      </c>
      <c r="M199" s="428">
        <v>0.1</v>
      </c>
      <c r="N199" s="274">
        <f t="shared" si="45"/>
        <v>351308.5</v>
      </c>
      <c r="O199" s="274">
        <f t="shared" si="43"/>
        <v>3161776.5</v>
      </c>
      <c r="P199" s="364" t="s">
        <v>221</v>
      </c>
      <c r="Q199" s="393" t="e">
        <f>VLOOKUP(G:G,list!B:D,3,FALSE)</f>
        <v>#N/A</v>
      </c>
    </row>
    <row r="200" spans="2:17" ht="18" customHeight="1">
      <c r="B200" s="341">
        <v>196</v>
      </c>
      <c r="C200" s="341" t="e">
        <f>VLOOKUP(G:G,list!B:D,2,FALSE)</f>
        <v>#N/A</v>
      </c>
      <c r="D200" s="366" t="s">
        <v>67</v>
      </c>
      <c r="E200" s="366" t="s">
        <v>9</v>
      </c>
      <c r="F200" s="341" t="s">
        <v>184</v>
      </c>
      <c r="G200" s="366" t="s">
        <v>191</v>
      </c>
      <c r="H200" s="365">
        <v>44581</v>
      </c>
      <c r="I200" s="341" t="s">
        <v>351</v>
      </c>
      <c r="J200" s="367">
        <v>2819340</v>
      </c>
      <c r="K200" s="368">
        <v>0.3</v>
      </c>
      <c r="L200" s="346">
        <v>845802</v>
      </c>
      <c r="M200" s="428">
        <v>0.1</v>
      </c>
      <c r="N200" s="194">
        <f t="shared" si="45"/>
        <v>84580.200000000012</v>
      </c>
      <c r="O200" s="274">
        <f t="shared" si="43"/>
        <v>761221.8</v>
      </c>
      <c r="P200" s="364" t="s">
        <v>307</v>
      </c>
      <c r="Q200" s="393" t="e">
        <f>VLOOKUP(G:G,list!B:D,3,FALSE)</f>
        <v>#N/A</v>
      </c>
    </row>
    <row r="201" spans="2:17" ht="18" customHeight="1">
      <c r="B201" s="341">
        <v>197</v>
      </c>
      <c r="C201" s="341" t="e">
        <f>VLOOKUP(G:G,list!B:D,2,FALSE)</f>
        <v>#N/A</v>
      </c>
      <c r="D201" s="366" t="s">
        <v>67</v>
      </c>
      <c r="E201" s="366" t="s">
        <v>9</v>
      </c>
      <c r="F201" s="341" t="s">
        <v>184</v>
      </c>
      <c r="G201" s="366" t="s">
        <v>59</v>
      </c>
      <c r="H201" s="365">
        <v>44582</v>
      </c>
      <c r="I201" s="341" t="s">
        <v>351</v>
      </c>
      <c r="J201" s="367">
        <v>3142690</v>
      </c>
      <c r="K201" s="368">
        <v>0.3</v>
      </c>
      <c r="L201" s="346">
        <v>942807</v>
      </c>
      <c r="M201" s="428">
        <v>0.1</v>
      </c>
      <c r="N201" s="274">
        <f t="shared" si="45"/>
        <v>94280.700000000012</v>
      </c>
      <c r="O201" s="274">
        <f t="shared" si="43"/>
        <v>848526.3</v>
      </c>
      <c r="P201" s="364" t="s">
        <v>307</v>
      </c>
      <c r="Q201" s="393" t="e">
        <f>VLOOKUP(G:G,list!B:D,3,FALSE)</f>
        <v>#N/A</v>
      </c>
    </row>
    <row r="202" spans="2:17" ht="18" customHeight="1">
      <c r="B202" s="341">
        <v>198</v>
      </c>
      <c r="C202" s="341" t="e">
        <f>VLOOKUP(G:G,list!B:D,2,FALSE)</f>
        <v>#N/A</v>
      </c>
      <c r="D202" s="366" t="s">
        <v>67</v>
      </c>
      <c r="E202" s="366" t="s">
        <v>9</v>
      </c>
      <c r="F202" s="341" t="s">
        <v>184</v>
      </c>
      <c r="G202" s="366" t="s">
        <v>314</v>
      </c>
      <c r="H202" s="365">
        <v>44627</v>
      </c>
      <c r="I202" s="341" t="s">
        <v>350</v>
      </c>
      <c r="J202" s="367">
        <v>681883</v>
      </c>
      <c r="K202" s="368">
        <v>0.3</v>
      </c>
      <c r="L202" s="346">
        <v>204565</v>
      </c>
      <c r="M202" s="428">
        <v>0.1</v>
      </c>
      <c r="N202" s="274">
        <f t="shared" si="45"/>
        <v>20456.5</v>
      </c>
      <c r="O202" s="274">
        <f>L202-N202</f>
        <v>184108.5</v>
      </c>
      <c r="P202" s="364" t="s">
        <v>319</v>
      </c>
      <c r="Q202" s="393" t="e">
        <f>VLOOKUP(G:G,list!B:D,3,FALSE)</f>
        <v>#N/A</v>
      </c>
    </row>
    <row r="203" spans="2:17" ht="18" customHeight="1">
      <c r="B203" s="341">
        <v>199</v>
      </c>
      <c r="C203" s="341" t="e">
        <f>VLOOKUP(G:G,list!B:D,2,FALSE)</f>
        <v>#N/A</v>
      </c>
      <c r="D203" s="369" t="s">
        <v>254</v>
      </c>
      <c r="E203" s="342" t="s">
        <v>9</v>
      </c>
      <c r="F203" s="369" t="s">
        <v>65</v>
      </c>
      <c r="G203" s="342" t="s">
        <v>152</v>
      </c>
      <c r="H203" s="343">
        <v>44105</v>
      </c>
      <c r="I203" s="341" t="s">
        <v>351</v>
      </c>
      <c r="J203" s="361">
        <v>1239553</v>
      </c>
      <c r="K203" s="368">
        <v>0.4</v>
      </c>
      <c r="L203" s="346">
        <v>495821</v>
      </c>
      <c r="M203" s="428">
        <v>0.12</v>
      </c>
      <c r="N203" s="194">
        <f t="shared" si="45"/>
        <v>59498.52</v>
      </c>
      <c r="O203" s="274">
        <f t="shared" ref="O203:O212" si="46">L203-N203</f>
        <v>436322.48</v>
      </c>
      <c r="P203" s="191"/>
      <c r="Q203" s="393" t="e">
        <f>VLOOKUP(G:G,list!B:D,3,FALSE)</f>
        <v>#N/A</v>
      </c>
    </row>
    <row r="204" spans="2:17" ht="18" customHeight="1">
      <c r="B204" s="341">
        <v>200</v>
      </c>
      <c r="C204" s="341" t="e">
        <f>VLOOKUP(G:G,list!B:D,2,FALSE)</f>
        <v>#N/A</v>
      </c>
      <c r="D204" s="369" t="s">
        <v>254</v>
      </c>
      <c r="E204" s="342" t="s">
        <v>9</v>
      </c>
      <c r="F204" s="369" t="s">
        <v>65</v>
      </c>
      <c r="G204" s="342" t="s">
        <v>153</v>
      </c>
      <c r="H204" s="343">
        <v>44111</v>
      </c>
      <c r="I204" s="341" t="s">
        <v>351</v>
      </c>
      <c r="J204" s="361">
        <v>1057680</v>
      </c>
      <c r="K204" s="368">
        <v>0.4</v>
      </c>
      <c r="L204" s="346">
        <v>423072</v>
      </c>
      <c r="M204" s="428">
        <v>0.1</v>
      </c>
      <c r="N204" s="274">
        <f t="shared" si="45"/>
        <v>42307.200000000004</v>
      </c>
      <c r="O204" s="274">
        <f t="shared" si="46"/>
        <v>380764.8</v>
      </c>
      <c r="P204" s="191"/>
      <c r="Q204" s="393" t="e">
        <f>VLOOKUP(G:G,list!B:D,3,FALSE)</f>
        <v>#N/A</v>
      </c>
    </row>
    <row r="205" spans="2:17" ht="18" customHeight="1">
      <c r="B205" s="341">
        <v>201</v>
      </c>
      <c r="C205" s="341" t="str">
        <f>VLOOKUP(G:G,list!B:D,2,FALSE)</f>
        <v>작가기획</v>
      </c>
      <c r="D205" s="369" t="s">
        <v>254</v>
      </c>
      <c r="E205" s="342" t="s">
        <v>9</v>
      </c>
      <c r="F205" s="369" t="s">
        <v>65</v>
      </c>
      <c r="G205" s="342" t="s">
        <v>139</v>
      </c>
      <c r="H205" s="343">
        <v>43921</v>
      </c>
      <c r="I205" s="341" t="s">
        <v>351</v>
      </c>
      <c r="J205" s="361">
        <v>138593</v>
      </c>
      <c r="K205" s="368">
        <v>0.4</v>
      </c>
      <c r="L205" s="346">
        <v>55437</v>
      </c>
      <c r="M205" s="428" t="s">
        <v>203</v>
      </c>
      <c r="N205" s="194">
        <v>0</v>
      </c>
      <c r="O205" s="274">
        <f t="shared" si="46"/>
        <v>55437</v>
      </c>
      <c r="P205" s="347"/>
      <c r="Q205" s="393" t="str">
        <f>VLOOKUP(G:G,list!B:D,3,FALSE)</f>
        <v>Y</v>
      </c>
    </row>
    <row r="206" spans="2:17" ht="18" customHeight="1">
      <c r="B206" s="341">
        <v>202</v>
      </c>
      <c r="C206" s="341" t="str">
        <f>VLOOKUP(G:G,list!B:D,2,FALSE)</f>
        <v>작가기획</v>
      </c>
      <c r="D206" s="369" t="s">
        <v>254</v>
      </c>
      <c r="E206" s="342" t="s">
        <v>9</v>
      </c>
      <c r="F206" s="369" t="s">
        <v>65</v>
      </c>
      <c r="G206" s="342" t="s">
        <v>180</v>
      </c>
      <c r="H206" s="343">
        <v>43941</v>
      </c>
      <c r="I206" s="341" t="s">
        <v>351</v>
      </c>
      <c r="J206" s="361">
        <v>1841640</v>
      </c>
      <c r="K206" s="368">
        <v>0.4</v>
      </c>
      <c r="L206" s="346">
        <v>736656</v>
      </c>
      <c r="M206" s="428" t="s">
        <v>203</v>
      </c>
      <c r="N206" s="274">
        <v>0</v>
      </c>
      <c r="O206" s="274">
        <f>L206-N206</f>
        <v>736656</v>
      </c>
      <c r="P206" s="347"/>
      <c r="Q206" s="393" t="str">
        <f>VLOOKUP(G:G,list!B:D,3,FALSE)</f>
        <v>Y</v>
      </c>
    </row>
    <row r="207" spans="2:17" ht="18" customHeight="1">
      <c r="B207" s="341">
        <v>203</v>
      </c>
      <c r="C207" s="341" t="str">
        <f>VLOOKUP(G:G,list!B:D,2,FALSE)</f>
        <v>원작료</v>
      </c>
      <c r="D207" s="369" t="s">
        <v>254</v>
      </c>
      <c r="E207" s="341" t="s">
        <v>64</v>
      </c>
      <c r="F207" s="369" t="s">
        <v>65</v>
      </c>
      <c r="G207" s="342" t="s">
        <v>151</v>
      </c>
      <c r="H207" s="343">
        <v>44258</v>
      </c>
      <c r="I207" s="341" t="s">
        <v>351</v>
      </c>
      <c r="J207" s="361">
        <v>2046215</v>
      </c>
      <c r="K207" s="368">
        <v>0.4</v>
      </c>
      <c r="L207" s="346">
        <v>818486</v>
      </c>
      <c r="M207" s="428">
        <v>0.1</v>
      </c>
      <c r="N207" s="274">
        <f>L207*M207</f>
        <v>81848.600000000006</v>
      </c>
      <c r="O207" s="274">
        <f t="shared" si="46"/>
        <v>736637.4</v>
      </c>
      <c r="P207" s="191"/>
      <c r="Q207" s="393" t="str">
        <f>VLOOKUP(G:G,list!B:D,3,FALSE)</f>
        <v>Y</v>
      </c>
    </row>
    <row r="208" spans="2:17" ht="18" customHeight="1">
      <c r="B208" s="341">
        <v>204</v>
      </c>
      <c r="C208" s="341" t="e">
        <f>VLOOKUP(G:G,list!B:D,2,FALSE)</f>
        <v>#N/A</v>
      </c>
      <c r="D208" s="369" t="s">
        <v>254</v>
      </c>
      <c r="E208" s="341" t="s">
        <v>64</v>
      </c>
      <c r="F208" s="369" t="s">
        <v>65</v>
      </c>
      <c r="G208" s="342" t="s">
        <v>179</v>
      </c>
      <c r="H208" s="343">
        <v>44233</v>
      </c>
      <c r="I208" s="341" t="s">
        <v>351</v>
      </c>
      <c r="J208" s="361">
        <v>4694885</v>
      </c>
      <c r="K208" s="368">
        <v>0.4</v>
      </c>
      <c r="L208" s="346">
        <v>1877954</v>
      </c>
      <c r="M208" s="428">
        <v>0.1</v>
      </c>
      <c r="N208" s="194">
        <f>L208*M208</f>
        <v>187795.40000000002</v>
      </c>
      <c r="O208" s="274">
        <f t="shared" si="46"/>
        <v>1690158.6</v>
      </c>
      <c r="P208" s="195" t="s">
        <v>85</v>
      </c>
      <c r="Q208" s="393" t="e">
        <f>VLOOKUP(G:G,list!B:D,3,FALSE)</f>
        <v>#N/A</v>
      </c>
    </row>
    <row r="209" spans="2:17" ht="18" customHeight="1">
      <c r="B209" s="341">
        <v>205</v>
      </c>
      <c r="C209" s="341" t="e">
        <f>VLOOKUP(G:G,list!B:D,2,FALSE)</f>
        <v>#N/A</v>
      </c>
      <c r="D209" s="369" t="s">
        <v>254</v>
      </c>
      <c r="E209" s="341" t="s">
        <v>64</v>
      </c>
      <c r="F209" s="369" t="s">
        <v>65</v>
      </c>
      <c r="G209" s="342" t="s">
        <v>54</v>
      </c>
      <c r="H209" s="343">
        <v>44254</v>
      </c>
      <c r="I209" s="341" t="s">
        <v>351</v>
      </c>
      <c r="J209" s="361">
        <v>566573</v>
      </c>
      <c r="K209" s="368">
        <v>0.4</v>
      </c>
      <c r="L209" s="346">
        <v>226629</v>
      </c>
      <c r="M209" s="428">
        <v>0.1</v>
      </c>
      <c r="N209" s="274">
        <f>L209*M209</f>
        <v>22662.9</v>
      </c>
      <c r="O209" s="274">
        <f t="shared" si="46"/>
        <v>203966.1</v>
      </c>
      <c r="P209" s="191"/>
      <c r="Q209" s="393" t="e">
        <f>VLOOKUP(G:G,list!B:D,3,FALSE)</f>
        <v>#N/A</v>
      </c>
    </row>
    <row r="210" spans="2:17" ht="18" customHeight="1">
      <c r="B210" s="341">
        <v>206</v>
      </c>
      <c r="C210" s="341" t="e">
        <f>VLOOKUP(G:G,list!B:D,2,FALSE)</f>
        <v>#N/A</v>
      </c>
      <c r="D210" s="369" t="s">
        <v>254</v>
      </c>
      <c r="E210" s="341" t="s">
        <v>64</v>
      </c>
      <c r="F210" s="369" t="s">
        <v>65</v>
      </c>
      <c r="G210" s="342" t="s">
        <v>147</v>
      </c>
      <c r="H210" s="343">
        <v>44260</v>
      </c>
      <c r="I210" s="341" t="s">
        <v>351</v>
      </c>
      <c r="J210" s="361">
        <v>645000</v>
      </c>
      <c r="K210" s="368">
        <v>0.4</v>
      </c>
      <c r="L210" s="346">
        <v>258000</v>
      </c>
      <c r="M210" s="428" t="s">
        <v>203</v>
      </c>
      <c r="N210" s="194">
        <v>0</v>
      </c>
      <c r="O210" s="274">
        <f t="shared" si="46"/>
        <v>258000</v>
      </c>
      <c r="P210" s="191"/>
      <c r="Q210" s="393" t="e">
        <f>VLOOKUP(G:G,list!B:D,3,FALSE)</f>
        <v>#N/A</v>
      </c>
    </row>
    <row r="211" spans="2:17" ht="18" customHeight="1">
      <c r="B211" s="341">
        <v>207</v>
      </c>
      <c r="C211" s="341" t="e">
        <f>VLOOKUP(G:G,list!B:D,2,FALSE)</f>
        <v>#N/A</v>
      </c>
      <c r="D211" s="369" t="s">
        <v>254</v>
      </c>
      <c r="E211" s="341" t="s">
        <v>64</v>
      </c>
      <c r="F211" s="369" t="s">
        <v>65</v>
      </c>
      <c r="G211" s="342" t="s">
        <v>187</v>
      </c>
      <c r="H211" s="343">
        <v>44289</v>
      </c>
      <c r="I211" s="341" t="s">
        <v>351</v>
      </c>
      <c r="J211" s="361">
        <v>679740</v>
      </c>
      <c r="K211" s="368">
        <v>0.4</v>
      </c>
      <c r="L211" s="346">
        <v>271896</v>
      </c>
      <c r="M211" s="428" t="s">
        <v>203</v>
      </c>
      <c r="N211" s="194">
        <v>0</v>
      </c>
      <c r="O211" s="274">
        <f t="shared" si="46"/>
        <v>271896</v>
      </c>
      <c r="P211" s="191"/>
      <c r="Q211" s="393" t="e">
        <f>VLOOKUP(G:G,list!B:D,3,FALSE)</f>
        <v>#N/A</v>
      </c>
    </row>
    <row r="212" spans="2:17" ht="18" customHeight="1">
      <c r="B212" s="341">
        <v>208</v>
      </c>
      <c r="C212" s="341" t="e">
        <f>VLOOKUP(G:G,list!B:D,2,FALSE)</f>
        <v>#N/A</v>
      </c>
      <c r="D212" s="449" t="s">
        <v>254</v>
      </c>
      <c r="E212" s="450" t="s">
        <v>64</v>
      </c>
      <c r="F212" s="449" t="s">
        <v>65</v>
      </c>
      <c r="G212" s="451" t="s">
        <v>121</v>
      </c>
      <c r="H212" s="452">
        <v>44449</v>
      </c>
      <c r="I212" s="450" t="s">
        <v>351</v>
      </c>
      <c r="J212" s="453">
        <v>6110393</v>
      </c>
      <c r="K212" s="454">
        <v>0.4</v>
      </c>
      <c r="L212" s="455">
        <v>2444157</v>
      </c>
      <c r="M212" s="456" t="s">
        <v>203</v>
      </c>
      <c r="N212" s="457">
        <v>0</v>
      </c>
      <c r="O212" s="458">
        <f t="shared" si="46"/>
        <v>2444157</v>
      </c>
      <c r="P212" s="459"/>
      <c r="Q212" s="393" t="e">
        <f>VLOOKUP(G:G,list!B:D,3,FALSE)</f>
        <v>#N/A</v>
      </c>
    </row>
    <row r="213" spans="2:17">
      <c r="B213" s="52"/>
      <c r="C213" s="430"/>
      <c r="D213" s="430"/>
      <c r="E213" s="431"/>
      <c r="F213" s="430"/>
      <c r="G213" s="432"/>
      <c r="H213" s="433"/>
      <c r="I213" s="434"/>
      <c r="J213" s="435"/>
      <c r="K213" s="436"/>
      <c r="L213" s="437"/>
      <c r="M213" s="438"/>
      <c r="N213" s="439"/>
      <c r="O213" s="440"/>
      <c r="P213" s="441"/>
      <c r="Q213" s="442"/>
    </row>
    <row r="214" spans="2:17" s="7" customFormat="1">
      <c r="B214" s="380" t="s">
        <v>299</v>
      </c>
      <c r="E214" s="186"/>
      <c r="H214"/>
      <c r="I214"/>
      <c r="J214"/>
      <c r="L214" s="335"/>
      <c r="M214" s="424"/>
      <c r="N214"/>
      <c r="O214" s="333"/>
      <c r="P214" s="18"/>
      <c r="Q214" s="184"/>
    </row>
    <row r="215" spans="2:17" s="7" customFormat="1">
      <c r="B215" s="380" t="s">
        <v>302</v>
      </c>
      <c r="E215" s="186"/>
      <c r="H215"/>
      <c r="I215"/>
      <c r="L215" s="335"/>
      <c r="M215" s="424"/>
      <c r="N215"/>
      <c r="O215" s="333"/>
      <c r="P215" s="18"/>
      <c r="Q215" s="184"/>
    </row>
    <row r="216" spans="2:17" s="7" customFormat="1">
      <c r="B216" s="379" t="s">
        <v>303</v>
      </c>
      <c r="E216" s="186"/>
      <c r="H216"/>
      <c r="I216"/>
      <c r="L216" s="335"/>
      <c r="M216" s="424"/>
      <c r="N216"/>
      <c r="O216" s="333"/>
      <c r="P216" s="18"/>
      <c r="Q216" s="184"/>
    </row>
    <row r="217" spans="2:17">
      <c r="B217" s="380" t="s">
        <v>340</v>
      </c>
      <c r="J217" s="7"/>
    </row>
    <row r="218" spans="2:17">
      <c r="J218" s="7"/>
    </row>
    <row r="219" spans="2:17">
      <c r="J219" s="7"/>
    </row>
    <row r="220" spans="2:17">
      <c r="J220" s="7"/>
    </row>
    <row r="221" spans="2:17">
      <c r="J221" s="7"/>
    </row>
    <row r="222" spans="2:17">
      <c r="J222" s="7"/>
    </row>
    <row r="223" spans="2:17">
      <c r="J223" s="7"/>
    </row>
    <row r="224" spans="2:17">
      <c r="J224" s="7"/>
    </row>
    <row r="225" spans="5:17">
      <c r="J225" s="7"/>
    </row>
    <row r="226" spans="5:17">
      <c r="J226" s="7"/>
    </row>
    <row r="227" spans="5:17">
      <c r="J227" s="7"/>
    </row>
    <row r="228" spans="5:17">
      <c r="J228" s="7"/>
    </row>
    <row r="229" spans="5:17" s="7" customFormat="1">
      <c r="E229" s="186"/>
      <c r="H229"/>
      <c r="I229"/>
      <c r="L229" s="335"/>
      <c r="M229" s="424"/>
      <c r="N229"/>
      <c r="O229" s="333"/>
      <c r="P229" s="18"/>
      <c r="Q229" s="184"/>
    </row>
    <row r="230" spans="5:17" s="7" customFormat="1">
      <c r="E230" s="186"/>
      <c r="H230"/>
      <c r="I230"/>
      <c r="L230" s="335"/>
      <c r="M230" s="424"/>
      <c r="N230"/>
      <c r="O230" s="333"/>
      <c r="P230" s="18"/>
      <c r="Q230" s="184"/>
    </row>
    <row r="231" spans="5:17" s="7" customFormat="1">
      <c r="E231" s="186"/>
      <c r="H231"/>
      <c r="I231"/>
      <c r="L231" s="335"/>
      <c r="M231" s="424"/>
      <c r="N231"/>
      <c r="O231" s="333"/>
      <c r="P231" s="18"/>
      <c r="Q231" s="184"/>
    </row>
    <row r="232" spans="5:17" s="7" customFormat="1">
      <c r="E232" s="186"/>
      <c r="H232"/>
      <c r="I232"/>
      <c r="L232" s="335"/>
      <c r="M232" s="424"/>
      <c r="N232"/>
      <c r="O232" s="333"/>
      <c r="P232" s="18"/>
      <c r="Q232" s="184"/>
    </row>
    <row r="233" spans="5:17" s="7" customFormat="1">
      <c r="E233" s="186"/>
      <c r="H233"/>
      <c r="I233"/>
      <c r="L233" s="335"/>
      <c r="M233" s="424"/>
      <c r="N233"/>
      <c r="O233" s="333"/>
      <c r="P233" s="18"/>
      <c r="Q233" s="184"/>
    </row>
    <row r="234" spans="5:17" s="7" customFormat="1">
      <c r="E234" s="186"/>
      <c r="H234"/>
      <c r="I234"/>
      <c r="L234" s="335"/>
      <c r="M234" s="424"/>
      <c r="N234"/>
      <c r="O234" s="333"/>
      <c r="P234" s="18"/>
      <c r="Q234" s="184"/>
    </row>
    <row r="235" spans="5:17" s="7" customFormat="1">
      <c r="E235" s="186"/>
      <c r="H235"/>
      <c r="I235"/>
      <c r="L235" s="335"/>
      <c r="M235" s="424"/>
      <c r="N235"/>
      <c r="O235" s="333"/>
      <c r="P235" s="18"/>
      <c r="Q235" s="184"/>
    </row>
    <row r="236" spans="5:17" s="7" customFormat="1">
      <c r="E236" s="186"/>
      <c r="H236"/>
      <c r="I236"/>
      <c r="L236" s="335"/>
      <c r="M236" s="424"/>
      <c r="N236"/>
      <c r="O236" s="333"/>
      <c r="P236" s="18"/>
      <c r="Q236" s="184"/>
    </row>
    <row r="237" spans="5:17" s="7" customFormat="1">
      <c r="E237" s="186"/>
      <c r="H237"/>
      <c r="I237"/>
      <c r="L237" s="335"/>
      <c r="M237" s="424"/>
      <c r="N237"/>
      <c r="O237" s="333"/>
      <c r="P237" s="18"/>
      <c r="Q237" s="184"/>
    </row>
    <row r="238" spans="5:17" s="7" customFormat="1">
      <c r="E238" s="186"/>
      <c r="H238"/>
      <c r="I238"/>
      <c r="L238" s="335"/>
      <c r="M238" s="424"/>
      <c r="N238"/>
      <c r="O238" s="333"/>
      <c r="P238" s="18"/>
      <c r="Q238" s="184"/>
    </row>
    <row r="239" spans="5:17" s="7" customFormat="1">
      <c r="E239" s="186"/>
      <c r="H239"/>
      <c r="I239"/>
      <c r="L239" s="335"/>
      <c r="M239" s="424"/>
      <c r="N239"/>
      <c r="O239" s="333"/>
      <c r="P239" s="18"/>
      <c r="Q239" s="184"/>
    </row>
    <row r="240" spans="5:17" s="7" customFormat="1">
      <c r="E240" s="186"/>
      <c r="H240"/>
      <c r="I240"/>
      <c r="L240" s="335"/>
      <c r="M240" s="424"/>
      <c r="N240"/>
      <c r="O240" s="333"/>
      <c r="P240" s="18"/>
      <c r="Q240" s="184"/>
    </row>
    <row r="241" spans="5:17" s="7" customFormat="1">
      <c r="E241" s="186"/>
      <c r="H241"/>
      <c r="I241"/>
      <c r="L241" s="335"/>
      <c r="M241" s="424"/>
      <c r="N241"/>
      <c r="O241" s="333"/>
      <c r="P241" s="18"/>
      <c r="Q241" s="184"/>
    </row>
    <row r="242" spans="5:17" s="7" customFormat="1">
      <c r="E242" s="186"/>
      <c r="H242"/>
      <c r="I242"/>
      <c r="L242" s="335"/>
      <c r="M242" s="424"/>
      <c r="N242"/>
      <c r="O242" s="333"/>
      <c r="P242" s="18"/>
      <c r="Q242" s="184"/>
    </row>
    <row r="243" spans="5:17" s="7" customFormat="1">
      <c r="E243" s="186"/>
      <c r="H243"/>
      <c r="I243"/>
      <c r="L243" s="335"/>
      <c r="M243" s="424"/>
      <c r="N243"/>
      <c r="O243" s="333"/>
      <c r="P243" s="18"/>
      <c r="Q243" s="184"/>
    </row>
  </sheetData>
  <autoFilter ref="A4:Q212" xr:uid="{C10520CE-9959-41F0-AE47-7F44CCD1A9A0}"/>
  <mergeCells count="1">
    <mergeCell ref="P2:Q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E0E8-41EB-4325-B1C5-15F544F7B057}">
  <dimension ref="B1:Q244"/>
  <sheetViews>
    <sheetView showGridLines="0" zoomScaleNormal="100" workbookViewId="0">
      <pane xSplit="7" ySplit="4" topLeftCell="H114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4.3984375" style="7" customWidth="1"/>
    <col min="3" max="3" width="13" style="7" customWidth="1"/>
    <col min="4" max="4" width="8.3984375" style="7" customWidth="1"/>
    <col min="5" max="5" width="7.3984375" style="186" customWidth="1"/>
    <col min="6" max="6" width="16.8984375" style="7" customWidth="1"/>
    <col min="7" max="7" width="28" style="7" customWidth="1"/>
    <col min="8" max="8" width="12.5" customWidth="1"/>
    <col min="9" max="9" width="13.59765625" customWidth="1"/>
    <col min="10" max="10" width="14.19921875" bestFit="1" customWidth="1"/>
    <col min="11" max="11" width="11.19921875" style="7" customWidth="1"/>
    <col min="12" max="12" width="13.59765625" style="335" customWidth="1"/>
    <col min="13" max="13" width="13.59765625" style="424" customWidth="1"/>
    <col min="14" max="14" width="13.59765625" customWidth="1"/>
    <col min="15" max="15" width="13.59765625" style="333" customWidth="1"/>
    <col min="16" max="16" width="37.59765625" style="18" customWidth="1"/>
    <col min="17" max="17" width="43" style="184" customWidth="1"/>
  </cols>
  <sheetData>
    <row r="1" spans="2:17" ht="16.5" customHeight="1"/>
    <row r="2" spans="2:17" ht="30" customHeight="1" thickBot="1">
      <c r="B2" s="4" t="s">
        <v>320</v>
      </c>
      <c r="C2" s="4"/>
      <c r="D2" s="4"/>
      <c r="E2" s="187"/>
      <c r="F2" s="4"/>
      <c r="J2" s="410"/>
      <c r="K2" s="410"/>
      <c r="L2" s="336" t="s">
        <v>196</v>
      </c>
      <c r="M2" s="425"/>
      <c r="P2" s="685" t="s">
        <v>262</v>
      </c>
      <c r="Q2" s="686"/>
    </row>
    <row r="3" spans="2:17" s="6" customFormat="1" ht="18.600000000000001" thickTop="1" thickBot="1">
      <c r="B3" s="8"/>
      <c r="C3" s="8"/>
      <c r="D3" s="8"/>
      <c r="E3" s="188"/>
      <c r="F3" s="8"/>
      <c r="G3" s="8"/>
      <c r="J3" s="200" t="s">
        <v>88</v>
      </c>
      <c r="K3" s="8"/>
      <c r="L3" s="337">
        <f>SUBTOTAL(109,L5:L1048576)</f>
        <v>588488889.2349999</v>
      </c>
      <c r="M3" s="426"/>
      <c r="N3" s="340">
        <f>SUBTOTAL(109,N5:N1048576)</f>
        <v>56287655.614999965</v>
      </c>
      <c r="O3" s="309">
        <f>SUBTOTAL(109,O5:O1048576)</f>
        <v>532201233.6200003</v>
      </c>
      <c r="P3" s="19"/>
      <c r="Q3" s="185"/>
    </row>
    <row r="4" spans="2:17" s="9" customFormat="1" ht="24" customHeight="1">
      <c r="B4" s="275" t="s">
        <v>7</v>
      </c>
      <c r="C4" s="276" t="s">
        <v>345</v>
      </c>
      <c r="D4" s="277" t="s">
        <v>76</v>
      </c>
      <c r="E4" s="278" t="s">
        <v>3</v>
      </c>
      <c r="F4" s="277" t="s">
        <v>0</v>
      </c>
      <c r="G4" s="279" t="s">
        <v>4</v>
      </c>
      <c r="H4" s="278" t="s">
        <v>5</v>
      </c>
      <c r="I4" s="278" t="s">
        <v>6</v>
      </c>
      <c r="J4" s="278" t="s">
        <v>2</v>
      </c>
      <c r="K4" s="280" t="s">
        <v>1</v>
      </c>
      <c r="L4" s="338" t="s">
        <v>88</v>
      </c>
      <c r="M4" s="427" t="s">
        <v>341</v>
      </c>
      <c r="N4" s="281" t="s">
        <v>232</v>
      </c>
      <c r="O4" s="334" t="s">
        <v>233</v>
      </c>
      <c r="P4" s="281" t="s">
        <v>82</v>
      </c>
      <c r="Q4" s="281" t="s">
        <v>274</v>
      </c>
    </row>
    <row r="5" spans="2:17" ht="18" customHeight="1">
      <c r="B5" s="341">
        <v>1</v>
      </c>
      <c r="C5" s="341" t="e">
        <f>VLOOKUP(G:G,list!B:D,2,FALSE)</f>
        <v>#N/A</v>
      </c>
      <c r="D5" s="341" t="s">
        <v>78</v>
      </c>
      <c r="E5" s="342" t="s">
        <v>115</v>
      </c>
      <c r="F5" s="341" t="s">
        <v>268</v>
      </c>
      <c r="G5" s="342" t="s">
        <v>39</v>
      </c>
      <c r="H5" s="343">
        <v>44553</v>
      </c>
      <c r="I5" s="341" t="s">
        <v>323</v>
      </c>
      <c r="J5" s="344">
        <v>4200</v>
      </c>
      <c r="K5" s="345" t="s">
        <v>271</v>
      </c>
      <c r="L5" s="346">
        <v>2380</v>
      </c>
      <c r="M5" s="428">
        <v>0.1</v>
      </c>
      <c r="N5" s="274">
        <f>L5*M5</f>
        <v>238</v>
      </c>
      <c r="O5" s="274">
        <f t="shared" ref="O5:O14" si="0">L5-N5</f>
        <v>2142</v>
      </c>
      <c r="P5" s="370"/>
      <c r="Q5" s="393" t="e">
        <f>VLOOKUP(G:G,list!B:D,3,FALSE)</f>
        <v>#N/A</v>
      </c>
    </row>
    <row r="6" spans="2:17" ht="18" customHeight="1">
      <c r="B6" s="341">
        <v>2</v>
      </c>
      <c r="C6" s="341" t="e">
        <f>VLOOKUP(G:G,list!B:D,2,FALSE)</f>
        <v>#N/A</v>
      </c>
      <c r="D6" s="341" t="s">
        <v>78</v>
      </c>
      <c r="E6" s="342" t="s">
        <v>115</v>
      </c>
      <c r="F6" s="341" t="s">
        <v>268</v>
      </c>
      <c r="G6" s="342" t="s">
        <v>40</v>
      </c>
      <c r="H6" s="343">
        <v>44554</v>
      </c>
      <c r="I6" s="341" t="s">
        <v>323</v>
      </c>
      <c r="J6" s="344">
        <v>2200</v>
      </c>
      <c r="K6" s="345" t="s">
        <v>271</v>
      </c>
      <c r="L6" s="346">
        <v>1540</v>
      </c>
      <c r="M6" s="428">
        <v>0.1</v>
      </c>
      <c r="N6" s="194">
        <f>L6*M6</f>
        <v>154</v>
      </c>
      <c r="O6" s="274">
        <f t="shared" si="0"/>
        <v>1386</v>
      </c>
      <c r="P6" s="370"/>
      <c r="Q6" s="393" t="e">
        <f>VLOOKUP(G:G,list!B:D,3,FALSE)</f>
        <v>#N/A</v>
      </c>
    </row>
    <row r="7" spans="2:17" ht="18" customHeight="1">
      <c r="B7" s="341">
        <v>3</v>
      </c>
      <c r="C7" s="341" t="e">
        <f>VLOOKUP(G:G,list!B:D,2,FALSE)</f>
        <v>#N/A</v>
      </c>
      <c r="D7" s="341" t="s">
        <v>78</v>
      </c>
      <c r="E7" s="342" t="s">
        <v>115</v>
      </c>
      <c r="F7" s="341" t="s">
        <v>268</v>
      </c>
      <c r="G7" s="342" t="s">
        <v>202</v>
      </c>
      <c r="H7" s="343">
        <v>44609</v>
      </c>
      <c r="I7" s="341" t="s">
        <v>323</v>
      </c>
      <c r="J7" s="344">
        <v>33600</v>
      </c>
      <c r="K7" s="345" t="s">
        <v>271</v>
      </c>
      <c r="L7" s="346">
        <v>21360</v>
      </c>
      <c r="M7" s="428" t="s">
        <v>203</v>
      </c>
      <c r="N7" s="194">
        <v>0</v>
      </c>
      <c r="O7" s="274">
        <f t="shared" si="0"/>
        <v>21360</v>
      </c>
      <c r="P7" s="392"/>
      <c r="Q7" s="393" t="e">
        <f>VLOOKUP(G:G,list!B:D,3,FALSE)</f>
        <v>#N/A</v>
      </c>
    </row>
    <row r="8" spans="2:17" ht="18" customHeight="1">
      <c r="B8" s="341">
        <v>4</v>
      </c>
      <c r="C8" s="341" t="e">
        <f>VLOOKUP(G:G,list!B:D,2,FALSE)</f>
        <v>#N/A</v>
      </c>
      <c r="D8" s="341" t="s">
        <v>78</v>
      </c>
      <c r="E8" s="342" t="s">
        <v>9</v>
      </c>
      <c r="F8" s="341" t="s">
        <v>242</v>
      </c>
      <c r="G8" s="342" t="s">
        <v>11</v>
      </c>
      <c r="H8" s="343">
        <v>44308</v>
      </c>
      <c r="I8" s="341" t="s">
        <v>323</v>
      </c>
      <c r="J8" s="344">
        <v>4048196</v>
      </c>
      <c r="K8" s="345">
        <v>0.6</v>
      </c>
      <c r="L8" s="346">
        <v>2428918</v>
      </c>
      <c r="M8" s="428" t="s">
        <v>203</v>
      </c>
      <c r="N8" s="274">
        <v>0</v>
      </c>
      <c r="O8" s="274">
        <f t="shared" si="0"/>
        <v>2428918</v>
      </c>
      <c r="P8" s="347"/>
      <c r="Q8" s="393" t="e">
        <f>VLOOKUP(G:G,list!B:D,3,FALSE)</f>
        <v>#N/A</v>
      </c>
    </row>
    <row r="9" spans="2:17" ht="18" customHeight="1">
      <c r="B9" s="341">
        <v>5</v>
      </c>
      <c r="C9" s="341" t="e">
        <f>VLOOKUP(G:G,list!B:D,2,FALSE)</f>
        <v>#N/A</v>
      </c>
      <c r="D9" s="341" t="s">
        <v>78</v>
      </c>
      <c r="E9" s="342" t="s">
        <v>9</v>
      </c>
      <c r="F9" s="341" t="s">
        <v>242</v>
      </c>
      <c r="G9" s="342" t="s">
        <v>10</v>
      </c>
      <c r="H9" s="343">
        <v>44309</v>
      </c>
      <c r="I9" s="341" t="s">
        <v>323</v>
      </c>
      <c r="J9" s="344">
        <v>91406303</v>
      </c>
      <c r="K9" s="345">
        <v>0.6</v>
      </c>
      <c r="L9" s="346">
        <v>54843782</v>
      </c>
      <c r="M9" s="428">
        <v>0.1</v>
      </c>
      <c r="N9" s="274">
        <f>L9*M9</f>
        <v>5484378.2000000002</v>
      </c>
      <c r="O9" s="274">
        <f t="shared" si="0"/>
        <v>49359403.799999997</v>
      </c>
      <c r="P9" s="191"/>
      <c r="Q9" s="393" t="e">
        <f>VLOOKUP(G:G,list!B:D,3,FALSE)</f>
        <v>#N/A</v>
      </c>
    </row>
    <row r="10" spans="2:17" ht="18" customHeight="1">
      <c r="B10" s="341">
        <v>6</v>
      </c>
      <c r="C10" s="341" t="e">
        <f>VLOOKUP(G:G,list!B:D,2,FALSE)</f>
        <v>#N/A</v>
      </c>
      <c r="D10" s="341" t="s">
        <v>78</v>
      </c>
      <c r="E10" s="342" t="s">
        <v>9</v>
      </c>
      <c r="F10" s="341" t="s">
        <v>242</v>
      </c>
      <c r="G10" s="342" t="s">
        <v>136</v>
      </c>
      <c r="H10" s="343">
        <v>44240</v>
      </c>
      <c r="I10" s="341" t="s">
        <v>323</v>
      </c>
      <c r="J10" s="348">
        <v>1544558</v>
      </c>
      <c r="K10" s="345">
        <v>0.6</v>
      </c>
      <c r="L10" s="346">
        <v>926735</v>
      </c>
      <c r="M10" s="428">
        <v>0.1</v>
      </c>
      <c r="N10" s="274">
        <f>L10*M10</f>
        <v>92673.5</v>
      </c>
      <c r="O10" s="274">
        <f t="shared" si="0"/>
        <v>834061.5</v>
      </c>
      <c r="P10" s="391"/>
      <c r="Q10" s="393" t="e">
        <f>VLOOKUP(G:G,list!B:D,3,FALSE)</f>
        <v>#N/A</v>
      </c>
    </row>
    <row r="11" spans="2:17" ht="18" customHeight="1">
      <c r="B11" s="341">
        <v>7</v>
      </c>
      <c r="C11" s="341" t="e">
        <f>VLOOKUP(G:G,list!B:D,2,FALSE)</f>
        <v>#N/A</v>
      </c>
      <c r="D11" s="341" t="s">
        <v>78</v>
      </c>
      <c r="E11" s="342" t="s">
        <v>9</v>
      </c>
      <c r="F11" s="341" t="s">
        <v>242</v>
      </c>
      <c r="G11" s="342" t="s">
        <v>17</v>
      </c>
      <c r="H11" s="343">
        <v>44391</v>
      </c>
      <c r="I11" s="341" t="s">
        <v>323</v>
      </c>
      <c r="J11" s="349">
        <v>35396782</v>
      </c>
      <c r="K11" s="350">
        <v>0.6</v>
      </c>
      <c r="L11" s="346">
        <v>21238069</v>
      </c>
      <c r="M11" s="428">
        <v>0.12</v>
      </c>
      <c r="N11" s="194">
        <f>L11*M11</f>
        <v>2548568.2799999998</v>
      </c>
      <c r="O11" s="274">
        <f t="shared" si="0"/>
        <v>18689500.719999999</v>
      </c>
      <c r="P11" s="191"/>
      <c r="Q11" s="393" t="e">
        <f>VLOOKUP(G:G,list!B:D,3,FALSE)</f>
        <v>#N/A</v>
      </c>
    </row>
    <row r="12" spans="2:17" ht="18" customHeight="1">
      <c r="B12" s="341">
        <v>8</v>
      </c>
      <c r="C12" s="341" t="e">
        <f>VLOOKUP(G:G,list!B:D,2,FALSE)</f>
        <v>#N/A</v>
      </c>
      <c r="D12" s="341" t="s">
        <v>78</v>
      </c>
      <c r="E12" s="342" t="s">
        <v>9</v>
      </c>
      <c r="F12" s="341" t="s">
        <v>242</v>
      </c>
      <c r="G12" s="342" t="s">
        <v>306</v>
      </c>
      <c r="H12" s="343">
        <v>44603</v>
      </c>
      <c r="I12" s="341" t="s">
        <v>323</v>
      </c>
      <c r="J12" s="349">
        <v>3314646</v>
      </c>
      <c r="K12" s="350">
        <v>0.6</v>
      </c>
      <c r="L12" s="346">
        <v>1988788</v>
      </c>
      <c r="M12" s="428" t="s">
        <v>203</v>
      </c>
      <c r="N12" s="194">
        <v>0</v>
      </c>
      <c r="O12" s="274">
        <f t="shared" si="0"/>
        <v>1988788</v>
      </c>
      <c r="P12" s="391"/>
      <c r="Q12" s="393" t="e">
        <f>VLOOKUP(G:G,list!B:D,3,FALSE)</f>
        <v>#N/A</v>
      </c>
    </row>
    <row r="13" spans="2:17" ht="18" customHeight="1">
      <c r="B13" s="341">
        <v>9</v>
      </c>
      <c r="C13" s="341" t="e">
        <f>VLOOKUP(G:G,list!B:D,2,FALSE)</f>
        <v>#N/A</v>
      </c>
      <c r="D13" s="341" t="s">
        <v>78</v>
      </c>
      <c r="E13" s="342" t="s">
        <v>115</v>
      </c>
      <c r="F13" s="341" t="s">
        <v>242</v>
      </c>
      <c r="G13" s="342" t="s">
        <v>204</v>
      </c>
      <c r="H13" s="343">
        <v>44428</v>
      </c>
      <c r="I13" s="341" t="s">
        <v>323</v>
      </c>
      <c r="J13" s="351">
        <v>287136</v>
      </c>
      <c r="K13" s="352">
        <v>0.7</v>
      </c>
      <c r="L13" s="346">
        <v>200995</v>
      </c>
      <c r="M13" s="428">
        <v>0.1</v>
      </c>
      <c r="N13" s="194">
        <f>L13*M13</f>
        <v>20099.5</v>
      </c>
      <c r="O13" s="274">
        <f t="shared" si="0"/>
        <v>180895.5</v>
      </c>
      <c r="P13" s="193"/>
      <c r="Q13" s="393" t="e">
        <f>VLOOKUP(G:G,list!B:D,3,FALSE)</f>
        <v>#N/A</v>
      </c>
    </row>
    <row r="14" spans="2:17" ht="18" customHeight="1">
      <c r="B14" s="341">
        <v>10</v>
      </c>
      <c r="C14" s="341" t="e">
        <f>VLOOKUP(G:G,list!B:D,2,FALSE)</f>
        <v>#N/A</v>
      </c>
      <c r="D14" s="341" t="s">
        <v>78</v>
      </c>
      <c r="E14" s="342" t="s">
        <v>115</v>
      </c>
      <c r="F14" s="341" t="s">
        <v>242</v>
      </c>
      <c r="G14" s="342" t="s">
        <v>202</v>
      </c>
      <c r="H14" s="343">
        <v>44525</v>
      </c>
      <c r="I14" s="341" t="s">
        <v>323</v>
      </c>
      <c r="J14" s="348">
        <v>54600</v>
      </c>
      <c r="K14" s="345">
        <v>0.7</v>
      </c>
      <c r="L14" s="346">
        <v>38220</v>
      </c>
      <c r="M14" s="428" t="s">
        <v>203</v>
      </c>
      <c r="N14" s="274">
        <v>0</v>
      </c>
      <c r="O14" s="274">
        <f t="shared" si="0"/>
        <v>38220</v>
      </c>
      <c r="P14" s="193"/>
      <c r="Q14" s="393" t="e">
        <f>VLOOKUP(G:G,list!B:D,3,FALSE)</f>
        <v>#N/A</v>
      </c>
    </row>
    <row r="15" spans="2:17" ht="18" customHeight="1">
      <c r="B15" s="341">
        <v>11</v>
      </c>
      <c r="C15" s="341" t="str">
        <f>VLOOKUP(G:G,list!B:D,2,FALSE)</f>
        <v>작가기획</v>
      </c>
      <c r="D15" s="341" t="s">
        <v>78</v>
      </c>
      <c r="E15" s="342" t="s">
        <v>9</v>
      </c>
      <c r="F15" s="341" t="s">
        <v>272</v>
      </c>
      <c r="G15" s="342" t="s">
        <v>139</v>
      </c>
      <c r="H15" s="353">
        <v>44513</v>
      </c>
      <c r="I15" s="354" t="s">
        <v>325</v>
      </c>
      <c r="J15" s="348">
        <v>97160</v>
      </c>
      <c r="K15" s="345">
        <v>0.5</v>
      </c>
      <c r="L15" s="346">
        <v>48580</v>
      </c>
      <c r="M15" s="428" t="s">
        <v>203</v>
      </c>
      <c r="N15" s="274">
        <v>0</v>
      </c>
      <c r="O15" s="274">
        <f t="shared" ref="O15:O23" si="1">L15-N15</f>
        <v>48580</v>
      </c>
      <c r="P15" s="355"/>
      <c r="Q15" s="393" t="str">
        <f>VLOOKUP(G:G,list!B:D,3,FALSE)</f>
        <v>Y</v>
      </c>
    </row>
    <row r="16" spans="2:17" ht="18" customHeight="1">
      <c r="B16" s="341">
        <v>12</v>
      </c>
      <c r="C16" s="341" t="e">
        <f>VLOOKUP(G:G,list!B:D,2,FALSE)</f>
        <v>#N/A</v>
      </c>
      <c r="D16" s="341" t="s">
        <v>78</v>
      </c>
      <c r="E16" s="342" t="s">
        <v>115</v>
      </c>
      <c r="F16" s="341" t="s">
        <v>245</v>
      </c>
      <c r="G16" s="342" t="s">
        <v>202</v>
      </c>
      <c r="H16" s="353">
        <v>44441</v>
      </c>
      <c r="I16" s="341" t="s">
        <v>323</v>
      </c>
      <c r="J16" s="348">
        <v>0</v>
      </c>
      <c r="K16" s="345" t="s">
        <v>203</v>
      </c>
      <c r="L16" s="346">
        <v>89200</v>
      </c>
      <c r="M16" s="428" t="s">
        <v>203</v>
      </c>
      <c r="N16" s="274">
        <v>0</v>
      </c>
      <c r="O16" s="274">
        <f t="shared" si="1"/>
        <v>89200</v>
      </c>
      <c r="P16" s="193"/>
      <c r="Q16" s="393" t="e">
        <f>VLOOKUP(G:G,list!B:D,3,FALSE)</f>
        <v>#N/A</v>
      </c>
    </row>
    <row r="17" spans="2:17" ht="18" customHeight="1">
      <c r="B17" s="341">
        <v>13</v>
      </c>
      <c r="C17" s="341" t="e">
        <f>VLOOKUP(G:G,list!B:D,2,FALSE)</f>
        <v>#N/A</v>
      </c>
      <c r="D17" s="341" t="s">
        <v>78</v>
      </c>
      <c r="E17" s="342" t="s">
        <v>115</v>
      </c>
      <c r="F17" s="341" t="s">
        <v>201</v>
      </c>
      <c r="G17" s="342" t="s">
        <v>202</v>
      </c>
      <c r="H17" s="343">
        <v>44300</v>
      </c>
      <c r="I17" s="341" t="s">
        <v>325</v>
      </c>
      <c r="J17" s="349">
        <v>612037</v>
      </c>
      <c r="K17" s="345">
        <v>0.7</v>
      </c>
      <c r="L17" s="346">
        <v>428426</v>
      </c>
      <c r="M17" s="428" t="s">
        <v>203</v>
      </c>
      <c r="N17" s="274">
        <v>0</v>
      </c>
      <c r="O17" s="274">
        <f t="shared" si="1"/>
        <v>428426</v>
      </c>
      <c r="P17" s="193"/>
      <c r="Q17" s="393" t="e">
        <f>VLOOKUP(G:G,list!B:D,3,FALSE)</f>
        <v>#N/A</v>
      </c>
    </row>
    <row r="18" spans="2:17" ht="18" customHeight="1">
      <c r="B18" s="341">
        <v>14</v>
      </c>
      <c r="C18" s="341" t="e">
        <f>VLOOKUP(G:G,list!B:D,2,FALSE)</f>
        <v>#N/A</v>
      </c>
      <c r="D18" s="341" t="s">
        <v>78</v>
      </c>
      <c r="E18" s="342" t="s">
        <v>9</v>
      </c>
      <c r="F18" s="341" t="s">
        <v>201</v>
      </c>
      <c r="G18" s="342" t="s">
        <v>279</v>
      </c>
      <c r="H18" s="343">
        <v>44644</v>
      </c>
      <c r="I18" s="341" t="s">
        <v>325</v>
      </c>
      <c r="J18" s="349">
        <v>5061174</v>
      </c>
      <c r="K18" s="345">
        <v>0.6</v>
      </c>
      <c r="L18" s="346">
        <v>3036704</v>
      </c>
      <c r="M18" s="428">
        <v>0.1</v>
      </c>
      <c r="N18" s="194">
        <f>L18*M18</f>
        <v>303670.40000000002</v>
      </c>
      <c r="O18" s="274">
        <f t="shared" si="1"/>
        <v>2733033.6</v>
      </c>
      <c r="P18" s="422" t="s">
        <v>333</v>
      </c>
      <c r="Q18" s="393" t="e">
        <f>VLOOKUP(G:G,list!B:D,3,FALSE)</f>
        <v>#N/A</v>
      </c>
    </row>
    <row r="19" spans="2:17" ht="18" customHeight="1">
      <c r="B19" s="341">
        <v>15</v>
      </c>
      <c r="C19" s="341" t="str">
        <f>VLOOKUP(G:G,list!B:D,2,FALSE)</f>
        <v>원작료</v>
      </c>
      <c r="D19" s="341" t="s">
        <v>78</v>
      </c>
      <c r="E19" s="341" t="s">
        <v>198</v>
      </c>
      <c r="F19" s="341" t="s">
        <v>200</v>
      </c>
      <c r="G19" s="341" t="s">
        <v>151</v>
      </c>
      <c r="H19" s="343">
        <v>44469</v>
      </c>
      <c r="I19" s="341" t="s">
        <v>325</v>
      </c>
      <c r="J19" s="349">
        <v>281000</v>
      </c>
      <c r="K19" s="345">
        <v>0.1</v>
      </c>
      <c r="L19" s="346">
        <v>28100</v>
      </c>
      <c r="M19" s="428">
        <v>0.1</v>
      </c>
      <c r="N19" s="274">
        <f>L19*M19</f>
        <v>2810</v>
      </c>
      <c r="O19" s="274">
        <f t="shared" si="1"/>
        <v>25290</v>
      </c>
      <c r="P19" s="193"/>
      <c r="Q19" s="393" t="str">
        <f>VLOOKUP(G:G,list!B:D,3,FALSE)</f>
        <v>Y</v>
      </c>
    </row>
    <row r="20" spans="2:17" ht="18" customHeight="1">
      <c r="B20" s="341">
        <v>16</v>
      </c>
      <c r="C20" s="341" t="str">
        <f>VLOOKUP(G:G,list!B:D,2,FALSE)</f>
        <v>작가기획</v>
      </c>
      <c r="D20" s="341" t="s">
        <v>78</v>
      </c>
      <c r="E20" s="342" t="s">
        <v>9</v>
      </c>
      <c r="F20" s="341" t="s">
        <v>246</v>
      </c>
      <c r="G20" s="342" t="s">
        <v>36</v>
      </c>
      <c r="H20" s="343">
        <v>43810</v>
      </c>
      <c r="I20" s="341" t="s">
        <v>323</v>
      </c>
      <c r="J20" s="349">
        <v>5876820</v>
      </c>
      <c r="K20" s="345" t="s">
        <v>165</v>
      </c>
      <c r="L20" s="346">
        <v>2351295</v>
      </c>
      <c r="M20" s="428" t="s">
        <v>203</v>
      </c>
      <c r="N20" s="274">
        <v>0</v>
      </c>
      <c r="O20" s="274">
        <f t="shared" si="1"/>
        <v>2351295</v>
      </c>
      <c r="P20" s="193"/>
      <c r="Q20" s="393" t="str">
        <f>VLOOKUP(G:G,list!B:D,3,FALSE)</f>
        <v>Y</v>
      </c>
    </row>
    <row r="21" spans="2:17" ht="18" customHeight="1">
      <c r="B21" s="341">
        <v>17</v>
      </c>
      <c r="C21" s="341" t="str">
        <f>VLOOKUP(G:G,list!B:D,2,FALSE)</f>
        <v>작가기획</v>
      </c>
      <c r="D21" s="341" t="s">
        <v>78</v>
      </c>
      <c r="E21" s="342" t="s">
        <v>9</v>
      </c>
      <c r="F21" s="341" t="s">
        <v>246</v>
      </c>
      <c r="G21" s="342" t="s">
        <v>139</v>
      </c>
      <c r="H21" s="343">
        <v>43852</v>
      </c>
      <c r="I21" s="341" t="s">
        <v>323</v>
      </c>
      <c r="J21" s="349">
        <v>376920</v>
      </c>
      <c r="K21" s="345" t="s">
        <v>165</v>
      </c>
      <c r="L21" s="346">
        <v>154710</v>
      </c>
      <c r="M21" s="428" t="s">
        <v>203</v>
      </c>
      <c r="N21" s="274">
        <v>0</v>
      </c>
      <c r="O21" s="274">
        <f t="shared" si="1"/>
        <v>154710</v>
      </c>
      <c r="P21" s="355"/>
      <c r="Q21" s="393" t="str">
        <f>VLOOKUP(G:G,list!B:D,3,FALSE)</f>
        <v>Y</v>
      </c>
    </row>
    <row r="22" spans="2:17" ht="18" customHeight="1">
      <c r="B22" s="341">
        <v>18</v>
      </c>
      <c r="C22" s="341" t="e">
        <f>VLOOKUP(G:G,list!B:D,2,FALSE)</f>
        <v>#N/A</v>
      </c>
      <c r="D22" s="341" t="s">
        <v>78</v>
      </c>
      <c r="E22" s="342" t="s">
        <v>115</v>
      </c>
      <c r="F22" s="341" t="s">
        <v>246</v>
      </c>
      <c r="G22" s="342" t="s">
        <v>19</v>
      </c>
      <c r="H22" s="343">
        <v>44328</v>
      </c>
      <c r="I22" s="341" t="s">
        <v>323</v>
      </c>
      <c r="J22" s="349">
        <v>289440</v>
      </c>
      <c r="K22" s="345" t="s">
        <v>120</v>
      </c>
      <c r="L22" s="346">
        <v>134698</v>
      </c>
      <c r="M22" s="428" t="s">
        <v>203</v>
      </c>
      <c r="N22" s="274">
        <v>0</v>
      </c>
      <c r="O22" s="274">
        <f t="shared" si="1"/>
        <v>134698</v>
      </c>
      <c r="P22" s="191"/>
      <c r="Q22" s="393" t="e">
        <f>VLOOKUP(G:G,list!B:D,3,FALSE)</f>
        <v>#N/A</v>
      </c>
    </row>
    <row r="23" spans="2:17" ht="18" customHeight="1">
      <c r="B23" s="341">
        <v>19</v>
      </c>
      <c r="C23" s="341" t="str">
        <f>VLOOKUP(G:G,list!B:D,2,FALSE)</f>
        <v>작가기획</v>
      </c>
      <c r="D23" s="341" t="s">
        <v>23</v>
      </c>
      <c r="E23" s="342" t="s">
        <v>62</v>
      </c>
      <c r="F23" s="341" t="s">
        <v>246</v>
      </c>
      <c r="G23" s="342" t="s">
        <v>180</v>
      </c>
      <c r="H23" s="343">
        <v>44505</v>
      </c>
      <c r="I23" s="341" t="s">
        <v>329</v>
      </c>
      <c r="J23" s="349">
        <v>621461</v>
      </c>
      <c r="K23" s="345">
        <v>0.4</v>
      </c>
      <c r="L23" s="346">
        <v>248584</v>
      </c>
      <c r="M23" s="428" t="s">
        <v>203</v>
      </c>
      <c r="N23" s="274">
        <v>0</v>
      </c>
      <c r="O23" s="274">
        <f t="shared" si="1"/>
        <v>248584</v>
      </c>
      <c r="P23" s="191"/>
      <c r="Q23" s="393" t="str">
        <f>VLOOKUP(G:G,list!B:D,3,FALSE)</f>
        <v>Y</v>
      </c>
    </row>
    <row r="24" spans="2:17" ht="18" customHeight="1">
      <c r="B24" s="341">
        <v>20</v>
      </c>
      <c r="C24" s="341" t="e">
        <f>VLOOKUP(G:G,list!B:D,2,FALSE)</f>
        <v>#N/A</v>
      </c>
      <c r="D24" s="341" t="s">
        <v>78</v>
      </c>
      <c r="E24" s="342" t="s">
        <v>115</v>
      </c>
      <c r="F24" s="341" t="s">
        <v>197</v>
      </c>
      <c r="G24" s="342" t="s">
        <v>202</v>
      </c>
      <c r="H24" s="356">
        <v>44328</v>
      </c>
      <c r="I24" s="341" t="s">
        <v>323</v>
      </c>
      <c r="J24" s="357">
        <v>600</v>
      </c>
      <c r="K24" s="345">
        <v>0.7</v>
      </c>
      <c r="L24" s="346">
        <v>420</v>
      </c>
      <c r="M24" s="428" t="s">
        <v>203</v>
      </c>
      <c r="N24" s="274">
        <v>0</v>
      </c>
      <c r="O24" s="274">
        <f t="shared" ref="O24:O38" si="2">L24-N24</f>
        <v>420</v>
      </c>
      <c r="P24" s="347"/>
      <c r="Q24" s="393" t="e">
        <f>VLOOKUP(G:G,list!B:D,3,FALSE)</f>
        <v>#N/A</v>
      </c>
    </row>
    <row r="25" spans="2:17" ht="18" customHeight="1">
      <c r="B25" s="341">
        <v>21</v>
      </c>
      <c r="C25" s="341" t="e">
        <f>VLOOKUP(G:G,list!B:D,2,FALSE)</f>
        <v>#N/A</v>
      </c>
      <c r="D25" s="341" t="s">
        <v>78</v>
      </c>
      <c r="E25" s="342" t="s">
        <v>115</v>
      </c>
      <c r="F25" s="341" t="s">
        <v>309</v>
      </c>
      <c r="G25" s="342" t="s">
        <v>39</v>
      </c>
      <c r="H25" s="356">
        <v>44602</v>
      </c>
      <c r="I25" s="341" t="s">
        <v>323</v>
      </c>
      <c r="J25" s="357">
        <v>14200</v>
      </c>
      <c r="K25" s="345">
        <v>0.7</v>
      </c>
      <c r="L25" s="346">
        <v>9940</v>
      </c>
      <c r="M25" s="428">
        <v>0.1</v>
      </c>
      <c r="N25" s="274">
        <f t="shared" ref="N25:N32" si="3">L25*M25</f>
        <v>994</v>
      </c>
      <c r="O25" s="274">
        <f t="shared" si="2"/>
        <v>8946</v>
      </c>
      <c r="P25" s="347"/>
      <c r="Q25" s="393" t="e">
        <f>VLOOKUP(G:G,list!B:D,3,FALSE)</f>
        <v>#N/A</v>
      </c>
    </row>
    <row r="26" spans="2:17" ht="18" customHeight="1">
      <c r="B26" s="341">
        <v>22</v>
      </c>
      <c r="C26" s="341" t="e">
        <f>VLOOKUP(G:G,list!B:D,2,FALSE)</f>
        <v>#N/A</v>
      </c>
      <c r="D26" s="341" t="s">
        <v>78</v>
      </c>
      <c r="E26" s="342" t="s">
        <v>115</v>
      </c>
      <c r="F26" s="341" t="s">
        <v>309</v>
      </c>
      <c r="G26" s="342" t="s">
        <v>40</v>
      </c>
      <c r="H26" s="356">
        <v>44603</v>
      </c>
      <c r="I26" s="341" t="s">
        <v>323</v>
      </c>
      <c r="J26" s="357">
        <v>3400</v>
      </c>
      <c r="K26" s="345">
        <v>0.7</v>
      </c>
      <c r="L26" s="346">
        <v>2380</v>
      </c>
      <c r="M26" s="428">
        <v>0.1</v>
      </c>
      <c r="N26" s="194">
        <f t="shared" si="3"/>
        <v>238</v>
      </c>
      <c r="O26" s="274">
        <f t="shared" si="2"/>
        <v>2142</v>
      </c>
      <c r="P26" s="347"/>
      <c r="Q26" s="393" t="e">
        <f>VLOOKUP(G:G,list!B:D,3,FALSE)</f>
        <v>#N/A</v>
      </c>
    </row>
    <row r="27" spans="2:17" ht="18" customHeight="1">
      <c r="B27" s="341">
        <v>23</v>
      </c>
      <c r="C27" s="341" t="e">
        <f>VLOOKUP(G:G,list!B:D,2,FALSE)</f>
        <v>#N/A</v>
      </c>
      <c r="D27" s="341" t="s">
        <v>78</v>
      </c>
      <c r="E27" s="342" t="s">
        <v>115</v>
      </c>
      <c r="F27" s="341" t="s">
        <v>309</v>
      </c>
      <c r="G27" s="342" t="s">
        <v>38</v>
      </c>
      <c r="H27" s="356">
        <v>44603</v>
      </c>
      <c r="I27" s="341" t="s">
        <v>323</v>
      </c>
      <c r="J27" s="357">
        <v>800</v>
      </c>
      <c r="K27" s="345">
        <v>0.7</v>
      </c>
      <c r="L27" s="346">
        <v>560</v>
      </c>
      <c r="M27" s="428">
        <v>0.1</v>
      </c>
      <c r="N27" s="194">
        <f t="shared" si="3"/>
        <v>56</v>
      </c>
      <c r="O27" s="274">
        <f t="shared" si="2"/>
        <v>504</v>
      </c>
      <c r="P27" s="347"/>
      <c r="Q27" s="393" t="e">
        <f>VLOOKUP(G:G,list!B:D,3,FALSE)</f>
        <v>#N/A</v>
      </c>
    </row>
    <row r="28" spans="2:17" ht="18" customHeight="1">
      <c r="B28" s="341">
        <v>24</v>
      </c>
      <c r="C28" s="341" t="e">
        <f>VLOOKUP(G:G,list!B:D,2,FALSE)</f>
        <v>#N/A</v>
      </c>
      <c r="D28" s="341" t="s">
        <v>78</v>
      </c>
      <c r="E28" s="358" t="s">
        <v>9</v>
      </c>
      <c r="F28" s="341" t="s">
        <v>209</v>
      </c>
      <c r="G28" s="358" t="s">
        <v>28</v>
      </c>
      <c r="H28" s="359">
        <v>44409</v>
      </c>
      <c r="I28" s="341" t="s">
        <v>323</v>
      </c>
      <c r="J28" s="357">
        <v>1408134</v>
      </c>
      <c r="K28" s="345">
        <v>0.55000030549787249</v>
      </c>
      <c r="L28" s="346">
        <v>774474</v>
      </c>
      <c r="M28" s="428">
        <v>0.12</v>
      </c>
      <c r="N28" s="194">
        <f t="shared" si="3"/>
        <v>92936.87999999999</v>
      </c>
      <c r="O28" s="274">
        <f t="shared" si="2"/>
        <v>681537.12</v>
      </c>
      <c r="P28" s="191"/>
      <c r="Q28" s="393" t="e">
        <f>VLOOKUP(G:G,list!B:D,3,FALSE)</f>
        <v>#N/A</v>
      </c>
    </row>
    <row r="29" spans="2:17" ht="18" customHeight="1">
      <c r="B29" s="341">
        <v>25</v>
      </c>
      <c r="C29" s="341" t="e">
        <f>VLOOKUP(G:G,list!B:D,2,FALSE)</f>
        <v>#N/A</v>
      </c>
      <c r="D29" s="341" t="s">
        <v>78</v>
      </c>
      <c r="E29" s="358" t="s">
        <v>9</v>
      </c>
      <c r="F29" s="341" t="s">
        <v>209</v>
      </c>
      <c r="G29" s="358" t="s">
        <v>42</v>
      </c>
      <c r="H29" s="359">
        <v>44409</v>
      </c>
      <c r="I29" s="341" t="s">
        <v>323</v>
      </c>
      <c r="J29" s="357">
        <v>11459392</v>
      </c>
      <c r="K29" s="345">
        <v>0.55000005938954677</v>
      </c>
      <c r="L29" s="346">
        <v>6302667</v>
      </c>
      <c r="M29" s="428">
        <v>0.1</v>
      </c>
      <c r="N29" s="194">
        <f t="shared" si="3"/>
        <v>630266.70000000007</v>
      </c>
      <c r="O29" s="274">
        <f t="shared" si="2"/>
        <v>5672400.2999999998</v>
      </c>
      <c r="P29" s="195" t="s">
        <v>144</v>
      </c>
      <c r="Q29" s="393" t="e">
        <f>VLOOKUP(G:G,list!B:D,3,FALSE)</f>
        <v>#N/A</v>
      </c>
    </row>
    <row r="30" spans="2:17" ht="18" customHeight="1">
      <c r="B30" s="341">
        <v>26</v>
      </c>
      <c r="C30" s="341" t="e">
        <f>VLOOKUP(G:G,list!B:D,2,FALSE)</f>
        <v>#N/A</v>
      </c>
      <c r="D30" s="341" t="s">
        <v>78</v>
      </c>
      <c r="E30" s="358" t="s">
        <v>9</v>
      </c>
      <c r="F30" s="341" t="s">
        <v>209</v>
      </c>
      <c r="G30" s="358" t="s">
        <v>54</v>
      </c>
      <c r="H30" s="359">
        <v>44409</v>
      </c>
      <c r="I30" s="341" t="s">
        <v>323</v>
      </c>
      <c r="J30" s="357">
        <v>189500</v>
      </c>
      <c r="K30" s="345">
        <v>0.55000086238120693</v>
      </c>
      <c r="L30" s="346">
        <v>104226</v>
      </c>
      <c r="M30" s="428">
        <v>0.1</v>
      </c>
      <c r="N30" s="274">
        <f t="shared" si="3"/>
        <v>10422.6</v>
      </c>
      <c r="O30" s="274">
        <f>L30-N30</f>
        <v>93803.4</v>
      </c>
      <c r="P30" s="191"/>
      <c r="Q30" s="393" t="e">
        <f>VLOOKUP(G:G,list!B:D,3,FALSE)</f>
        <v>#N/A</v>
      </c>
    </row>
    <row r="31" spans="2:17" ht="18" customHeight="1">
      <c r="B31" s="341">
        <v>27</v>
      </c>
      <c r="C31" s="341" t="e">
        <f>VLOOKUP(G:G,list!B:D,2,FALSE)</f>
        <v>#N/A</v>
      </c>
      <c r="D31" s="341" t="s">
        <v>78</v>
      </c>
      <c r="E31" s="358" t="s">
        <v>9</v>
      </c>
      <c r="F31" s="341" t="s">
        <v>209</v>
      </c>
      <c r="G31" s="358" t="s">
        <v>46</v>
      </c>
      <c r="H31" s="359">
        <v>44409</v>
      </c>
      <c r="I31" s="341" t="s">
        <v>323</v>
      </c>
      <c r="J31" s="357">
        <v>752281</v>
      </c>
      <c r="K31" s="345">
        <v>0.55000030235412922</v>
      </c>
      <c r="L31" s="346">
        <v>413755</v>
      </c>
      <c r="M31" s="428">
        <v>0.1</v>
      </c>
      <c r="N31" s="194">
        <f t="shared" si="3"/>
        <v>41375.5</v>
      </c>
      <c r="O31" s="274">
        <f t="shared" si="2"/>
        <v>372379.5</v>
      </c>
      <c r="P31" s="347"/>
      <c r="Q31" s="393" t="e">
        <f>VLOOKUP(G:G,list!B:D,3,FALSE)</f>
        <v>#N/A</v>
      </c>
    </row>
    <row r="32" spans="2:17" ht="18" customHeight="1">
      <c r="B32" s="341">
        <v>28</v>
      </c>
      <c r="C32" s="341" t="str">
        <f>VLOOKUP(G:G,list!B:D,2,FALSE)</f>
        <v>원작료</v>
      </c>
      <c r="D32" s="341" t="s">
        <v>78</v>
      </c>
      <c r="E32" s="358" t="s">
        <v>9</v>
      </c>
      <c r="F32" s="341" t="s">
        <v>209</v>
      </c>
      <c r="G32" s="358" t="s">
        <v>30</v>
      </c>
      <c r="H32" s="359">
        <v>44409</v>
      </c>
      <c r="I32" s="341" t="s">
        <v>323</v>
      </c>
      <c r="J32" s="357">
        <v>1073896</v>
      </c>
      <c r="K32" s="345">
        <v>0.55000024483664012</v>
      </c>
      <c r="L32" s="346">
        <v>590643</v>
      </c>
      <c r="M32" s="428">
        <v>0.1</v>
      </c>
      <c r="N32" s="274">
        <f t="shared" si="3"/>
        <v>59064.3</v>
      </c>
      <c r="O32" s="274">
        <f t="shared" si="2"/>
        <v>531578.69999999995</v>
      </c>
      <c r="P32" s="191"/>
      <c r="Q32" s="393" t="str">
        <f>VLOOKUP(G:G,list!B:D,3,FALSE)</f>
        <v>Y</v>
      </c>
    </row>
    <row r="33" spans="2:17" ht="18" customHeight="1">
      <c r="B33" s="341">
        <v>29</v>
      </c>
      <c r="C33" s="341" t="e">
        <f>VLOOKUP(G:G,list!B:D,2,FALSE)</f>
        <v>#N/A</v>
      </c>
      <c r="D33" s="341" t="s">
        <v>78</v>
      </c>
      <c r="E33" s="358" t="s">
        <v>9</v>
      </c>
      <c r="F33" s="341" t="s">
        <v>209</v>
      </c>
      <c r="G33" s="358" t="s">
        <v>53</v>
      </c>
      <c r="H33" s="359">
        <v>44409</v>
      </c>
      <c r="I33" s="341" t="s">
        <v>323</v>
      </c>
      <c r="J33" s="357">
        <v>1507506</v>
      </c>
      <c r="K33" s="345">
        <v>0.55000033990713737</v>
      </c>
      <c r="L33" s="346">
        <v>829128</v>
      </c>
      <c r="M33" s="428" t="s">
        <v>203</v>
      </c>
      <c r="N33" s="274">
        <v>0</v>
      </c>
      <c r="O33" s="274">
        <f t="shared" si="2"/>
        <v>829128</v>
      </c>
      <c r="P33" s="347"/>
      <c r="Q33" s="393" t="e">
        <f>VLOOKUP(G:G,list!B:D,3,FALSE)</f>
        <v>#N/A</v>
      </c>
    </row>
    <row r="34" spans="2:17" ht="18" customHeight="1">
      <c r="B34" s="341">
        <v>30</v>
      </c>
      <c r="C34" s="341" t="e">
        <f>VLOOKUP(G:G,list!B:D,2,FALSE)</f>
        <v>#N/A</v>
      </c>
      <c r="D34" s="341" t="s">
        <v>78</v>
      </c>
      <c r="E34" s="358" t="s">
        <v>9</v>
      </c>
      <c r="F34" s="341" t="s">
        <v>209</v>
      </c>
      <c r="G34" s="358" t="s">
        <v>43</v>
      </c>
      <c r="H34" s="359">
        <v>44465</v>
      </c>
      <c r="I34" s="341" t="s">
        <v>323</v>
      </c>
      <c r="J34" s="357">
        <v>7677990</v>
      </c>
      <c r="K34" s="345">
        <v>0.5500000916758343</v>
      </c>
      <c r="L34" s="346">
        <v>4222896</v>
      </c>
      <c r="M34" s="428">
        <v>0.1</v>
      </c>
      <c r="N34" s="194">
        <f>L34*M34</f>
        <v>422289.60000000003</v>
      </c>
      <c r="O34" s="274">
        <f t="shared" si="2"/>
        <v>3800606.4</v>
      </c>
      <c r="P34" s="191"/>
      <c r="Q34" s="393" t="e">
        <f>VLOOKUP(G:G,list!B:D,3,FALSE)</f>
        <v>#N/A</v>
      </c>
    </row>
    <row r="35" spans="2:17" ht="18" customHeight="1">
      <c r="B35" s="341">
        <v>31</v>
      </c>
      <c r="C35" s="341" t="e">
        <f>VLOOKUP(G:G,list!B:D,2,FALSE)</f>
        <v>#N/A</v>
      </c>
      <c r="D35" s="341" t="s">
        <v>78</v>
      </c>
      <c r="E35" s="358" t="s">
        <v>9</v>
      </c>
      <c r="F35" s="341" t="s">
        <v>209</v>
      </c>
      <c r="G35" s="358" t="s">
        <v>225</v>
      </c>
      <c r="H35" s="359">
        <v>44484</v>
      </c>
      <c r="I35" s="341" t="s">
        <v>323</v>
      </c>
      <c r="J35" s="357">
        <v>939602</v>
      </c>
      <c r="K35" s="345">
        <v>0.55000056541116071</v>
      </c>
      <c r="L35" s="346">
        <v>516782</v>
      </c>
      <c r="M35" s="428">
        <v>0.1</v>
      </c>
      <c r="N35" s="274">
        <f>L35*M35</f>
        <v>51678.200000000004</v>
      </c>
      <c r="O35" s="274">
        <f t="shared" si="2"/>
        <v>465103.8</v>
      </c>
      <c r="P35" s="191"/>
      <c r="Q35" s="393" t="e">
        <f>VLOOKUP(G:G,list!B:D,3,FALSE)</f>
        <v>#N/A</v>
      </c>
    </row>
    <row r="36" spans="2:17" ht="18" customHeight="1">
      <c r="B36" s="341">
        <v>32</v>
      </c>
      <c r="C36" s="341" t="e">
        <f>VLOOKUP(G:G,list!B:D,2,FALSE)</f>
        <v>#N/A</v>
      </c>
      <c r="D36" s="341" t="s">
        <v>78</v>
      </c>
      <c r="E36" s="358" t="s">
        <v>9</v>
      </c>
      <c r="F36" s="341" t="s">
        <v>209</v>
      </c>
      <c r="G36" s="358" t="s">
        <v>29</v>
      </c>
      <c r="H36" s="359">
        <v>44510</v>
      </c>
      <c r="I36" s="341" t="s">
        <v>323</v>
      </c>
      <c r="J36" s="357">
        <v>1601573</v>
      </c>
      <c r="K36" s="345">
        <v>0.55000024262484026</v>
      </c>
      <c r="L36" s="346">
        <v>880866</v>
      </c>
      <c r="M36" s="428">
        <v>0.1</v>
      </c>
      <c r="N36" s="274">
        <f>L36*M36</f>
        <v>88086.6</v>
      </c>
      <c r="O36" s="274">
        <f t="shared" si="2"/>
        <v>792779.4</v>
      </c>
      <c r="P36" s="191"/>
      <c r="Q36" s="393" t="e">
        <f>VLOOKUP(G:G,list!B:D,3,FALSE)</f>
        <v>#N/A</v>
      </c>
    </row>
    <row r="37" spans="2:17" ht="18" customHeight="1">
      <c r="B37" s="341">
        <v>33</v>
      </c>
      <c r="C37" s="341" t="e">
        <f>VLOOKUP(G:G,list!B:D,2,FALSE)</f>
        <v>#N/A</v>
      </c>
      <c r="D37" s="341" t="s">
        <v>78</v>
      </c>
      <c r="E37" s="358" t="s">
        <v>9</v>
      </c>
      <c r="F37" s="341" t="s">
        <v>209</v>
      </c>
      <c r="G37" s="358" t="s">
        <v>59</v>
      </c>
      <c r="H37" s="359">
        <v>44595</v>
      </c>
      <c r="I37" s="341" t="s">
        <v>323</v>
      </c>
      <c r="J37" s="357">
        <v>1975728</v>
      </c>
      <c r="K37" s="345">
        <v>0.55000024262484026</v>
      </c>
      <c r="L37" s="346">
        <v>1086651</v>
      </c>
      <c r="M37" s="428">
        <v>0.1</v>
      </c>
      <c r="N37" s="274">
        <f>L37*M37</f>
        <v>108665.1</v>
      </c>
      <c r="O37" s="274">
        <f t="shared" si="2"/>
        <v>977985.9</v>
      </c>
      <c r="P37" s="391"/>
      <c r="Q37" s="393" t="e">
        <f>VLOOKUP(G:G,list!B:D,3,FALSE)</f>
        <v>#N/A</v>
      </c>
    </row>
    <row r="38" spans="2:17" ht="18" customHeight="1">
      <c r="B38" s="341">
        <v>34</v>
      </c>
      <c r="C38" s="341" t="e">
        <f>VLOOKUP(G:G,list!B:D,2,FALSE)</f>
        <v>#N/A</v>
      </c>
      <c r="D38" s="341" t="s">
        <v>78</v>
      </c>
      <c r="E38" s="358" t="s">
        <v>9</v>
      </c>
      <c r="F38" s="341" t="s">
        <v>209</v>
      </c>
      <c r="G38" s="358" t="s">
        <v>173</v>
      </c>
      <c r="H38" s="359">
        <v>44624</v>
      </c>
      <c r="I38" s="341" t="s">
        <v>323</v>
      </c>
      <c r="J38" s="357">
        <v>2135055</v>
      </c>
      <c r="K38" s="345">
        <v>0.60000003881483055</v>
      </c>
      <c r="L38" s="346">
        <v>1281033</v>
      </c>
      <c r="M38" s="428">
        <v>0.1</v>
      </c>
      <c r="N38" s="274">
        <f>L38*M38</f>
        <v>128103.3</v>
      </c>
      <c r="O38" s="274">
        <f t="shared" si="2"/>
        <v>1152929.7</v>
      </c>
      <c r="P38" s="391"/>
      <c r="Q38" s="393" t="e">
        <f>VLOOKUP(G:G,list!B:D,3,FALSE)</f>
        <v>#N/A</v>
      </c>
    </row>
    <row r="39" spans="2:17" ht="18" customHeight="1">
      <c r="B39" s="341">
        <v>35</v>
      </c>
      <c r="C39" s="341" t="e">
        <f>VLOOKUP(G:G,list!B:D,2,FALSE)</f>
        <v>#N/A</v>
      </c>
      <c r="D39" s="341" t="s">
        <v>78</v>
      </c>
      <c r="E39" s="358" t="s">
        <v>9</v>
      </c>
      <c r="F39" s="341" t="s">
        <v>209</v>
      </c>
      <c r="G39" s="358" t="s">
        <v>324</v>
      </c>
      <c r="H39" s="359">
        <v>44672</v>
      </c>
      <c r="I39" s="341" t="s">
        <v>323</v>
      </c>
      <c r="J39" s="357">
        <v>6673288</v>
      </c>
      <c r="K39" s="345">
        <v>0.55000024262484026</v>
      </c>
      <c r="L39" s="346">
        <v>3670308</v>
      </c>
      <c r="M39" s="428" t="s">
        <v>203</v>
      </c>
      <c r="N39" s="274">
        <v>0</v>
      </c>
      <c r="O39" s="274">
        <f t="shared" ref="O39:O53" si="4">L39-N39</f>
        <v>3670308</v>
      </c>
      <c r="P39" s="347" t="s">
        <v>287</v>
      </c>
      <c r="Q39" s="393" t="e">
        <f>VLOOKUP(G:G,list!B:D,3,FALSE)</f>
        <v>#N/A</v>
      </c>
    </row>
    <row r="40" spans="2:17" ht="18" customHeight="1">
      <c r="B40" s="341">
        <v>36</v>
      </c>
      <c r="C40" s="341" t="e">
        <f>VLOOKUP(G:G,list!B:D,2,FALSE)</f>
        <v>#N/A</v>
      </c>
      <c r="D40" s="341" t="s">
        <v>78</v>
      </c>
      <c r="E40" s="360" t="s">
        <v>250</v>
      </c>
      <c r="F40" s="341" t="s">
        <v>126</v>
      </c>
      <c r="G40" s="360" t="s">
        <v>53</v>
      </c>
      <c r="H40" s="356">
        <v>44224</v>
      </c>
      <c r="I40" s="341" t="s">
        <v>323</v>
      </c>
      <c r="J40" s="357">
        <v>2855380</v>
      </c>
      <c r="K40" s="345" t="s">
        <v>206</v>
      </c>
      <c r="L40" s="346">
        <v>1570460</v>
      </c>
      <c r="M40" s="428" t="s">
        <v>203</v>
      </c>
      <c r="N40" s="194">
        <v>0</v>
      </c>
      <c r="O40" s="274">
        <f t="shared" si="4"/>
        <v>1570460</v>
      </c>
      <c r="P40" s="191"/>
      <c r="Q40" s="393" t="e">
        <f>VLOOKUP(G:G,list!B:D,3,FALSE)</f>
        <v>#N/A</v>
      </c>
    </row>
    <row r="41" spans="2:17" ht="18" customHeight="1">
      <c r="B41" s="341">
        <v>37</v>
      </c>
      <c r="C41" s="341" t="str">
        <f>VLOOKUP(G:G,list!B:D,2,FALSE)</f>
        <v>원작료</v>
      </c>
      <c r="D41" s="341" t="s">
        <v>78</v>
      </c>
      <c r="E41" s="360" t="s">
        <v>250</v>
      </c>
      <c r="F41" s="341" t="s">
        <v>126</v>
      </c>
      <c r="G41" s="360" t="s">
        <v>30</v>
      </c>
      <c r="H41" s="356">
        <v>44199</v>
      </c>
      <c r="I41" s="341" t="s">
        <v>323</v>
      </c>
      <c r="J41" s="357">
        <v>4737850</v>
      </c>
      <c r="K41" s="345" t="s">
        <v>206</v>
      </c>
      <c r="L41" s="346">
        <v>2605819</v>
      </c>
      <c r="M41" s="428">
        <v>0.1</v>
      </c>
      <c r="N41" s="274">
        <f>(L41-2000000)*10%</f>
        <v>60581.9</v>
      </c>
      <c r="O41" s="274">
        <f t="shared" si="4"/>
        <v>2545237.1</v>
      </c>
      <c r="P41" s="191" t="s">
        <v>263</v>
      </c>
      <c r="Q41" s="393" t="str">
        <f>VLOOKUP(G:G,list!B:D,3,FALSE)</f>
        <v>Y</v>
      </c>
    </row>
    <row r="42" spans="2:17" ht="18" customHeight="1">
      <c r="B42" s="341">
        <v>38</v>
      </c>
      <c r="C42" s="341" t="e">
        <f>VLOOKUP(G:G,list!B:D,2,FALSE)</f>
        <v>#N/A</v>
      </c>
      <c r="D42" s="341" t="s">
        <v>78</v>
      </c>
      <c r="E42" s="360" t="s">
        <v>250</v>
      </c>
      <c r="F42" s="341" t="s">
        <v>126</v>
      </c>
      <c r="G42" s="360" t="s">
        <v>29</v>
      </c>
      <c r="H42" s="356">
        <v>44040</v>
      </c>
      <c r="I42" s="341" t="s">
        <v>323</v>
      </c>
      <c r="J42" s="357">
        <v>4444170.3002000004</v>
      </c>
      <c r="K42" s="345" t="s">
        <v>206</v>
      </c>
      <c r="L42" s="346">
        <v>2444295</v>
      </c>
      <c r="M42" s="428">
        <v>0.1</v>
      </c>
      <c r="N42" s="274">
        <f t="shared" ref="N42:N50" si="5">L42*M42</f>
        <v>244429.5</v>
      </c>
      <c r="O42" s="274">
        <f t="shared" si="4"/>
        <v>2199865.5</v>
      </c>
      <c r="P42" s="347"/>
      <c r="Q42" s="393" t="e">
        <f>VLOOKUP(G:G,list!B:D,3,FALSE)</f>
        <v>#N/A</v>
      </c>
    </row>
    <row r="43" spans="2:17" ht="18" customHeight="1">
      <c r="B43" s="341">
        <v>39</v>
      </c>
      <c r="C43" s="341" t="e">
        <f>VLOOKUP(G:G,list!B:D,2,FALSE)</f>
        <v>#N/A</v>
      </c>
      <c r="D43" s="341" t="s">
        <v>78</v>
      </c>
      <c r="E43" s="360" t="s">
        <v>250</v>
      </c>
      <c r="F43" s="341" t="s">
        <v>126</v>
      </c>
      <c r="G43" s="360" t="s">
        <v>28</v>
      </c>
      <c r="H43" s="356">
        <v>43994</v>
      </c>
      <c r="I43" s="341" t="s">
        <v>323</v>
      </c>
      <c r="J43" s="357">
        <v>6585020.9504000004</v>
      </c>
      <c r="K43" s="345" t="s">
        <v>206</v>
      </c>
      <c r="L43" s="346">
        <v>3621762</v>
      </c>
      <c r="M43" s="428">
        <v>0.12</v>
      </c>
      <c r="N43" s="194">
        <f t="shared" si="5"/>
        <v>434611.44</v>
      </c>
      <c r="O43" s="274">
        <f t="shared" si="4"/>
        <v>3187150.56</v>
      </c>
      <c r="P43" s="191" t="s">
        <v>343</v>
      </c>
      <c r="Q43" s="393" t="e">
        <f>VLOOKUP(G:G,list!B:D,3,FALSE)</f>
        <v>#N/A</v>
      </c>
    </row>
    <row r="44" spans="2:17" ht="18" customHeight="1">
      <c r="B44" s="341">
        <v>40</v>
      </c>
      <c r="C44" s="341" t="e">
        <f>VLOOKUP(G:G,list!B:D,2,FALSE)</f>
        <v>#N/A</v>
      </c>
      <c r="D44" s="341" t="s">
        <v>78</v>
      </c>
      <c r="E44" s="360" t="s">
        <v>250</v>
      </c>
      <c r="F44" s="341" t="s">
        <v>126</v>
      </c>
      <c r="G44" s="360" t="s">
        <v>54</v>
      </c>
      <c r="H44" s="356">
        <v>44098</v>
      </c>
      <c r="I44" s="341" t="s">
        <v>323</v>
      </c>
      <c r="J44" s="357">
        <v>1291020</v>
      </c>
      <c r="K44" s="345" t="s">
        <v>206</v>
      </c>
      <c r="L44" s="346">
        <v>710062</v>
      </c>
      <c r="M44" s="428">
        <v>0.1</v>
      </c>
      <c r="N44" s="274">
        <f t="shared" si="5"/>
        <v>71006.2</v>
      </c>
      <c r="O44" s="274">
        <f t="shared" si="4"/>
        <v>639055.80000000005</v>
      </c>
      <c r="P44" s="191"/>
      <c r="Q44" s="393" t="e">
        <f>VLOOKUP(G:G,list!B:D,3,FALSE)</f>
        <v>#N/A</v>
      </c>
    </row>
    <row r="45" spans="2:17" ht="18" customHeight="1">
      <c r="B45" s="341">
        <v>41</v>
      </c>
      <c r="C45" s="341" t="e">
        <f>VLOOKUP(G:G,list!B:D,2,FALSE)</f>
        <v>#N/A</v>
      </c>
      <c r="D45" s="341" t="s">
        <v>78</v>
      </c>
      <c r="E45" s="360" t="s">
        <v>250</v>
      </c>
      <c r="F45" s="341" t="s">
        <v>126</v>
      </c>
      <c r="G45" s="360" t="s">
        <v>55</v>
      </c>
      <c r="H45" s="356">
        <v>44320</v>
      </c>
      <c r="I45" s="341" t="s">
        <v>323</v>
      </c>
      <c r="J45" s="357">
        <v>617142</v>
      </c>
      <c r="K45" s="345" t="s">
        <v>206</v>
      </c>
      <c r="L45" s="346">
        <v>339428</v>
      </c>
      <c r="M45" s="428">
        <v>0.1</v>
      </c>
      <c r="N45" s="274">
        <f t="shared" si="5"/>
        <v>33942.800000000003</v>
      </c>
      <c r="O45" s="274">
        <f t="shared" si="4"/>
        <v>305485.2</v>
      </c>
      <c r="P45" s="191"/>
      <c r="Q45" s="393" t="e">
        <f>VLOOKUP(G:G,list!B:D,3,FALSE)</f>
        <v>#N/A</v>
      </c>
    </row>
    <row r="46" spans="2:17" ht="18" customHeight="1">
      <c r="B46" s="341">
        <v>42</v>
      </c>
      <c r="C46" s="341" t="e">
        <f>VLOOKUP(G:G,list!B:D,2,FALSE)</f>
        <v>#N/A</v>
      </c>
      <c r="D46" s="341" t="s">
        <v>78</v>
      </c>
      <c r="E46" s="360" t="s">
        <v>250</v>
      </c>
      <c r="F46" s="341" t="s">
        <v>126</v>
      </c>
      <c r="G46" s="360" t="s">
        <v>42</v>
      </c>
      <c r="H46" s="356">
        <v>44074</v>
      </c>
      <c r="I46" s="341" t="s">
        <v>323</v>
      </c>
      <c r="J46" s="357">
        <v>75506542.022399992</v>
      </c>
      <c r="K46" s="345" t="s">
        <v>206</v>
      </c>
      <c r="L46" s="346">
        <v>41528601</v>
      </c>
      <c r="M46" s="428">
        <v>0.1</v>
      </c>
      <c r="N46" s="194">
        <f t="shared" si="5"/>
        <v>4152860.1</v>
      </c>
      <c r="O46" s="274">
        <f t="shared" si="4"/>
        <v>37375740.899999999</v>
      </c>
      <c r="P46" s="195" t="s">
        <v>144</v>
      </c>
      <c r="Q46" s="393" t="e">
        <f>VLOOKUP(G:G,list!B:D,3,FALSE)</f>
        <v>#N/A</v>
      </c>
    </row>
    <row r="47" spans="2:17" ht="17.25" customHeight="1">
      <c r="B47" s="341">
        <v>43</v>
      </c>
      <c r="C47" s="341" t="e">
        <f>VLOOKUP(G:G,list!B:D,2,FALSE)</f>
        <v>#N/A</v>
      </c>
      <c r="D47" s="341" t="s">
        <v>78</v>
      </c>
      <c r="E47" s="360" t="s">
        <v>250</v>
      </c>
      <c r="F47" s="341" t="s">
        <v>126</v>
      </c>
      <c r="G47" s="360" t="s">
        <v>191</v>
      </c>
      <c r="H47" s="356">
        <v>44372</v>
      </c>
      <c r="I47" s="341" t="s">
        <v>323</v>
      </c>
      <c r="J47" s="357">
        <v>25975172.5757</v>
      </c>
      <c r="K47" s="345" t="s">
        <v>207</v>
      </c>
      <c r="L47" s="346">
        <v>15585104</v>
      </c>
      <c r="M47" s="428">
        <v>0.1</v>
      </c>
      <c r="N47" s="194">
        <f t="shared" si="5"/>
        <v>1558510.4000000001</v>
      </c>
      <c r="O47" s="274">
        <f t="shared" si="4"/>
        <v>14026593.6</v>
      </c>
      <c r="P47" s="191"/>
      <c r="Q47" s="393" t="e">
        <f>VLOOKUP(G:G,list!B:D,3,FALSE)</f>
        <v>#N/A</v>
      </c>
    </row>
    <row r="48" spans="2:17" ht="18" customHeight="1">
      <c r="B48" s="341">
        <v>44</v>
      </c>
      <c r="C48" s="341" t="e">
        <f>VLOOKUP(G:G,list!B:D,2,FALSE)</f>
        <v>#N/A</v>
      </c>
      <c r="D48" s="341" t="s">
        <v>78</v>
      </c>
      <c r="E48" s="360" t="s">
        <v>250</v>
      </c>
      <c r="F48" s="341" t="s">
        <v>126</v>
      </c>
      <c r="G48" s="360" t="s">
        <v>57</v>
      </c>
      <c r="H48" s="356">
        <v>44331</v>
      </c>
      <c r="I48" s="341" t="s">
        <v>323</v>
      </c>
      <c r="J48" s="357">
        <v>8995359</v>
      </c>
      <c r="K48" s="345" t="s">
        <v>206</v>
      </c>
      <c r="L48" s="346">
        <v>4947448</v>
      </c>
      <c r="M48" s="428">
        <v>0.1</v>
      </c>
      <c r="N48" s="274">
        <f t="shared" si="5"/>
        <v>494744.80000000005</v>
      </c>
      <c r="O48" s="274">
        <f t="shared" si="4"/>
        <v>4452703.2</v>
      </c>
      <c r="P48" s="191"/>
      <c r="Q48" s="393" t="e">
        <f>VLOOKUP(G:G,list!B:D,3,FALSE)</f>
        <v>#N/A</v>
      </c>
    </row>
    <row r="49" spans="2:17" ht="18" customHeight="1">
      <c r="B49" s="341">
        <v>45</v>
      </c>
      <c r="C49" s="341" t="e">
        <f>VLOOKUP(G:G,list!B:D,2,FALSE)</f>
        <v>#N/A</v>
      </c>
      <c r="D49" s="341" t="s">
        <v>78</v>
      </c>
      <c r="E49" s="360" t="s">
        <v>250</v>
      </c>
      <c r="F49" s="341" t="s">
        <v>126</v>
      </c>
      <c r="G49" s="360" t="s">
        <v>59</v>
      </c>
      <c r="H49" s="356">
        <v>44392</v>
      </c>
      <c r="I49" s="341" t="s">
        <v>323</v>
      </c>
      <c r="J49" s="357">
        <v>3037914</v>
      </c>
      <c r="K49" s="345" t="s">
        <v>206</v>
      </c>
      <c r="L49" s="346">
        <v>1670853</v>
      </c>
      <c r="M49" s="428">
        <v>0.1</v>
      </c>
      <c r="N49" s="274">
        <f t="shared" si="5"/>
        <v>167085.30000000002</v>
      </c>
      <c r="O49" s="274">
        <f t="shared" si="4"/>
        <v>1503767.7</v>
      </c>
      <c r="P49" s="191"/>
      <c r="Q49" s="393" t="e">
        <f>VLOOKUP(G:G,list!B:D,3,FALSE)</f>
        <v>#N/A</v>
      </c>
    </row>
    <row r="50" spans="2:17" ht="18" customHeight="1">
      <c r="B50" s="341">
        <v>46</v>
      </c>
      <c r="C50" s="341" t="e">
        <f>VLOOKUP(G:G,list!B:D,2,FALSE)</f>
        <v>#N/A</v>
      </c>
      <c r="D50" s="341" t="s">
        <v>78</v>
      </c>
      <c r="E50" s="360" t="s">
        <v>250</v>
      </c>
      <c r="F50" s="341" t="s">
        <v>126</v>
      </c>
      <c r="G50" s="360" t="s">
        <v>173</v>
      </c>
      <c r="H50" s="356">
        <v>44457</v>
      </c>
      <c r="I50" s="341" t="s">
        <v>323</v>
      </c>
      <c r="J50" s="357">
        <v>3186710</v>
      </c>
      <c r="K50" s="345" t="s">
        <v>207</v>
      </c>
      <c r="L50" s="346">
        <v>1912026</v>
      </c>
      <c r="M50" s="428">
        <v>0.1</v>
      </c>
      <c r="N50" s="274">
        <f t="shared" si="5"/>
        <v>191202.6</v>
      </c>
      <c r="O50" s="274">
        <f t="shared" si="4"/>
        <v>1720823.4</v>
      </c>
      <c r="P50" s="191"/>
      <c r="Q50" s="393" t="e">
        <f>VLOOKUP(G:G,list!B:D,3,FALSE)</f>
        <v>#N/A</v>
      </c>
    </row>
    <row r="51" spans="2:17" ht="18" customHeight="1">
      <c r="B51" s="341">
        <v>47</v>
      </c>
      <c r="C51" s="341" t="e">
        <f>VLOOKUP(G:G,list!B:D,2,FALSE)</f>
        <v>#N/A</v>
      </c>
      <c r="D51" s="341" t="s">
        <v>78</v>
      </c>
      <c r="E51" s="360" t="s">
        <v>250</v>
      </c>
      <c r="F51" s="341" t="s">
        <v>126</v>
      </c>
      <c r="G51" s="360" t="s">
        <v>174</v>
      </c>
      <c r="H51" s="356">
        <v>44469</v>
      </c>
      <c r="I51" s="341" t="s">
        <v>323</v>
      </c>
      <c r="J51" s="357">
        <v>3971355</v>
      </c>
      <c r="K51" s="345" t="s">
        <v>206</v>
      </c>
      <c r="L51" s="346">
        <v>2184246</v>
      </c>
      <c r="M51" s="428" t="s">
        <v>203</v>
      </c>
      <c r="N51" s="194">
        <v>0</v>
      </c>
      <c r="O51" s="274">
        <f t="shared" si="4"/>
        <v>2184246</v>
      </c>
      <c r="P51" s="191"/>
      <c r="Q51" s="393" t="e">
        <f>VLOOKUP(G:G,list!B:D,3,FALSE)</f>
        <v>#N/A</v>
      </c>
    </row>
    <row r="52" spans="2:17" ht="18" customHeight="1">
      <c r="B52" s="341">
        <v>48</v>
      </c>
      <c r="C52" s="341" t="str">
        <f>VLOOKUP(G:G,list!B:D,2,FALSE)</f>
        <v>작가기획</v>
      </c>
      <c r="D52" s="341" t="s">
        <v>78</v>
      </c>
      <c r="E52" s="360" t="s">
        <v>250</v>
      </c>
      <c r="F52" s="341" t="s">
        <v>126</v>
      </c>
      <c r="G52" s="360" t="s">
        <v>308</v>
      </c>
      <c r="H52" s="356">
        <v>44607</v>
      </c>
      <c r="I52" s="341" t="s">
        <v>323</v>
      </c>
      <c r="J52" s="357">
        <v>1126240</v>
      </c>
      <c r="K52" s="345" t="s">
        <v>207</v>
      </c>
      <c r="L52" s="346">
        <v>675744</v>
      </c>
      <c r="M52" s="428" t="s">
        <v>203</v>
      </c>
      <c r="N52" s="194">
        <v>0</v>
      </c>
      <c r="O52" s="274">
        <f t="shared" si="4"/>
        <v>675744</v>
      </c>
      <c r="P52" s="347"/>
      <c r="Q52" s="393" t="str">
        <f>VLOOKUP(G:G,list!B:D,3,FALSE)</f>
        <v>Y</v>
      </c>
    </row>
    <row r="53" spans="2:17" ht="18" customHeight="1">
      <c r="B53" s="341">
        <v>49</v>
      </c>
      <c r="C53" s="341" t="str">
        <f>VLOOKUP(G:G,list!B:D,2,FALSE)</f>
        <v>원작료</v>
      </c>
      <c r="D53" s="341" t="s">
        <v>78</v>
      </c>
      <c r="E53" s="360" t="s">
        <v>250</v>
      </c>
      <c r="F53" s="341" t="s">
        <v>126</v>
      </c>
      <c r="G53" s="360" t="s">
        <v>316</v>
      </c>
      <c r="H53" s="356">
        <v>44639</v>
      </c>
      <c r="I53" s="341" t="s">
        <v>323</v>
      </c>
      <c r="J53" s="357">
        <v>22064025</v>
      </c>
      <c r="K53" s="345" t="s">
        <v>207</v>
      </c>
      <c r="L53" s="346">
        <v>13238415</v>
      </c>
      <c r="M53" s="428">
        <v>0.1</v>
      </c>
      <c r="N53" s="194">
        <f>L53*M53</f>
        <v>1323841.5</v>
      </c>
      <c r="O53" s="274">
        <f t="shared" si="4"/>
        <v>11914573.5</v>
      </c>
      <c r="P53" s="347"/>
      <c r="Q53" s="393" t="str">
        <f>VLOOKUP(G:G,list!B:D,3,FALSE)</f>
        <v>Y</v>
      </c>
    </row>
    <row r="54" spans="2:17" ht="18" customHeight="1">
      <c r="B54" s="341">
        <v>50</v>
      </c>
      <c r="C54" s="341" t="e">
        <f>VLOOKUP(G:G,list!B:D,2,FALSE)</f>
        <v>#N/A</v>
      </c>
      <c r="D54" s="341" t="s">
        <v>78</v>
      </c>
      <c r="E54" s="360" t="s">
        <v>250</v>
      </c>
      <c r="F54" s="341" t="s">
        <v>126</v>
      </c>
      <c r="G54" s="360" t="s">
        <v>321</v>
      </c>
      <c r="H54" s="356">
        <v>44669</v>
      </c>
      <c r="I54" s="341" t="s">
        <v>323</v>
      </c>
      <c r="J54" s="357">
        <v>128852977.65009999</v>
      </c>
      <c r="K54" s="345" t="s">
        <v>207</v>
      </c>
      <c r="L54" s="346">
        <v>77311787</v>
      </c>
      <c r="M54" s="428">
        <v>0.1</v>
      </c>
      <c r="N54" s="194">
        <f>L54*M54</f>
        <v>7731178.7000000002</v>
      </c>
      <c r="O54" s="274">
        <f>L54-N54</f>
        <v>69580608.299999997</v>
      </c>
      <c r="P54" s="347" t="s">
        <v>287</v>
      </c>
      <c r="Q54" s="393" t="e">
        <f>VLOOKUP(G:G,list!B:D,3,FALSE)</f>
        <v>#N/A</v>
      </c>
    </row>
    <row r="55" spans="2:17" ht="18" customHeight="1">
      <c r="B55" s="341">
        <v>51</v>
      </c>
      <c r="C55" s="341" t="e">
        <f>VLOOKUP(G:G,list!B:D,2,FALSE)</f>
        <v>#N/A</v>
      </c>
      <c r="D55" s="341" t="s">
        <v>78</v>
      </c>
      <c r="E55" s="360" t="s">
        <v>250</v>
      </c>
      <c r="F55" s="341" t="s">
        <v>126</v>
      </c>
      <c r="G55" s="360" t="s">
        <v>322</v>
      </c>
      <c r="H55" s="356">
        <v>44675</v>
      </c>
      <c r="I55" s="341" t="s">
        <v>323</v>
      </c>
      <c r="J55" s="357">
        <v>10644350</v>
      </c>
      <c r="K55" s="345" t="s">
        <v>207</v>
      </c>
      <c r="L55" s="346">
        <v>6386610</v>
      </c>
      <c r="M55" s="428">
        <v>0.12</v>
      </c>
      <c r="N55" s="194">
        <f>L55*M55</f>
        <v>766393.2</v>
      </c>
      <c r="O55" s="274">
        <f>L55-N55</f>
        <v>5620216.7999999998</v>
      </c>
      <c r="P55" s="347" t="s">
        <v>287</v>
      </c>
      <c r="Q55" s="393" t="e">
        <f>VLOOKUP(G:G,list!B:D,3,FALSE)</f>
        <v>#N/A</v>
      </c>
    </row>
    <row r="56" spans="2:17" ht="18" customHeight="1">
      <c r="B56" s="341">
        <v>52</v>
      </c>
      <c r="C56" s="341" t="e">
        <f>VLOOKUP(G:G,list!B:D,2,FALSE)</f>
        <v>#N/A</v>
      </c>
      <c r="D56" s="341" t="s">
        <v>78</v>
      </c>
      <c r="E56" s="360" t="s">
        <v>249</v>
      </c>
      <c r="F56" s="341" t="s">
        <v>126</v>
      </c>
      <c r="G56" s="360" t="s">
        <v>58</v>
      </c>
      <c r="H56" s="356">
        <v>44328</v>
      </c>
      <c r="I56" s="341" t="s">
        <v>323</v>
      </c>
      <c r="J56" s="357">
        <v>118180</v>
      </c>
      <c r="K56" s="345" t="s">
        <v>207</v>
      </c>
      <c r="L56" s="346">
        <v>82558</v>
      </c>
      <c r="M56" s="428" t="s">
        <v>203</v>
      </c>
      <c r="N56" s="194">
        <v>0</v>
      </c>
      <c r="O56" s="274">
        <f t="shared" ref="O56:O97" si="6">L56-N56</f>
        <v>82558</v>
      </c>
      <c r="P56" s="347"/>
      <c r="Q56" s="393" t="e">
        <f>VLOOKUP(G:G,list!B:D,3,FALSE)</f>
        <v>#N/A</v>
      </c>
    </row>
    <row r="57" spans="2:17" ht="18" customHeight="1">
      <c r="B57" s="341">
        <v>53</v>
      </c>
      <c r="C57" s="341" t="e">
        <f>VLOOKUP(G:G,list!B:D,2,FALSE)</f>
        <v>#N/A</v>
      </c>
      <c r="D57" s="341" t="s">
        <v>78</v>
      </c>
      <c r="E57" s="360" t="s">
        <v>249</v>
      </c>
      <c r="F57" s="341" t="s">
        <v>248</v>
      </c>
      <c r="G57" s="360" t="s">
        <v>39</v>
      </c>
      <c r="H57" s="356">
        <v>44327</v>
      </c>
      <c r="I57" s="341" t="s">
        <v>323</v>
      </c>
      <c r="J57" s="357">
        <v>622720</v>
      </c>
      <c r="K57" s="345" t="s">
        <v>124</v>
      </c>
      <c r="L57" s="346">
        <v>433802</v>
      </c>
      <c r="M57" s="428">
        <v>0.1</v>
      </c>
      <c r="N57" s="274">
        <f>L57*M57</f>
        <v>43380.200000000004</v>
      </c>
      <c r="O57" s="274">
        <f t="shared" si="6"/>
        <v>390421.8</v>
      </c>
      <c r="P57" s="191"/>
      <c r="Q57" s="393" t="e">
        <f>VLOOKUP(G:G,list!B:D,3,FALSE)</f>
        <v>#N/A</v>
      </c>
    </row>
    <row r="58" spans="2:17" ht="18" customHeight="1">
      <c r="B58" s="341">
        <v>54</v>
      </c>
      <c r="C58" s="341" t="e">
        <f>VLOOKUP(G:G,list!B:D,2,FALSE)</f>
        <v>#N/A</v>
      </c>
      <c r="D58" s="341" t="s">
        <v>78</v>
      </c>
      <c r="E58" s="360" t="s">
        <v>249</v>
      </c>
      <c r="F58" s="341" t="s">
        <v>248</v>
      </c>
      <c r="G58" s="360" t="s">
        <v>40</v>
      </c>
      <c r="H58" s="356">
        <v>44328</v>
      </c>
      <c r="I58" s="341" t="s">
        <v>323</v>
      </c>
      <c r="J58" s="357">
        <v>439510</v>
      </c>
      <c r="K58" s="345" t="s">
        <v>124</v>
      </c>
      <c r="L58" s="346">
        <v>304436</v>
      </c>
      <c r="M58" s="428">
        <v>0.1</v>
      </c>
      <c r="N58" s="194">
        <f>L58*M58</f>
        <v>30443.600000000002</v>
      </c>
      <c r="O58" s="274">
        <f t="shared" si="6"/>
        <v>273992.40000000002</v>
      </c>
      <c r="P58" s="191"/>
      <c r="Q58" s="393" t="e">
        <f>VLOOKUP(G:G,list!B:D,3,FALSE)</f>
        <v>#N/A</v>
      </c>
    </row>
    <row r="59" spans="2:17" ht="18" customHeight="1">
      <c r="B59" s="341">
        <v>55</v>
      </c>
      <c r="C59" s="341" t="e">
        <f>VLOOKUP(G:G,list!B:D,2,FALSE)</f>
        <v>#N/A</v>
      </c>
      <c r="D59" s="341" t="s">
        <v>78</v>
      </c>
      <c r="E59" s="360" t="s">
        <v>249</v>
      </c>
      <c r="F59" s="341" t="s">
        <v>248</v>
      </c>
      <c r="G59" s="360" t="s">
        <v>38</v>
      </c>
      <c r="H59" s="356">
        <v>44329</v>
      </c>
      <c r="I59" s="341" t="s">
        <v>323</v>
      </c>
      <c r="J59" s="357">
        <v>835580</v>
      </c>
      <c r="K59" s="345" t="s">
        <v>124</v>
      </c>
      <c r="L59" s="346">
        <v>580758</v>
      </c>
      <c r="M59" s="428">
        <v>0.1</v>
      </c>
      <c r="N59" s="194">
        <f>L59*M59</f>
        <v>58075.8</v>
      </c>
      <c r="O59" s="274">
        <f t="shared" si="6"/>
        <v>522682.2</v>
      </c>
      <c r="P59" s="191"/>
      <c r="Q59" s="393" t="e">
        <f>VLOOKUP(G:G,list!B:D,3,FALSE)</f>
        <v>#N/A</v>
      </c>
    </row>
    <row r="60" spans="2:17" ht="18" customHeight="1">
      <c r="B60" s="341">
        <v>56</v>
      </c>
      <c r="C60" s="341" t="e">
        <f>VLOOKUP(G:G,list!B:D,2,FALSE)</f>
        <v>#N/A</v>
      </c>
      <c r="D60" s="341" t="s">
        <v>78</v>
      </c>
      <c r="E60" s="360" t="s">
        <v>250</v>
      </c>
      <c r="F60" s="341" t="s">
        <v>248</v>
      </c>
      <c r="G60" s="360" t="s">
        <v>46</v>
      </c>
      <c r="H60" s="356">
        <v>44246</v>
      </c>
      <c r="I60" s="341" t="s">
        <v>323</v>
      </c>
      <c r="J60" s="357">
        <v>629320</v>
      </c>
      <c r="K60" s="345" t="s">
        <v>206</v>
      </c>
      <c r="L60" s="346">
        <v>346126</v>
      </c>
      <c r="M60" s="428">
        <v>0.1</v>
      </c>
      <c r="N60" s="194">
        <f>L60*M60</f>
        <v>34612.6</v>
      </c>
      <c r="O60" s="274">
        <f t="shared" si="6"/>
        <v>311513.40000000002</v>
      </c>
      <c r="P60" s="191"/>
      <c r="Q60" s="393" t="e">
        <f>VLOOKUP(G:G,list!B:D,3,FALSE)</f>
        <v>#N/A</v>
      </c>
    </row>
    <row r="61" spans="2:17" ht="18" customHeight="1">
      <c r="B61" s="341">
        <v>57</v>
      </c>
      <c r="C61" s="341" t="e">
        <f>VLOOKUP(G:G,list!B:D,2,FALSE)</f>
        <v>#N/A</v>
      </c>
      <c r="D61" s="341" t="s">
        <v>78</v>
      </c>
      <c r="E61" s="360" t="s">
        <v>250</v>
      </c>
      <c r="F61" s="341" t="s">
        <v>248</v>
      </c>
      <c r="G61" s="360" t="s">
        <v>47</v>
      </c>
      <c r="H61" s="356">
        <v>44152</v>
      </c>
      <c r="I61" s="341" t="s">
        <v>323</v>
      </c>
      <c r="J61" s="357">
        <v>475320</v>
      </c>
      <c r="K61" s="345" t="s">
        <v>206</v>
      </c>
      <c r="L61" s="346">
        <v>261426</v>
      </c>
      <c r="M61" s="428">
        <v>0.1</v>
      </c>
      <c r="N61" s="194">
        <f>L61*M61</f>
        <v>26142.600000000002</v>
      </c>
      <c r="O61" s="274">
        <f t="shared" si="6"/>
        <v>235283.4</v>
      </c>
      <c r="P61" s="347"/>
      <c r="Q61" s="393" t="e">
        <f>VLOOKUP(G:G,list!B:D,3,FALSE)</f>
        <v>#N/A</v>
      </c>
    </row>
    <row r="62" spans="2:17" ht="18" customHeight="1">
      <c r="B62" s="341">
        <v>58</v>
      </c>
      <c r="C62" s="341" t="str">
        <f>VLOOKUP(G:G,list!B:D,2,FALSE)</f>
        <v>외부제작</v>
      </c>
      <c r="D62" s="341" t="s">
        <v>78</v>
      </c>
      <c r="E62" s="360" t="s">
        <v>250</v>
      </c>
      <c r="F62" s="341" t="s">
        <v>248</v>
      </c>
      <c r="G62" s="360" t="s">
        <v>315</v>
      </c>
      <c r="H62" s="356">
        <v>44629</v>
      </c>
      <c r="I62" s="341" t="s">
        <v>323</v>
      </c>
      <c r="J62" s="357">
        <v>7136715</v>
      </c>
      <c r="K62" s="345" t="s">
        <v>207</v>
      </c>
      <c r="L62" s="346">
        <v>4282029</v>
      </c>
      <c r="M62" s="428" t="s">
        <v>203</v>
      </c>
      <c r="N62" s="194">
        <v>0</v>
      </c>
      <c r="O62" s="274">
        <f t="shared" si="6"/>
        <v>4282029</v>
      </c>
      <c r="P62" s="347"/>
      <c r="Q62" s="393" t="str">
        <f>VLOOKUP(G:G,list!B:D,3,FALSE)</f>
        <v>N</v>
      </c>
    </row>
    <row r="63" spans="2:17" ht="18" customHeight="1">
      <c r="B63" s="341">
        <v>59</v>
      </c>
      <c r="C63" s="341" t="e">
        <f>VLOOKUP(G:G,list!B:D,2,FALSE)</f>
        <v>#N/A</v>
      </c>
      <c r="D63" s="341" t="s">
        <v>78</v>
      </c>
      <c r="E63" s="341" t="s">
        <v>9</v>
      </c>
      <c r="F63" s="341" t="s">
        <v>175</v>
      </c>
      <c r="G63" s="341" t="s">
        <v>212</v>
      </c>
      <c r="H63" s="353">
        <v>44268</v>
      </c>
      <c r="I63" s="341" t="s">
        <v>323</v>
      </c>
      <c r="J63" s="357">
        <v>15892749</v>
      </c>
      <c r="K63" s="345" t="s">
        <v>206</v>
      </c>
      <c r="L63" s="346">
        <v>8741013</v>
      </c>
      <c r="M63" s="428">
        <v>0.1</v>
      </c>
      <c r="N63" s="194">
        <f t="shared" ref="N63:N69" si="7">L63*M63</f>
        <v>874101.3</v>
      </c>
      <c r="O63" s="274">
        <f t="shared" si="6"/>
        <v>7866911.7000000002</v>
      </c>
      <c r="P63" s="191"/>
      <c r="Q63" s="393" t="e">
        <f>VLOOKUP(G:G,list!B:D,3,FALSE)</f>
        <v>#N/A</v>
      </c>
    </row>
    <row r="64" spans="2:17" ht="18" customHeight="1">
      <c r="B64" s="341">
        <v>60</v>
      </c>
      <c r="C64" s="341" t="e">
        <f>VLOOKUP(G:G,list!B:D,2,FALSE)</f>
        <v>#N/A</v>
      </c>
      <c r="D64" s="341" t="s">
        <v>78</v>
      </c>
      <c r="E64" s="360" t="s">
        <v>249</v>
      </c>
      <c r="F64" s="341" t="s">
        <v>172</v>
      </c>
      <c r="G64" s="360" t="s">
        <v>40</v>
      </c>
      <c r="H64" s="356">
        <v>44379</v>
      </c>
      <c r="I64" s="341" t="s">
        <v>323</v>
      </c>
      <c r="J64" s="357">
        <v>273315</v>
      </c>
      <c r="K64" s="345">
        <v>0.6</v>
      </c>
      <c r="L64" s="346">
        <v>163989</v>
      </c>
      <c r="M64" s="428">
        <v>0.1</v>
      </c>
      <c r="N64" s="194">
        <f t="shared" si="7"/>
        <v>16398.900000000001</v>
      </c>
      <c r="O64" s="274">
        <f t="shared" si="6"/>
        <v>147590.1</v>
      </c>
      <c r="P64" s="191"/>
      <c r="Q64" s="393" t="e">
        <f>VLOOKUP(G:G,list!B:D,3,FALSE)</f>
        <v>#N/A</v>
      </c>
    </row>
    <row r="65" spans="2:17" ht="18" customHeight="1">
      <c r="B65" s="341">
        <v>61</v>
      </c>
      <c r="C65" s="341" t="e">
        <f>VLOOKUP(G:G,list!B:D,2,FALSE)</f>
        <v>#N/A</v>
      </c>
      <c r="D65" s="341" t="s">
        <v>78</v>
      </c>
      <c r="E65" s="360" t="s">
        <v>249</v>
      </c>
      <c r="F65" s="341" t="s">
        <v>172</v>
      </c>
      <c r="G65" s="360" t="s">
        <v>39</v>
      </c>
      <c r="H65" s="356">
        <v>44385</v>
      </c>
      <c r="I65" s="341" t="s">
        <v>323</v>
      </c>
      <c r="J65" s="357">
        <v>58725</v>
      </c>
      <c r="K65" s="345">
        <v>0.6</v>
      </c>
      <c r="L65" s="346">
        <v>35235</v>
      </c>
      <c r="M65" s="428">
        <v>0.1</v>
      </c>
      <c r="N65" s="274">
        <f t="shared" si="7"/>
        <v>3523.5</v>
      </c>
      <c r="O65" s="274">
        <f t="shared" si="6"/>
        <v>31711.5</v>
      </c>
      <c r="P65" s="191"/>
      <c r="Q65" s="393" t="e">
        <f>VLOOKUP(G:G,list!B:D,3,FALSE)</f>
        <v>#N/A</v>
      </c>
    </row>
    <row r="66" spans="2:17" ht="18" customHeight="1">
      <c r="B66" s="341">
        <v>62</v>
      </c>
      <c r="C66" s="341" t="e">
        <f>VLOOKUP(G:G,list!B:D,2,FALSE)</f>
        <v>#N/A</v>
      </c>
      <c r="D66" s="341" t="s">
        <v>78</v>
      </c>
      <c r="E66" s="360" t="s">
        <v>249</v>
      </c>
      <c r="F66" s="341" t="s">
        <v>172</v>
      </c>
      <c r="G66" s="360" t="s">
        <v>38</v>
      </c>
      <c r="H66" s="356">
        <v>44362</v>
      </c>
      <c r="I66" s="341" t="s">
        <v>323</v>
      </c>
      <c r="J66" s="361">
        <v>361590</v>
      </c>
      <c r="K66" s="345">
        <v>0.6</v>
      </c>
      <c r="L66" s="346">
        <v>216954</v>
      </c>
      <c r="M66" s="428">
        <v>0.1</v>
      </c>
      <c r="N66" s="194">
        <f t="shared" si="7"/>
        <v>21695.4</v>
      </c>
      <c r="O66" s="274">
        <f t="shared" si="6"/>
        <v>195258.6</v>
      </c>
      <c r="P66" s="347"/>
      <c r="Q66" s="393" t="e">
        <f>VLOOKUP(G:G,list!B:D,3,FALSE)</f>
        <v>#N/A</v>
      </c>
    </row>
    <row r="67" spans="2:17" ht="18" customHeight="1">
      <c r="B67" s="341">
        <v>63</v>
      </c>
      <c r="C67" s="341" t="e">
        <f>VLOOKUP(G:G,list!B:D,2,FALSE)</f>
        <v>#N/A</v>
      </c>
      <c r="D67" s="341" t="s">
        <v>78</v>
      </c>
      <c r="E67" s="341" t="s">
        <v>115</v>
      </c>
      <c r="F67" s="341" t="s">
        <v>269</v>
      </c>
      <c r="G67" s="341" t="s">
        <v>39</v>
      </c>
      <c r="H67" s="353">
        <v>44553</v>
      </c>
      <c r="I67" s="341" t="s">
        <v>323</v>
      </c>
      <c r="J67" s="357">
        <v>68600</v>
      </c>
      <c r="K67" s="345">
        <v>0.7</v>
      </c>
      <c r="L67" s="346">
        <v>48020</v>
      </c>
      <c r="M67" s="428">
        <v>0.1</v>
      </c>
      <c r="N67" s="274">
        <f t="shared" si="7"/>
        <v>4802</v>
      </c>
      <c r="O67" s="274">
        <f t="shared" si="6"/>
        <v>43218</v>
      </c>
      <c r="P67" s="392"/>
      <c r="Q67" s="393" t="e">
        <f>VLOOKUP(G:G,list!B:D,3,FALSE)</f>
        <v>#N/A</v>
      </c>
    </row>
    <row r="68" spans="2:17" ht="18" customHeight="1">
      <c r="B68" s="341">
        <v>64</v>
      </c>
      <c r="C68" s="341" t="e">
        <f>VLOOKUP(G:G,list!B:D,2,FALSE)</f>
        <v>#N/A</v>
      </c>
      <c r="D68" s="341" t="s">
        <v>78</v>
      </c>
      <c r="E68" s="341" t="s">
        <v>115</v>
      </c>
      <c r="F68" s="341" t="s">
        <v>269</v>
      </c>
      <c r="G68" s="341" t="s">
        <v>40</v>
      </c>
      <c r="H68" s="353">
        <v>44554</v>
      </c>
      <c r="I68" s="341" t="s">
        <v>323</v>
      </c>
      <c r="J68" s="357">
        <v>25200</v>
      </c>
      <c r="K68" s="345">
        <v>0.7</v>
      </c>
      <c r="L68" s="346">
        <v>17640</v>
      </c>
      <c r="M68" s="428">
        <v>0.1</v>
      </c>
      <c r="N68" s="194">
        <f t="shared" si="7"/>
        <v>1764</v>
      </c>
      <c r="O68" s="274">
        <f t="shared" si="6"/>
        <v>15876</v>
      </c>
      <c r="P68" s="370"/>
      <c r="Q68" s="393" t="e">
        <f>VLOOKUP(G:G,list!B:D,3,FALSE)</f>
        <v>#N/A</v>
      </c>
    </row>
    <row r="69" spans="2:17" ht="18" customHeight="1">
      <c r="B69" s="341">
        <v>65</v>
      </c>
      <c r="C69" s="341" t="e">
        <f>VLOOKUP(G:G,list!B:D,2,FALSE)</f>
        <v>#N/A</v>
      </c>
      <c r="D69" s="341" t="s">
        <v>78</v>
      </c>
      <c r="E69" s="341" t="s">
        <v>115</v>
      </c>
      <c r="F69" s="341" t="s">
        <v>269</v>
      </c>
      <c r="G69" s="341" t="s">
        <v>38</v>
      </c>
      <c r="H69" s="353">
        <v>44554</v>
      </c>
      <c r="I69" s="341" t="s">
        <v>323</v>
      </c>
      <c r="J69" s="357">
        <v>16500</v>
      </c>
      <c r="K69" s="345">
        <v>0.7</v>
      </c>
      <c r="L69" s="346">
        <v>11550</v>
      </c>
      <c r="M69" s="428">
        <v>0.1</v>
      </c>
      <c r="N69" s="194">
        <f t="shared" si="7"/>
        <v>1155</v>
      </c>
      <c r="O69" s="274">
        <f t="shared" si="6"/>
        <v>10395</v>
      </c>
      <c r="P69" s="392"/>
      <c r="Q69" s="393" t="e">
        <f>VLOOKUP(G:G,list!B:D,3,FALSE)</f>
        <v>#N/A</v>
      </c>
    </row>
    <row r="70" spans="2:17" ht="18" customHeight="1">
      <c r="B70" s="341">
        <v>66</v>
      </c>
      <c r="C70" s="341" t="e">
        <f>VLOOKUP(G:G,list!B:D,2,FALSE)</f>
        <v>#N/A</v>
      </c>
      <c r="D70" s="341" t="s">
        <v>78</v>
      </c>
      <c r="E70" s="341" t="s">
        <v>115</v>
      </c>
      <c r="F70" s="341" t="s">
        <v>269</v>
      </c>
      <c r="G70" s="341" t="s">
        <v>19</v>
      </c>
      <c r="H70" s="353">
        <v>44609</v>
      </c>
      <c r="I70" s="341" t="s">
        <v>323</v>
      </c>
      <c r="J70" s="357">
        <v>77400</v>
      </c>
      <c r="K70" s="345">
        <v>0.7</v>
      </c>
      <c r="L70" s="346">
        <v>54180</v>
      </c>
      <c r="M70" s="428" t="s">
        <v>203</v>
      </c>
      <c r="N70" s="274">
        <v>0</v>
      </c>
      <c r="O70" s="274">
        <f t="shared" si="6"/>
        <v>54180</v>
      </c>
      <c r="P70" s="392"/>
      <c r="Q70" s="393" t="e">
        <f>VLOOKUP(G:G,list!B:D,3,FALSE)</f>
        <v>#N/A</v>
      </c>
    </row>
    <row r="71" spans="2:17" ht="18" customHeight="1">
      <c r="B71" s="341">
        <v>67</v>
      </c>
      <c r="C71" s="341" t="str">
        <f>VLOOKUP(G:G,list!B:D,2,FALSE)</f>
        <v>작가기획</v>
      </c>
      <c r="D71" s="341" t="s">
        <v>78</v>
      </c>
      <c r="E71" s="341" t="s">
        <v>9</v>
      </c>
      <c r="F71" s="341" t="s">
        <v>131</v>
      </c>
      <c r="G71" s="341" t="s">
        <v>210</v>
      </c>
      <c r="H71" s="353">
        <v>44333</v>
      </c>
      <c r="I71" s="341" t="s">
        <v>323</v>
      </c>
      <c r="J71" s="357">
        <v>89292</v>
      </c>
      <c r="K71" s="345">
        <v>0.5</v>
      </c>
      <c r="L71" s="346">
        <v>44646</v>
      </c>
      <c r="M71" s="428" t="s">
        <v>203</v>
      </c>
      <c r="N71" s="274">
        <v>0</v>
      </c>
      <c r="O71" s="274">
        <f t="shared" si="6"/>
        <v>44646</v>
      </c>
      <c r="P71" s="191"/>
      <c r="Q71" s="393" t="str">
        <f>VLOOKUP(G:G,list!B:D,3,FALSE)</f>
        <v>N</v>
      </c>
    </row>
    <row r="72" spans="2:17" ht="18" customHeight="1">
      <c r="B72" s="341">
        <v>68</v>
      </c>
      <c r="C72" s="341" t="e">
        <f>VLOOKUP(G:G,list!B:D,2,FALSE)</f>
        <v>#N/A</v>
      </c>
      <c r="D72" s="366" t="s">
        <v>253</v>
      </c>
      <c r="E72" s="366" t="s">
        <v>9</v>
      </c>
      <c r="F72" s="341" t="s">
        <v>184</v>
      </c>
      <c r="G72" s="366" t="s">
        <v>218</v>
      </c>
      <c r="H72" s="365">
        <v>44356</v>
      </c>
      <c r="I72" s="341" t="s">
        <v>323</v>
      </c>
      <c r="J72" s="367">
        <v>9202917</v>
      </c>
      <c r="K72" s="368">
        <v>0.3</v>
      </c>
      <c r="L72" s="346">
        <v>2760875</v>
      </c>
      <c r="M72" s="428">
        <v>0.1</v>
      </c>
      <c r="N72" s="274">
        <f>L72*M72</f>
        <v>276087.5</v>
      </c>
      <c r="O72" s="274">
        <f t="shared" si="6"/>
        <v>2484787.5</v>
      </c>
      <c r="P72" s="364" t="s">
        <v>221</v>
      </c>
      <c r="Q72" s="393" t="e">
        <f>VLOOKUP(G:G,list!B:D,3,FALSE)</f>
        <v>#N/A</v>
      </c>
    </row>
    <row r="73" spans="2:17" ht="18" customHeight="1">
      <c r="B73" s="341">
        <v>69</v>
      </c>
      <c r="C73" s="341" t="e">
        <f>VLOOKUP(G:G,list!B:D,2,FALSE)</f>
        <v>#N/A</v>
      </c>
      <c r="D73" s="366" t="s">
        <v>177</v>
      </c>
      <c r="E73" s="366" t="s">
        <v>9</v>
      </c>
      <c r="F73" s="341" t="s">
        <v>184</v>
      </c>
      <c r="G73" s="366" t="s">
        <v>219</v>
      </c>
      <c r="H73" s="365">
        <v>44598</v>
      </c>
      <c r="I73" s="341" t="s">
        <v>323</v>
      </c>
      <c r="J73" s="367">
        <v>4948017</v>
      </c>
      <c r="K73" s="368">
        <v>0.3</v>
      </c>
      <c r="L73" s="346">
        <v>1484405</v>
      </c>
      <c r="M73" s="428">
        <v>0.12</v>
      </c>
      <c r="N73" s="194">
        <f>L73*M73</f>
        <v>178128.6</v>
      </c>
      <c r="O73" s="274">
        <f t="shared" si="6"/>
        <v>1306276.3999999999</v>
      </c>
      <c r="P73" s="364" t="s">
        <v>221</v>
      </c>
      <c r="Q73" s="393" t="e">
        <f>VLOOKUP(G:G,list!B:D,3,FALSE)</f>
        <v>#N/A</v>
      </c>
    </row>
    <row r="74" spans="2:17" ht="18" customHeight="1">
      <c r="B74" s="341">
        <v>70</v>
      </c>
      <c r="C74" s="341" t="e">
        <f>VLOOKUP(G:G,list!B:D,2,FALSE)</f>
        <v>#N/A</v>
      </c>
      <c r="D74" s="362" t="s">
        <v>177</v>
      </c>
      <c r="E74" s="362" t="s">
        <v>9</v>
      </c>
      <c r="F74" s="369" t="s">
        <v>257</v>
      </c>
      <c r="G74" s="362" t="s">
        <v>42</v>
      </c>
      <c r="H74" s="363">
        <v>44419</v>
      </c>
      <c r="I74" s="341" t="s">
        <v>323</v>
      </c>
      <c r="J74" s="361">
        <v>13020139</v>
      </c>
      <c r="K74" s="371">
        <v>0.28000008425415068</v>
      </c>
      <c r="L74" s="346">
        <v>3645639</v>
      </c>
      <c r="M74" s="428">
        <v>0.1</v>
      </c>
      <c r="N74" s="194">
        <f>L74*M74</f>
        <v>364563.9</v>
      </c>
      <c r="O74" s="274">
        <f t="shared" si="6"/>
        <v>3281075.1</v>
      </c>
      <c r="P74" s="195" t="s">
        <v>85</v>
      </c>
      <c r="Q74" s="393" t="e">
        <f>VLOOKUP(G:G,list!B:D,3,FALSE)</f>
        <v>#N/A</v>
      </c>
    </row>
    <row r="75" spans="2:17" ht="18" customHeight="1">
      <c r="B75" s="341">
        <v>71</v>
      </c>
      <c r="C75" s="341" t="e">
        <f>VLOOKUP(G:G,list!B:D,2,FALSE)</f>
        <v>#N/A</v>
      </c>
      <c r="D75" s="362" t="s">
        <v>177</v>
      </c>
      <c r="E75" s="362" t="s">
        <v>9</v>
      </c>
      <c r="F75" s="369" t="s">
        <v>257</v>
      </c>
      <c r="G75" s="362" t="s">
        <v>212</v>
      </c>
      <c r="H75" s="363">
        <v>44477</v>
      </c>
      <c r="I75" s="341" t="s">
        <v>323</v>
      </c>
      <c r="J75" s="361">
        <v>3980732</v>
      </c>
      <c r="K75" s="397">
        <v>0.24500002911191202</v>
      </c>
      <c r="L75" s="346">
        <v>975278</v>
      </c>
      <c r="M75" s="428">
        <v>0.1</v>
      </c>
      <c r="N75" s="194">
        <f t="shared" ref="N75:N80" si="8">L75*M75</f>
        <v>97527.8</v>
      </c>
      <c r="O75" s="274">
        <f t="shared" si="6"/>
        <v>877750.2</v>
      </c>
      <c r="P75" s="197"/>
      <c r="Q75" s="393" t="e">
        <f>VLOOKUP(G:G,list!B:D,3,FALSE)</f>
        <v>#N/A</v>
      </c>
    </row>
    <row r="76" spans="2:17" ht="18" customHeight="1">
      <c r="B76" s="341">
        <v>72</v>
      </c>
      <c r="C76" s="341" t="e">
        <f>VLOOKUP(G:G,list!B:D,2,FALSE)</f>
        <v>#N/A</v>
      </c>
      <c r="D76" s="362" t="s">
        <v>177</v>
      </c>
      <c r="E76" s="362" t="s">
        <v>9</v>
      </c>
      <c r="F76" s="369" t="s">
        <v>257</v>
      </c>
      <c r="G76" s="362" t="s">
        <v>173</v>
      </c>
      <c r="H76" s="363">
        <v>44636</v>
      </c>
      <c r="I76" s="341" t="s">
        <v>323</v>
      </c>
      <c r="J76" s="361">
        <v>4330240</v>
      </c>
      <c r="K76" s="397">
        <v>0.35</v>
      </c>
      <c r="L76" s="346">
        <v>1515585</v>
      </c>
      <c r="M76" s="428">
        <v>0.1</v>
      </c>
      <c r="N76" s="274">
        <f t="shared" si="8"/>
        <v>151558.5</v>
      </c>
      <c r="O76" s="274">
        <f t="shared" si="6"/>
        <v>1364026.5</v>
      </c>
      <c r="P76" s="197"/>
      <c r="Q76" s="393" t="e">
        <f>VLOOKUP(G:G,list!B:D,3,FALSE)</f>
        <v>#N/A</v>
      </c>
    </row>
    <row r="77" spans="2:17" ht="18" customHeight="1">
      <c r="B77" s="341">
        <v>73</v>
      </c>
      <c r="C77" s="341" t="e">
        <f>VLOOKUP(G:G,list!B:D,2,FALSE)</f>
        <v>#N/A</v>
      </c>
      <c r="D77" s="362" t="s">
        <v>177</v>
      </c>
      <c r="E77" s="362" t="s">
        <v>9</v>
      </c>
      <c r="F77" s="369" t="s">
        <v>257</v>
      </c>
      <c r="G77" s="362" t="s">
        <v>336</v>
      </c>
      <c r="H77" s="363">
        <v>44676</v>
      </c>
      <c r="I77" s="341" t="s">
        <v>323</v>
      </c>
      <c r="J77" s="361">
        <v>4016875</v>
      </c>
      <c r="K77" s="397">
        <v>0.28000000000000003</v>
      </c>
      <c r="L77" s="346">
        <v>1124725</v>
      </c>
      <c r="M77" s="428">
        <v>0.1</v>
      </c>
      <c r="N77" s="274">
        <f t="shared" si="8"/>
        <v>112472.5</v>
      </c>
      <c r="O77" s="274">
        <f t="shared" si="6"/>
        <v>1012252.5</v>
      </c>
      <c r="P77" s="347" t="s">
        <v>287</v>
      </c>
      <c r="Q77" s="393" t="e">
        <f>VLOOKUP(G:G,list!B:D,3,FALSE)</f>
        <v>#N/A</v>
      </c>
    </row>
    <row r="78" spans="2:17" ht="18" customHeight="1">
      <c r="B78" s="341">
        <v>74</v>
      </c>
      <c r="C78" s="341" t="e">
        <f>VLOOKUP(G:G,list!B:D,2,FALSE)</f>
        <v>#N/A</v>
      </c>
      <c r="D78" s="366" t="s">
        <v>255</v>
      </c>
      <c r="E78" s="366" t="s">
        <v>9</v>
      </c>
      <c r="F78" s="341" t="s">
        <v>184</v>
      </c>
      <c r="G78" s="366" t="s">
        <v>218</v>
      </c>
      <c r="H78" s="365">
        <v>44456</v>
      </c>
      <c r="I78" s="341" t="s">
        <v>323</v>
      </c>
      <c r="J78" s="367">
        <v>782413</v>
      </c>
      <c r="K78" s="368">
        <v>0.3</v>
      </c>
      <c r="L78" s="346">
        <v>234724</v>
      </c>
      <c r="M78" s="428">
        <v>0.1</v>
      </c>
      <c r="N78" s="274">
        <f t="shared" si="8"/>
        <v>23472.400000000001</v>
      </c>
      <c r="O78" s="274">
        <f>L78-N78</f>
        <v>211251.6</v>
      </c>
      <c r="P78" s="364" t="s">
        <v>221</v>
      </c>
      <c r="Q78" s="393" t="e">
        <f>VLOOKUP(G:G,list!B:D,3,FALSE)</f>
        <v>#N/A</v>
      </c>
    </row>
    <row r="79" spans="2:17" ht="18" customHeight="1">
      <c r="B79" s="341">
        <v>75</v>
      </c>
      <c r="C79" s="341" t="e">
        <f>VLOOKUP(G:G,list!B:D,2,FALSE)</f>
        <v>#N/A</v>
      </c>
      <c r="D79" s="366" t="s">
        <v>255</v>
      </c>
      <c r="E79" s="366" t="s">
        <v>9</v>
      </c>
      <c r="F79" s="341" t="s">
        <v>184</v>
      </c>
      <c r="G79" s="362" t="s">
        <v>336</v>
      </c>
      <c r="H79" s="445">
        <v>44661</v>
      </c>
      <c r="I79" s="341" t="s">
        <v>323</v>
      </c>
      <c r="J79" s="367">
        <v>2965147</v>
      </c>
      <c r="K79" s="368">
        <v>0.3</v>
      </c>
      <c r="L79" s="346">
        <v>889544</v>
      </c>
      <c r="M79" s="428">
        <v>0.1</v>
      </c>
      <c r="N79" s="274">
        <f t="shared" si="8"/>
        <v>88954.400000000009</v>
      </c>
      <c r="O79" s="274">
        <f>L79-N79</f>
        <v>800589.6</v>
      </c>
      <c r="P79" s="364" t="s">
        <v>286</v>
      </c>
      <c r="Q79" s="393" t="e">
        <f>VLOOKUP(G:G,list!B:D,3,FALSE)</f>
        <v>#N/A</v>
      </c>
    </row>
    <row r="80" spans="2:17" ht="18" customHeight="1">
      <c r="B80" s="341">
        <v>76</v>
      </c>
      <c r="C80" s="341" t="e">
        <f>VLOOKUP(G:G,list!B:D,2,FALSE)</f>
        <v>#N/A</v>
      </c>
      <c r="D80" s="369" t="s">
        <v>66</v>
      </c>
      <c r="E80" s="341" t="s">
        <v>64</v>
      </c>
      <c r="F80" s="369" t="s">
        <v>65</v>
      </c>
      <c r="G80" s="342" t="s">
        <v>152</v>
      </c>
      <c r="H80" s="396">
        <v>44235</v>
      </c>
      <c r="I80" s="341" t="s">
        <v>323</v>
      </c>
      <c r="J80" s="361">
        <v>592495</v>
      </c>
      <c r="K80" s="368">
        <v>0.4</v>
      </c>
      <c r="L80" s="346">
        <v>236998</v>
      </c>
      <c r="M80" s="428">
        <v>0.12</v>
      </c>
      <c r="N80" s="194">
        <f t="shared" si="8"/>
        <v>28439.759999999998</v>
      </c>
      <c r="O80" s="274">
        <f t="shared" si="6"/>
        <v>208558.24</v>
      </c>
      <c r="P80" s="191"/>
      <c r="Q80" s="393" t="e">
        <f>VLOOKUP(G:G,list!B:D,3,FALSE)</f>
        <v>#N/A</v>
      </c>
    </row>
    <row r="81" spans="2:17" ht="18" customHeight="1">
      <c r="B81" s="341">
        <v>77</v>
      </c>
      <c r="C81" s="341" t="e">
        <f>VLOOKUP(G:G,list!B:D,2,FALSE)</f>
        <v>#N/A</v>
      </c>
      <c r="D81" s="369" t="s">
        <v>66</v>
      </c>
      <c r="E81" s="341" t="s">
        <v>64</v>
      </c>
      <c r="F81" s="369" t="s">
        <v>65</v>
      </c>
      <c r="G81" s="342" t="s">
        <v>179</v>
      </c>
      <c r="H81" s="343">
        <v>44198</v>
      </c>
      <c r="I81" s="341" t="s">
        <v>323</v>
      </c>
      <c r="J81" s="361">
        <v>1101398</v>
      </c>
      <c r="K81" s="368">
        <v>0.4</v>
      </c>
      <c r="L81" s="346">
        <v>440559</v>
      </c>
      <c r="M81" s="428">
        <v>0.1</v>
      </c>
      <c r="N81" s="194">
        <f>L81*M81</f>
        <v>44055.9</v>
      </c>
      <c r="O81" s="274">
        <f t="shared" si="6"/>
        <v>396503.1</v>
      </c>
      <c r="P81" s="195" t="s">
        <v>85</v>
      </c>
      <c r="Q81" s="393" t="e">
        <f>VLOOKUP(G:G,list!B:D,3,FALSE)</f>
        <v>#N/A</v>
      </c>
    </row>
    <row r="82" spans="2:17" ht="18" customHeight="1">
      <c r="B82" s="341">
        <v>78</v>
      </c>
      <c r="C82" s="341" t="e">
        <f>VLOOKUP(G:G,list!B:D,2,FALSE)</f>
        <v>#N/A</v>
      </c>
      <c r="D82" s="369" t="s">
        <v>66</v>
      </c>
      <c r="E82" s="341" t="s">
        <v>64</v>
      </c>
      <c r="F82" s="369" t="s">
        <v>65</v>
      </c>
      <c r="G82" s="342" t="s">
        <v>147</v>
      </c>
      <c r="H82" s="343">
        <v>44288</v>
      </c>
      <c r="I82" s="341" t="s">
        <v>323</v>
      </c>
      <c r="J82" s="361">
        <v>443270</v>
      </c>
      <c r="K82" s="368">
        <v>0.4</v>
      </c>
      <c r="L82" s="346">
        <v>177308</v>
      </c>
      <c r="M82" s="428" t="s">
        <v>203</v>
      </c>
      <c r="N82" s="194">
        <v>0</v>
      </c>
      <c r="O82" s="274">
        <f t="shared" si="6"/>
        <v>177308</v>
      </c>
      <c r="P82" s="191"/>
      <c r="Q82" s="393" t="e">
        <f>VLOOKUP(G:G,list!B:D,3,FALSE)</f>
        <v>#N/A</v>
      </c>
    </row>
    <row r="83" spans="2:17" ht="18" customHeight="1">
      <c r="B83" s="341">
        <v>79</v>
      </c>
      <c r="C83" s="341" t="e">
        <f>VLOOKUP(G:G,list!B:D,2,FALSE)</f>
        <v>#N/A</v>
      </c>
      <c r="D83" s="369" t="s">
        <v>66</v>
      </c>
      <c r="E83" s="341" t="s">
        <v>64</v>
      </c>
      <c r="F83" s="369" t="s">
        <v>65</v>
      </c>
      <c r="G83" s="342" t="s">
        <v>187</v>
      </c>
      <c r="H83" s="343">
        <v>44289</v>
      </c>
      <c r="I83" s="341" t="s">
        <v>323</v>
      </c>
      <c r="J83" s="361">
        <v>1930183</v>
      </c>
      <c r="K83" s="368">
        <v>0.4</v>
      </c>
      <c r="L83" s="346">
        <v>772073</v>
      </c>
      <c r="M83" s="428" t="s">
        <v>203</v>
      </c>
      <c r="N83" s="194">
        <v>0</v>
      </c>
      <c r="O83" s="274">
        <f t="shared" si="6"/>
        <v>772073</v>
      </c>
      <c r="P83" s="347"/>
      <c r="Q83" s="393" t="e">
        <f>VLOOKUP(G:G,list!B:D,3,FALSE)</f>
        <v>#N/A</v>
      </c>
    </row>
    <row r="84" spans="2:17" ht="18" customHeight="1">
      <c r="B84" s="341">
        <v>80</v>
      </c>
      <c r="C84" s="341" t="e">
        <f>VLOOKUP(G:G,list!B:D,2,FALSE)</f>
        <v>#N/A</v>
      </c>
      <c r="D84" s="369" t="s">
        <v>66</v>
      </c>
      <c r="E84" s="341" t="s">
        <v>64</v>
      </c>
      <c r="F84" s="369" t="s">
        <v>65</v>
      </c>
      <c r="G84" s="342" t="s">
        <v>74</v>
      </c>
      <c r="H84" s="343">
        <v>44246</v>
      </c>
      <c r="I84" s="341" t="s">
        <v>323</v>
      </c>
      <c r="J84" s="361">
        <v>499788</v>
      </c>
      <c r="K84" s="368">
        <v>0.4</v>
      </c>
      <c r="L84" s="346">
        <v>199915</v>
      </c>
      <c r="M84" s="428">
        <v>0.1</v>
      </c>
      <c r="N84" s="274">
        <f>L84*M84</f>
        <v>19991.5</v>
      </c>
      <c r="O84" s="274">
        <f t="shared" si="6"/>
        <v>179923.5</v>
      </c>
      <c r="P84" s="191"/>
      <c r="Q84" s="393" t="e">
        <f>VLOOKUP(G:G,list!B:D,3,FALSE)</f>
        <v>#N/A</v>
      </c>
    </row>
    <row r="85" spans="2:17" ht="18" customHeight="1">
      <c r="B85" s="341">
        <v>81</v>
      </c>
      <c r="C85" s="341" t="e">
        <f>VLOOKUP(G:G,list!B:D,2,FALSE)</f>
        <v>#N/A</v>
      </c>
      <c r="D85" s="369" t="s">
        <v>66</v>
      </c>
      <c r="E85" s="341" t="s">
        <v>64</v>
      </c>
      <c r="F85" s="369" t="s">
        <v>65</v>
      </c>
      <c r="G85" s="342" t="s">
        <v>188</v>
      </c>
      <c r="H85" s="343">
        <v>44415</v>
      </c>
      <c r="I85" s="341" t="s">
        <v>323</v>
      </c>
      <c r="J85" s="361">
        <v>1749675</v>
      </c>
      <c r="K85" s="368">
        <v>0.4</v>
      </c>
      <c r="L85" s="346">
        <v>699870</v>
      </c>
      <c r="M85" s="428" t="s">
        <v>203</v>
      </c>
      <c r="N85" s="194">
        <v>0</v>
      </c>
      <c r="O85" s="274">
        <f t="shared" si="6"/>
        <v>699870</v>
      </c>
      <c r="P85" s="191"/>
      <c r="Q85" s="393" t="e">
        <f>VLOOKUP(G:G,list!B:D,3,FALSE)</f>
        <v>#N/A</v>
      </c>
    </row>
    <row r="86" spans="2:17" ht="18" customHeight="1">
      <c r="B86" s="341">
        <v>82</v>
      </c>
      <c r="C86" s="341" t="str">
        <f>VLOOKUP(G:G,list!B:D,2,FALSE)</f>
        <v>원작료</v>
      </c>
      <c r="D86" s="369" t="s">
        <v>66</v>
      </c>
      <c r="E86" s="341" t="s">
        <v>64</v>
      </c>
      <c r="F86" s="369" t="s">
        <v>65</v>
      </c>
      <c r="G86" s="342" t="s">
        <v>30</v>
      </c>
      <c r="H86" s="343">
        <v>44586</v>
      </c>
      <c r="I86" s="341" t="s">
        <v>323</v>
      </c>
      <c r="J86" s="361">
        <v>610723</v>
      </c>
      <c r="K86" s="368">
        <v>0.4</v>
      </c>
      <c r="L86" s="346">
        <v>244289</v>
      </c>
      <c r="M86" s="428">
        <v>0.1</v>
      </c>
      <c r="N86" s="274">
        <f>L86*M86</f>
        <v>24428.9</v>
      </c>
      <c r="O86" s="274">
        <f t="shared" si="6"/>
        <v>219860.1</v>
      </c>
      <c r="P86" s="191"/>
      <c r="Q86" s="393" t="str">
        <f>VLOOKUP(G:G,list!B:D,3,FALSE)</f>
        <v>Y</v>
      </c>
    </row>
    <row r="87" spans="2:17" ht="18" customHeight="1">
      <c r="B87" s="341">
        <v>83</v>
      </c>
      <c r="C87" s="341" t="e">
        <f>VLOOKUP(G:G,list!B:D,2,FALSE)</f>
        <v>#N/A</v>
      </c>
      <c r="D87" s="366" t="s">
        <v>215</v>
      </c>
      <c r="E87" s="366" t="s">
        <v>9</v>
      </c>
      <c r="F87" s="341" t="s">
        <v>184</v>
      </c>
      <c r="G87" s="366" t="s">
        <v>218</v>
      </c>
      <c r="H87" s="365">
        <v>44395</v>
      </c>
      <c r="I87" s="341" t="s">
        <v>323</v>
      </c>
      <c r="J87" s="367">
        <v>20935207</v>
      </c>
      <c r="K87" s="368">
        <v>0.3</v>
      </c>
      <c r="L87" s="346">
        <v>6280562</v>
      </c>
      <c r="M87" s="428">
        <v>0.1</v>
      </c>
      <c r="N87" s="274">
        <f>L87*M87</f>
        <v>628056.20000000007</v>
      </c>
      <c r="O87" s="274">
        <f t="shared" si="6"/>
        <v>5652505.7999999998</v>
      </c>
      <c r="P87" s="364" t="s">
        <v>221</v>
      </c>
      <c r="Q87" s="393" t="e">
        <f>VLOOKUP(G:G,list!B:D,3,FALSE)</f>
        <v>#N/A</v>
      </c>
    </row>
    <row r="88" spans="2:17" ht="18" customHeight="1">
      <c r="B88" s="341">
        <v>84</v>
      </c>
      <c r="C88" s="341" t="e">
        <f>VLOOKUP(G:G,list!B:D,2,FALSE)</f>
        <v>#N/A</v>
      </c>
      <c r="D88" s="366" t="s">
        <v>215</v>
      </c>
      <c r="E88" s="366" t="s">
        <v>9</v>
      </c>
      <c r="F88" s="341" t="s">
        <v>184</v>
      </c>
      <c r="G88" s="366" t="s">
        <v>219</v>
      </c>
      <c r="H88" s="365">
        <v>44486</v>
      </c>
      <c r="I88" s="341" t="s">
        <v>323</v>
      </c>
      <c r="J88" s="367">
        <v>19682733</v>
      </c>
      <c r="K88" s="368">
        <v>0.3</v>
      </c>
      <c r="L88" s="346">
        <v>5904820</v>
      </c>
      <c r="M88" s="428">
        <v>0.12</v>
      </c>
      <c r="N88" s="194">
        <f>L88*M88</f>
        <v>708578.4</v>
      </c>
      <c r="O88" s="274">
        <f t="shared" si="6"/>
        <v>5196241.5999999996</v>
      </c>
      <c r="P88" s="364" t="s">
        <v>221</v>
      </c>
      <c r="Q88" s="393" t="e">
        <f>VLOOKUP(G:G,list!B:D,3,FALSE)</f>
        <v>#N/A</v>
      </c>
    </row>
    <row r="89" spans="2:17" ht="18" customHeight="1">
      <c r="B89" s="341">
        <v>85</v>
      </c>
      <c r="C89" s="341" t="e">
        <f>VLOOKUP(G:G,list!B:D,2,FALSE)</f>
        <v>#N/A</v>
      </c>
      <c r="D89" s="366" t="s">
        <v>215</v>
      </c>
      <c r="E89" s="366" t="s">
        <v>9</v>
      </c>
      <c r="F89" s="341" t="s">
        <v>184</v>
      </c>
      <c r="G89" s="366" t="s">
        <v>219</v>
      </c>
      <c r="H89" s="365">
        <v>44486</v>
      </c>
      <c r="I89" s="341" t="s">
        <v>325</v>
      </c>
      <c r="J89" s="361">
        <v>690613</v>
      </c>
      <c r="K89" s="368">
        <v>0.3</v>
      </c>
      <c r="L89" s="346">
        <v>207184</v>
      </c>
      <c r="M89" s="428">
        <v>0.12</v>
      </c>
      <c r="N89" s="194">
        <f>L89*M89</f>
        <v>24862.079999999998</v>
      </c>
      <c r="O89" s="274">
        <f t="shared" si="6"/>
        <v>182321.92000000001</v>
      </c>
      <c r="P89" s="364" t="s">
        <v>283</v>
      </c>
      <c r="Q89" s="393" t="e">
        <f>VLOOKUP(G:G,list!B:D,3,FALSE)</f>
        <v>#N/A</v>
      </c>
    </row>
    <row r="90" spans="2:17" ht="18" customHeight="1">
      <c r="B90" s="341">
        <v>86</v>
      </c>
      <c r="C90" s="341" t="e">
        <f>VLOOKUP(G:G,list!B:D,2,FALSE)</f>
        <v>#N/A</v>
      </c>
      <c r="D90" s="366" t="s">
        <v>215</v>
      </c>
      <c r="E90" s="366" t="s">
        <v>9</v>
      </c>
      <c r="F90" s="341" t="s">
        <v>184</v>
      </c>
      <c r="G90" s="366" t="s">
        <v>12</v>
      </c>
      <c r="H90" s="365">
        <v>44544</v>
      </c>
      <c r="I90" s="341" t="s">
        <v>325</v>
      </c>
      <c r="J90" s="361">
        <v>239580</v>
      </c>
      <c r="K90" s="368">
        <v>0.3</v>
      </c>
      <c r="L90" s="346">
        <v>71874</v>
      </c>
      <c r="M90" s="428">
        <v>0.1</v>
      </c>
      <c r="N90" s="274">
        <f>L90*M90</f>
        <v>7187.4000000000005</v>
      </c>
      <c r="O90" s="274">
        <f t="shared" si="6"/>
        <v>64686.6</v>
      </c>
      <c r="P90" s="364" t="s">
        <v>283</v>
      </c>
      <c r="Q90" s="393" t="e">
        <f>VLOOKUP(G:G,list!B:D,3,FALSE)</f>
        <v>#N/A</v>
      </c>
    </row>
    <row r="91" spans="2:17" ht="18" customHeight="1">
      <c r="B91" s="341">
        <v>87</v>
      </c>
      <c r="C91" s="341" t="e">
        <f>VLOOKUP(G:G,list!B:D,2,FALSE)</f>
        <v>#N/A</v>
      </c>
      <c r="D91" s="366" t="s">
        <v>215</v>
      </c>
      <c r="E91" s="366" t="s">
        <v>9</v>
      </c>
      <c r="F91" s="341" t="s">
        <v>184</v>
      </c>
      <c r="G91" s="366" t="s">
        <v>135</v>
      </c>
      <c r="H91" s="365">
        <v>44420</v>
      </c>
      <c r="I91" s="341" t="s">
        <v>323</v>
      </c>
      <c r="J91" s="361">
        <v>2929360</v>
      </c>
      <c r="K91" s="368">
        <v>0.3</v>
      </c>
      <c r="L91" s="346">
        <v>878808</v>
      </c>
      <c r="M91" s="428" t="s">
        <v>203</v>
      </c>
      <c r="N91" s="194">
        <v>0</v>
      </c>
      <c r="O91" s="274">
        <f t="shared" si="6"/>
        <v>878808</v>
      </c>
      <c r="P91" s="364" t="s">
        <v>221</v>
      </c>
      <c r="Q91" s="393" t="e">
        <f>VLOOKUP(G:G,list!B:D,3,FALSE)</f>
        <v>#N/A</v>
      </c>
    </row>
    <row r="92" spans="2:17" ht="18" customHeight="1">
      <c r="B92" s="341">
        <v>88</v>
      </c>
      <c r="C92" s="341" t="e">
        <f>VLOOKUP(G:G,list!B:D,2,FALSE)</f>
        <v>#N/A</v>
      </c>
      <c r="D92" s="366" t="s">
        <v>215</v>
      </c>
      <c r="E92" s="366" t="s">
        <v>9</v>
      </c>
      <c r="F92" s="341" t="s">
        <v>184</v>
      </c>
      <c r="G92" s="366" t="s">
        <v>135</v>
      </c>
      <c r="H92" s="365">
        <v>44637</v>
      </c>
      <c r="I92" s="341" t="s">
        <v>325</v>
      </c>
      <c r="J92" s="361">
        <v>1656000</v>
      </c>
      <c r="K92" s="368">
        <v>0.3</v>
      </c>
      <c r="L92" s="346">
        <v>496800</v>
      </c>
      <c r="M92" s="428" t="s">
        <v>203</v>
      </c>
      <c r="N92" s="194">
        <v>0</v>
      </c>
      <c r="O92" s="274">
        <f t="shared" ref="O92" si="9">L92-N92</f>
        <v>496800</v>
      </c>
      <c r="P92" s="364" t="s">
        <v>285</v>
      </c>
      <c r="Q92" s="393" t="e">
        <f>VLOOKUP(G:G,list!B:D,3,FALSE)</f>
        <v>#N/A</v>
      </c>
    </row>
    <row r="93" spans="2:17" ht="18" customHeight="1">
      <c r="B93" s="341">
        <v>89</v>
      </c>
      <c r="C93" s="341" t="e">
        <f>VLOOKUP(G:G,list!B:D,2,FALSE)</f>
        <v>#N/A</v>
      </c>
      <c r="D93" s="366" t="s">
        <v>27</v>
      </c>
      <c r="E93" s="366" t="s">
        <v>62</v>
      </c>
      <c r="F93" s="341" t="s">
        <v>326</v>
      </c>
      <c r="G93" s="366" t="s">
        <v>43</v>
      </c>
      <c r="H93" s="365">
        <v>44408</v>
      </c>
      <c r="I93" s="341" t="s">
        <v>327</v>
      </c>
      <c r="J93" s="361">
        <v>24352586</v>
      </c>
      <c r="K93" s="397">
        <v>0.24500002911191202</v>
      </c>
      <c r="L93" s="346">
        <v>5369745</v>
      </c>
      <c r="M93" s="428">
        <v>0.1</v>
      </c>
      <c r="N93" s="194">
        <f t="shared" ref="N93:N105" si="10">L93*M93</f>
        <v>536974.5</v>
      </c>
      <c r="O93" s="274">
        <f t="shared" si="6"/>
        <v>4832770.5</v>
      </c>
      <c r="P93" s="364"/>
      <c r="Q93" s="393" t="e">
        <f>VLOOKUP(G:G,list!B:D,3,FALSE)</f>
        <v>#N/A</v>
      </c>
    </row>
    <row r="94" spans="2:17" ht="18" customHeight="1">
      <c r="B94" s="341">
        <v>90</v>
      </c>
      <c r="C94" s="341" t="e">
        <f>VLOOKUP(G:G,list!B:D,2,FALSE)</f>
        <v>#N/A</v>
      </c>
      <c r="D94" s="366" t="s">
        <v>27</v>
      </c>
      <c r="E94" s="366" t="s">
        <v>62</v>
      </c>
      <c r="F94" s="341" t="s">
        <v>326</v>
      </c>
      <c r="G94" s="366" t="s">
        <v>43</v>
      </c>
      <c r="H94" s="365">
        <v>44408</v>
      </c>
      <c r="I94" s="341" t="s">
        <v>328</v>
      </c>
      <c r="J94" s="361">
        <v>8664753</v>
      </c>
      <c r="K94" s="397">
        <v>0.24500002911191202</v>
      </c>
      <c r="L94" s="346">
        <v>1910578</v>
      </c>
      <c r="M94" s="428">
        <v>0.1</v>
      </c>
      <c r="N94" s="194">
        <f t="shared" si="10"/>
        <v>191057.80000000002</v>
      </c>
      <c r="O94" s="274">
        <f t="shared" si="6"/>
        <v>1719520.2</v>
      </c>
      <c r="P94" s="364"/>
      <c r="Q94" s="393" t="e">
        <f>VLOOKUP(G:G,list!B:D,3,FALSE)</f>
        <v>#N/A</v>
      </c>
    </row>
    <row r="95" spans="2:17" ht="18" customHeight="1">
      <c r="B95" s="341">
        <v>91</v>
      </c>
      <c r="C95" s="341" t="e">
        <f>VLOOKUP(G:G,list!B:D,2,FALSE)</f>
        <v>#N/A</v>
      </c>
      <c r="D95" s="366" t="s">
        <v>27</v>
      </c>
      <c r="E95" s="366" t="s">
        <v>62</v>
      </c>
      <c r="F95" s="341" t="s">
        <v>326</v>
      </c>
      <c r="G95" s="366" t="s">
        <v>43</v>
      </c>
      <c r="H95" s="365">
        <v>44408</v>
      </c>
      <c r="I95" s="341" t="s">
        <v>312</v>
      </c>
      <c r="J95" s="361">
        <v>44050476</v>
      </c>
      <c r="K95" s="397">
        <v>0.24500002911191202</v>
      </c>
      <c r="L95" s="346">
        <v>9713130</v>
      </c>
      <c r="M95" s="428">
        <v>0.1</v>
      </c>
      <c r="N95" s="194">
        <f t="shared" si="10"/>
        <v>971313</v>
      </c>
      <c r="O95" s="274">
        <f t="shared" si="6"/>
        <v>8741817</v>
      </c>
      <c r="P95" s="364"/>
      <c r="Q95" s="393" t="e">
        <f>VLOOKUP(G:G,list!B:D,3,FALSE)</f>
        <v>#N/A</v>
      </c>
    </row>
    <row r="96" spans="2:17" ht="18" customHeight="1">
      <c r="B96" s="341">
        <v>92</v>
      </c>
      <c r="C96" s="341" t="e">
        <f>VLOOKUP(G:G,list!B:D,2,FALSE)</f>
        <v>#N/A</v>
      </c>
      <c r="D96" s="366" t="s">
        <v>27</v>
      </c>
      <c r="E96" s="366" t="s">
        <v>62</v>
      </c>
      <c r="F96" s="341" t="s">
        <v>334</v>
      </c>
      <c r="G96" s="366" t="s">
        <v>43</v>
      </c>
      <c r="H96" s="365">
        <v>44614</v>
      </c>
      <c r="I96" s="341" t="s">
        <v>328</v>
      </c>
      <c r="J96" s="361">
        <v>84593</v>
      </c>
      <c r="K96" s="397">
        <v>0.24500002911191202</v>
      </c>
      <c r="L96" s="346">
        <v>18652</v>
      </c>
      <c r="M96" s="428">
        <v>0.1</v>
      </c>
      <c r="N96" s="194">
        <f t="shared" si="10"/>
        <v>1865.2</v>
      </c>
      <c r="O96" s="274">
        <f t="shared" si="6"/>
        <v>16786.8</v>
      </c>
      <c r="P96" s="364" t="s">
        <v>287</v>
      </c>
      <c r="Q96" s="393" t="e">
        <f>VLOOKUP(G:G,list!B:D,3,FALSE)</f>
        <v>#N/A</v>
      </c>
    </row>
    <row r="97" spans="2:17" ht="18" customHeight="1">
      <c r="B97" s="341">
        <v>93</v>
      </c>
      <c r="C97" s="341" t="e">
        <f>VLOOKUP(G:G,list!B:D,2,FALSE)</f>
        <v>#N/A</v>
      </c>
      <c r="D97" s="366" t="s">
        <v>27</v>
      </c>
      <c r="E97" s="366" t="s">
        <v>62</v>
      </c>
      <c r="F97" s="341" t="s">
        <v>334</v>
      </c>
      <c r="G97" s="366" t="s">
        <v>43</v>
      </c>
      <c r="H97" s="365">
        <v>44614</v>
      </c>
      <c r="I97" s="341" t="s">
        <v>312</v>
      </c>
      <c r="J97" s="361">
        <v>381459</v>
      </c>
      <c r="K97" s="397">
        <v>0.24500002911191202</v>
      </c>
      <c r="L97" s="346">
        <v>84111</v>
      </c>
      <c r="M97" s="428">
        <v>0.1</v>
      </c>
      <c r="N97" s="194">
        <f t="shared" si="10"/>
        <v>8411.1</v>
      </c>
      <c r="O97" s="274">
        <f t="shared" si="6"/>
        <v>75699.899999999994</v>
      </c>
      <c r="P97" s="364"/>
      <c r="Q97" s="393" t="e">
        <f>VLOOKUP(G:G,list!B:D,3,FALSE)</f>
        <v>#N/A</v>
      </c>
    </row>
    <row r="98" spans="2:17" ht="18" customHeight="1">
      <c r="B98" s="341">
        <v>94</v>
      </c>
      <c r="C98" s="341" t="e">
        <f>VLOOKUP(G:G,list!B:D,2,FALSE)</f>
        <v>#N/A</v>
      </c>
      <c r="D98" s="369" t="s">
        <v>69</v>
      </c>
      <c r="E98" s="369" t="s">
        <v>68</v>
      </c>
      <c r="F98" s="372" t="s">
        <v>70</v>
      </c>
      <c r="G98" s="362" t="s">
        <v>42</v>
      </c>
      <c r="H98" s="363">
        <v>44293</v>
      </c>
      <c r="I98" s="341" t="s">
        <v>325</v>
      </c>
      <c r="J98" s="361">
        <v>2832</v>
      </c>
      <c r="K98" s="371">
        <v>0.5</v>
      </c>
      <c r="L98" s="346">
        <v>1416</v>
      </c>
      <c r="M98" s="428">
        <v>0.1</v>
      </c>
      <c r="N98" s="194">
        <f t="shared" si="10"/>
        <v>141.6</v>
      </c>
      <c r="O98" s="274">
        <f t="shared" ref="O98:O123" si="11">L98-N98</f>
        <v>1274.4000000000001</v>
      </c>
      <c r="P98" s="195" t="s">
        <v>85</v>
      </c>
      <c r="Q98" s="393" t="e">
        <f>VLOOKUP(G:G,list!B:D,3,FALSE)</f>
        <v>#N/A</v>
      </c>
    </row>
    <row r="99" spans="2:17" ht="18" customHeight="1">
      <c r="B99" s="341">
        <v>95</v>
      </c>
      <c r="C99" s="341" t="e">
        <f>VLOOKUP(G:G,list!B:D,2,FALSE)</f>
        <v>#N/A</v>
      </c>
      <c r="D99" s="369" t="s">
        <v>69</v>
      </c>
      <c r="E99" s="369" t="s">
        <v>68</v>
      </c>
      <c r="F99" s="372" t="s">
        <v>70</v>
      </c>
      <c r="G99" s="362" t="s">
        <v>224</v>
      </c>
      <c r="H99" s="363">
        <v>44341</v>
      </c>
      <c r="I99" s="341" t="s">
        <v>325</v>
      </c>
      <c r="J99" s="361">
        <v>3751</v>
      </c>
      <c r="K99" s="371">
        <v>0.5</v>
      </c>
      <c r="L99" s="346">
        <v>1876</v>
      </c>
      <c r="M99" s="428">
        <v>0.1</v>
      </c>
      <c r="N99" s="274">
        <f t="shared" si="10"/>
        <v>187.60000000000002</v>
      </c>
      <c r="O99" s="274">
        <f t="shared" si="11"/>
        <v>1688.4</v>
      </c>
      <c r="P99" s="197"/>
      <c r="Q99" s="393" t="e">
        <f>VLOOKUP(G:G,list!B:D,3,FALSE)</f>
        <v>#N/A</v>
      </c>
    </row>
    <row r="100" spans="2:17" ht="18" customHeight="1">
      <c r="B100" s="341">
        <v>96</v>
      </c>
      <c r="C100" s="341" t="e">
        <f>VLOOKUP(G:G,list!B:D,2,FALSE)</f>
        <v>#N/A</v>
      </c>
      <c r="D100" s="369" t="s">
        <v>69</v>
      </c>
      <c r="E100" s="369" t="s">
        <v>68</v>
      </c>
      <c r="F100" s="372" t="s">
        <v>70</v>
      </c>
      <c r="G100" s="362" t="s">
        <v>28</v>
      </c>
      <c r="H100" s="363">
        <v>44291</v>
      </c>
      <c r="I100" s="341" t="s">
        <v>325</v>
      </c>
      <c r="J100" s="361">
        <v>36210</v>
      </c>
      <c r="K100" s="371">
        <v>0.5</v>
      </c>
      <c r="L100" s="346">
        <v>18105</v>
      </c>
      <c r="M100" s="428">
        <v>0.12</v>
      </c>
      <c r="N100" s="194">
        <f t="shared" si="10"/>
        <v>2172.6</v>
      </c>
      <c r="O100" s="274">
        <f t="shared" si="11"/>
        <v>15932.4</v>
      </c>
      <c r="P100" s="197"/>
      <c r="Q100" s="393" t="e">
        <f>VLOOKUP(G:G,list!B:D,3,FALSE)</f>
        <v>#N/A</v>
      </c>
    </row>
    <row r="101" spans="2:17" ht="18" customHeight="1">
      <c r="B101" s="341">
        <v>97</v>
      </c>
      <c r="C101" s="341" t="e">
        <f>VLOOKUP(G:G,list!B:D,2,FALSE)</f>
        <v>#N/A</v>
      </c>
      <c r="D101" s="369" t="s">
        <v>69</v>
      </c>
      <c r="E101" s="369" t="s">
        <v>68</v>
      </c>
      <c r="F101" s="372" t="s">
        <v>70</v>
      </c>
      <c r="G101" s="362" t="s">
        <v>29</v>
      </c>
      <c r="H101" s="363">
        <v>44410</v>
      </c>
      <c r="I101" s="341" t="s">
        <v>325</v>
      </c>
      <c r="J101" s="361">
        <v>10105</v>
      </c>
      <c r="K101" s="371">
        <v>0.5</v>
      </c>
      <c r="L101" s="346">
        <v>5053</v>
      </c>
      <c r="M101" s="428">
        <v>0.1</v>
      </c>
      <c r="N101" s="274">
        <f t="shared" si="10"/>
        <v>505.3</v>
      </c>
      <c r="O101" s="274">
        <f t="shared" si="11"/>
        <v>4547.7</v>
      </c>
      <c r="P101" s="194"/>
      <c r="Q101" s="393" t="e">
        <f>VLOOKUP(G:G,list!B:D,3,FALSE)</f>
        <v>#N/A</v>
      </c>
    </row>
    <row r="102" spans="2:17" ht="18" customHeight="1">
      <c r="B102" s="341">
        <v>98</v>
      </c>
      <c r="C102" s="341" t="str">
        <f>VLOOKUP(G:G,list!B:D,2,FALSE)</f>
        <v>원작료</v>
      </c>
      <c r="D102" s="369" t="s">
        <v>69</v>
      </c>
      <c r="E102" s="369" t="s">
        <v>68</v>
      </c>
      <c r="F102" s="372" t="s">
        <v>70</v>
      </c>
      <c r="G102" s="362" t="s">
        <v>151</v>
      </c>
      <c r="H102" s="363">
        <v>44524</v>
      </c>
      <c r="I102" s="341" t="s">
        <v>325</v>
      </c>
      <c r="J102" s="361">
        <v>4210</v>
      </c>
      <c r="K102" s="371">
        <v>0.5</v>
      </c>
      <c r="L102" s="346">
        <v>2105</v>
      </c>
      <c r="M102" s="428">
        <v>0.1</v>
      </c>
      <c r="N102" s="274">
        <f t="shared" si="10"/>
        <v>210.5</v>
      </c>
      <c r="O102" s="274">
        <f t="shared" si="11"/>
        <v>1894.5</v>
      </c>
      <c r="P102" s="370"/>
      <c r="Q102" s="393" t="str">
        <f>VLOOKUP(G:G,list!B:D,3,FALSE)</f>
        <v>Y</v>
      </c>
    </row>
    <row r="103" spans="2:17" ht="18" customHeight="1">
      <c r="B103" s="341">
        <v>99</v>
      </c>
      <c r="C103" s="341" t="e">
        <f>VLOOKUP(G:G,list!B:D,2,FALSE)</f>
        <v>#N/A</v>
      </c>
      <c r="D103" s="369" t="s">
        <v>182</v>
      </c>
      <c r="E103" s="369" t="s">
        <v>9</v>
      </c>
      <c r="F103" s="372" t="s">
        <v>228</v>
      </c>
      <c r="G103" s="374" t="s">
        <v>179</v>
      </c>
      <c r="H103" s="353">
        <v>44180</v>
      </c>
      <c r="I103" s="341" t="s">
        <v>325</v>
      </c>
      <c r="J103" s="361">
        <v>397449</v>
      </c>
      <c r="K103" s="371">
        <v>0.5</v>
      </c>
      <c r="L103" s="346">
        <v>198724.5</v>
      </c>
      <c r="M103" s="428">
        <v>0.1</v>
      </c>
      <c r="N103" s="194">
        <f t="shared" si="10"/>
        <v>19872.45</v>
      </c>
      <c r="O103" s="274">
        <f t="shared" si="11"/>
        <v>178852.05</v>
      </c>
      <c r="P103" s="195" t="s">
        <v>85</v>
      </c>
      <c r="Q103" s="393" t="e">
        <f>VLOOKUP(G:G,list!B:D,3,FALSE)</f>
        <v>#N/A</v>
      </c>
    </row>
    <row r="104" spans="2:17" ht="18" customHeight="1">
      <c r="B104" s="341">
        <v>100</v>
      </c>
      <c r="C104" s="341" t="e">
        <f>VLOOKUP(G:G,list!B:D,2,FALSE)</f>
        <v>#N/A</v>
      </c>
      <c r="D104" s="369" t="s">
        <v>182</v>
      </c>
      <c r="E104" s="369" t="s">
        <v>9</v>
      </c>
      <c r="F104" s="372" t="s">
        <v>228</v>
      </c>
      <c r="G104" s="374" t="s">
        <v>152</v>
      </c>
      <c r="H104" s="353">
        <v>44180</v>
      </c>
      <c r="I104" s="341" t="s">
        <v>325</v>
      </c>
      <c r="J104" s="361">
        <v>207723</v>
      </c>
      <c r="K104" s="371">
        <v>0.5</v>
      </c>
      <c r="L104" s="346">
        <v>103861.5</v>
      </c>
      <c r="M104" s="428">
        <v>0.12</v>
      </c>
      <c r="N104" s="194">
        <f t="shared" si="10"/>
        <v>12463.38</v>
      </c>
      <c r="O104" s="274">
        <f t="shared" si="11"/>
        <v>91398.12</v>
      </c>
      <c r="P104" s="194"/>
      <c r="Q104" s="393" t="e">
        <f>VLOOKUP(G:G,list!B:D,3,FALSE)</f>
        <v>#N/A</v>
      </c>
    </row>
    <row r="105" spans="2:17" ht="18" customHeight="1">
      <c r="B105" s="341">
        <v>101</v>
      </c>
      <c r="C105" s="341" t="e">
        <f>VLOOKUP(G:G,list!B:D,2,FALSE)</f>
        <v>#N/A</v>
      </c>
      <c r="D105" s="369" t="s">
        <v>182</v>
      </c>
      <c r="E105" s="369" t="s">
        <v>9</v>
      </c>
      <c r="F105" s="372" t="s">
        <v>228</v>
      </c>
      <c r="G105" s="374" t="s">
        <v>153</v>
      </c>
      <c r="H105" s="353">
        <v>44180</v>
      </c>
      <c r="I105" s="341" t="s">
        <v>325</v>
      </c>
      <c r="J105" s="361">
        <v>152400</v>
      </c>
      <c r="K105" s="371">
        <v>0.5</v>
      </c>
      <c r="L105" s="346">
        <v>76200</v>
      </c>
      <c r="M105" s="428">
        <v>0.1</v>
      </c>
      <c r="N105" s="274">
        <f t="shared" si="10"/>
        <v>7620</v>
      </c>
      <c r="O105" s="274">
        <f t="shared" si="11"/>
        <v>68580</v>
      </c>
      <c r="P105" s="194"/>
      <c r="Q105" s="393" t="e">
        <f>VLOOKUP(G:G,list!B:D,3,FALSE)</f>
        <v>#N/A</v>
      </c>
    </row>
    <row r="106" spans="2:17" ht="18" customHeight="1">
      <c r="B106" s="341">
        <v>102</v>
      </c>
      <c r="C106" s="341" t="str">
        <f>VLOOKUP(G:G,list!B:D,2,FALSE)</f>
        <v>작가기획</v>
      </c>
      <c r="D106" s="369" t="s">
        <v>182</v>
      </c>
      <c r="E106" s="369" t="s">
        <v>9</v>
      </c>
      <c r="F106" s="372" t="s">
        <v>228</v>
      </c>
      <c r="G106" s="374" t="s">
        <v>180</v>
      </c>
      <c r="H106" s="353">
        <v>44180</v>
      </c>
      <c r="I106" s="341" t="s">
        <v>325</v>
      </c>
      <c r="J106" s="361">
        <v>1817778</v>
      </c>
      <c r="K106" s="371">
        <v>0.5</v>
      </c>
      <c r="L106" s="346">
        <v>908889</v>
      </c>
      <c r="M106" s="428" t="s">
        <v>203</v>
      </c>
      <c r="N106" s="274">
        <v>0</v>
      </c>
      <c r="O106" s="274">
        <f t="shared" si="11"/>
        <v>908889</v>
      </c>
      <c r="P106" s="194"/>
      <c r="Q106" s="393" t="str">
        <f>VLOOKUP(G:G,list!B:D,3,FALSE)</f>
        <v>Y</v>
      </c>
    </row>
    <row r="107" spans="2:17" ht="18" customHeight="1">
      <c r="B107" s="341">
        <v>103</v>
      </c>
      <c r="C107" s="341" t="str">
        <f>VLOOKUP(G:G,list!B:D,2,FALSE)</f>
        <v>작가기획</v>
      </c>
      <c r="D107" s="369" t="s">
        <v>182</v>
      </c>
      <c r="E107" s="369" t="s">
        <v>9</v>
      </c>
      <c r="F107" s="372" t="s">
        <v>228</v>
      </c>
      <c r="G107" s="374" t="s">
        <v>139</v>
      </c>
      <c r="H107" s="353">
        <v>44180</v>
      </c>
      <c r="I107" s="341" t="s">
        <v>325</v>
      </c>
      <c r="J107" s="361">
        <v>101707</v>
      </c>
      <c r="K107" s="371">
        <v>0.5</v>
      </c>
      <c r="L107" s="346">
        <v>50853.5</v>
      </c>
      <c r="M107" s="428" t="s">
        <v>203</v>
      </c>
      <c r="N107" s="194">
        <v>0</v>
      </c>
      <c r="O107" s="274">
        <f t="shared" si="11"/>
        <v>50853.5</v>
      </c>
      <c r="P107" s="194"/>
      <c r="Q107" s="393" t="str">
        <f>VLOOKUP(G:G,list!B:D,3,FALSE)</f>
        <v>Y</v>
      </c>
    </row>
    <row r="108" spans="2:17" ht="18" customHeight="1">
      <c r="B108" s="341">
        <v>104</v>
      </c>
      <c r="C108" s="341" t="e">
        <f>VLOOKUP(G:G,list!B:D,2,FALSE)</f>
        <v>#N/A</v>
      </c>
      <c r="D108" s="369" t="s">
        <v>182</v>
      </c>
      <c r="E108" s="369" t="s">
        <v>115</v>
      </c>
      <c r="F108" s="372" t="s">
        <v>228</v>
      </c>
      <c r="G108" s="375" t="s">
        <v>231</v>
      </c>
      <c r="H108" s="353">
        <v>44180</v>
      </c>
      <c r="I108" s="341" t="s">
        <v>325</v>
      </c>
      <c r="J108" s="361">
        <v>283402</v>
      </c>
      <c r="K108" s="371">
        <v>0.5</v>
      </c>
      <c r="L108" s="346">
        <v>141701</v>
      </c>
      <c r="M108" s="428" t="s">
        <v>203</v>
      </c>
      <c r="N108" s="194">
        <v>0</v>
      </c>
      <c r="O108" s="274">
        <f t="shared" si="11"/>
        <v>141701</v>
      </c>
      <c r="P108" s="194"/>
      <c r="Q108" s="393" t="e">
        <f>VLOOKUP(G:G,list!B:D,3,FALSE)</f>
        <v>#N/A</v>
      </c>
    </row>
    <row r="109" spans="2:17" ht="18" customHeight="1">
      <c r="B109" s="341">
        <v>105</v>
      </c>
      <c r="C109" s="341" t="str">
        <f>VLOOKUP(G:G,list!B:D,2,FALSE)</f>
        <v>원작료</v>
      </c>
      <c r="D109" s="369" t="s">
        <v>182</v>
      </c>
      <c r="E109" s="369" t="s">
        <v>9</v>
      </c>
      <c r="F109" s="372" t="s">
        <v>228</v>
      </c>
      <c r="G109" s="374" t="s">
        <v>151</v>
      </c>
      <c r="H109" s="353">
        <v>44207</v>
      </c>
      <c r="I109" s="341" t="s">
        <v>325</v>
      </c>
      <c r="J109" s="361">
        <v>29723</v>
      </c>
      <c r="K109" s="371">
        <v>0.5</v>
      </c>
      <c r="L109" s="346">
        <v>14861.5</v>
      </c>
      <c r="M109" s="428">
        <v>0.1</v>
      </c>
      <c r="N109" s="274">
        <f t="shared" ref="N109:N114" si="12">L109*M109</f>
        <v>1486.15</v>
      </c>
      <c r="O109" s="274">
        <f t="shared" si="11"/>
        <v>13375.35</v>
      </c>
      <c r="P109" s="194"/>
      <c r="Q109" s="393" t="str">
        <f>VLOOKUP(G:G,list!B:D,3,FALSE)</f>
        <v>Y</v>
      </c>
    </row>
    <row r="110" spans="2:17" ht="18" customHeight="1">
      <c r="B110" s="341">
        <v>106</v>
      </c>
      <c r="C110" s="341" t="e">
        <f>VLOOKUP(G:G,list!B:D,2,FALSE)</f>
        <v>#N/A</v>
      </c>
      <c r="D110" s="369" t="s">
        <v>182</v>
      </c>
      <c r="E110" s="369" t="s">
        <v>9</v>
      </c>
      <c r="F110" s="372" t="s">
        <v>228</v>
      </c>
      <c r="G110" s="374" t="s">
        <v>225</v>
      </c>
      <c r="H110" s="353">
        <v>44357</v>
      </c>
      <c r="I110" s="341" t="s">
        <v>325</v>
      </c>
      <c r="J110" s="361">
        <v>65091</v>
      </c>
      <c r="K110" s="371">
        <v>0.5</v>
      </c>
      <c r="L110" s="346">
        <v>32545.5</v>
      </c>
      <c r="M110" s="428">
        <v>0.1</v>
      </c>
      <c r="N110" s="274">
        <f t="shared" si="12"/>
        <v>3254.55</v>
      </c>
      <c r="O110" s="274">
        <f t="shared" si="11"/>
        <v>29290.95</v>
      </c>
      <c r="P110" s="347"/>
      <c r="Q110" s="393" t="e">
        <f>VLOOKUP(G:G,list!B:D,3,FALSE)</f>
        <v>#N/A</v>
      </c>
    </row>
    <row r="111" spans="2:17" ht="18" customHeight="1">
      <c r="B111" s="341">
        <v>107</v>
      </c>
      <c r="C111" s="341" t="e">
        <f>VLOOKUP(G:G,list!B:D,2,FALSE)</f>
        <v>#N/A</v>
      </c>
      <c r="D111" s="369" t="s">
        <v>182</v>
      </c>
      <c r="E111" s="369" t="s">
        <v>115</v>
      </c>
      <c r="F111" s="372" t="s">
        <v>228</v>
      </c>
      <c r="G111" s="374" t="s">
        <v>204</v>
      </c>
      <c r="H111" s="353">
        <v>44365</v>
      </c>
      <c r="I111" s="341" t="s">
        <v>325</v>
      </c>
      <c r="J111" s="361">
        <v>99846</v>
      </c>
      <c r="K111" s="371">
        <v>0.5</v>
      </c>
      <c r="L111" s="346">
        <v>49923</v>
      </c>
      <c r="M111" s="428">
        <v>0.1</v>
      </c>
      <c r="N111" s="194">
        <f t="shared" si="12"/>
        <v>4992.3</v>
      </c>
      <c r="O111" s="274">
        <f t="shared" si="11"/>
        <v>44930.7</v>
      </c>
      <c r="P111" s="194"/>
      <c r="Q111" s="393" t="e">
        <f>VLOOKUP(G:G,list!B:D,3,FALSE)</f>
        <v>#N/A</v>
      </c>
    </row>
    <row r="112" spans="2:17" ht="18" customHeight="1">
      <c r="B112" s="341">
        <v>108</v>
      </c>
      <c r="C112" s="341" t="e">
        <f>VLOOKUP(G:G,list!B:D,2,FALSE)</f>
        <v>#N/A</v>
      </c>
      <c r="D112" s="369" t="s">
        <v>182</v>
      </c>
      <c r="E112" s="369" t="s">
        <v>9</v>
      </c>
      <c r="F112" s="372" t="s">
        <v>228</v>
      </c>
      <c r="G112" s="374" t="s">
        <v>191</v>
      </c>
      <c r="H112" s="353">
        <v>44372</v>
      </c>
      <c r="I112" s="341" t="s">
        <v>325</v>
      </c>
      <c r="J112" s="361">
        <v>188906</v>
      </c>
      <c r="K112" s="371">
        <v>0.5</v>
      </c>
      <c r="L112" s="346">
        <v>94453</v>
      </c>
      <c r="M112" s="428">
        <v>0.1</v>
      </c>
      <c r="N112" s="194">
        <f t="shared" si="12"/>
        <v>9445.3000000000011</v>
      </c>
      <c r="O112" s="274">
        <f t="shared" si="11"/>
        <v>85007.7</v>
      </c>
      <c r="P112" s="194"/>
      <c r="Q112" s="393" t="e">
        <f>VLOOKUP(G:G,list!B:D,3,FALSE)</f>
        <v>#N/A</v>
      </c>
    </row>
    <row r="113" spans="2:17" ht="18" customHeight="1">
      <c r="B113" s="341">
        <v>109</v>
      </c>
      <c r="C113" s="341" t="e">
        <f>VLOOKUP(G:G,list!B:D,2,FALSE)</f>
        <v>#N/A</v>
      </c>
      <c r="D113" s="369" t="s">
        <v>182</v>
      </c>
      <c r="E113" s="369" t="s">
        <v>9</v>
      </c>
      <c r="F113" s="372" t="s">
        <v>228</v>
      </c>
      <c r="G113" s="360" t="s">
        <v>59</v>
      </c>
      <c r="H113" s="310">
        <v>44392</v>
      </c>
      <c r="I113" s="341" t="s">
        <v>325</v>
      </c>
      <c r="J113" s="361">
        <v>1364494</v>
      </c>
      <c r="K113" s="371">
        <v>0.5</v>
      </c>
      <c r="L113" s="346">
        <v>682247</v>
      </c>
      <c r="M113" s="428">
        <v>0.1</v>
      </c>
      <c r="N113" s="274">
        <f t="shared" si="12"/>
        <v>68224.7</v>
      </c>
      <c r="O113" s="274">
        <f t="shared" si="11"/>
        <v>614022.30000000005</v>
      </c>
      <c r="P113" s="194"/>
      <c r="Q113" s="393" t="e">
        <f>VLOOKUP(G:G,list!B:D,3,FALSE)</f>
        <v>#N/A</v>
      </c>
    </row>
    <row r="114" spans="2:17" ht="18" customHeight="1">
      <c r="B114" s="341">
        <v>110</v>
      </c>
      <c r="C114" s="341" t="e">
        <f>VLOOKUP(G:G,list!B:D,2,FALSE)</f>
        <v>#N/A</v>
      </c>
      <c r="D114" s="369" t="s">
        <v>182</v>
      </c>
      <c r="E114" s="362" t="s">
        <v>9</v>
      </c>
      <c r="F114" s="372" t="s">
        <v>228</v>
      </c>
      <c r="G114" s="374" t="s">
        <v>227</v>
      </c>
      <c r="H114" s="353">
        <v>44439</v>
      </c>
      <c r="I114" s="341" t="s">
        <v>325</v>
      </c>
      <c r="J114" s="361">
        <v>22415</v>
      </c>
      <c r="K114" s="371">
        <v>0.5</v>
      </c>
      <c r="L114" s="346">
        <v>11207.5</v>
      </c>
      <c r="M114" s="428">
        <v>0.1</v>
      </c>
      <c r="N114" s="194">
        <f t="shared" si="12"/>
        <v>1120.75</v>
      </c>
      <c r="O114" s="274">
        <f t="shared" si="11"/>
        <v>10086.75</v>
      </c>
      <c r="P114" s="194"/>
      <c r="Q114" s="393" t="e">
        <f>VLOOKUP(G:G,list!B:D,3,FALSE)</f>
        <v>#N/A</v>
      </c>
    </row>
    <row r="115" spans="2:17" ht="18" customHeight="1">
      <c r="B115" s="341">
        <v>111</v>
      </c>
      <c r="C115" s="341" t="e">
        <f>VLOOKUP(G:G,list!B:D,2,FALSE)</f>
        <v>#N/A</v>
      </c>
      <c r="D115" s="369" t="s">
        <v>182</v>
      </c>
      <c r="E115" s="362" t="s">
        <v>115</v>
      </c>
      <c r="F115" s="372" t="s">
        <v>228</v>
      </c>
      <c r="G115" s="374" t="s">
        <v>202</v>
      </c>
      <c r="H115" s="310">
        <v>44463</v>
      </c>
      <c r="I115" s="341" t="s">
        <v>325</v>
      </c>
      <c r="J115" s="361">
        <v>43190</v>
      </c>
      <c r="K115" s="371">
        <v>0.5</v>
      </c>
      <c r="L115" s="346">
        <v>21595</v>
      </c>
      <c r="M115" s="428" t="s">
        <v>203</v>
      </c>
      <c r="N115" s="274">
        <v>0</v>
      </c>
      <c r="O115" s="274">
        <f t="shared" si="11"/>
        <v>21595</v>
      </c>
      <c r="P115" s="194"/>
      <c r="Q115" s="393" t="e">
        <f>VLOOKUP(G:G,list!B:D,3,FALSE)</f>
        <v>#N/A</v>
      </c>
    </row>
    <row r="116" spans="2:17" ht="18" customHeight="1">
      <c r="B116" s="341">
        <v>112</v>
      </c>
      <c r="C116" s="341" t="e">
        <f>VLOOKUP(G:G,list!B:D,2,FALSE)</f>
        <v>#N/A</v>
      </c>
      <c r="D116" s="369" t="s">
        <v>182</v>
      </c>
      <c r="E116" s="369" t="s">
        <v>9</v>
      </c>
      <c r="F116" s="372" t="s">
        <v>228</v>
      </c>
      <c r="G116" s="376" t="s">
        <v>38</v>
      </c>
      <c r="H116" s="310">
        <v>44491</v>
      </c>
      <c r="I116" s="341" t="s">
        <v>325</v>
      </c>
      <c r="J116" s="361">
        <v>144688</v>
      </c>
      <c r="K116" s="371">
        <v>0.5</v>
      </c>
      <c r="L116" s="346">
        <v>72344</v>
      </c>
      <c r="M116" s="428">
        <v>0.1</v>
      </c>
      <c r="N116" s="194">
        <f t="shared" ref="N116:N123" si="13">L116*M116</f>
        <v>7234.4000000000005</v>
      </c>
      <c r="O116" s="274">
        <f t="shared" si="11"/>
        <v>65109.599999999999</v>
      </c>
      <c r="P116" s="347"/>
      <c r="Q116" s="393" t="e">
        <f>VLOOKUP(G:G,list!B:D,3,FALSE)</f>
        <v>#N/A</v>
      </c>
    </row>
    <row r="117" spans="2:17" ht="18" customHeight="1">
      <c r="B117" s="341">
        <v>113</v>
      </c>
      <c r="C117" s="341" t="e">
        <f>VLOOKUP(G:G,list!B:D,2,FALSE)</f>
        <v>#N/A</v>
      </c>
      <c r="D117" s="369" t="s">
        <v>182</v>
      </c>
      <c r="E117" s="369" t="s">
        <v>9</v>
      </c>
      <c r="F117" s="372" t="s">
        <v>228</v>
      </c>
      <c r="G117" s="374" t="s">
        <v>226</v>
      </c>
      <c r="H117" s="353">
        <v>44371</v>
      </c>
      <c r="I117" s="341" t="s">
        <v>325</v>
      </c>
      <c r="J117" s="361">
        <v>16661</v>
      </c>
      <c r="K117" s="371">
        <v>0.5</v>
      </c>
      <c r="L117" s="346">
        <v>8330.5</v>
      </c>
      <c r="M117" s="428">
        <v>0.1</v>
      </c>
      <c r="N117" s="274">
        <f t="shared" si="13"/>
        <v>833.05000000000007</v>
      </c>
      <c r="O117" s="274">
        <f t="shared" si="11"/>
        <v>7497.45</v>
      </c>
      <c r="P117" s="347"/>
      <c r="Q117" s="393" t="e">
        <f>VLOOKUP(G:G,list!B:D,3,FALSE)</f>
        <v>#N/A</v>
      </c>
    </row>
    <row r="118" spans="2:17" ht="18" customHeight="1">
      <c r="B118" s="341">
        <v>114</v>
      </c>
      <c r="C118" s="341" t="e">
        <f>VLOOKUP(G:G,list!B:D,2,FALSE)</f>
        <v>#N/A</v>
      </c>
      <c r="D118" s="369" t="s">
        <v>182</v>
      </c>
      <c r="E118" s="369" t="s">
        <v>9</v>
      </c>
      <c r="F118" s="372" t="s">
        <v>228</v>
      </c>
      <c r="G118" s="374" t="s">
        <v>74</v>
      </c>
      <c r="H118" s="353">
        <v>44180</v>
      </c>
      <c r="I118" s="341" t="s">
        <v>325</v>
      </c>
      <c r="J118" s="361">
        <v>5864</v>
      </c>
      <c r="K118" s="371">
        <v>0.5</v>
      </c>
      <c r="L118" s="346">
        <v>2932</v>
      </c>
      <c r="M118" s="428">
        <v>0.1</v>
      </c>
      <c r="N118" s="274">
        <f t="shared" si="13"/>
        <v>293.2</v>
      </c>
      <c r="O118" s="274">
        <f t="shared" si="11"/>
        <v>2638.8</v>
      </c>
      <c r="P118" s="347"/>
      <c r="Q118" s="393" t="e">
        <f>VLOOKUP(G:G,list!B:D,3,FALSE)</f>
        <v>#N/A</v>
      </c>
    </row>
    <row r="119" spans="2:17" ht="18" customHeight="1">
      <c r="B119" s="341">
        <v>115</v>
      </c>
      <c r="C119" s="341" t="e">
        <f>VLOOKUP(G:G,list!B:D,2,FALSE)</f>
        <v>#N/A</v>
      </c>
      <c r="D119" s="369" t="s">
        <v>182</v>
      </c>
      <c r="E119" s="369" t="s">
        <v>9</v>
      </c>
      <c r="F119" s="372" t="s">
        <v>283</v>
      </c>
      <c r="G119" s="374" t="s">
        <v>74</v>
      </c>
      <c r="H119" s="353">
        <v>44271</v>
      </c>
      <c r="I119" s="341" t="s">
        <v>327</v>
      </c>
      <c r="J119" s="361">
        <v>275760</v>
      </c>
      <c r="K119" s="371">
        <v>0.5</v>
      </c>
      <c r="L119" s="346">
        <v>137880</v>
      </c>
      <c r="M119" s="428">
        <v>0.1</v>
      </c>
      <c r="N119" s="274">
        <f t="shared" si="13"/>
        <v>13788</v>
      </c>
      <c r="O119" s="274">
        <f t="shared" si="11"/>
        <v>124092</v>
      </c>
      <c r="P119" s="347"/>
      <c r="Q119" s="393" t="e">
        <f>VLOOKUP(G:G,list!B:D,3,FALSE)</f>
        <v>#N/A</v>
      </c>
    </row>
    <row r="120" spans="2:17" ht="18" customHeight="1">
      <c r="B120" s="341">
        <v>116</v>
      </c>
      <c r="C120" s="341" t="e">
        <f>VLOOKUP(G:G,list!B:D,2,FALSE)</f>
        <v>#N/A</v>
      </c>
      <c r="D120" s="369" t="s">
        <v>182</v>
      </c>
      <c r="E120" s="369" t="s">
        <v>9</v>
      </c>
      <c r="F120" s="372" t="s">
        <v>283</v>
      </c>
      <c r="G120" s="362" t="s">
        <v>153</v>
      </c>
      <c r="H120" s="353">
        <v>44273</v>
      </c>
      <c r="I120" s="341" t="s">
        <v>327</v>
      </c>
      <c r="J120" s="361">
        <v>1938240</v>
      </c>
      <c r="K120" s="371">
        <v>0.5</v>
      </c>
      <c r="L120" s="346">
        <v>969120</v>
      </c>
      <c r="M120" s="428">
        <v>0.1</v>
      </c>
      <c r="N120" s="274">
        <f t="shared" si="13"/>
        <v>96912</v>
      </c>
      <c r="O120" s="274">
        <f t="shared" si="11"/>
        <v>872208</v>
      </c>
      <c r="P120" s="347"/>
      <c r="Q120" s="393" t="e">
        <f>VLOOKUP(G:G,list!B:D,3,FALSE)</f>
        <v>#N/A</v>
      </c>
    </row>
    <row r="121" spans="2:17" ht="18" customHeight="1">
      <c r="B121" s="341">
        <v>117</v>
      </c>
      <c r="C121" s="341" t="e">
        <f>VLOOKUP(G:G,list!B:D,2,FALSE)</f>
        <v>#N/A</v>
      </c>
      <c r="D121" s="369" t="s">
        <v>182</v>
      </c>
      <c r="E121" s="369" t="s">
        <v>9</v>
      </c>
      <c r="F121" s="372" t="s">
        <v>283</v>
      </c>
      <c r="G121" s="362" t="s">
        <v>152</v>
      </c>
      <c r="H121" s="353">
        <v>44280</v>
      </c>
      <c r="I121" s="341" t="s">
        <v>327</v>
      </c>
      <c r="J121" s="361">
        <v>1506240</v>
      </c>
      <c r="K121" s="371">
        <v>0.5</v>
      </c>
      <c r="L121" s="346">
        <v>753120</v>
      </c>
      <c r="M121" s="428">
        <v>0.12</v>
      </c>
      <c r="N121" s="194">
        <f t="shared" si="13"/>
        <v>90374.399999999994</v>
      </c>
      <c r="O121" s="274">
        <f t="shared" si="11"/>
        <v>662745.59999999998</v>
      </c>
      <c r="P121" s="347"/>
      <c r="Q121" s="393" t="e">
        <f>VLOOKUP(G:G,list!B:D,3,FALSE)</f>
        <v>#N/A</v>
      </c>
    </row>
    <row r="122" spans="2:17" ht="18" customHeight="1">
      <c r="B122" s="341">
        <v>118</v>
      </c>
      <c r="C122" s="341" t="e">
        <f>VLOOKUP(G:G,list!B:D,2,FALSE)</f>
        <v>#N/A</v>
      </c>
      <c r="D122" s="369" t="s">
        <v>182</v>
      </c>
      <c r="E122" s="369" t="s">
        <v>9</v>
      </c>
      <c r="F122" s="372" t="s">
        <v>283</v>
      </c>
      <c r="G122" s="362" t="s">
        <v>179</v>
      </c>
      <c r="H122" s="353">
        <v>44287</v>
      </c>
      <c r="I122" s="341" t="s">
        <v>327</v>
      </c>
      <c r="J122" s="361">
        <v>7779960</v>
      </c>
      <c r="K122" s="371">
        <v>0.5</v>
      </c>
      <c r="L122" s="346">
        <v>3889980</v>
      </c>
      <c r="M122" s="428">
        <v>0.1</v>
      </c>
      <c r="N122" s="194">
        <f>L122*M122</f>
        <v>388998</v>
      </c>
      <c r="O122" s="274">
        <f t="shared" ref="O122" si="14">L122-N122</f>
        <v>3500982</v>
      </c>
      <c r="P122" s="195" t="s">
        <v>85</v>
      </c>
      <c r="Q122" s="393" t="e">
        <f>VLOOKUP(G:G,list!B:D,3,FALSE)</f>
        <v>#N/A</v>
      </c>
    </row>
    <row r="123" spans="2:17" ht="18" customHeight="1">
      <c r="B123" s="341">
        <v>119</v>
      </c>
      <c r="C123" s="341" t="str">
        <f>VLOOKUP(G:G,list!B:D,2,FALSE)</f>
        <v>원작료</v>
      </c>
      <c r="D123" s="369" t="s">
        <v>182</v>
      </c>
      <c r="E123" s="369" t="s">
        <v>9</v>
      </c>
      <c r="F123" s="372" t="s">
        <v>283</v>
      </c>
      <c r="G123" s="362" t="s">
        <v>151</v>
      </c>
      <c r="H123" s="353">
        <v>44357</v>
      </c>
      <c r="I123" s="341" t="s">
        <v>327</v>
      </c>
      <c r="J123" s="361">
        <v>645840</v>
      </c>
      <c r="K123" s="371">
        <v>0.5</v>
      </c>
      <c r="L123" s="346">
        <v>322920</v>
      </c>
      <c r="M123" s="428">
        <v>0.1</v>
      </c>
      <c r="N123" s="274">
        <f t="shared" si="13"/>
        <v>32292</v>
      </c>
      <c r="O123" s="274">
        <f t="shared" si="11"/>
        <v>290628</v>
      </c>
      <c r="P123" s="347"/>
      <c r="Q123" s="393" t="str">
        <f>VLOOKUP(G:G,list!B:D,3,FALSE)</f>
        <v>Y</v>
      </c>
    </row>
    <row r="124" spans="2:17" ht="18" customHeight="1">
      <c r="B124" s="341">
        <v>120</v>
      </c>
      <c r="C124" s="341" t="e">
        <f>VLOOKUP(G:G,list!B:D,2,FALSE)</f>
        <v>#N/A</v>
      </c>
      <c r="D124" s="369" t="s">
        <v>182</v>
      </c>
      <c r="E124" s="369" t="s">
        <v>9</v>
      </c>
      <c r="F124" s="372" t="s">
        <v>283</v>
      </c>
      <c r="G124" s="375" t="s">
        <v>231</v>
      </c>
      <c r="H124" s="353">
        <v>44271</v>
      </c>
      <c r="I124" s="341" t="s">
        <v>327</v>
      </c>
      <c r="J124" s="361">
        <v>3789960</v>
      </c>
      <c r="K124" s="371">
        <v>0.5</v>
      </c>
      <c r="L124" s="346">
        <v>1894980</v>
      </c>
      <c r="M124" s="428" t="s">
        <v>203</v>
      </c>
      <c r="N124" s="194">
        <v>0</v>
      </c>
      <c r="O124" s="274">
        <f t="shared" ref="O124" si="15">L124-N124</f>
        <v>1894980</v>
      </c>
      <c r="P124" s="347"/>
      <c r="Q124" s="393" t="e">
        <f>VLOOKUP(G:G,list!B:D,3,FALSE)</f>
        <v>#N/A</v>
      </c>
    </row>
    <row r="125" spans="2:17" ht="18" customHeight="1">
      <c r="B125" s="341">
        <v>121</v>
      </c>
      <c r="C125" s="341" t="e">
        <f>VLOOKUP(G:G,list!B:D,2,FALSE)</f>
        <v>#N/A</v>
      </c>
      <c r="D125" s="369" t="s">
        <v>182</v>
      </c>
      <c r="E125" s="362" t="s">
        <v>115</v>
      </c>
      <c r="F125" s="372" t="s">
        <v>283</v>
      </c>
      <c r="G125" s="374" t="s">
        <v>225</v>
      </c>
      <c r="H125" s="353">
        <v>44358</v>
      </c>
      <c r="I125" s="341" t="s">
        <v>327</v>
      </c>
      <c r="J125" s="361">
        <v>616500</v>
      </c>
      <c r="K125" s="371">
        <v>0.5</v>
      </c>
      <c r="L125" s="346">
        <v>308250</v>
      </c>
      <c r="M125" s="428">
        <v>0.1</v>
      </c>
      <c r="N125" s="274">
        <f>L125*M125</f>
        <v>30825</v>
      </c>
      <c r="O125" s="274">
        <f>L125-N125</f>
        <v>277425</v>
      </c>
      <c r="P125" s="347"/>
      <c r="Q125" s="393" t="e">
        <f>VLOOKUP(G:G,list!B:D,3,FALSE)</f>
        <v>#N/A</v>
      </c>
    </row>
    <row r="126" spans="2:17" ht="18" customHeight="1">
      <c r="B126" s="341">
        <v>122</v>
      </c>
      <c r="C126" s="341" t="e">
        <f>VLOOKUP(G:G,list!B:D,2,FALSE)</f>
        <v>#N/A</v>
      </c>
      <c r="D126" s="369" t="s">
        <v>182</v>
      </c>
      <c r="E126" s="369" t="s">
        <v>9</v>
      </c>
      <c r="F126" s="372" t="s">
        <v>283</v>
      </c>
      <c r="G126" s="374" t="s">
        <v>191</v>
      </c>
      <c r="H126" s="353">
        <v>44392</v>
      </c>
      <c r="I126" s="341" t="s">
        <v>327</v>
      </c>
      <c r="J126" s="361">
        <v>5746800</v>
      </c>
      <c r="K126" s="371">
        <v>0.5</v>
      </c>
      <c r="L126" s="346">
        <v>2873400</v>
      </c>
      <c r="M126" s="428">
        <v>0.1</v>
      </c>
      <c r="N126" s="194">
        <f>L126*M126</f>
        <v>287340</v>
      </c>
      <c r="O126" s="274">
        <f t="shared" ref="O126:O129" si="16">L126-N126</f>
        <v>2586060</v>
      </c>
      <c r="P126" s="347"/>
      <c r="Q126" s="393" t="e">
        <f>VLOOKUP(G:G,list!B:D,3,FALSE)</f>
        <v>#N/A</v>
      </c>
    </row>
    <row r="127" spans="2:17" ht="18" customHeight="1">
      <c r="B127" s="341">
        <v>123</v>
      </c>
      <c r="C127" s="341" t="e">
        <f>VLOOKUP(G:G,list!B:D,2,FALSE)</f>
        <v>#N/A</v>
      </c>
      <c r="D127" s="369" t="s">
        <v>132</v>
      </c>
      <c r="E127" s="369" t="s">
        <v>33</v>
      </c>
      <c r="F127" s="372" t="s">
        <v>330</v>
      </c>
      <c r="G127" s="374" t="s">
        <v>19</v>
      </c>
      <c r="H127" s="353">
        <v>44307</v>
      </c>
      <c r="I127" s="341" t="s">
        <v>195</v>
      </c>
      <c r="J127" s="361">
        <v>168907.89</v>
      </c>
      <c r="K127" s="371">
        <v>0.5</v>
      </c>
      <c r="L127" s="346">
        <v>84453.945000000007</v>
      </c>
      <c r="M127" s="428" t="s">
        <v>203</v>
      </c>
      <c r="N127" s="274">
        <v>0</v>
      </c>
      <c r="O127" s="274">
        <f t="shared" si="16"/>
        <v>84453.945000000007</v>
      </c>
      <c r="P127" s="347"/>
      <c r="Q127" s="393" t="e">
        <f>VLOOKUP(G:G,list!B:D,3,FALSE)</f>
        <v>#N/A</v>
      </c>
    </row>
    <row r="128" spans="2:17" ht="18" customHeight="1">
      <c r="B128" s="341">
        <v>124</v>
      </c>
      <c r="C128" s="341" t="e">
        <f>VLOOKUP(G:G,list!B:D,2,FALSE)</f>
        <v>#N/A</v>
      </c>
      <c r="D128" s="369" t="s">
        <v>132</v>
      </c>
      <c r="E128" s="369" t="s">
        <v>33</v>
      </c>
      <c r="F128" s="372" t="s">
        <v>330</v>
      </c>
      <c r="G128" s="374" t="s">
        <v>19</v>
      </c>
      <c r="H128" s="353">
        <v>44307</v>
      </c>
      <c r="I128" s="341" t="s">
        <v>244</v>
      </c>
      <c r="J128" s="361">
        <v>87629.88</v>
      </c>
      <c r="K128" s="371">
        <v>0.5</v>
      </c>
      <c r="L128" s="346">
        <v>43814.94</v>
      </c>
      <c r="M128" s="428" t="s">
        <v>203</v>
      </c>
      <c r="N128" s="274">
        <v>0</v>
      </c>
      <c r="O128" s="274">
        <f t="shared" si="16"/>
        <v>43814.94</v>
      </c>
      <c r="P128" s="347"/>
      <c r="Q128" s="393" t="e">
        <f>VLOOKUP(G:G,list!B:D,3,FALSE)</f>
        <v>#N/A</v>
      </c>
    </row>
    <row r="129" spans="2:17" ht="18" customHeight="1">
      <c r="B129" s="341">
        <v>125</v>
      </c>
      <c r="C129" s="341" t="e">
        <f>VLOOKUP(G:G,list!B:D,2,FALSE)</f>
        <v>#N/A</v>
      </c>
      <c r="D129" s="369" t="s">
        <v>132</v>
      </c>
      <c r="E129" s="369" t="s">
        <v>33</v>
      </c>
      <c r="F129" s="372" t="s">
        <v>330</v>
      </c>
      <c r="G129" s="374" t="s">
        <v>19</v>
      </c>
      <c r="H129" s="353">
        <v>44307</v>
      </c>
      <c r="I129" s="341" t="s">
        <v>296</v>
      </c>
      <c r="J129" s="361">
        <v>108889.2</v>
      </c>
      <c r="K129" s="371">
        <v>0.5</v>
      </c>
      <c r="L129" s="346">
        <v>54444.6</v>
      </c>
      <c r="M129" s="428" t="s">
        <v>203</v>
      </c>
      <c r="N129" s="274">
        <v>0</v>
      </c>
      <c r="O129" s="274">
        <f t="shared" si="16"/>
        <v>54444.6</v>
      </c>
      <c r="P129" s="347"/>
      <c r="Q129" s="393" t="e">
        <f>VLOOKUP(G:G,list!B:D,3,FALSE)</f>
        <v>#N/A</v>
      </c>
    </row>
    <row r="130" spans="2:17" ht="18" customHeight="1">
      <c r="B130" s="341">
        <v>126</v>
      </c>
      <c r="C130" s="341" t="e">
        <f>VLOOKUP(G:G,list!B:D,2,FALSE)</f>
        <v>#N/A</v>
      </c>
      <c r="D130" s="369" t="s">
        <v>182</v>
      </c>
      <c r="E130" s="369" t="s">
        <v>64</v>
      </c>
      <c r="F130" s="372" t="s">
        <v>290</v>
      </c>
      <c r="G130" s="374" t="s">
        <v>59</v>
      </c>
      <c r="H130" s="310">
        <v>44391</v>
      </c>
      <c r="I130" s="341" t="s">
        <v>195</v>
      </c>
      <c r="J130" s="361">
        <v>1256141.9000000001</v>
      </c>
      <c r="K130" s="371">
        <v>0.5</v>
      </c>
      <c r="L130" s="346">
        <v>628070.95000000007</v>
      </c>
      <c r="M130" s="428">
        <v>0.1</v>
      </c>
      <c r="N130" s="274">
        <f t="shared" ref="N130:N146" si="17">L130*M130</f>
        <v>62807.095000000008</v>
      </c>
      <c r="O130" s="274">
        <f>L130-N130</f>
        <v>565263.8550000001</v>
      </c>
      <c r="P130" s="347"/>
      <c r="Q130" s="393" t="e">
        <f>VLOOKUP(G:G,list!B:D,3,FALSE)</f>
        <v>#N/A</v>
      </c>
    </row>
    <row r="131" spans="2:17" ht="18" customHeight="1">
      <c r="B131" s="341">
        <v>127</v>
      </c>
      <c r="C131" s="341" t="e">
        <f>VLOOKUP(G:G,list!B:D,2,FALSE)</f>
        <v>#N/A</v>
      </c>
      <c r="D131" s="369" t="s">
        <v>182</v>
      </c>
      <c r="E131" s="369" t="s">
        <v>64</v>
      </c>
      <c r="F131" s="372" t="s">
        <v>290</v>
      </c>
      <c r="G131" s="374" t="s">
        <v>59</v>
      </c>
      <c r="H131" s="310">
        <v>44391</v>
      </c>
      <c r="I131" s="341" t="s">
        <v>244</v>
      </c>
      <c r="J131" s="361">
        <v>1239982.9000000001</v>
      </c>
      <c r="K131" s="371">
        <v>0.5</v>
      </c>
      <c r="L131" s="346">
        <v>619991.45000000007</v>
      </c>
      <c r="M131" s="428">
        <v>0.1</v>
      </c>
      <c r="N131" s="274">
        <f t="shared" si="17"/>
        <v>61999.145000000011</v>
      </c>
      <c r="O131" s="274">
        <f>L131-N131</f>
        <v>557992.30500000005</v>
      </c>
      <c r="P131" s="347"/>
      <c r="Q131" s="393" t="e">
        <f>VLOOKUP(G:G,list!B:D,3,FALSE)</f>
        <v>#N/A</v>
      </c>
    </row>
    <row r="132" spans="2:17" ht="18" customHeight="1">
      <c r="B132" s="341">
        <v>128</v>
      </c>
      <c r="C132" s="341" t="e">
        <f>VLOOKUP(G:G,list!B:D,2,FALSE)</f>
        <v>#N/A</v>
      </c>
      <c r="D132" s="369" t="s">
        <v>182</v>
      </c>
      <c r="E132" s="369" t="s">
        <v>64</v>
      </c>
      <c r="F132" s="372" t="s">
        <v>290</v>
      </c>
      <c r="G132" s="374" t="s">
        <v>59</v>
      </c>
      <c r="H132" s="310">
        <v>44391</v>
      </c>
      <c r="I132" s="341" t="s">
        <v>296</v>
      </c>
      <c r="J132" s="361">
        <v>972037.3</v>
      </c>
      <c r="K132" s="371">
        <v>0.5</v>
      </c>
      <c r="L132" s="346">
        <v>486018.65</v>
      </c>
      <c r="M132" s="428">
        <v>0.1</v>
      </c>
      <c r="N132" s="274">
        <f t="shared" si="17"/>
        <v>48601.865000000005</v>
      </c>
      <c r="O132" s="274">
        <f>L132-N132</f>
        <v>437416.78500000003</v>
      </c>
      <c r="P132" s="347"/>
      <c r="Q132" s="393" t="e">
        <f>VLOOKUP(G:G,list!B:D,3,FALSE)</f>
        <v>#N/A</v>
      </c>
    </row>
    <row r="133" spans="2:17" ht="18" customHeight="1">
      <c r="B133" s="341">
        <v>129</v>
      </c>
      <c r="C133" s="341" t="str">
        <f>VLOOKUP(G:G,list!B:D,2,FALSE)</f>
        <v>원작료</v>
      </c>
      <c r="D133" s="369" t="s">
        <v>182</v>
      </c>
      <c r="E133" s="369" t="s">
        <v>33</v>
      </c>
      <c r="F133" s="372" t="s">
        <v>331</v>
      </c>
      <c r="G133" s="362" t="s">
        <v>151</v>
      </c>
      <c r="H133" s="353">
        <v>44591</v>
      </c>
      <c r="I133" s="341" t="s">
        <v>327</v>
      </c>
      <c r="J133" s="361">
        <v>371094.46317299997</v>
      </c>
      <c r="K133" s="371">
        <v>0.5</v>
      </c>
      <c r="L133" s="346">
        <v>185547.2</v>
      </c>
      <c r="M133" s="428">
        <v>0.1</v>
      </c>
      <c r="N133" s="274">
        <f t="shared" si="17"/>
        <v>18554.72</v>
      </c>
      <c r="O133" s="274">
        <f t="shared" ref="O133" si="18">L133-N133</f>
        <v>166992.48000000001</v>
      </c>
      <c r="P133" s="347" t="s">
        <v>287</v>
      </c>
      <c r="Q133" s="393" t="str">
        <f>VLOOKUP(G:G,list!B:D,3,FALSE)</f>
        <v>Y</v>
      </c>
    </row>
    <row r="134" spans="2:17" ht="18" customHeight="1">
      <c r="B134" s="341">
        <v>130</v>
      </c>
      <c r="C134" s="341" t="e">
        <f>VLOOKUP(G:G,list!B:D,2,FALSE)</f>
        <v>#N/A</v>
      </c>
      <c r="D134" s="366" t="s">
        <v>313</v>
      </c>
      <c r="E134" s="366" t="s">
        <v>9</v>
      </c>
      <c r="F134" s="341" t="s">
        <v>184</v>
      </c>
      <c r="G134" s="366" t="s">
        <v>219</v>
      </c>
      <c r="H134" s="365">
        <v>44642</v>
      </c>
      <c r="I134" s="341" t="s">
        <v>323</v>
      </c>
      <c r="J134" s="367">
        <v>1525600</v>
      </c>
      <c r="K134" s="368">
        <v>0.3</v>
      </c>
      <c r="L134" s="346">
        <v>457680</v>
      </c>
      <c r="M134" s="428">
        <v>0.12</v>
      </c>
      <c r="N134" s="194">
        <f t="shared" si="17"/>
        <v>54921.599999999999</v>
      </c>
      <c r="O134" s="274">
        <f>L134-N134</f>
        <v>402758.40000000002</v>
      </c>
      <c r="P134" s="364" t="s">
        <v>221</v>
      </c>
      <c r="Q134" s="393" t="e">
        <f>VLOOKUP(G:G,list!B:D,3,FALSE)</f>
        <v>#N/A</v>
      </c>
    </row>
    <row r="135" spans="2:17" ht="18" customHeight="1">
      <c r="B135" s="341">
        <v>131</v>
      </c>
      <c r="C135" s="341" t="e">
        <f>VLOOKUP(G:G,list!B:D,2,FALSE)</f>
        <v>#N/A</v>
      </c>
      <c r="D135" s="366" t="s">
        <v>313</v>
      </c>
      <c r="E135" s="366" t="s">
        <v>9</v>
      </c>
      <c r="F135" s="341" t="s">
        <v>184</v>
      </c>
      <c r="G135" s="366" t="s">
        <v>10</v>
      </c>
      <c r="H135" s="446">
        <v>44653</v>
      </c>
      <c r="I135" s="341" t="s">
        <v>323</v>
      </c>
      <c r="J135" s="367">
        <v>1536713</v>
      </c>
      <c r="K135" s="368">
        <v>0.3</v>
      </c>
      <c r="L135" s="346">
        <v>461014</v>
      </c>
      <c r="M135" s="428">
        <v>0.1</v>
      </c>
      <c r="N135" s="274">
        <f t="shared" si="17"/>
        <v>46101.4</v>
      </c>
      <c r="O135" s="274">
        <f t="shared" ref="O135:O156" si="19">L135-N135</f>
        <v>414912.6</v>
      </c>
      <c r="P135" s="347" t="s">
        <v>337</v>
      </c>
      <c r="Q135" s="393" t="e">
        <f>VLOOKUP(G:G,list!B:D,3,FALSE)</f>
        <v>#N/A</v>
      </c>
    </row>
    <row r="136" spans="2:17" ht="18" customHeight="1">
      <c r="B136" s="341">
        <v>132</v>
      </c>
      <c r="C136" s="341" t="e">
        <f>VLOOKUP(G:G,list!B:D,2,FALSE)</f>
        <v>#N/A</v>
      </c>
      <c r="D136" s="366" t="s">
        <v>313</v>
      </c>
      <c r="E136" s="366" t="s">
        <v>9</v>
      </c>
      <c r="F136" s="341" t="s">
        <v>184</v>
      </c>
      <c r="G136" s="366" t="s">
        <v>226</v>
      </c>
      <c r="H136" s="447">
        <v>44666</v>
      </c>
      <c r="I136" s="341" t="s">
        <v>323</v>
      </c>
      <c r="J136" s="367">
        <v>179067</v>
      </c>
      <c r="K136" s="368">
        <v>0.3</v>
      </c>
      <c r="L136" s="346">
        <v>53720</v>
      </c>
      <c r="M136" s="428">
        <v>0.1</v>
      </c>
      <c r="N136" s="274">
        <f t="shared" si="17"/>
        <v>5372</v>
      </c>
      <c r="O136" s="274">
        <f t="shared" si="19"/>
        <v>48348</v>
      </c>
      <c r="P136" s="347" t="s">
        <v>337</v>
      </c>
      <c r="Q136" s="393" t="e">
        <f>VLOOKUP(G:G,list!B:D,3,FALSE)</f>
        <v>#N/A</v>
      </c>
    </row>
    <row r="137" spans="2:17" ht="18" customHeight="1">
      <c r="B137" s="341">
        <v>133</v>
      </c>
      <c r="C137" s="341" t="e">
        <f>VLOOKUP(G:G,list!B:D,2,FALSE)</f>
        <v>#N/A</v>
      </c>
      <c r="D137" s="341" t="s">
        <v>189</v>
      </c>
      <c r="E137" s="362" t="s">
        <v>9</v>
      </c>
      <c r="F137" s="341" t="s">
        <v>41</v>
      </c>
      <c r="G137" s="362" t="s">
        <v>179</v>
      </c>
      <c r="H137" s="363">
        <v>44114</v>
      </c>
      <c r="I137" s="341" t="s">
        <v>325</v>
      </c>
      <c r="J137" s="357">
        <v>261005</v>
      </c>
      <c r="K137" s="345">
        <v>0.8</v>
      </c>
      <c r="L137" s="346">
        <v>208804</v>
      </c>
      <c r="M137" s="428">
        <v>0.1</v>
      </c>
      <c r="N137" s="194">
        <f t="shared" si="17"/>
        <v>20880.400000000001</v>
      </c>
      <c r="O137" s="274">
        <f t="shared" si="19"/>
        <v>187923.6</v>
      </c>
      <c r="P137" s="195" t="s">
        <v>85</v>
      </c>
      <c r="Q137" s="393" t="e">
        <f>VLOOKUP(G:G,list!B:D,3,FALSE)</f>
        <v>#N/A</v>
      </c>
    </row>
    <row r="138" spans="2:17" ht="18" customHeight="1">
      <c r="B138" s="341">
        <v>134</v>
      </c>
      <c r="C138" s="341" t="e">
        <f>VLOOKUP(G:G,list!B:D,2,FALSE)</f>
        <v>#N/A</v>
      </c>
      <c r="D138" s="341" t="s">
        <v>189</v>
      </c>
      <c r="E138" s="362" t="s">
        <v>9</v>
      </c>
      <c r="F138" s="341" t="s">
        <v>41</v>
      </c>
      <c r="G138" s="362" t="s">
        <v>153</v>
      </c>
      <c r="H138" s="363">
        <v>44122</v>
      </c>
      <c r="I138" s="341" t="s">
        <v>325</v>
      </c>
      <c r="J138" s="357">
        <v>156161</v>
      </c>
      <c r="K138" s="345">
        <v>0.8</v>
      </c>
      <c r="L138" s="346">
        <v>124928</v>
      </c>
      <c r="M138" s="428">
        <v>0.1</v>
      </c>
      <c r="N138" s="274">
        <f t="shared" si="17"/>
        <v>12492.800000000001</v>
      </c>
      <c r="O138" s="274">
        <f t="shared" si="19"/>
        <v>112435.2</v>
      </c>
      <c r="P138" s="191"/>
      <c r="Q138" s="393" t="e">
        <f>VLOOKUP(G:G,list!B:D,3,FALSE)</f>
        <v>#N/A</v>
      </c>
    </row>
    <row r="139" spans="2:17" ht="18" customHeight="1">
      <c r="B139" s="341">
        <v>135</v>
      </c>
      <c r="C139" s="341" t="e">
        <f>VLOOKUP(G:G,list!B:D,2,FALSE)</f>
        <v>#N/A</v>
      </c>
      <c r="D139" s="341" t="s">
        <v>189</v>
      </c>
      <c r="E139" s="362" t="s">
        <v>9</v>
      </c>
      <c r="F139" s="341" t="s">
        <v>41</v>
      </c>
      <c r="G139" s="362" t="s">
        <v>152</v>
      </c>
      <c r="H139" s="363">
        <v>44250</v>
      </c>
      <c r="I139" s="341" t="s">
        <v>325</v>
      </c>
      <c r="J139" s="357">
        <v>133207</v>
      </c>
      <c r="K139" s="345">
        <v>0.8</v>
      </c>
      <c r="L139" s="346">
        <v>106565</v>
      </c>
      <c r="M139" s="428">
        <v>0.12</v>
      </c>
      <c r="N139" s="194">
        <f t="shared" si="17"/>
        <v>12787.8</v>
      </c>
      <c r="O139" s="274">
        <f t="shared" si="19"/>
        <v>93777.2</v>
      </c>
      <c r="P139" s="191"/>
      <c r="Q139" s="393" t="e">
        <f>VLOOKUP(G:G,list!B:D,3,FALSE)</f>
        <v>#N/A</v>
      </c>
    </row>
    <row r="140" spans="2:17" ht="18" customHeight="1">
      <c r="B140" s="341">
        <v>136</v>
      </c>
      <c r="C140" s="341" t="str">
        <f>VLOOKUP(G:G,list!B:D,2,FALSE)</f>
        <v>원작료</v>
      </c>
      <c r="D140" s="341" t="s">
        <v>189</v>
      </c>
      <c r="E140" s="362" t="s">
        <v>9</v>
      </c>
      <c r="F140" s="341" t="s">
        <v>41</v>
      </c>
      <c r="G140" s="362" t="s">
        <v>151</v>
      </c>
      <c r="H140" s="363">
        <v>44265</v>
      </c>
      <c r="I140" s="341" t="s">
        <v>325</v>
      </c>
      <c r="J140" s="357">
        <v>156631</v>
      </c>
      <c r="K140" s="345">
        <v>0.8</v>
      </c>
      <c r="L140" s="346">
        <v>125304</v>
      </c>
      <c r="M140" s="428">
        <v>0.1</v>
      </c>
      <c r="N140" s="274">
        <f t="shared" si="17"/>
        <v>12530.400000000001</v>
      </c>
      <c r="O140" s="274">
        <f t="shared" si="19"/>
        <v>112773.6</v>
      </c>
      <c r="P140" s="364"/>
      <c r="Q140" s="393" t="str">
        <f>VLOOKUP(G:G,list!B:D,3,FALSE)</f>
        <v>Y</v>
      </c>
    </row>
    <row r="141" spans="2:17" ht="18" customHeight="1">
      <c r="B141" s="341">
        <v>137</v>
      </c>
      <c r="C141" s="341" t="e">
        <f>VLOOKUP(G:G,list!B:D,2,FALSE)</f>
        <v>#N/A</v>
      </c>
      <c r="D141" s="366" t="s">
        <v>217</v>
      </c>
      <c r="E141" s="366" t="s">
        <v>9</v>
      </c>
      <c r="F141" s="341" t="s">
        <v>184</v>
      </c>
      <c r="G141" s="366" t="s">
        <v>218</v>
      </c>
      <c r="H141" s="365">
        <v>44366</v>
      </c>
      <c r="I141" s="341" t="s">
        <v>323</v>
      </c>
      <c r="J141" s="367">
        <v>19416847</v>
      </c>
      <c r="K141" s="368">
        <v>0.3</v>
      </c>
      <c r="L141" s="346">
        <v>5825054</v>
      </c>
      <c r="M141" s="428">
        <v>0.1</v>
      </c>
      <c r="N141" s="274">
        <f t="shared" si="17"/>
        <v>582505.4</v>
      </c>
      <c r="O141" s="274">
        <f t="shared" si="19"/>
        <v>5242548.5999999996</v>
      </c>
      <c r="P141" s="364" t="s">
        <v>221</v>
      </c>
      <c r="Q141" s="393" t="e">
        <f>VLOOKUP(G:G,list!B:D,3,FALSE)</f>
        <v>#N/A</v>
      </c>
    </row>
    <row r="142" spans="2:17" ht="18" customHeight="1">
      <c r="B142" s="341">
        <v>138</v>
      </c>
      <c r="C142" s="341" t="e">
        <f>VLOOKUP(G:G,list!B:D,2,FALSE)</f>
        <v>#N/A</v>
      </c>
      <c r="D142" s="366" t="s">
        <v>217</v>
      </c>
      <c r="E142" s="366" t="s">
        <v>9</v>
      </c>
      <c r="F142" s="341" t="s">
        <v>184</v>
      </c>
      <c r="G142" s="366" t="s">
        <v>219</v>
      </c>
      <c r="H142" s="365">
        <v>44466</v>
      </c>
      <c r="I142" s="341" t="s">
        <v>323</v>
      </c>
      <c r="J142" s="367">
        <v>6030897</v>
      </c>
      <c r="K142" s="368">
        <v>0.3</v>
      </c>
      <c r="L142" s="346">
        <v>1809269</v>
      </c>
      <c r="M142" s="428">
        <v>0.12</v>
      </c>
      <c r="N142" s="194">
        <f t="shared" si="17"/>
        <v>217112.28</v>
      </c>
      <c r="O142" s="274">
        <f t="shared" si="19"/>
        <v>1592156.72</v>
      </c>
      <c r="P142" s="364" t="s">
        <v>221</v>
      </c>
      <c r="Q142" s="393" t="e">
        <f>VLOOKUP(G:G,list!B:D,3,FALSE)</f>
        <v>#N/A</v>
      </c>
    </row>
    <row r="143" spans="2:17" ht="18" customHeight="1">
      <c r="B143" s="341">
        <v>139</v>
      </c>
      <c r="C143" s="341" t="e">
        <f>VLOOKUP(G:G,list!B:D,2,FALSE)</f>
        <v>#N/A</v>
      </c>
      <c r="D143" s="341" t="s">
        <v>251</v>
      </c>
      <c r="E143" s="341" t="s">
        <v>9</v>
      </c>
      <c r="F143" s="341" t="s">
        <v>41</v>
      </c>
      <c r="G143" s="341" t="s">
        <v>212</v>
      </c>
      <c r="H143" s="365">
        <v>44327</v>
      </c>
      <c r="I143" s="341" t="s">
        <v>325</v>
      </c>
      <c r="J143" s="357">
        <v>775914</v>
      </c>
      <c r="K143" s="345">
        <v>0.8</v>
      </c>
      <c r="L143" s="346">
        <v>620731</v>
      </c>
      <c r="M143" s="428">
        <v>0.1</v>
      </c>
      <c r="N143" s="194">
        <f t="shared" si="17"/>
        <v>62073.100000000006</v>
      </c>
      <c r="O143" s="274">
        <f t="shared" si="19"/>
        <v>558657.9</v>
      </c>
      <c r="P143" s="364"/>
      <c r="Q143" s="393" t="e">
        <f>VLOOKUP(G:G,list!B:D,3,FALSE)</f>
        <v>#N/A</v>
      </c>
    </row>
    <row r="144" spans="2:17" ht="18" customHeight="1">
      <c r="B144" s="341">
        <v>140</v>
      </c>
      <c r="C144" s="341" t="e">
        <f>VLOOKUP(G:G,list!B:D,2,FALSE)</f>
        <v>#N/A</v>
      </c>
      <c r="D144" s="366" t="s">
        <v>217</v>
      </c>
      <c r="E144" s="366" t="s">
        <v>9</v>
      </c>
      <c r="F144" s="341" t="s">
        <v>257</v>
      </c>
      <c r="G144" s="341" t="s">
        <v>179</v>
      </c>
      <c r="H144" s="365">
        <v>44678</v>
      </c>
      <c r="I144" s="341" t="s">
        <v>323</v>
      </c>
      <c r="J144" s="357">
        <v>229665</v>
      </c>
      <c r="K144" s="345">
        <v>0.35000108854200684</v>
      </c>
      <c r="L144" s="346">
        <v>80383</v>
      </c>
      <c r="M144" s="428">
        <v>0.1</v>
      </c>
      <c r="N144" s="194">
        <f t="shared" si="17"/>
        <v>8038.3</v>
      </c>
      <c r="O144" s="274">
        <f t="shared" si="19"/>
        <v>72344.7</v>
      </c>
      <c r="P144" s="347" t="s">
        <v>348</v>
      </c>
      <c r="Q144" s="393" t="e">
        <f>VLOOKUP(G:G,list!B:D,3,FALSE)</f>
        <v>#N/A</v>
      </c>
    </row>
    <row r="145" spans="2:17" ht="18" customHeight="1">
      <c r="B145" s="341">
        <v>141</v>
      </c>
      <c r="C145" s="341" t="e">
        <f>VLOOKUP(G:G,list!B:D,2,FALSE)</f>
        <v>#N/A</v>
      </c>
      <c r="D145" s="366" t="s">
        <v>217</v>
      </c>
      <c r="E145" s="366" t="s">
        <v>9</v>
      </c>
      <c r="F145" s="341" t="s">
        <v>257</v>
      </c>
      <c r="G145" s="341" t="s">
        <v>335</v>
      </c>
      <c r="H145" s="365">
        <v>44678</v>
      </c>
      <c r="I145" s="341" t="s">
        <v>323</v>
      </c>
      <c r="J145" s="357">
        <v>58501</v>
      </c>
      <c r="K145" s="345">
        <v>0.35001111092118081</v>
      </c>
      <c r="L145" s="346">
        <v>20476</v>
      </c>
      <c r="M145" s="428">
        <v>0.1</v>
      </c>
      <c r="N145" s="274">
        <f t="shared" si="17"/>
        <v>2047.6000000000001</v>
      </c>
      <c r="O145" s="274">
        <f t="shared" ref="O145" si="20">L145-N145</f>
        <v>18428.400000000001</v>
      </c>
      <c r="P145" s="347" t="s">
        <v>287</v>
      </c>
      <c r="Q145" s="393" t="e">
        <f>VLOOKUP(G:G,list!B:D,3,FALSE)</f>
        <v>#N/A</v>
      </c>
    </row>
    <row r="146" spans="2:17" ht="18" customHeight="1">
      <c r="B146" s="341">
        <v>142</v>
      </c>
      <c r="C146" s="341" t="e">
        <f>VLOOKUP(G:G,list!B:D,2,FALSE)</f>
        <v>#N/A</v>
      </c>
      <c r="D146" s="366" t="s">
        <v>252</v>
      </c>
      <c r="E146" s="366" t="s">
        <v>9</v>
      </c>
      <c r="F146" s="341" t="s">
        <v>184</v>
      </c>
      <c r="G146" s="366" t="s">
        <v>218</v>
      </c>
      <c r="H146" s="365">
        <v>44466</v>
      </c>
      <c r="I146" s="341" t="s">
        <v>325</v>
      </c>
      <c r="J146" s="357">
        <v>98153650</v>
      </c>
      <c r="K146" s="345">
        <v>0.3</v>
      </c>
      <c r="L146" s="346">
        <v>29446095</v>
      </c>
      <c r="M146" s="428">
        <v>0.1</v>
      </c>
      <c r="N146" s="274">
        <f t="shared" si="17"/>
        <v>2944609.5</v>
      </c>
      <c r="O146" s="274">
        <f>L146-N146</f>
        <v>26501485.5</v>
      </c>
      <c r="P146" s="364" t="s">
        <v>282</v>
      </c>
      <c r="Q146" s="393" t="e">
        <f>VLOOKUP(G:G,list!B:D,3,FALSE)</f>
        <v>#N/A</v>
      </c>
    </row>
    <row r="147" spans="2:17" ht="18" customHeight="1">
      <c r="B147" s="341">
        <v>143</v>
      </c>
      <c r="C147" s="341" t="e">
        <f>VLOOKUP(G:G,list!B:D,2,FALSE)</f>
        <v>#N/A</v>
      </c>
      <c r="D147" s="366" t="s">
        <v>252</v>
      </c>
      <c r="E147" s="366" t="s">
        <v>9</v>
      </c>
      <c r="F147" s="341" t="s">
        <v>184</v>
      </c>
      <c r="G147" s="366" t="s">
        <v>135</v>
      </c>
      <c r="H147" s="365">
        <v>44468</v>
      </c>
      <c r="I147" s="341" t="s">
        <v>325</v>
      </c>
      <c r="J147" s="357">
        <v>184307</v>
      </c>
      <c r="K147" s="345">
        <v>0.3</v>
      </c>
      <c r="L147" s="346">
        <v>55292</v>
      </c>
      <c r="M147" s="428" t="s">
        <v>203</v>
      </c>
      <c r="N147" s="194">
        <v>0</v>
      </c>
      <c r="O147" s="274">
        <f t="shared" si="19"/>
        <v>55292</v>
      </c>
      <c r="P147" s="364" t="s">
        <v>282</v>
      </c>
      <c r="Q147" s="393" t="e">
        <f>VLOOKUP(G:G,list!B:D,3,FALSE)</f>
        <v>#N/A</v>
      </c>
    </row>
    <row r="148" spans="2:17" ht="18" customHeight="1">
      <c r="B148" s="341">
        <v>144</v>
      </c>
      <c r="C148" s="341" t="e">
        <f>VLOOKUP(G:G,list!B:D,2,FALSE)</f>
        <v>#N/A</v>
      </c>
      <c r="D148" s="366" t="s">
        <v>252</v>
      </c>
      <c r="E148" s="366" t="s">
        <v>9</v>
      </c>
      <c r="F148" s="341" t="s">
        <v>184</v>
      </c>
      <c r="G148" s="366" t="s">
        <v>219</v>
      </c>
      <c r="H148" s="365">
        <v>44498</v>
      </c>
      <c r="I148" s="341" t="s">
        <v>325</v>
      </c>
      <c r="J148" s="367">
        <v>25966583</v>
      </c>
      <c r="K148" s="345">
        <v>0.3</v>
      </c>
      <c r="L148" s="346">
        <v>7789975</v>
      </c>
      <c r="M148" s="428">
        <v>0.12</v>
      </c>
      <c r="N148" s="194">
        <f t="shared" ref="N148:N153" si="21">L148*M148</f>
        <v>934797</v>
      </c>
      <c r="O148" s="274">
        <f t="shared" si="19"/>
        <v>6855178</v>
      </c>
      <c r="P148" s="364" t="s">
        <v>282</v>
      </c>
      <c r="Q148" s="393" t="e">
        <f>VLOOKUP(G:G,list!B:D,3,FALSE)</f>
        <v>#N/A</v>
      </c>
    </row>
    <row r="149" spans="2:17" ht="18" customHeight="1">
      <c r="B149" s="341">
        <v>145</v>
      </c>
      <c r="C149" s="341" t="e">
        <f>VLOOKUP(G:G,list!B:D,2,FALSE)</f>
        <v>#N/A</v>
      </c>
      <c r="D149" s="366" t="s">
        <v>252</v>
      </c>
      <c r="E149" s="366" t="s">
        <v>9</v>
      </c>
      <c r="F149" s="341" t="s">
        <v>184</v>
      </c>
      <c r="G149" s="366" t="s">
        <v>12</v>
      </c>
      <c r="H149" s="365">
        <v>44552</v>
      </c>
      <c r="I149" s="341" t="s">
        <v>325</v>
      </c>
      <c r="J149" s="367">
        <v>1032797</v>
      </c>
      <c r="K149" s="345">
        <v>0.3</v>
      </c>
      <c r="L149" s="346">
        <v>309839</v>
      </c>
      <c r="M149" s="428">
        <v>0.1</v>
      </c>
      <c r="N149" s="274">
        <f t="shared" si="21"/>
        <v>30983.9</v>
      </c>
      <c r="O149" s="274">
        <f t="shared" si="19"/>
        <v>278855.09999999998</v>
      </c>
      <c r="P149" s="364" t="s">
        <v>282</v>
      </c>
      <c r="Q149" s="393" t="e">
        <f>VLOOKUP(G:G,list!B:D,3,FALSE)</f>
        <v>#N/A</v>
      </c>
    </row>
    <row r="150" spans="2:17" ht="18" customHeight="1">
      <c r="B150" s="341">
        <v>146</v>
      </c>
      <c r="C150" s="341" t="e">
        <f>VLOOKUP(G:G,list!B:D,2,FALSE)</f>
        <v>#N/A</v>
      </c>
      <c r="D150" s="369" t="s">
        <v>252</v>
      </c>
      <c r="E150" s="362" t="s">
        <v>9</v>
      </c>
      <c r="F150" s="369" t="s">
        <v>73</v>
      </c>
      <c r="G150" s="362" t="s">
        <v>179</v>
      </c>
      <c r="H150" s="363">
        <v>44198</v>
      </c>
      <c r="I150" s="341" t="s">
        <v>312</v>
      </c>
      <c r="J150" s="361">
        <v>67510270</v>
      </c>
      <c r="K150" s="387">
        <v>0.224</v>
      </c>
      <c r="L150" s="346">
        <v>13610077</v>
      </c>
      <c r="M150" s="428">
        <v>0.1</v>
      </c>
      <c r="N150" s="194">
        <f t="shared" si="21"/>
        <v>1361007.7000000002</v>
      </c>
      <c r="O150" s="274">
        <f t="shared" si="19"/>
        <v>12249069.300000001</v>
      </c>
      <c r="P150" s="195" t="s">
        <v>85</v>
      </c>
      <c r="Q150" s="393" t="e">
        <f>VLOOKUP(G:G,list!B:D,3,FALSE)</f>
        <v>#N/A</v>
      </c>
    </row>
    <row r="151" spans="2:17" ht="18" customHeight="1">
      <c r="B151" s="341">
        <v>147</v>
      </c>
      <c r="C151" s="341" t="e">
        <f>VLOOKUP(G:G,list!B:D,2,FALSE)</f>
        <v>#N/A</v>
      </c>
      <c r="D151" s="369" t="s">
        <v>252</v>
      </c>
      <c r="E151" s="362" t="s">
        <v>9</v>
      </c>
      <c r="F151" s="369" t="s">
        <v>73</v>
      </c>
      <c r="G151" s="362" t="s">
        <v>28</v>
      </c>
      <c r="H151" s="363">
        <v>44228</v>
      </c>
      <c r="I151" s="341" t="s">
        <v>312</v>
      </c>
      <c r="J151" s="361">
        <v>13972932</v>
      </c>
      <c r="K151" s="387">
        <v>0.224</v>
      </c>
      <c r="L151" s="346">
        <v>2816947</v>
      </c>
      <c r="M151" s="428">
        <v>0.12</v>
      </c>
      <c r="N151" s="194">
        <f t="shared" si="21"/>
        <v>338033.64</v>
      </c>
      <c r="O151" s="274">
        <f t="shared" si="19"/>
        <v>2478913.36</v>
      </c>
      <c r="P151" s="194"/>
      <c r="Q151" s="393" t="e">
        <f>VLOOKUP(G:G,list!B:D,3,FALSE)</f>
        <v>#N/A</v>
      </c>
    </row>
    <row r="152" spans="2:17" ht="18" customHeight="1">
      <c r="B152" s="341">
        <v>148</v>
      </c>
      <c r="C152" s="341" t="e">
        <f>VLOOKUP(G:G,list!B:D,2,FALSE)</f>
        <v>#N/A</v>
      </c>
      <c r="D152" s="369" t="s">
        <v>252</v>
      </c>
      <c r="E152" s="362" t="s">
        <v>9</v>
      </c>
      <c r="F152" s="369" t="s">
        <v>73</v>
      </c>
      <c r="G152" s="362" t="s">
        <v>54</v>
      </c>
      <c r="H152" s="363">
        <v>44265</v>
      </c>
      <c r="I152" s="341" t="s">
        <v>312</v>
      </c>
      <c r="J152" s="361">
        <v>1143370</v>
      </c>
      <c r="K152" s="387">
        <v>0.224</v>
      </c>
      <c r="L152" s="346">
        <v>230513</v>
      </c>
      <c r="M152" s="428">
        <v>0.1</v>
      </c>
      <c r="N152" s="274">
        <f t="shared" si="21"/>
        <v>23051.300000000003</v>
      </c>
      <c r="O152" s="274">
        <f t="shared" si="19"/>
        <v>207461.7</v>
      </c>
      <c r="P152" s="194"/>
      <c r="Q152" s="393" t="e">
        <f>VLOOKUP(G:G,list!B:D,3,FALSE)</f>
        <v>#N/A</v>
      </c>
    </row>
    <row r="153" spans="2:17" ht="18" customHeight="1">
      <c r="B153" s="341">
        <v>149</v>
      </c>
      <c r="C153" s="341" t="e">
        <f>VLOOKUP(G:G,list!B:D,2,FALSE)</f>
        <v>#N/A</v>
      </c>
      <c r="D153" s="369" t="s">
        <v>252</v>
      </c>
      <c r="E153" s="362" t="s">
        <v>9</v>
      </c>
      <c r="F153" s="369" t="s">
        <v>73</v>
      </c>
      <c r="G153" s="362" t="s">
        <v>29</v>
      </c>
      <c r="H153" s="363">
        <v>44315</v>
      </c>
      <c r="I153" s="341" t="s">
        <v>312</v>
      </c>
      <c r="J153" s="361">
        <v>8410194</v>
      </c>
      <c r="K153" s="387">
        <v>0.224</v>
      </c>
      <c r="L153" s="346">
        <v>1695497</v>
      </c>
      <c r="M153" s="428">
        <v>0.1</v>
      </c>
      <c r="N153" s="274">
        <f t="shared" si="21"/>
        <v>169549.7</v>
      </c>
      <c r="O153" s="274">
        <f t="shared" si="19"/>
        <v>1525947.3</v>
      </c>
      <c r="P153" s="347"/>
      <c r="Q153" s="393" t="e">
        <f>VLOOKUP(G:G,list!B:D,3,FALSE)</f>
        <v>#N/A</v>
      </c>
    </row>
    <row r="154" spans="2:17" ht="18" customHeight="1">
      <c r="B154" s="341">
        <v>150</v>
      </c>
      <c r="C154" s="341" t="str">
        <f>VLOOKUP(G:G,list!B:D,2,FALSE)</f>
        <v>원작료</v>
      </c>
      <c r="D154" s="369" t="s">
        <v>252</v>
      </c>
      <c r="E154" s="362" t="s">
        <v>9</v>
      </c>
      <c r="F154" s="369" t="s">
        <v>73</v>
      </c>
      <c r="G154" s="362" t="s">
        <v>30</v>
      </c>
      <c r="H154" s="363">
        <v>44359</v>
      </c>
      <c r="I154" s="341" t="s">
        <v>312</v>
      </c>
      <c r="J154" s="361">
        <v>29524657</v>
      </c>
      <c r="K154" s="387">
        <v>0.224</v>
      </c>
      <c r="L154" s="346">
        <v>5952181</v>
      </c>
      <c r="M154" s="428">
        <v>0.1</v>
      </c>
      <c r="N154" s="274">
        <f>(L154-1000000)*10%</f>
        <v>495218.10000000003</v>
      </c>
      <c r="O154" s="274">
        <f t="shared" si="19"/>
        <v>5456962.9000000004</v>
      </c>
      <c r="P154" s="191" t="s">
        <v>263</v>
      </c>
      <c r="Q154" s="393" t="str">
        <f>VLOOKUP(G:G,list!B:D,3,FALSE)</f>
        <v>Y</v>
      </c>
    </row>
    <row r="155" spans="2:17" ht="18" customHeight="1">
      <c r="B155" s="341">
        <v>151</v>
      </c>
      <c r="C155" s="341" t="e">
        <f>VLOOKUP(G:G,list!B:D,2,FALSE)</f>
        <v>#N/A</v>
      </c>
      <c r="D155" s="369" t="s">
        <v>252</v>
      </c>
      <c r="E155" s="362" t="s">
        <v>9</v>
      </c>
      <c r="F155" s="369" t="s">
        <v>73</v>
      </c>
      <c r="G155" s="362" t="s">
        <v>212</v>
      </c>
      <c r="H155" s="363">
        <v>44378</v>
      </c>
      <c r="I155" s="341" t="s">
        <v>312</v>
      </c>
      <c r="J155" s="361">
        <v>197226845</v>
      </c>
      <c r="K155" s="387">
        <v>0.24</v>
      </c>
      <c r="L155" s="346">
        <v>42601005</v>
      </c>
      <c r="M155" s="428">
        <v>0.1</v>
      </c>
      <c r="N155" s="194">
        <f>L155*M155</f>
        <v>4260100.5</v>
      </c>
      <c r="O155" s="274">
        <f t="shared" si="19"/>
        <v>38340904.5</v>
      </c>
      <c r="P155" s="194"/>
      <c r="Q155" s="393" t="e">
        <f>VLOOKUP(G:G,list!B:D,3,FALSE)</f>
        <v>#N/A</v>
      </c>
    </row>
    <row r="156" spans="2:17" ht="18" customHeight="1">
      <c r="B156" s="341">
        <v>152</v>
      </c>
      <c r="C156" s="341" t="e">
        <f>VLOOKUP(G:G,list!B:D,2,FALSE)</f>
        <v>#N/A</v>
      </c>
      <c r="D156" s="369" t="s">
        <v>252</v>
      </c>
      <c r="E156" s="362" t="s">
        <v>9</v>
      </c>
      <c r="F156" s="369" t="s">
        <v>73</v>
      </c>
      <c r="G156" s="362" t="s">
        <v>147</v>
      </c>
      <c r="H156" s="363">
        <v>44435</v>
      </c>
      <c r="I156" s="341" t="s">
        <v>312</v>
      </c>
      <c r="J156" s="361">
        <v>3158830</v>
      </c>
      <c r="K156" s="387">
        <v>0.224</v>
      </c>
      <c r="L156" s="346">
        <v>636821</v>
      </c>
      <c r="M156" s="428" t="s">
        <v>203</v>
      </c>
      <c r="N156" s="194">
        <v>0</v>
      </c>
      <c r="O156" s="274">
        <f t="shared" si="19"/>
        <v>636821</v>
      </c>
      <c r="P156" s="194"/>
      <c r="Q156" s="393" t="e">
        <f>VLOOKUP(G:G,list!B:D,3,FALSE)</f>
        <v>#N/A</v>
      </c>
    </row>
    <row r="157" spans="2:17" ht="18" customHeight="1">
      <c r="B157" s="341">
        <v>153</v>
      </c>
      <c r="C157" s="341" t="e">
        <f>VLOOKUP(G:G,list!B:D,2,FALSE)</f>
        <v>#N/A</v>
      </c>
      <c r="D157" s="369" t="s">
        <v>252</v>
      </c>
      <c r="E157" s="362" t="s">
        <v>9</v>
      </c>
      <c r="F157" s="369" t="s">
        <v>73</v>
      </c>
      <c r="G157" s="362" t="s">
        <v>225</v>
      </c>
      <c r="H157" s="363">
        <v>44479</v>
      </c>
      <c r="I157" s="341" t="s">
        <v>312</v>
      </c>
      <c r="J157" s="361">
        <v>2074974</v>
      </c>
      <c r="K157" s="387">
        <v>0.224</v>
      </c>
      <c r="L157" s="346">
        <v>418322</v>
      </c>
      <c r="M157" s="428">
        <v>0.1</v>
      </c>
      <c r="N157" s="274">
        <f>L157*M157</f>
        <v>41832.200000000004</v>
      </c>
      <c r="O157" s="274">
        <f>L157-N157</f>
        <v>376489.8</v>
      </c>
      <c r="P157" s="194"/>
      <c r="Q157" s="393" t="e">
        <f>VLOOKUP(G:G,list!B:D,3,FALSE)</f>
        <v>#N/A</v>
      </c>
    </row>
    <row r="158" spans="2:17" ht="18" customHeight="1">
      <c r="B158" s="341">
        <v>154</v>
      </c>
      <c r="C158" s="341" t="e">
        <f>VLOOKUP(G:G,list!B:D,2,FALSE)</f>
        <v>#N/A</v>
      </c>
      <c r="D158" s="369" t="s">
        <v>252</v>
      </c>
      <c r="E158" s="362" t="s">
        <v>9</v>
      </c>
      <c r="F158" s="369" t="s">
        <v>73</v>
      </c>
      <c r="G158" s="362" t="s">
        <v>59</v>
      </c>
      <c r="H158" s="363">
        <v>44597</v>
      </c>
      <c r="I158" s="341" t="s">
        <v>312</v>
      </c>
      <c r="J158" s="361">
        <v>94740678</v>
      </c>
      <c r="K158" s="387">
        <v>0.224</v>
      </c>
      <c r="L158" s="346">
        <v>19099725</v>
      </c>
      <c r="M158" s="428">
        <v>0.1</v>
      </c>
      <c r="N158" s="274">
        <f>L158*M158</f>
        <v>1909972.5</v>
      </c>
      <c r="O158" s="274">
        <f>L158-N158</f>
        <v>17189752.5</v>
      </c>
      <c r="P158" s="370"/>
      <c r="Q158" s="393" t="e">
        <f>VLOOKUP(G:G,list!B:D,3,FALSE)</f>
        <v>#N/A</v>
      </c>
    </row>
    <row r="159" spans="2:17" ht="18" customHeight="1">
      <c r="B159" s="341">
        <v>155</v>
      </c>
      <c r="C159" s="341" t="e">
        <f>VLOOKUP(G:G,list!B:D,2,FALSE)</f>
        <v>#N/A</v>
      </c>
      <c r="D159" s="369" t="s">
        <v>252</v>
      </c>
      <c r="E159" s="362" t="s">
        <v>9</v>
      </c>
      <c r="F159" s="369" t="s">
        <v>73</v>
      </c>
      <c r="G159" s="366" t="s">
        <v>191</v>
      </c>
      <c r="H159" s="363">
        <v>44629</v>
      </c>
      <c r="I159" s="341" t="s">
        <v>312</v>
      </c>
      <c r="J159" s="361">
        <v>152266353</v>
      </c>
      <c r="K159" s="387">
        <v>0.224</v>
      </c>
      <c r="L159" s="346">
        <v>30715518</v>
      </c>
      <c r="M159" s="428">
        <v>0.1</v>
      </c>
      <c r="N159" s="194">
        <f>L159*M159</f>
        <v>3071551.8000000003</v>
      </c>
      <c r="O159" s="274">
        <f t="shared" ref="O159" si="22">L159-N159</f>
        <v>27643966.199999999</v>
      </c>
      <c r="P159" s="347" t="s">
        <v>287</v>
      </c>
      <c r="Q159" s="393" t="e">
        <f>VLOOKUP(G:G,list!B:D,3,FALSE)</f>
        <v>#N/A</v>
      </c>
    </row>
    <row r="160" spans="2:17" ht="18" customHeight="1">
      <c r="B160" s="341">
        <v>156</v>
      </c>
      <c r="C160" s="341" t="e">
        <f>VLOOKUP(G:G,list!B:D,2,FALSE)</f>
        <v>#N/A</v>
      </c>
      <c r="D160" s="369" t="s">
        <v>130</v>
      </c>
      <c r="E160" s="362" t="s">
        <v>62</v>
      </c>
      <c r="F160" s="369" t="s">
        <v>339</v>
      </c>
      <c r="G160" s="366" t="s">
        <v>40</v>
      </c>
      <c r="H160" s="363">
        <v>44505</v>
      </c>
      <c r="I160" s="341" t="s">
        <v>327</v>
      </c>
      <c r="J160" s="357">
        <v>835944</v>
      </c>
      <c r="K160" s="368">
        <v>0.8</v>
      </c>
      <c r="L160" s="346">
        <v>668755</v>
      </c>
      <c r="M160" s="428">
        <v>0.1</v>
      </c>
      <c r="N160" s="194">
        <f t="shared" ref="N160:N162" si="23">L160*M160</f>
        <v>66875.5</v>
      </c>
      <c r="O160" s="274">
        <f t="shared" ref="O160:O162" si="24">L160-N160</f>
        <v>601879.5</v>
      </c>
      <c r="P160" s="347"/>
      <c r="Q160" s="393" t="e">
        <f>VLOOKUP(G:G,list!B:D,3,FALSE)</f>
        <v>#N/A</v>
      </c>
    </row>
    <row r="161" spans="2:17" ht="18" customHeight="1">
      <c r="B161" s="341">
        <v>157</v>
      </c>
      <c r="C161" s="341" t="e">
        <f>VLOOKUP(G:G,list!B:D,2,FALSE)</f>
        <v>#N/A</v>
      </c>
      <c r="D161" s="369" t="s">
        <v>130</v>
      </c>
      <c r="E161" s="362" t="s">
        <v>62</v>
      </c>
      <c r="F161" s="369" t="s">
        <v>339</v>
      </c>
      <c r="G161" s="366" t="s">
        <v>40</v>
      </c>
      <c r="H161" s="363">
        <v>44505</v>
      </c>
      <c r="I161" s="341" t="s">
        <v>305</v>
      </c>
      <c r="J161" s="357">
        <v>666969</v>
      </c>
      <c r="K161" s="368">
        <v>0.8</v>
      </c>
      <c r="L161" s="346">
        <v>533575</v>
      </c>
      <c r="M161" s="428">
        <v>0.1</v>
      </c>
      <c r="N161" s="194">
        <f t="shared" si="23"/>
        <v>53357.5</v>
      </c>
      <c r="O161" s="274">
        <f t="shared" si="24"/>
        <v>480217.5</v>
      </c>
      <c r="P161" s="347"/>
      <c r="Q161" s="393" t="e">
        <f>VLOOKUP(G:G,list!B:D,3,FALSE)</f>
        <v>#N/A</v>
      </c>
    </row>
    <row r="162" spans="2:17" ht="18" customHeight="1">
      <c r="B162" s="341">
        <v>158</v>
      </c>
      <c r="C162" s="341" t="e">
        <f>VLOOKUP(G:G,list!B:D,2,FALSE)</f>
        <v>#N/A</v>
      </c>
      <c r="D162" s="369" t="s">
        <v>130</v>
      </c>
      <c r="E162" s="362" t="s">
        <v>62</v>
      </c>
      <c r="F162" s="369" t="s">
        <v>339</v>
      </c>
      <c r="G162" s="366" t="s">
        <v>40</v>
      </c>
      <c r="H162" s="363">
        <v>44505</v>
      </c>
      <c r="I162" s="341" t="s">
        <v>312</v>
      </c>
      <c r="J162" s="357">
        <v>899191</v>
      </c>
      <c r="K162" s="368">
        <v>0.8</v>
      </c>
      <c r="L162" s="346">
        <v>719353</v>
      </c>
      <c r="M162" s="428">
        <v>0.1</v>
      </c>
      <c r="N162" s="194">
        <f t="shared" si="23"/>
        <v>71935.3</v>
      </c>
      <c r="O162" s="274">
        <f t="shared" si="24"/>
        <v>647417.69999999995</v>
      </c>
      <c r="P162" s="347"/>
      <c r="Q162" s="393" t="e">
        <f>VLOOKUP(G:G,list!B:D,3,FALSE)</f>
        <v>#N/A</v>
      </c>
    </row>
    <row r="163" spans="2:17" ht="18" customHeight="1">
      <c r="B163" s="341">
        <v>159</v>
      </c>
      <c r="C163" s="341" t="e">
        <f>VLOOKUP(G:G,list!B:D,2,FALSE)</f>
        <v>#N/A</v>
      </c>
      <c r="D163" s="369" t="s">
        <v>130</v>
      </c>
      <c r="E163" s="362" t="s">
        <v>62</v>
      </c>
      <c r="F163" s="369" t="s">
        <v>339</v>
      </c>
      <c r="G163" s="366" t="s">
        <v>256</v>
      </c>
      <c r="H163" s="363">
        <v>44526</v>
      </c>
      <c r="I163" s="341" t="s">
        <v>329</v>
      </c>
      <c r="J163" s="361">
        <v>0</v>
      </c>
      <c r="K163" s="368">
        <v>0.8</v>
      </c>
      <c r="L163" s="346">
        <v>0</v>
      </c>
      <c r="M163" s="428">
        <v>0.1</v>
      </c>
      <c r="N163" s="274">
        <f>L163*M163</f>
        <v>0</v>
      </c>
      <c r="O163" s="274">
        <f t="shared" ref="O163:O167" si="25">L163-N163</f>
        <v>0</v>
      </c>
      <c r="P163" s="347"/>
      <c r="Q163" s="393" t="e">
        <f>VLOOKUP(G:G,list!B:D,3,FALSE)</f>
        <v>#N/A</v>
      </c>
    </row>
    <row r="164" spans="2:17" ht="18" customHeight="1">
      <c r="B164" s="341">
        <v>160</v>
      </c>
      <c r="C164" s="341" t="e">
        <f>VLOOKUP(G:G,list!B:D,2,FALSE)</f>
        <v>#N/A</v>
      </c>
      <c r="D164" s="369" t="s">
        <v>130</v>
      </c>
      <c r="E164" s="362" t="s">
        <v>62</v>
      </c>
      <c r="F164" s="369" t="s">
        <v>339</v>
      </c>
      <c r="G164" s="366" t="s">
        <v>38</v>
      </c>
      <c r="H164" s="363">
        <v>44570</v>
      </c>
      <c r="I164" s="341" t="s">
        <v>327</v>
      </c>
      <c r="J164" s="361">
        <v>13657798</v>
      </c>
      <c r="K164" s="368">
        <v>0.8</v>
      </c>
      <c r="L164" s="346">
        <v>10926239</v>
      </c>
      <c r="M164" s="428">
        <v>0.1</v>
      </c>
      <c r="N164" s="194">
        <f t="shared" ref="N164:N166" si="26">L164*M164</f>
        <v>1092623.9000000001</v>
      </c>
      <c r="O164" s="274">
        <f t="shared" si="25"/>
        <v>9833615.0999999996</v>
      </c>
      <c r="P164" s="347" t="s">
        <v>287</v>
      </c>
      <c r="Q164" s="393" t="e">
        <f>VLOOKUP(G:G,list!B:D,3,FALSE)</f>
        <v>#N/A</v>
      </c>
    </row>
    <row r="165" spans="2:17" ht="18" customHeight="1">
      <c r="B165" s="341">
        <v>161</v>
      </c>
      <c r="C165" s="341" t="e">
        <f>VLOOKUP(G:G,list!B:D,2,FALSE)</f>
        <v>#N/A</v>
      </c>
      <c r="D165" s="369" t="s">
        <v>130</v>
      </c>
      <c r="E165" s="362" t="s">
        <v>62</v>
      </c>
      <c r="F165" s="369" t="s">
        <v>339</v>
      </c>
      <c r="G165" s="366" t="s">
        <v>38</v>
      </c>
      <c r="H165" s="363">
        <v>44570</v>
      </c>
      <c r="I165" s="341" t="s">
        <v>305</v>
      </c>
      <c r="J165" s="361">
        <v>3316812</v>
      </c>
      <c r="K165" s="368">
        <v>0.8</v>
      </c>
      <c r="L165" s="346">
        <v>2653450</v>
      </c>
      <c r="M165" s="428">
        <v>0.1</v>
      </c>
      <c r="N165" s="194">
        <f t="shared" si="26"/>
        <v>265345</v>
      </c>
      <c r="O165" s="274">
        <f t="shared" si="25"/>
        <v>2388105</v>
      </c>
      <c r="P165" s="347"/>
      <c r="Q165" s="393" t="e">
        <f>VLOOKUP(G:G,list!B:D,3,FALSE)</f>
        <v>#N/A</v>
      </c>
    </row>
    <row r="166" spans="2:17" ht="18" customHeight="1">
      <c r="B166" s="341">
        <v>162</v>
      </c>
      <c r="C166" s="341" t="e">
        <f>VLOOKUP(G:G,list!B:D,2,FALSE)</f>
        <v>#N/A</v>
      </c>
      <c r="D166" s="369" t="s">
        <v>130</v>
      </c>
      <c r="E166" s="362" t="s">
        <v>62</v>
      </c>
      <c r="F166" s="369" t="s">
        <v>339</v>
      </c>
      <c r="G166" s="366" t="s">
        <v>38</v>
      </c>
      <c r="H166" s="363">
        <v>44570</v>
      </c>
      <c r="I166" s="341" t="s">
        <v>312</v>
      </c>
      <c r="J166" s="361">
        <v>2581669</v>
      </c>
      <c r="K166" s="368">
        <v>0.8</v>
      </c>
      <c r="L166" s="346">
        <v>2065335</v>
      </c>
      <c r="M166" s="428">
        <v>0.1</v>
      </c>
      <c r="N166" s="194">
        <f t="shared" si="26"/>
        <v>206533.5</v>
      </c>
      <c r="O166" s="274">
        <f t="shared" si="25"/>
        <v>1858801.5</v>
      </c>
      <c r="P166" s="347"/>
      <c r="Q166" s="393" t="e">
        <f>VLOOKUP(G:G,list!B:D,3,FALSE)</f>
        <v>#N/A</v>
      </c>
    </row>
    <row r="167" spans="2:17" ht="18" customHeight="1">
      <c r="B167" s="341">
        <v>163</v>
      </c>
      <c r="C167" s="341" t="str">
        <f>VLOOKUP(G:G,list!B:D,2,FALSE)</f>
        <v>작가기획</v>
      </c>
      <c r="D167" s="369" t="s">
        <v>252</v>
      </c>
      <c r="E167" s="362" t="s">
        <v>9</v>
      </c>
      <c r="F167" s="369" t="s">
        <v>332</v>
      </c>
      <c r="G167" s="366" t="s">
        <v>36</v>
      </c>
      <c r="H167" s="363">
        <v>44556</v>
      </c>
      <c r="I167" s="341" t="s">
        <v>288</v>
      </c>
      <c r="J167" s="361">
        <v>0</v>
      </c>
      <c r="K167" s="368">
        <v>0.5</v>
      </c>
      <c r="L167" s="346">
        <v>0</v>
      </c>
      <c r="M167" s="428" t="s">
        <v>203</v>
      </c>
      <c r="N167" s="274">
        <v>0</v>
      </c>
      <c r="O167" s="274">
        <f t="shared" si="25"/>
        <v>0</v>
      </c>
      <c r="P167" s="347"/>
      <c r="Q167" s="393" t="str">
        <f>VLOOKUP(G:G,list!B:D,3,FALSE)</f>
        <v>Y</v>
      </c>
    </row>
    <row r="168" spans="2:17" ht="18" customHeight="1">
      <c r="B168" s="341">
        <v>164</v>
      </c>
      <c r="C168" s="341" t="e">
        <f>VLOOKUP(G:G,list!B:D,2,FALSE)</f>
        <v>#N/A</v>
      </c>
      <c r="D168" s="366" t="s">
        <v>214</v>
      </c>
      <c r="E168" s="366" t="s">
        <v>9</v>
      </c>
      <c r="F168" s="341" t="s">
        <v>184</v>
      </c>
      <c r="G168" s="366" t="s">
        <v>218</v>
      </c>
      <c r="H168" s="365">
        <v>44356</v>
      </c>
      <c r="I168" s="341" t="s">
        <v>323</v>
      </c>
      <c r="J168" s="361">
        <v>1025257</v>
      </c>
      <c r="K168" s="368">
        <v>0.3</v>
      </c>
      <c r="L168" s="346">
        <v>307577</v>
      </c>
      <c r="M168" s="428">
        <v>0.1</v>
      </c>
      <c r="N168" s="274">
        <f>L168*M168</f>
        <v>30757.7</v>
      </c>
      <c r="O168" s="274">
        <f>L168-N168</f>
        <v>276819.3</v>
      </c>
      <c r="P168" s="364" t="s">
        <v>220</v>
      </c>
      <c r="Q168" s="393" t="e">
        <f>VLOOKUP(G:G,list!B:D,3,FALSE)</f>
        <v>#N/A</v>
      </c>
    </row>
    <row r="169" spans="2:17" ht="18" customHeight="1">
      <c r="B169" s="341">
        <v>165</v>
      </c>
      <c r="C169" s="341" t="e">
        <f>VLOOKUP(G:G,list!B:D,2,FALSE)</f>
        <v>#N/A</v>
      </c>
      <c r="D169" s="366" t="s">
        <v>214</v>
      </c>
      <c r="E169" s="366" t="s">
        <v>9</v>
      </c>
      <c r="F169" s="341" t="s">
        <v>184</v>
      </c>
      <c r="G169" s="366" t="s">
        <v>219</v>
      </c>
      <c r="H169" s="365">
        <v>44477</v>
      </c>
      <c r="I169" s="341" t="s">
        <v>323</v>
      </c>
      <c r="J169" s="367">
        <v>117593</v>
      </c>
      <c r="K169" s="368">
        <v>0.3</v>
      </c>
      <c r="L169" s="346">
        <v>35278</v>
      </c>
      <c r="M169" s="428">
        <v>0.12</v>
      </c>
      <c r="N169" s="194">
        <f>L169*M169</f>
        <v>4233.3599999999997</v>
      </c>
      <c r="O169" s="274">
        <f>L169-N169</f>
        <v>31044.639999999999</v>
      </c>
      <c r="P169" s="364" t="s">
        <v>220</v>
      </c>
      <c r="Q169" s="393" t="e">
        <f>VLOOKUP(G:G,list!B:D,3,FALSE)</f>
        <v>#N/A</v>
      </c>
    </row>
    <row r="170" spans="2:17" ht="18" customHeight="1">
      <c r="B170" s="341">
        <v>166</v>
      </c>
      <c r="C170" s="341" t="e">
        <f>VLOOKUP(G:G,list!B:D,2,FALSE)</f>
        <v>#N/A</v>
      </c>
      <c r="D170" s="366" t="s">
        <v>214</v>
      </c>
      <c r="E170" s="366" t="s">
        <v>9</v>
      </c>
      <c r="F170" s="341" t="s">
        <v>184</v>
      </c>
      <c r="G170" s="366" t="s">
        <v>136</v>
      </c>
      <c r="H170" s="365">
        <v>44364</v>
      </c>
      <c r="I170" s="341" t="s">
        <v>323</v>
      </c>
      <c r="J170" s="367">
        <v>2117</v>
      </c>
      <c r="K170" s="368">
        <v>0.3</v>
      </c>
      <c r="L170" s="346">
        <v>635</v>
      </c>
      <c r="M170" s="428">
        <v>0.1</v>
      </c>
      <c r="N170" s="274">
        <f>L170*M170</f>
        <v>63.5</v>
      </c>
      <c r="O170" s="274">
        <f>L170-N170</f>
        <v>571.5</v>
      </c>
      <c r="P170" s="364" t="s">
        <v>220</v>
      </c>
      <c r="Q170" s="393" t="e">
        <f>VLOOKUP(G:G,list!B:D,3,FALSE)</f>
        <v>#N/A</v>
      </c>
    </row>
    <row r="171" spans="2:17" ht="18" customHeight="1">
      <c r="B171" s="341">
        <v>167</v>
      </c>
      <c r="C171" s="341" t="e">
        <f>VLOOKUP(G:G,list!B:D,2,FALSE)</f>
        <v>#N/A</v>
      </c>
      <c r="D171" s="366" t="s">
        <v>214</v>
      </c>
      <c r="E171" s="366" t="s">
        <v>9</v>
      </c>
      <c r="F171" s="341" t="s">
        <v>184</v>
      </c>
      <c r="G171" s="366" t="s">
        <v>135</v>
      </c>
      <c r="H171" s="365">
        <v>44381</v>
      </c>
      <c r="I171" s="341" t="s">
        <v>323</v>
      </c>
      <c r="J171" s="361">
        <v>103050</v>
      </c>
      <c r="K171" s="368">
        <v>0.3</v>
      </c>
      <c r="L171" s="346">
        <v>30915</v>
      </c>
      <c r="M171" s="428" t="s">
        <v>203</v>
      </c>
      <c r="N171" s="194">
        <v>0</v>
      </c>
      <c r="O171" s="274">
        <f>L171-N171</f>
        <v>30915</v>
      </c>
      <c r="P171" s="364" t="s">
        <v>220</v>
      </c>
      <c r="Q171" s="393" t="e">
        <f>VLOOKUP(G:G,list!B:D,3,FALSE)</f>
        <v>#N/A</v>
      </c>
    </row>
    <row r="172" spans="2:17" ht="18" customHeight="1">
      <c r="B172" s="341">
        <v>168</v>
      </c>
      <c r="C172" s="341" t="e">
        <f>VLOOKUP(G:G,list!B:D,2,FALSE)</f>
        <v>#N/A</v>
      </c>
      <c r="D172" s="369" t="s">
        <v>214</v>
      </c>
      <c r="E172" s="362" t="s">
        <v>9</v>
      </c>
      <c r="F172" s="369" t="s">
        <v>260</v>
      </c>
      <c r="G172" s="341" t="s">
        <v>258</v>
      </c>
      <c r="H172" s="310">
        <v>44492</v>
      </c>
      <c r="I172" s="341" t="s">
        <v>325</v>
      </c>
      <c r="J172" s="361">
        <v>241264</v>
      </c>
      <c r="K172" s="368">
        <v>0.5</v>
      </c>
      <c r="L172" s="346">
        <v>101605</v>
      </c>
      <c r="M172" s="428">
        <v>0.1</v>
      </c>
      <c r="N172" s="194">
        <f>L172*M172</f>
        <v>10160.5</v>
      </c>
      <c r="O172" s="274">
        <f t="shared" ref="O172" si="27">L172-N172</f>
        <v>91444.5</v>
      </c>
      <c r="P172" s="197"/>
      <c r="Q172" s="393" t="e">
        <f>VLOOKUP(G:G,list!B:D,3,FALSE)</f>
        <v>#N/A</v>
      </c>
    </row>
    <row r="173" spans="2:17" ht="18" customHeight="1">
      <c r="B173" s="341">
        <v>169</v>
      </c>
      <c r="C173" s="341" t="e">
        <f>VLOOKUP(G:G,list!B:D,2,FALSE)</f>
        <v>#N/A</v>
      </c>
      <c r="D173" s="369" t="s">
        <v>214</v>
      </c>
      <c r="E173" s="362" t="s">
        <v>9</v>
      </c>
      <c r="F173" s="369" t="s">
        <v>297</v>
      </c>
      <c r="G173" s="341" t="s">
        <v>173</v>
      </c>
      <c r="H173" s="310">
        <v>44531</v>
      </c>
      <c r="I173" s="341" t="s">
        <v>327</v>
      </c>
      <c r="J173" s="361">
        <v>2194283</v>
      </c>
      <c r="K173" s="368">
        <v>0.28000000000000003</v>
      </c>
      <c r="L173" s="346">
        <v>518575</v>
      </c>
      <c r="M173" s="428">
        <v>0.1</v>
      </c>
      <c r="N173" s="274">
        <f t="shared" ref="N173:N181" si="28">L173*M173</f>
        <v>51857.5</v>
      </c>
      <c r="O173" s="274">
        <f t="shared" ref="O173" si="29">L173-N173</f>
        <v>466717.5</v>
      </c>
      <c r="P173" s="197"/>
      <c r="Q173" s="393" t="e">
        <f>VLOOKUP(G:G,list!B:D,3,FALSE)</f>
        <v>#N/A</v>
      </c>
    </row>
    <row r="174" spans="2:17" ht="18" customHeight="1">
      <c r="B174" s="341">
        <v>170</v>
      </c>
      <c r="C174" s="341" t="e">
        <f>VLOOKUP(G:G,list!B:D,2,FALSE)</f>
        <v>#N/A</v>
      </c>
      <c r="D174" s="369" t="s">
        <v>214</v>
      </c>
      <c r="E174" s="362" t="s">
        <v>9</v>
      </c>
      <c r="F174" s="369" t="s">
        <v>297</v>
      </c>
      <c r="G174" s="341" t="s">
        <v>43</v>
      </c>
      <c r="H174" s="310">
        <v>44534</v>
      </c>
      <c r="I174" s="341" t="s">
        <v>327</v>
      </c>
      <c r="J174" s="361">
        <v>7964473</v>
      </c>
      <c r="K174" s="387">
        <v>0.245</v>
      </c>
      <c r="L174" s="346">
        <v>1621728</v>
      </c>
      <c r="M174" s="428">
        <v>0.1</v>
      </c>
      <c r="N174" s="194">
        <f t="shared" si="28"/>
        <v>162172.80000000002</v>
      </c>
      <c r="O174" s="274">
        <f>L174-N174</f>
        <v>1459555.2</v>
      </c>
      <c r="P174" s="197"/>
      <c r="Q174" s="393" t="e">
        <f>VLOOKUP(G:G,list!B:D,3,FALSE)</f>
        <v>#N/A</v>
      </c>
    </row>
    <row r="175" spans="2:17" ht="18" customHeight="1">
      <c r="B175" s="341">
        <v>171</v>
      </c>
      <c r="C175" s="341" t="e">
        <f>VLOOKUP(G:G,list!B:D,2,FALSE)</f>
        <v>#N/A</v>
      </c>
      <c r="D175" s="369" t="s">
        <v>214</v>
      </c>
      <c r="E175" s="362" t="s">
        <v>9</v>
      </c>
      <c r="F175" s="369" t="s">
        <v>297</v>
      </c>
      <c r="G175" s="341" t="s">
        <v>57</v>
      </c>
      <c r="H175" s="310">
        <v>44552</v>
      </c>
      <c r="I175" s="341" t="s">
        <v>327</v>
      </c>
      <c r="J175" s="361">
        <v>525803</v>
      </c>
      <c r="K175" s="368">
        <v>0.28000000000000003</v>
      </c>
      <c r="L175" s="346">
        <v>122359</v>
      </c>
      <c r="M175" s="428">
        <v>0.1</v>
      </c>
      <c r="N175" s="274">
        <f t="shared" si="28"/>
        <v>12235.900000000001</v>
      </c>
      <c r="O175" s="274">
        <f>L175-N175</f>
        <v>110123.1</v>
      </c>
      <c r="P175" s="197" t="s">
        <v>342</v>
      </c>
      <c r="Q175" s="393" t="e">
        <f>VLOOKUP(G:G,list!B:D,3,FALSE)</f>
        <v>#N/A</v>
      </c>
    </row>
    <row r="176" spans="2:17" ht="18" customHeight="1">
      <c r="B176" s="341">
        <v>172</v>
      </c>
      <c r="C176" s="341" t="e">
        <f>VLOOKUP(G:G,list!B:D,2,FALSE)</f>
        <v>#N/A</v>
      </c>
      <c r="D176" s="369" t="s">
        <v>214</v>
      </c>
      <c r="E176" s="362" t="s">
        <v>9</v>
      </c>
      <c r="F176" s="369" t="s">
        <v>297</v>
      </c>
      <c r="G176" s="341" t="s">
        <v>173</v>
      </c>
      <c r="H176" s="310">
        <v>44531</v>
      </c>
      <c r="I176" s="341" t="s">
        <v>328</v>
      </c>
      <c r="J176" s="361">
        <v>1808712</v>
      </c>
      <c r="K176" s="368">
        <v>0.28000000000000003</v>
      </c>
      <c r="L176" s="346">
        <v>425053</v>
      </c>
      <c r="M176" s="428">
        <v>0.1</v>
      </c>
      <c r="N176" s="274">
        <f t="shared" si="28"/>
        <v>42505.3</v>
      </c>
      <c r="O176" s="274">
        <f t="shared" ref="O176" si="30">L176-N176</f>
        <v>382547.7</v>
      </c>
      <c r="P176" s="197"/>
      <c r="Q176" s="393" t="e">
        <f>VLOOKUP(G:G,list!B:D,3,FALSE)</f>
        <v>#N/A</v>
      </c>
    </row>
    <row r="177" spans="2:17" ht="18" customHeight="1">
      <c r="B177" s="341">
        <v>173</v>
      </c>
      <c r="C177" s="341" t="e">
        <f>VLOOKUP(G:G,list!B:D,2,FALSE)</f>
        <v>#N/A</v>
      </c>
      <c r="D177" s="369" t="s">
        <v>214</v>
      </c>
      <c r="E177" s="362" t="s">
        <v>9</v>
      </c>
      <c r="F177" s="369" t="s">
        <v>297</v>
      </c>
      <c r="G177" s="341" t="s">
        <v>43</v>
      </c>
      <c r="H177" s="310">
        <v>44534</v>
      </c>
      <c r="I177" s="341" t="s">
        <v>328</v>
      </c>
      <c r="J177" s="361">
        <v>7341053</v>
      </c>
      <c r="K177" s="387">
        <v>0.245</v>
      </c>
      <c r="L177" s="346">
        <v>1486395</v>
      </c>
      <c r="M177" s="428">
        <v>0.1</v>
      </c>
      <c r="N177" s="194">
        <f t="shared" si="28"/>
        <v>148639.5</v>
      </c>
      <c r="O177" s="274">
        <f>L177-N177</f>
        <v>1337755.5</v>
      </c>
      <c r="P177" s="197"/>
      <c r="Q177" s="393" t="e">
        <f>VLOOKUP(G:G,list!B:D,3,FALSE)</f>
        <v>#N/A</v>
      </c>
    </row>
    <row r="178" spans="2:17" ht="18" customHeight="1">
      <c r="B178" s="341">
        <v>174</v>
      </c>
      <c r="C178" s="341" t="e">
        <f>VLOOKUP(G:G,list!B:D,2,FALSE)</f>
        <v>#N/A</v>
      </c>
      <c r="D178" s="369" t="s">
        <v>214</v>
      </c>
      <c r="E178" s="362" t="s">
        <v>9</v>
      </c>
      <c r="F178" s="369" t="s">
        <v>297</v>
      </c>
      <c r="G178" s="341" t="s">
        <v>57</v>
      </c>
      <c r="H178" s="310">
        <v>44552</v>
      </c>
      <c r="I178" s="341" t="s">
        <v>328</v>
      </c>
      <c r="J178" s="361">
        <v>511767</v>
      </c>
      <c r="K178" s="368">
        <v>0.28000000000000003</v>
      </c>
      <c r="L178" s="346">
        <v>118424</v>
      </c>
      <c r="M178" s="428">
        <v>0.1</v>
      </c>
      <c r="N178" s="274">
        <f t="shared" si="28"/>
        <v>11842.400000000001</v>
      </c>
      <c r="O178" s="274">
        <f>L178-N178</f>
        <v>106581.6</v>
      </c>
      <c r="P178" s="197" t="s">
        <v>342</v>
      </c>
      <c r="Q178" s="393" t="e">
        <f>VLOOKUP(G:G,list!B:D,3,FALSE)</f>
        <v>#N/A</v>
      </c>
    </row>
    <row r="179" spans="2:17" ht="18" customHeight="1">
      <c r="B179" s="341">
        <v>175</v>
      </c>
      <c r="C179" s="341" t="e">
        <f>VLOOKUP(G:G,list!B:D,2,FALSE)</f>
        <v>#N/A</v>
      </c>
      <c r="D179" s="369" t="s">
        <v>214</v>
      </c>
      <c r="E179" s="362" t="s">
        <v>9</v>
      </c>
      <c r="F179" s="369" t="s">
        <v>297</v>
      </c>
      <c r="G179" s="341" t="s">
        <v>336</v>
      </c>
      <c r="H179" s="310">
        <v>44611</v>
      </c>
      <c r="I179" s="341" t="s">
        <v>328</v>
      </c>
      <c r="J179" s="361">
        <v>8178884</v>
      </c>
      <c r="K179" s="368">
        <v>0.28000000000000003</v>
      </c>
      <c r="L179" s="346">
        <v>1922066</v>
      </c>
      <c r="M179" s="428">
        <v>0.1</v>
      </c>
      <c r="N179" s="274">
        <f t="shared" si="28"/>
        <v>192206.6</v>
      </c>
      <c r="O179" s="274">
        <f>L179-N179</f>
        <v>1729859.4</v>
      </c>
      <c r="P179" s="448" t="s">
        <v>287</v>
      </c>
      <c r="Q179" s="393" t="e">
        <f>VLOOKUP(G:G,list!B:D,3,FALSE)</f>
        <v>#N/A</v>
      </c>
    </row>
    <row r="180" spans="2:17" ht="18" customHeight="1">
      <c r="B180" s="341">
        <v>176</v>
      </c>
      <c r="C180" s="341" t="e">
        <f>VLOOKUP(G:G,list!B:D,2,FALSE)</f>
        <v>#N/A</v>
      </c>
      <c r="D180" s="366" t="s">
        <v>216</v>
      </c>
      <c r="E180" s="366" t="s">
        <v>9</v>
      </c>
      <c r="F180" s="341" t="s">
        <v>184</v>
      </c>
      <c r="G180" s="366" t="s">
        <v>218</v>
      </c>
      <c r="H180" s="365">
        <v>44396</v>
      </c>
      <c r="I180" s="341" t="s">
        <v>323</v>
      </c>
      <c r="J180" s="367">
        <v>9321203</v>
      </c>
      <c r="K180" s="368">
        <v>0.3</v>
      </c>
      <c r="L180" s="346">
        <v>2796361</v>
      </c>
      <c r="M180" s="428">
        <v>0.1</v>
      </c>
      <c r="N180" s="274">
        <f t="shared" si="28"/>
        <v>279636.10000000003</v>
      </c>
      <c r="O180" s="274">
        <f>L180-N180</f>
        <v>2516724.9</v>
      </c>
      <c r="P180" s="364" t="s">
        <v>221</v>
      </c>
      <c r="Q180" s="393" t="e">
        <f>VLOOKUP(G:G,list!B:D,3,FALSE)</f>
        <v>#N/A</v>
      </c>
    </row>
    <row r="181" spans="2:17" ht="18" customHeight="1">
      <c r="B181" s="341">
        <v>177</v>
      </c>
      <c r="C181" s="341" t="e">
        <f>VLOOKUP(G:G,list!B:D,2,FALSE)</f>
        <v>#N/A</v>
      </c>
      <c r="D181" s="366" t="s">
        <v>216</v>
      </c>
      <c r="E181" s="366" t="s">
        <v>9</v>
      </c>
      <c r="F181" s="341" t="s">
        <v>184</v>
      </c>
      <c r="G181" s="366" t="s">
        <v>219</v>
      </c>
      <c r="H181" s="365">
        <v>44497</v>
      </c>
      <c r="I181" s="341" t="s">
        <v>323</v>
      </c>
      <c r="J181" s="367">
        <v>6379343</v>
      </c>
      <c r="K181" s="368">
        <v>0.3</v>
      </c>
      <c r="L181" s="346">
        <v>1913803</v>
      </c>
      <c r="M181" s="428">
        <v>0.12</v>
      </c>
      <c r="N181" s="194">
        <f t="shared" si="28"/>
        <v>229656.36</v>
      </c>
      <c r="O181" s="274">
        <f>L181-N181</f>
        <v>1684146.6400000001</v>
      </c>
      <c r="P181" s="364" t="s">
        <v>221</v>
      </c>
      <c r="Q181" s="393" t="e">
        <f>VLOOKUP(G:G,list!B:D,3,FALSE)</f>
        <v>#N/A</v>
      </c>
    </row>
    <row r="182" spans="2:17" ht="18" customHeight="1">
      <c r="B182" s="341">
        <v>178</v>
      </c>
      <c r="C182" s="341" t="e">
        <f>VLOOKUP(G:G,list!B:D,2,FALSE)</f>
        <v>#N/A</v>
      </c>
      <c r="D182" s="366" t="s">
        <v>216</v>
      </c>
      <c r="E182" s="366" t="s">
        <v>9</v>
      </c>
      <c r="F182" s="341" t="s">
        <v>184</v>
      </c>
      <c r="G182" s="366" t="s">
        <v>135</v>
      </c>
      <c r="H182" s="365">
        <v>44370</v>
      </c>
      <c r="I182" s="341" t="s">
        <v>323</v>
      </c>
      <c r="J182" s="367">
        <v>300897</v>
      </c>
      <c r="K182" s="368">
        <v>0.3</v>
      </c>
      <c r="L182" s="346">
        <v>90269</v>
      </c>
      <c r="M182" s="428" t="s">
        <v>203</v>
      </c>
      <c r="N182" s="194">
        <v>0</v>
      </c>
      <c r="O182" s="274">
        <f t="shared" ref="O182:O196" si="31">L182-N182</f>
        <v>90269</v>
      </c>
      <c r="P182" s="364" t="s">
        <v>221</v>
      </c>
      <c r="Q182" s="393" t="e">
        <f>VLOOKUP(G:G,list!B:D,3,FALSE)</f>
        <v>#N/A</v>
      </c>
    </row>
    <row r="183" spans="2:17" ht="18" customHeight="1">
      <c r="B183" s="341">
        <v>179</v>
      </c>
      <c r="C183" s="341" t="e">
        <f>VLOOKUP(G:G,list!B:D,2,FALSE)</f>
        <v>#N/A</v>
      </c>
      <c r="D183" s="369" t="s">
        <v>216</v>
      </c>
      <c r="E183" s="342" t="s">
        <v>115</v>
      </c>
      <c r="F183" s="369" t="s">
        <v>31</v>
      </c>
      <c r="G183" s="342" t="s">
        <v>28</v>
      </c>
      <c r="H183" s="396">
        <v>44096</v>
      </c>
      <c r="I183" s="341" t="s">
        <v>325</v>
      </c>
      <c r="J183" s="361">
        <v>336882</v>
      </c>
      <c r="K183" s="368">
        <v>0.4</v>
      </c>
      <c r="L183" s="346">
        <v>128013</v>
      </c>
      <c r="M183" s="428">
        <v>0.12</v>
      </c>
      <c r="N183" s="194">
        <f t="shared" ref="N183:N190" si="32">L183*M183</f>
        <v>15361.56</v>
      </c>
      <c r="O183" s="274">
        <f t="shared" si="31"/>
        <v>112651.44</v>
      </c>
      <c r="P183" s="191"/>
      <c r="Q183" s="393" t="e">
        <f>VLOOKUP(G:G,list!B:D,3,FALSE)</f>
        <v>#N/A</v>
      </c>
    </row>
    <row r="184" spans="2:17" ht="18" customHeight="1">
      <c r="B184" s="341">
        <v>180</v>
      </c>
      <c r="C184" s="341" t="e">
        <f>VLOOKUP(G:G,list!B:D,2,FALSE)</f>
        <v>#N/A</v>
      </c>
      <c r="D184" s="369" t="s">
        <v>216</v>
      </c>
      <c r="E184" s="342" t="s">
        <v>115</v>
      </c>
      <c r="F184" s="369" t="s">
        <v>31</v>
      </c>
      <c r="G184" s="342" t="s">
        <v>29</v>
      </c>
      <c r="H184" s="343">
        <v>44137</v>
      </c>
      <c r="I184" s="341" t="s">
        <v>325</v>
      </c>
      <c r="J184" s="361">
        <v>337310</v>
      </c>
      <c r="K184" s="368">
        <v>0.4</v>
      </c>
      <c r="L184" s="346">
        <v>128172</v>
      </c>
      <c r="M184" s="428">
        <v>0.1</v>
      </c>
      <c r="N184" s="274">
        <f t="shared" si="32"/>
        <v>12817.2</v>
      </c>
      <c r="O184" s="274">
        <f t="shared" si="31"/>
        <v>115354.8</v>
      </c>
      <c r="P184" s="191"/>
      <c r="Q184" s="393" t="e">
        <f>VLOOKUP(G:G,list!B:D,3,FALSE)</f>
        <v>#N/A</v>
      </c>
    </row>
    <row r="185" spans="2:17" ht="18" customHeight="1">
      <c r="B185" s="341">
        <v>181</v>
      </c>
      <c r="C185" s="341" t="str">
        <f>VLOOKUP(G:G,list!B:D,2,FALSE)</f>
        <v>원작료</v>
      </c>
      <c r="D185" s="369" t="s">
        <v>216</v>
      </c>
      <c r="E185" s="342" t="s">
        <v>115</v>
      </c>
      <c r="F185" s="369" t="s">
        <v>31</v>
      </c>
      <c r="G185" s="342" t="s">
        <v>151</v>
      </c>
      <c r="H185" s="396">
        <v>44239</v>
      </c>
      <c r="I185" s="341" t="s">
        <v>325</v>
      </c>
      <c r="J185" s="361">
        <v>234767</v>
      </c>
      <c r="K185" s="368">
        <v>0.4</v>
      </c>
      <c r="L185" s="346">
        <v>89208</v>
      </c>
      <c r="M185" s="428">
        <v>0.1</v>
      </c>
      <c r="N185" s="274">
        <f t="shared" si="32"/>
        <v>8920.8000000000011</v>
      </c>
      <c r="O185" s="274">
        <f t="shared" si="31"/>
        <v>80287.199999999997</v>
      </c>
      <c r="P185" s="347"/>
      <c r="Q185" s="393" t="str">
        <f>VLOOKUP(G:G,list!B:D,3,FALSE)</f>
        <v>Y</v>
      </c>
    </row>
    <row r="186" spans="2:17" ht="18" customHeight="1">
      <c r="B186" s="341">
        <v>182</v>
      </c>
      <c r="C186" s="341" t="e">
        <f>VLOOKUP(G:G,list!B:D,2,FALSE)</f>
        <v>#N/A</v>
      </c>
      <c r="D186" s="369" t="s">
        <v>216</v>
      </c>
      <c r="E186" s="342" t="s">
        <v>115</v>
      </c>
      <c r="F186" s="369" t="s">
        <v>31</v>
      </c>
      <c r="G186" s="342" t="s">
        <v>256</v>
      </c>
      <c r="H186" s="396">
        <v>44487</v>
      </c>
      <c r="I186" s="341" t="s">
        <v>325</v>
      </c>
      <c r="J186" s="361">
        <v>59428</v>
      </c>
      <c r="K186" s="368">
        <v>0.4</v>
      </c>
      <c r="L186" s="346">
        <v>22589</v>
      </c>
      <c r="M186" s="428">
        <v>0.1</v>
      </c>
      <c r="N186" s="274">
        <f t="shared" si="32"/>
        <v>2258.9</v>
      </c>
      <c r="O186" s="274">
        <f t="shared" si="31"/>
        <v>20330.099999999999</v>
      </c>
      <c r="P186" s="194"/>
      <c r="Q186" s="393" t="e">
        <f>VLOOKUP(G:G,list!B:D,3,FALSE)</f>
        <v>#N/A</v>
      </c>
    </row>
    <row r="187" spans="2:17" ht="18" customHeight="1">
      <c r="B187" s="341">
        <v>183</v>
      </c>
      <c r="C187" s="341" t="e">
        <f>VLOOKUP(G:G,list!B:D,2,FALSE)</f>
        <v>#N/A</v>
      </c>
      <c r="D187" s="369" t="s">
        <v>216</v>
      </c>
      <c r="E187" s="342" t="s">
        <v>115</v>
      </c>
      <c r="F187" s="369" t="s">
        <v>31</v>
      </c>
      <c r="G187" s="342" t="s">
        <v>204</v>
      </c>
      <c r="H187" s="396">
        <v>44453</v>
      </c>
      <c r="I187" s="341" t="s">
        <v>325</v>
      </c>
      <c r="J187" s="361">
        <v>60014</v>
      </c>
      <c r="K187" s="368">
        <v>0.4</v>
      </c>
      <c r="L187" s="346">
        <v>22809</v>
      </c>
      <c r="M187" s="428">
        <v>0.1</v>
      </c>
      <c r="N187" s="194">
        <f t="shared" si="32"/>
        <v>2280.9</v>
      </c>
      <c r="O187" s="274">
        <f t="shared" si="31"/>
        <v>20528.099999999999</v>
      </c>
      <c r="P187" s="197"/>
      <c r="Q187" s="393" t="e">
        <f>VLOOKUP(G:G,list!B:D,3,FALSE)</f>
        <v>#N/A</v>
      </c>
    </row>
    <row r="188" spans="2:17" ht="18" customHeight="1">
      <c r="B188" s="341">
        <v>184</v>
      </c>
      <c r="C188" s="341" t="e">
        <f>VLOOKUP(G:G,list!B:D,2,FALSE)</f>
        <v>#N/A</v>
      </c>
      <c r="D188" s="369" t="s">
        <v>216</v>
      </c>
      <c r="E188" s="342" t="s">
        <v>115</v>
      </c>
      <c r="F188" s="369" t="s">
        <v>31</v>
      </c>
      <c r="G188" s="342" t="s">
        <v>38</v>
      </c>
      <c r="H188" s="382">
        <v>44470</v>
      </c>
      <c r="I188" s="341" t="s">
        <v>325</v>
      </c>
      <c r="J188" s="361">
        <v>224328</v>
      </c>
      <c r="K188" s="368">
        <v>0.4</v>
      </c>
      <c r="L188" s="346">
        <v>85252</v>
      </c>
      <c r="M188" s="428">
        <v>0.1</v>
      </c>
      <c r="N188" s="194">
        <f t="shared" si="32"/>
        <v>8525.2000000000007</v>
      </c>
      <c r="O188" s="274">
        <f t="shared" si="31"/>
        <v>76726.8</v>
      </c>
      <c r="P188" s="370"/>
      <c r="Q188" s="393" t="e">
        <f>VLOOKUP(G:G,list!B:D,3,FALSE)</f>
        <v>#N/A</v>
      </c>
    </row>
    <row r="189" spans="2:17" ht="18" customHeight="1">
      <c r="B189" s="341">
        <v>185</v>
      </c>
      <c r="C189" s="341" t="e">
        <f>VLOOKUP(G:G,list!B:D,2,FALSE)</f>
        <v>#N/A</v>
      </c>
      <c r="D189" s="362" t="s">
        <v>32</v>
      </c>
      <c r="E189" s="362" t="s">
        <v>9</v>
      </c>
      <c r="F189" s="369" t="s">
        <v>257</v>
      </c>
      <c r="G189" s="362" t="s">
        <v>42</v>
      </c>
      <c r="H189" s="409">
        <v>44354</v>
      </c>
      <c r="I189" s="341" t="s">
        <v>323</v>
      </c>
      <c r="J189" s="361">
        <v>22518266</v>
      </c>
      <c r="K189" s="371">
        <v>0.27999995826320889</v>
      </c>
      <c r="L189" s="346">
        <v>6305114</v>
      </c>
      <c r="M189" s="428">
        <v>0.1</v>
      </c>
      <c r="N189" s="194">
        <f t="shared" si="32"/>
        <v>630511.4</v>
      </c>
      <c r="O189" s="274">
        <f t="shared" si="31"/>
        <v>5674602.5999999996</v>
      </c>
      <c r="P189" s="195" t="s">
        <v>85</v>
      </c>
      <c r="Q189" s="393" t="e">
        <f>VLOOKUP(G:G,list!B:D,3,FALSE)</f>
        <v>#N/A</v>
      </c>
    </row>
    <row r="190" spans="2:17" ht="18" customHeight="1">
      <c r="B190" s="341">
        <v>186</v>
      </c>
      <c r="C190" s="341" t="e">
        <f>VLOOKUP(G:G,list!B:D,2,FALSE)</f>
        <v>#N/A</v>
      </c>
      <c r="D190" s="362" t="s">
        <v>32</v>
      </c>
      <c r="E190" s="362" t="s">
        <v>9</v>
      </c>
      <c r="F190" s="369" t="s">
        <v>257</v>
      </c>
      <c r="G190" s="362" t="s">
        <v>212</v>
      </c>
      <c r="H190" s="363">
        <v>44507</v>
      </c>
      <c r="I190" s="341" t="s">
        <v>323</v>
      </c>
      <c r="J190" s="361">
        <v>20736159</v>
      </c>
      <c r="K190" s="397">
        <v>0.24499999976453651</v>
      </c>
      <c r="L190" s="346">
        <v>5080358</v>
      </c>
      <c r="M190" s="428">
        <v>0.1</v>
      </c>
      <c r="N190" s="194">
        <f t="shared" si="32"/>
        <v>508035.80000000005</v>
      </c>
      <c r="O190" s="274">
        <f t="shared" si="31"/>
        <v>4572322.2</v>
      </c>
      <c r="P190" s="197"/>
      <c r="Q190" s="393" t="e">
        <f>VLOOKUP(G:G,list!B:D,3,FALSE)</f>
        <v>#N/A</v>
      </c>
    </row>
    <row r="191" spans="2:17" ht="18" customHeight="1">
      <c r="B191" s="341">
        <v>187</v>
      </c>
      <c r="C191" s="341" t="str">
        <f>VLOOKUP(G:G,list!B:D,2,FALSE)</f>
        <v>작가기획</v>
      </c>
      <c r="D191" s="369" t="s">
        <v>216</v>
      </c>
      <c r="E191" s="362" t="s">
        <v>9</v>
      </c>
      <c r="F191" s="372" t="s">
        <v>154</v>
      </c>
      <c r="G191" s="362" t="s">
        <v>36</v>
      </c>
      <c r="H191" s="409">
        <v>44106</v>
      </c>
      <c r="I191" s="341" t="s">
        <v>325</v>
      </c>
      <c r="J191" s="361">
        <v>1708156</v>
      </c>
      <c r="K191" s="373">
        <v>0.4</v>
      </c>
      <c r="L191" s="346">
        <v>649099</v>
      </c>
      <c r="M191" s="428" t="s">
        <v>203</v>
      </c>
      <c r="N191" s="274">
        <v>0</v>
      </c>
      <c r="O191" s="274">
        <f>L191-N191</f>
        <v>649099</v>
      </c>
      <c r="P191" s="197"/>
      <c r="Q191" s="393" t="str">
        <f>VLOOKUP(G:G,list!B:D,3,FALSE)</f>
        <v>Y</v>
      </c>
    </row>
    <row r="192" spans="2:17" ht="18" customHeight="1">
      <c r="B192" s="341">
        <v>188</v>
      </c>
      <c r="C192" s="341" t="str">
        <f>VLOOKUP(G:G,list!B:D,2,FALSE)</f>
        <v>작가기획</v>
      </c>
      <c r="D192" s="369" t="s">
        <v>216</v>
      </c>
      <c r="E192" s="362" t="s">
        <v>9</v>
      </c>
      <c r="F192" s="372" t="s">
        <v>154</v>
      </c>
      <c r="G192" s="362" t="s">
        <v>37</v>
      </c>
      <c r="H192" s="363">
        <v>44113</v>
      </c>
      <c r="I192" s="341" t="s">
        <v>325</v>
      </c>
      <c r="J192" s="361">
        <v>22436</v>
      </c>
      <c r="K192" s="373">
        <v>0.4</v>
      </c>
      <c r="L192" s="346">
        <v>8526</v>
      </c>
      <c r="M192" s="428" t="s">
        <v>203</v>
      </c>
      <c r="N192" s="274">
        <v>0</v>
      </c>
      <c r="O192" s="274">
        <f t="shared" si="31"/>
        <v>8526</v>
      </c>
      <c r="P192" s="197"/>
      <c r="Q192" s="393" t="str">
        <f>VLOOKUP(G:G,list!B:D,3,FALSE)</f>
        <v>Y</v>
      </c>
    </row>
    <row r="193" spans="2:17" ht="18" customHeight="1">
      <c r="B193" s="341">
        <v>189</v>
      </c>
      <c r="C193" s="341" t="e">
        <f>VLOOKUP(G:G,list!B:D,2,FALSE)</f>
        <v>#N/A</v>
      </c>
      <c r="D193" s="369" t="s">
        <v>216</v>
      </c>
      <c r="E193" s="362" t="s">
        <v>115</v>
      </c>
      <c r="F193" s="372" t="s">
        <v>154</v>
      </c>
      <c r="G193" s="362" t="s">
        <v>258</v>
      </c>
      <c r="H193" s="363">
        <v>44386</v>
      </c>
      <c r="I193" s="341" t="s">
        <v>325</v>
      </c>
      <c r="J193" s="361">
        <v>714650</v>
      </c>
      <c r="K193" s="373">
        <v>0.4</v>
      </c>
      <c r="L193" s="346">
        <v>271567</v>
      </c>
      <c r="M193" s="428">
        <v>0.1</v>
      </c>
      <c r="N193" s="194">
        <f t="shared" ref="N193:N199" si="33">L193*M193</f>
        <v>27156.7</v>
      </c>
      <c r="O193" s="274">
        <f t="shared" si="31"/>
        <v>244410.3</v>
      </c>
      <c r="P193" s="197"/>
      <c r="Q193" s="393" t="e">
        <f>VLOOKUP(G:G,list!B:D,3,FALSE)</f>
        <v>#N/A</v>
      </c>
    </row>
    <row r="194" spans="2:17" ht="18" customHeight="1">
      <c r="B194" s="341">
        <v>190</v>
      </c>
      <c r="C194" s="341" t="e">
        <f>VLOOKUP(G:G,list!B:D,2,FALSE)</f>
        <v>#N/A</v>
      </c>
      <c r="D194" s="366" t="s">
        <v>254</v>
      </c>
      <c r="E194" s="366" t="s">
        <v>9</v>
      </c>
      <c r="F194" s="341" t="s">
        <v>184</v>
      </c>
      <c r="G194" s="366" t="s">
        <v>218</v>
      </c>
      <c r="H194" s="365">
        <v>44516</v>
      </c>
      <c r="I194" s="341" t="s">
        <v>323</v>
      </c>
      <c r="J194" s="367">
        <v>4463993</v>
      </c>
      <c r="K194" s="368">
        <v>0.3</v>
      </c>
      <c r="L194" s="346">
        <v>1339198</v>
      </c>
      <c r="M194" s="428">
        <v>0.1</v>
      </c>
      <c r="N194" s="274">
        <f t="shared" si="33"/>
        <v>133919.80000000002</v>
      </c>
      <c r="O194" s="274">
        <f t="shared" si="31"/>
        <v>1205278.2</v>
      </c>
      <c r="P194" s="364" t="s">
        <v>221</v>
      </c>
      <c r="Q194" s="393" t="e">
        <f>VLOOKUP(G:G,list!B:D,3,FALSE)</f>
        <v>#N/A</v>
      </c>
    </row>
    <row r="195" spans="2:17" ht="18" customHeight="1">
      <c r="B195" s="341">
        <v>191</v>
      </c>
      <c r="C195" s="341" t="e">
        <f>VLOOKUP(G:G,list!B:D,2,FALSE)</f>
        <v>#N/A</v>
      </c>
      <c r="D195" s="366" t="s">
        <v>67</v>
      </c>
      <c r="E195" s="366" t="s">
        <v>9</v>
      </c>
      <c r="F195" s="341" t="s">
        <v>184</v>
      </c>
      <c r="G195" s="366" t="s">
        <v>191</v>
      </c>
      <c r="H195" s="365">
        <v>44581</v>
      </c>
      <c r="I195" s="341" t="s">
        <v>323</v>
      </c>
      <c r="J195" s="367">
        <v>3298020</v>
      </c>
      <c r="K195" s="368">
        <v>0.3</v>
      </c>
      <c r="L195" s="346">
        <v>989406</v>
      </c>
      <c r="M195" s="428">
        <v>0.1</v>
      </c>
      <c r="N195" s="194">
        <f t="shared" si="33"/>
        <v>98940.6</v>
      </c>
      <c r="O195" s="274">
        <f t="shared" si="31"/>
        <v>890465.4</v>
      </c>
      <c r="P195" s="364" t="s">
        <v>307</v>
      </c>
      <c r="Q195" s="393" t="e">
        <f>VLOOKUP(G:G,list!B:D,3,FALSE)</f>
        <v>#N/A</v>
      </c>
    </row>
    <row r="196" spans="2:17" ht="18" customHeight="1">
      <c r="B196" s="341">
        <v>192</v>
      </c>
      <c r="C196" s="341" t="e">
        <f>VLOOKUP(G:G,list!B:D,2,FALSE)</f>
        <v>#N/A</v>
      </c>
      <c r="D196" s="366" t="s">
        <v>67</v>
      </c>
      <c r="E196" s="366" t="s">
        <v>9</v>
      </c>
      <c r="F196" s="341" t="s">
        <v>184</v>
      </c>
      <c r="G196" s="366" t="s">
        <v>59</v>
      </c>
      <c r="H196" s="365">
        <v>44582</v>
      </c>
      <c r="I196" s="341" t="s">
        <v>323</v>
      </c>
      <c r="J196" s="367">
        <v>4051897</v>
      </c>
      <c r="K196" s="368">
        <v>0.3</v>
      </c>
      <c r="L196" s="346">
        <v>1215569</v>
      </c>
      <c r="M196" s="428">
        <v>0.1</v>
      </c>
      <c r="N196" s="274">
        <f t="shared" si="33"/>
        <v>121556.90000000001</v>
      </c>
      <c r="O196" s="274">
        <f t="shared" si="31"/>
        <v>1094012.1000000001</v>
      </c>
      <c r="P196" s="364" t="s">
        <v>307</v>
      </c>
      <c r="Q196" s="393" t="e">
        <f>VLOOKUP(G:G,list!B:D,3,FALSE)</f>
        <v>#N/A</v>
      </c>
    </row>
    <row r="197" spans="2:17" ht="18" customHeight="1">
      <c r="B197" s="341">
        <v>193</v>
      </c>
      <c r="C197" s="341" t="e">
        <f>VLOOKUP(G:G,list!B:D,2,FALSE)</f>
        <v>#N/A</v>
      </c>
      <c r="D197" s="366" t="s">
        <v>67</v>
      </c>
      <c r="E197" s="366" t="s">
        <v>9</v>
      </c>
      <c r="F197" s="341" t="s">
        <v>184</v>
      </c>
      <c r="G197" s="366" t="s">
        <v>314</v>
      </c>
      <c r="H197" s="365">
        <v>44627</v>
      </c>
      <c r="I197" s="341" t="s">
        <v>323</v>
      </c>
      <c r="J197" s="367">
        <v>947437</v>
      </c>
      <c r="K197" s="368">
        <v>0.3</v>
      </c>
      <c r="L197" s="346">
        <v>284231</v>
      </c>
      <c r="M197" s="428">
        <v>0.1</v>
      </c>
      <c r="N197" s="274">
        <f t="shared" si="33"/>
        <v>28423.100000000002</v>
      </c>
      <c r="O197" s="274">
        <f>L197-N197</f>
        <v>255807.9</v>
      </c>
      <c r="P197" s="364" t="s">
        <v>319</v>
      </c>
      <c r="Q197" s="393" t="e">
        <f>VLOOKUP(G:G,list!B:D,3,FALSE)</f>
        <v>#N/A</v>
      </c>
    </row>
    <row r="198" spans="2:17" ht="18" customHeight="1">
      <c r="B198" s="341">
        <v>194</v>
      </c>
      <c r="C198" s="341" t="e">
        <f>VLOOKUP(G:G,list!B:D,2,FALSE)</f>
        <v>#N/A</v>
      </c>
      <c r="D198" s="369" t="s">
        <v>254</v>
      </c>
      <c r="E198" s="342" t="s">
        <v>9</v>
      </c>
      <c r="F198" s="369" t="s">
        <v>65</v>
      </c>
      <c r="G198" s="342" t="s">
        <v>152</v>
      </c>
      <c r="H198" s="343">
        <v>44105</v>
      </c>
      <c r="I198" s="341" t="s">
        <v>323</v>
      </c>
      <c r="J198" s="361">
        <v>2121303</v>
      </c>
      <c r="K198" s="368">
        <v>0.4</v>
      </c>
      <c r="L198" s="346">
        <v>848521</v>
      </c>
      <c r="M198" s="428">
        <v>0.12</v>
      </c>
      <c r="N198" s="194">
        <f t="shared" si="33"/>
        <v>101822.51999999999</v>
      </c>
      <c r="O198" s="274">
        <f t="shared" ref="O198:O208" si="34">L198-N198</f>
        <v>746698.48</v>
      </c>
      <c r="P198" s="191"/>
      <c r="Q198" s="393" t="e">
        <f>VLOOKUP(G:G,list!B:D,3,FALSE)</f>
        <v>#N/A</v>
      </c>
    </row>
    <row r="199" spans="2:17" ht="18" customHeight="1">
      <c r="B199" s="341">
        <v>195</v>
      </c>
      <c r="C199" s="341" t="e">
        <f>VLOOKUP(G:G,list!B:D,2,FALSE)</f>
        <v>#N/A</v>
      </c>
      <c r="D199" s="369" t="s">
        <v>254</v>
      </c>
      <c r="E199" s="342" t="s">
        <v>9</v>
      </c>
      <c r="F199" s="369" t="s">
        <v>65</v>
      </c>
      <c r="G199" s="342" t="s">
        <v>153</v>
      </c>
      <c r="H199" s="343">
        <v>44111</v>
      </c>
      <c r="I199" s="341" t="s">
        <v>323</v>
      </c>
      <c r="J199" s="361">
        <v>987625</v>
      </c>
      <c r="K199" s="368">
        <v>0.4</v>
      </c>
      <c r="L199" s="346">
        <v>395050</v>
      </c>
      <c r="M199" s="428">
        <v>0.1</v>
      </c>
      <c r="N199" s="274">
        <f t="shared" si="33"/>
        <v>39505</v>
      </c>
      <c r="O199" s="274">
        <f t="shared" si="34"/>
        <v>355545</v>
      </c>
      <c r="P199" s="191"/>
      <c r="Q199" s="393" t="e">
        <f>VLOOKUP(G:G,list!B:D,3,FALSE)</f>
        <v>#N/A</v>
      </c>
    </row>
    <row r="200" spans="2:17" ht="18" customHeight="1">
      <c r="B200" s="341">
        <v>196</v>
      </c>
      <c r="C200" s="341" t="str">
        <f>VLOOKUP(G:G,list!B:D,2,FALSE)</f>
        <v>작가기획</v>
      </c>
      <c r="D200" s="369" t="s">
        <v>254</v>
      </c>
      <c r="E200" s="342" t="s">
        <v>9</v>
      </c>
      <c r="F200" s="369" t="s">
        <v>65</v>
      </c>
      <c r="G200" s="342" t="s">
        <v>139</v>
      </c>
      <c r="H200" s="343">
        <v>43921</v>
      </c>
      <c r="I200" s="341" t="s">
        <v>323</v>
      </c>
      <c r="J200" s="361">
        <v>65833</v>
      </c>
      <c r="K200" s="368">
        <v>0.4</v>
      </c>
      <c r="L200" s="346">
        <v>26333</v>
      </c>
      <c r="M200" s="428" t="s">
        <v>203</v>
      </c>
      <c r="N200" s="194">
        <v>0</v>
      </c>
      <c r="O200" s="274">
        <f t="shared" si="34"/>
        <v>26333</v>
      </c>
      <c r="P200" s="347"/>
      <c r="Q200" s="393" t="str">
        <f>VLOOKUP(G:G,list!B:D,3,FALSE)</f>
        <v>Y</v>
      </c>
    </row>
    <row r="201" spans="2:17" ht="18" customHeight="1">
      <c r="B201" s="341">
        <v>197</v>
      </c>
      <c r="C201" s="341" t="str">
        <f>VLOOKUP(G:G,list!B:D,2,FALSE)</f>
        <v>작가기획</v>
      </c>
      <c r="D201" s="369" t="s">
        <v>254</v>
      </c>
      <c r="E201" s="342" t="s">
        <v>9</v>
      </c>
      <c r="F201" s="369" t="s">
        <v>65</v>
      </c>
      <c r="G201" s="342" t="s">
        <v>180</v>
      </c>
      <c r="H201" s="343">
        <v>43941</v>
      </c>
      <c r="I201" s="341" t="s">
        <v>323</v>
      </c>
      <c r="J201" s="361">
        <v>1619280</v>
      </c>
      <c r="K201" s="368">
        <v>0.4</v>
      </c>
      <c r="L201" s="346">
        <v>647712</v>
      </c>
      <c r="M201" s="428" t="s">
        <v>203</v>
      </c>
      <c r="N201" s="274">
        <v>0</v>
      </c>
      <c r="O201" s="274">
        <f>L201-N201</f>
        <v>647712</v>
      </c>
      <c r="P201" s="347"/>
      <c r="Q201" s="393" t="str">
        <f>VLOOKUP(G:G,list!B:D,3,FALSE)</f>
        <v>Y</v>
      </c>
    </row>
    <row r="202" spans="2:17" ht="18" customHeight="1">
      <c r="B202" s="341">
        <v>198</v>
      </c>
      <c r="C202" s="341" t="str">
        <f>VLOOKUP(G:G,list!B:D,2,FALSE)</f>
        <v>원작료</v>
      </c>
      <c r="D202" s="369" t="s">
        <v>254</v>
      </c>
      <c r="E202" s="341" t="s">
        <v>64</v>
      </c>
      <c r="F202" s="369" t="s">
        <v>65</v>
      </c>
      <c r="G202" s="342" t="s">
        <v>151</v>
      </c>
      <c r="H202" s="343">
        <v>44258</v>
      </c>
      <c r="I202" s="341" t="s">
        <v>323</v>
      </c>
      <c r="J202" s="361">
        <v>3169320</v>
      </c>
      <c r="K202" s="368">
        <v>0.4</v>
      </c>
      <c r="L202" s="346">
        <v>1267728</v>
      </c>
      <c r="M202" s="428">
        <v>0.1</v>
      </c>
      <c r="N202" s="274">
        <f>L202*M202</f>
        <v>126772.8</v>
      </c>
      <c r="O202" s="274">
        <f t="shared" si="34"/>
        <v>1140955.2</v>
      </c>
      <c r="P202" s="191"/>
      <c r="Q202" s="393" t="str">
        <f>VLOOKUP(G:G,list!B:D,3,FALSE)</f>
        <v>Y</v>
      </c>
    </row>
    <row r="203" spans="2:17" ht="18" customHeight="1">
      <c r="B203" s="341">
        <v>199</v>
      </c>
      <c r="C203" s="341" t="e">
        <f>VLOOKUP(G:G,list!B:D,2,FALSE)</f>
        <v>#N/A</v>
      </c>
      <c r="D203" s="369" t="s">
        <v>254</v>
      </c>
      <c r="E203" s="341" t="s">
        <v>64</v>
      </c>
      <c r="F203" s="369" t="s">
        <v>65</v>
      </c>
      <c r="G203" s="342" t="s">
        <v>179</v>
      </c>
      <c r="H203" s="343">
        <v>44233</v>
      </c>
      <c r="I203" s="341" t="s">
        <v>323</v>
      </c>
      <c r="J203" s="361">
        <v>3095508</v>
      </c>
      <c r="K203" s="368">
        <v>0.4</v>
      </c>
      <c r="L203" s="346">
        <v>1238203</v>
      </c>
      <c r="M203" s="428">
        <v>0.1</v>
      </c>
      <c r="N203" s="194">
        <f>L203*M203</f>
        <v>123820.3</v>
      </c>
      <c r="O203" s="274">
        <f t="shared" si="34"/>
        <v>1114382.7</v>
      </c>
      <c r="P203" s="195" t="s">
        <v>85</v>
      </c>
      <c r="Q203" s="393" t="e">
        <f>VLOOKUP(G:G,list!B:D,3,FALSE)</f>
        <v>#N/A</v>
      </c>
    </row>
    <row r="204" spans="2:17" ht="18" customHeight="1">
      <c r="B204" s="341">
        <v>200</v>
      </c>
      <c r="C204" s="341" t="e">
        <f>VLOOKUP(G:G,list!B:D,2,FALSE)</f>
        <v>#N/A</v>
      </c>
      <c r="D204" s="369" t="s">
        <v>254</v>
      </c>
      <c r="E204" s="341" t="s">
        <v>64</v>
      </c>
      <c r="F204" s="369" t="s">
        <v>65</v>
      </c>
      <c r="G204" s="342" t="s">
        <v>54</v>
      </c>
      <c r="H204" s="343">
        <v>44254</v>
      </c>
      <c r="I204" s="341" t="s">
        <v>323</v>
      </c>
      <c r="J204" s="361">
        <v>440733</v>
      </c>
      <c r="K204" s="368">
        <v>0.4</v>
      </c>
      <c r="L204" s="346">
        <v>176293</v>
      </c>
      <c r="M204" s="428">
        <v>0.1</v>
      </c>
      <c r="N204" s="274">
        <f>L204*M204</f>
        <v>17629.3</v>
      </c>
      <c r="O204" s="274">
        <f t="shared" si="34"/>
        <v>158663.70000000001</v>
      </c>
      <c r="P204" s="191"/>
      <c r="Q204" s="393" t="e">
        <f>VLOOKUP(G:G,list!B:D,3,FALSE)</f>
        <v>#N/A</v>
      </c>
    </row>
    <row r="205" spans="2:17" ht="18" customHeight="1">
      <c r="B205" s="341">
        <v>201</v>
      </c>
      <c r="C205" s="341" t="e">
        <f>VLOOKUP(G:G,list!B:D,2,FALSE)</f>
        <v>#N/A</v>
      </c>
      <c r="D205" s="369" t="s">
        <v>254</v>
      </c>
      <c r="E205" s="341" t="s">
        <v>64</v>
      </c>
      <c r="F205" s="369" t="s">
        <v>65</v>
      </c>
      <c r="G205" s="342" t="s">
        <v>147</v>
      </c>
      <c r="H205" s="343">
        <v>44260</v>
      </c>
      <c r="I205" s="341" t="s">
        <v>323</v>
      </c>
      <c r="J205" s="361">
        <v>722425</v>
      </c>
      <c r="K205" s="368">
        <v>0.4</v>
      </c>
      <c r="L205" s="346">
        <v>288970</v>
      </c>
      <c r="M205" s="428" t="s">
        <v>203</v>
      </c>
      <c r="N205" s="194">
        <v>0</v>
      </c>
      <c r="O205" s="274">
        <f t="shared" si="34"/>
        <v>288970</v>
      </c>
      <c r="P205" s="191"/>
      <c r="Q205" s="393" t="e">
        <f>VLOOKUP(G:G,list!B:D,3,FALSE)</f>
        <v>#N/A</v>
      </c>
    </row>
    <row r="206" spans="2:17" ht="18" customHeight="1">
      <c r="B206" s="341">
        <v>202</v>
      </c>
      <c r="C206" s="341" t="e">
        <f>VLOOKUP(G:G,list!B:D,2,FALSE)</f>
        <v>#N/A</v>
      </c>
      <c r="D206" s="369" t="s">
        <v>254</v>
      </c>
      <c r="E206" s="341" t="s">
        <v>64</v>
      </c>
      <c r="F206" s="369" t="s">
        <v>65</v>
      </c>
      <c r="G206" s="342" t="s">
        <v>187</v>
      </c>
      <c r="H206" s="343">
        <v>44289</v>
      </c>
      <c r="I206" s="341" t="s">
        <v>323</v>
      </c>
      <c r="J206" s="361">
        <v>368958</v>
      </c>
      <c r="K206" s="368">
        <v>0.4</v>
      </c>
      <c r="L206" s="346">
        <v>147583</v>
      </c>
      <c r="M206" s="428" t="s">
        <v>203</v>
      </c>
      <c r="N206" s="194">
        <v>0</v>
      </c>
      <c r="O206" s="274">
        <f t="shared" si="34"/>
        <v>147583</v>
      </c>
      <c r="P206" s="191"/>
      <c r="Q206" s="393" t="e">
        <f>VLOOKUP(G:G,list!B:D,3,FALSE)</f>
        <v>#N/A</v>
      </c>
    </row>
    <row r="207" spans="2:17" ht="18" customHeight="1">
      <c r="B207" s="341">
        <v>203</v>
      </c>
      <c r="C207" s="341" t="e">
        <f>VLOOKUP(G:G,list!B:D,2,FALSE)</f>
        <v>#N/A</v>
      </c>
      <c r="D207" s="413" t="s">
        <v>254</v>
      </c>
      <c r="E207" s="412" t="s">
        <v>64</v>
      </c>
      <c r="F207" s="413" t="s">
        <v>65</v>
      </c>
      <c r="G207" s="414" t="s">
        <v>121</v>
      </c>
      <c r="H207" s="415">
        <v>44449</v>
      </c>
      <c r="I207" s="412" t="s">
        <v>323</v>
      </c>
      <c r="J207" s="416">
        <v>5764540</v>
      </c>
      <c r="K207" s="417">
        <v>0.4</v>
      </c>
      <c r="L207" s="418">
        <v>2305816</v>
      </c>
      <c r="M207" s="429" t="s">
        <v>203</v>
      </c>
      <c r="N207" s="419">
        <v>0</v>
      </c>
      <c r="O207" s="420">
        <f t="shared" si="34"/>
        <v>2305816</v>
      </c>
      <c r="P207" s="421"/>
      <c r="Q207" s="393" t="e">
        <f>VLOOKUP(G:G,list!B:D,3,FALSE)</f>
        <v>#N/A</v>
      </c>
    </row>
    <row r="208" spans="2:17" ht="26.4">
      <c r="B208" s="341">
        <v>204</v>
      </c>
      <c r="C208" s="341" t="str">
        <f>VLOOKUP(G:G,list!B:D,2,FALSE)</f>
        <v>작가기획</v>
      </c>
      <c r="D208" s="369" t="s">
        <v>72</v>
      </c>
      <c r="E208" s="362" t="s">
        <v>9</v>
      </c>
      <c r="F208" s="369" t="s">
        <v>332</v>
      </c>
      <c r="G208" s="342" t="s">
        <v>36</v>
      </c>
      <c r="H208" s="343">
        <v>44556</v>
      </c>
      <c r="I208" s="354" t="s">
        <v>292</v>
      </c>
      <c r="J208" s="361">
        <v>3000000</v>
      </c>
      <c r="K208" s="368">
        <v>0.5</v>
      </c>
      <c r="L208" s="346">
        <v>1500000</v>
      </c>
      <c r="M208" s="428" t="s">
        <v>203</v>
      </c>
      <c r="N208" s="274">
        <v>0</v>
      </c>
      <c r="O208" s="274">
        <f t="shared" si="34"/>
        <v>1500000</v>
      </c>
      <c r="P208" s="423" t="s">
        <v>338</v>
      </c>
      <c r="Q208" s="393" t="str">
        <f>VLOOKUP(G:G,list!B:D,3,FALSE)</f>
        <v>Y</v>
      </c>
    </row>
    <row r="209" spans="2:17" ht="18" customHeight="1">
      <c r="B209" s="341">
        <v>205</v>
      </c>
      <c r="C209" s="341" t="e">
        <f>VLOOKUP(G:G,list!B:D,2,FALSE)</f>
        <v>#N/A</v>
      </c>
      <c r="D209" s="369" t="s">
        <v>214</v>
      </c>
      <c r="E209" s="362" t="s">
        <v>9</v>
      </c>
      <c r="F209" s="369" t="s">
        <v>297</v>
      </c>
      <c r="G209" s="341" t="s">
        <v>173</v>
      </c>
      <c r="H209" s="310">
        <v>44531</v>
      </c>
      <c r="I209" s="341" t="s">
        <v>325</v>
      </c>
      <c r="J209" s="361">
        <v>1667896</v>
      </c>
      <c r="K209" s="368">
        <v>0.28000000000000003</v>
      </c>
      <c r="L209" s="346">
        <v>385128</v>
      </c>
      <c r="M209" s="428">
        <v>0.1</v>
      </c>
      <c r="N209" s="274">
        <f>L209*M209</f>
        <v>38512.800000000003</v>
      </c>
      <c r="O209" s="274">
        <f t="shared" ref="O209" si="35">L209-N209</f>
        <v>346615.2</v>
      </c>
      <c r="P209" s="393"/>
      <c r="Q209" s="393" t="e">
        <f>VLOOKUP(G:G,list!B:D,3,FALSE)</f>
        <v>#N/A</v>
      </c>
    </row>
    <row r="210" spans="2:17" ht="18" customHeight="1">
      <c r="B210" s="341">
        <v>206</v>
      </c>
      <c r="C210" s="341" t="e">
        <f>VLOOKUP(G:G,list!B:D,2,FALSE)</f>
        <v>#N/A</v>
      </c>
      <c r="D210" s="369" t="s">
        <v>214</v>
      </c>
      <c r="E210" s="362" t="s">
        <v>9</v>
      </c>
      <c r="F210" s="369" t="s">
        <v>297</v>
      </c>
      <c r="G210" s="341" t="s">
        <v>43</v>
      </c>
      <c r="H210" s="310">
        <v>44534</v>
      </c>
      <c r="I210" s="341" t="s">
        <v>325</v>
      </c>
      <c r="J210" s="361">
        <v>14213785</v>
      </c>
      <c r="K210" s="387">
        <v>0.245</v>
      </c>
      <c r="L210" s="346">
        <v>2827793</v>
      </c>
      <c r="M210" s="428">
        <v>0.1</v>
      </c>
      <c r="N210" s="194">
        <f>L210*M210</f>
        <v>282779.3</v>
      </c>
      <c r="O210" s="274">
        <f>L210-N210</f>
        <v>2545013.7000000002</v>
      </c>
      <c r="P210" s="393"/>
      <c r="Q210" s="393" t="e">
        <f>VLOOKUP(G:G,list!B:D,3,FALSE)</f>
        <v>#N/A</v>
      </c>
    </row>
    <row r="211" spans="2:17" ht="18" customHeight="1">
      <c r="B211" s="341">
        <v>207</v>
      </c>
      <c r="C211" s="341" t="e">
        <f>VLOOKUP(G:G,list!B:D,2,FALSE)</f>
        <v>#N/A</v>
      </c>
      <c r="D211" s="369" t="s">
        <v>214</v>
      </c>
      <c r="E211" s="362" t="s">
        <v>9</v>
      </c>
      <c r="F211" s="369" t="s">
        <v>297</v>
      </c>
      <c r="G211" s="341" t="s">
        <v>57</v>
      </c>
      <c r="H211" s="310">
        <v>44552</v>
      </c>
      <c r="I211" s="341" t="s">
        <v>325</v>
      </c>
      <c r="J211" s="361">
        <v>528893</v>
      </c>
      <c r="K211" s="368">
        <v>0.28000000000000003</v>
      </c>
      <c r="L211" s="346">
        <v>120253</v>
      </c>
      <c r="M211" s="428">
        <v>0.1</v>
      </c>
      <c r="N211" s="274">
        <f>L211*M211</f>
        <v>12025.300000000001</v>
      </c>
      <c r="O211" s="274">
        <f>L211-N211</f>
        <v>108227.7</v>
      </c>
      <c r="P211" s="197" t="s">
        <v>342</v>
      </c>
      <c r="Q211" s="393" t="e">
        <f>VLOOKUP(G:G,list!B:D,3,FALSE)</f>
        <v>#N/A</v>
      </c>
    </row>
    <row r="212" spans="2:17" ht="18" customHeight="1">
      <c r="B212" s="341">
        <v>208</v>
      </c>
      <c r="C212" s="341" t="e">
        <f>VLOOKUP(G:G,list!B:D,2,FALSE)</f>
        <v>#N/A</v>
      </c>
      <c r="D212" s="369" t="s">
        <v>214</v>
      </c>
      <c r="E212" s="362" t="s">
        <v>9</v>
      </c>
      <c r="F212" s="369" t="s">
        <v>297</v>
      </c>
      <c r="G212" s="341" t="s">
        <v>59</v>
      </c>
      <c r="H212" s="310">
        <v>44611</v>
      </c>
      <c r="I212" s="341" t="s">
        <v>325</v>
      </c>
      <c r="J212" s="361">
        <v>4060973</v>
      </c>
      <c r="K212" s="368">
        <v>0.28000000000000003</v>
      </c>
      <c r="L212" s="346">
        <v>937705</v>
      </c>
      <c r="M212" s="428">
        <v>0.1</v>
      </c>
      <c r="N212" s="274">
        <f>L212*M212</f>
        <v>93770.5</v>
      </c>
      <c r="O212" s="274">
        <f>L212-N212</f>
        <v>843934.5</v>
      </c>
      <c r="P212" s="393"/>
      <c r="Q212" s="393" t="e">
        <f>VLOOKUP(G:G,list!B:D,3,FALSE)</f>
        <v>#N/A</v>
      </c>
    </row>
    <row r="213" spans="2:17" ht="18" customHeight="1">
      <c r="B213" s="341">
        <v>209</v>
      </c>
      <c r="C213" s="341" t="e">
        <f>VLOOKUP(G:G,list!B:D,2,FALSE)</f>
        <v>#N/A</v>
      </c>
      <c r="D213" s="369" t="s">
        <v>214</v>
      </c>
      <c r="E213" s="362" t="s">
        <v>9</v>
      </c>
      <c r="F213" s="369" t="s">
        <v>297</v>
      </c>
      <c r="G213" s="341" t="s">
        <v>191</v>
      </c>
      <c r="H213" s="310">
        <v>44625</v>
      </c>
      <c r="I213" s="341" t="s">
        <v>325</v>
      </c>
      <c r="J213" s="361">
        <v>4700229</v>
      </c>
      <c r="K213" s="368">
        <v>0.28000000000000003</v>
      </c>
      <c r="L213" s="346">
        <v>1083104</v>
      </c>
      <c r="M213" s="428">
        <v>0.1</v>
      </c>
      <c r="N213" s="194">
        <f>L213*M213</f>
        <v>108310.40000000001</v>
      </c>
      <c r="O213" s="274">
        <f t="shared" ref="O213" si="36">L213-N213</f>
        <v>974793.6</v>
      </c>
      <c r="P213" s="347" t="s">
        <v>287</v>
      </c>
      <c r="Q213" s="393" t="e">
        <f>VLOOKUP(G:G,list!B:D,3,FALSE)</f>
        <v>#N/A</v>
      </c>
    </row>
    <row r="214" spans="2:17">
      <c r="B214" s="52"/>
      <c r="C214" s="430"/>
      <c r="D214" s="430"/>
      <c r="E214" s="431"/>
      <c r="F214" s="430"/>
      <c r="G214" s="432"/>
      <c r="H214" s="433"/>
      <c r="I214" s="434"/>
      <c r="J214" s="435"/>
      <c r="K214" s="436"/>
      <c r="L214" s="437"/>
      <c r="M214" s="438"/>
      <c r="N214" s="439"/>
      <c r="O214" s="440"/>
      <c r="P214" s="441"/>
      <c r="Q214" s="442"/>
    </row>
    <row r="215" spans="2:17" s="7" customFormat="1">
      <c r="B215" s="380" t="s">
        <v>299</v>
      </c>
      <c r="E215" s="186"/>
      <c r="H215"/>
      <c r="I215"/>
      <c r="J215"/>
      <c r="L215" s="335"/>
      <c r="M215" s="424"/>
      <c r="N215"/>
      <c r="O215" s="333"/>
      <c r="P215" s="18"/>
      <c r="Q215" s="184"/>
    </row>
    <row r="216" spans="2:17" s="7" customFormat="1">
      <c r="B216" s="380" t="s">
        <v>302</v>
      </c>
      <c r="E216" s="186"/>
      <c r="H216"/>
      <c r="I216"/>
      <c r="L216" s="335"/>
      <c r="M216" s="424"/>
      <c r="N216"/>
      <c r="O216" s="333"/>
      <c r="P216" s="18"/>
      <c r="Q216" s="184"/>
    </row>
    <row r="217" spans="2:17" s="7" customFormat="1">
      <c r="B217" s="379" t="s">
        <v>303</v>
      </c>
      <c r="E217" s="186"/>
      <c r="H217"/>
      <c r="I217"/>
      <c r="L217" s="335"/>
      <c r="M217" s="424"/>
      <c r="N217"/>
      <c r="O217" s="333"/>
      <c r="P217" s="18"/>
      <c r="Q217" s="184"/>
    </row>
    <row r="218" spans="2:17">
      <c r="B218" s="380" t="s">
        <v>340</v>
      </c>
      <c r="J218" s="7"/>
    </row>
    <row r="219" spans="2:17">
      <c r="J219" s="7"/>
    </row>
    <row r="220" spans="2:17">
      <c r="J220" s="7"/>
    </row>
    <row r="221" spans="2:17">
      <c r="J221" s="7"/>
    </row>
    <row r="222" spans="2:17">
      <c r="J222" s="7"/>
    </row>
    <row r="223" spans="2:17">
      <c r="J223" s="7"/>
    </row>
    <row r="224" spans="2:17">
      <c r="J224" s="7"/>
    </row>
    <row r="225" spans="5:17">
      <c r="J225" s="7"/>
    </row>
    <row r="226" spans="5:17">
      <c r="J226" s="7"/>
    </row>
    <row r="227" spans="5:17">
      <c r="J227" s="7"/>
    </row>
    <row r="228" spans="5:17">
      <c r="J228" s="7"/>
    </row>
    <row r="229" spans="5:17">
      <c r="J229" s="7"/>
    </row>
    <row r="230" spans="5:17" s="7" customFormat="1">
      <c r="E230" s="186"/>
      <c r="H230"/>
      <c r="I230"/>
      <c r="L230" s="335"/>
      <c r="M230" s="424"/>
      <c r="N230"/>
      <c r="O230" s="333"/>
      <c r="P230" s="18"/>
      <c r="Q230" s="184"/>
    </row>
    <row r="231" spans="5:17" s="7" customFormat="1">
      <c r="E231" s="186"/>
      <c r="H231"/>
      <c r="I231"/>
      <c r="L231" s="335"/>
      <c r="M231" s="424"/>
      <c r="N231"/>
      <c r="O231" s="333"/>
      <c r="P231" s="18"/>
      <c r="Q231" s="184"/>
    </row>
    <row r="232" spans="5:17" s="7" customFormat="1">
      <c r="E232" s="186"/>
      <c r="H232"/>
      <c r="I232"/>
      <c r="L232" s="335"/>
      <c r="M232" s="424"/>
      <c r="N232"/>
      <c r="O232" s="333"/>
      <c r="P232" s="18"/>
      <c r="Q232" s="184"/>
    </row>
    <row r="233" spans="5:17" s="7" customFormat="1">
      <c r="E233" s="186"/>
      <c r="H233"/>
      <c r="I233"/>
      <c r="L233" s="335"/>
      <c r="M233" s="424"/>
      <c r="N233"/>
      <c r="O233" s="333"/>
      <c r="P233" s="18"/>
      <c r="Q233" s="184"/>
    </row>
    <row r="234" spans="5:17" s="7" customFormat="1">
      <c r="E234" s="186"/>
      <c r="H234"/>
      <c r="I234"/>
      <c r="L234" s="335"/>
      <c r="M234" s="424"/>
      <c r="N234"/>
      <c r="O234" s="333"/>
      <c r="P234" s="18"/>
      <c r="Q234" s="184"/>
    </row>
    <row r="235" spans="5:17" s="7" customFormat="1">
      <c r="E235" s="186"/>
      <c r="H235"/>
      <c r="I235"/>
      <c r="L235" s="335"/>
      <c r="M235" s="424"/>
      <c r="N235"/>
      <c r="O235" s="333"/>
      <c r="P235" s="18"/>
      <c r="Q235" s="184"/>
    </row>
    <row r="236" spans="5:17" s="7" customFormat="1">
      <c r="E236" s="186"/>
      <c r="H236"/>
      <c r="I236"/>
      <c r="L236" s="335"/>
      <c r="M236" s="424"/>
      <c r="N236"/>
      <c r="O236" s="333"/>
      <c r="P236" s="18"/>
      <c r="Q236" s="184"/>
    </row>
    <row r="237" spans="5:17" s="7" customFormat="1">
      <c r="E237" s="186"/>
      <c r="H237"/>
      <c r="I237"/>
      <c r="L237" s="335"/>
      <c r="M237" s="424"/>
      <c r="N237"/>
      <c r="O237" s="333"/>
      <c r="P237" s="18"/>
      <c r="Q237" s="184"/>
    </row>
    <row r="238" spans="5:17" s="7" customFormat="1">
      <c r="E238" s="186"/>
      <c r="H238"/>
      <c r="I238"/>
      <c r="L238" s="335"/>
      <c r="M238" s="424"/>
      <c r="N238"/>
      <c r="O238" s="333"/>
      <c r="P238" s="18"/>
      <c r="Q238" s="184"/>
    </row>
    <row r="239" spans="5:17" s="7" customFormat="1">
      <c r="E239" s="186"/>
      <c r="H239"/>
      <c r="I239"/>
      <c r="L239" s="335"/>
      <c r="M239" s="424"/>
      <c r="N239"/>
      <c r="O239" s="333"/>
      <c r="P239" s="18"/>
      <c r="Q239" s="184"/>
    </row>
    <row r="240" spans="5:17" s="7" customFormat="1">
      <c r="E240" s="186"/>
      <c r="H240"/>
      <c r="I240"/>
      <c r="L240" s="335"/>
      <c r="M240" s="424"/>
      <c r="N240"/>
      <c r="O240" s="333"/>
      <c r="P240" s="18"/>
      <c r="Q240" s="184"/>
    </row>
    <row r="241" spans="5:17" s="7" customFormat="1">
      <c r="E241" s="186"/>
      <c r="H241"/>
      <c r="I241"/>
      <c r="L241" s="335"/>
      <c r="M241" s="424"/>
      <c r="N241"/>
      <c r="O241" s="333"/>
      <c r="P241" s="18"/>
      <c r="Q241" s="184"/>
    </row>
    <row r="242" spans="5:17" s="7" customFormat="1">
      <c r="E242" s="186"/>
      <c r="H242"/>
      <c r="I242"/>
      <c r="L242" s="335"/>
      <c r="M242" s="424"/>
      <c r="N242"/>
      <c r="O242" s="333"/>
      <c r="P242" s="18"/>
      <c r="Q242" s="184"/>
    </row>
    <row r="243" spans="5:17" s="7" customFormat="1">
      <c r="E243" s="186"/>
      <c r="H243"/>
      <c r="I243"/>
      <c r="L243" s="335"/>
      <c r="M243" s="424"/>
      <c r="N243"/>
      <c r="O243" s="333"/>
      <c r="P243" s="18"/>
      <c r="Q243" s="184"/>
    </row>
    <row r="244" spans="5:17" s="7" customFormat="1">
      <c r="E244" s="186"/>
      <c r="H244"/>
      <c r="I244"/>
      <c r="L244" s="335"/>
      <c r="M244" s="424"/>
      <c r="N244"/>
      <c r="O244" s="333"/>
      <c r="P244" s="18"/>
      <c r="Q244" s="184"/>
    </row>
  </sheetData>
  <autoFilter ref="B4:Q213" xr:uid="{24D42A8E-2636-4EEA-8FCC-EB436B307D28}"/>
  <mergeCells count="1">
    <mergeCell ref="P2:Q2"/>
  </mergeCells>
  <phoneticPr fontId="1" type="noConversion"/>
  <pageMargins left="0.7" right="0.7" top="0.75" bottom="0.75" header="0.3" footer="0.3"/>
  <pageSetup paperSize="9" orientation="portrait" r:id="rId1"/>
  <ignoredErrors>
    <ignoredError sqref="N194 N31 N60 N35 N61 N85 N40 N51:N52 N78 N82:N83 N113 N65 N37 N106:N108 N28 N67 N71:N73 N186 N87:N91 N110 N154 N48 N56 N75 N63" formula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2A8E-2636-4EEA-8FCC-EB436B307D28}">
  <dimension ref="B1:P191"/>
  <sheetViews>
    <sheetView showGridLines="0" zoomScaleNormal="100" workbookViewId="0">
      <pane xSplit="7" ySplit="4" topLeftCell="H5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7.69921875" style="7" customWidth="1"/>
    <col min="4" max="4" width="9.69921875" style="7" customWidth="1"/>
    <col min="5" max="5" width="10.19921875" style="186" bestFit="1" customWidth="1"/>
    <col min="6" max="6" width="16.8984375" style="7" customWidth="1"/>
    <col min="7" max="7" width="28" style="7" customWidth="1"/>
    <col min="8" max="8" width="14.59765625" customWidth="1"/>
    <col min="9" max="9" width="13.59765625" customWidth="1"/>
    <col min="10" max="10" width="11.59765625" customWidth="1"/>
    <col min="11" max="11" width="11.19921875" style="7" customWidth="1"/>
    <col min="12" max="12" width="13.59765625" style="335" customWidth="1"/>
    <col min="13" max="13" width="13.59765625" customWidth="1"/>
    <col min="14" max="14" width="13.59765625" style="333" customWidth="1"/>
    <col min="15" max="15" width="37.59765625" style="18" customWidth="1"/>
    <col min="16" max="16" width="43" style="184" customWidth="1"/>
  </cols>
  <sheetData>
    <row r="1" spans="2:16" ht="16.5" customHeight="1"/>
    <row r="2" spans="2:16" ht="30" customHeight="1" thickBot="1">
      <c r="B2" s="4" t="s">
        <v>311</v>
      </c>
      <c r="C2" s="4"/>
      <c r="D2" s="4"/>
      <c r="E2" s="187"/>
      <c r="F2" s="4"/>
      <c r="J2" s="200" t="s">
        <v>88</v>
      </c>
      <c r="K2" s="410"/>
      <c r="L2" s="336" t="s">
        <v>196</v>
      </c>
      <c r="O2" s="685" t="s">
        <v>262</v>
      </c>
      <c r="P2" s="686"/>
    </row>
    <row r="3" spans="2:16" s="6" customFormat="1" ht="18.600000000000001" thickTop="1" thickBot="1">
      <c r="B3" s="8"/>
      <c r="C3" s="8"/>
      <c r="D3" s="8"/>
      <c r="E3" s="188"/>
      <c r="F3" s="8"/>
      <c r="G3" s="8"/>
      <c r="K3" s="8"/>
      <c r="L3" s="337">
        <f>SUBTOTAL(109,L5:L1048576)</f>
        <v>549683027.39999998</v>
      </c>
      <c r="M3" s="340">
        <f>SUBTOTAL(109,M5:M1048576)</f>
        <v>51272321.940000013</v>
      </c>
      <c r="N3" s="309">
        <f>SUBTOTAL(109,N5:N1048576)</f>
        <v>498410705.4600001</v>
      </c>
      <c r="O3" s="19"/>
      <c r="P3" s="185"/>
    </row>
    <row r="4" spans="2:16" s="9" customFormat="1" ht="24" customHeight="1">
      <c r="B4" s="275" t="s">
        <v>7</v>
      </c>
      <c r="C4" s="276" t="s">
        <v>237</v>
      </c>
      <c r="D4" s="277" t="s">
        <v>76</v>
      </c>
      <c r="E4" s="278" t="s">
        <v>3</v>
      </c>
      <c r="F4" s="277" t="s">
        <v>0</v>
      </c>
      <c r="G4" s="279" t="s">
        <v>4</v>
      </c>
      <c r="H4" s="278" t="s">
        <v>5</v>
      </c>
      <c r="I4" s="278" t="s">
        <v>6</v>
      </c>
      <c r="J4" s="278" t="s">
        <v>2</v>
      </c>
      <c r="K4" s="280" t="s">
        <v>1</v>
      </c>
      <c r="L4" s="338" t="s">
        <v>88</v>
      </c>
      <c r="M4" s="281" t="s">
        <v>232</v>
      </c>
      <c r="N4" s="334" t="s">
        <v>233</v>
      </c>
      <c r="O4" s="281" t="s">
        <v>82</v>
      </c>
      <c r="P4" s="281" t="s">
        <v>274</v>
      </c>
    </row>
    <row r="5" spans="2:16" ht="18" customHeight="1">
      <c r="B5" s="341">
        <v>1</v>
      </c>
      <c r="C5" s="341" t="s">
        <v>238</v>
      </c>
      <c r="D5" s="341" t="s">
        <v>78</v>
      </c>
      <c r="E5" s="342" t="s">
        <v>115</v>
      </c>
      <c r="F5" s="341" t="s">
        <v>268</v>
      </c>
      <c r="G5" s="342" t="s">
        <v>39</v>
      </c>
      <c r="H5" s="343">
        <v>44553</v>
      </c>
      <c r="I5" s="341" t="s">
        <v>312</v>
      </c>
      <c r="J5" s="344">
        <v>27900</v>
      </c>
      <c r="K5" s="345" t="s">
        <v>271</v>
      </c>
      <c r="L5" s="346">
        <v>18430</v>
      </c>
      <c r="M5" s="274">
        <f>L5*10%</f>
        <v>1843</v>
      </c>
      <c r="N5" s="274">
        <f t="shared" ref="N5:N33" si="0">L5-M5</f>
        <v>16587</v>
      </c>
      <c r="O5" s="370"/>
      <c r="P5" s="393" t="e">
        <f>VLOOKUP(G:G,list!B:D,2,FALSE)</f>
        <v>#N/A</v>
      </c>
    </row>
    <row r="6" spans="2:16" ht="18" customHeight="1">
      <c r="B6" s="341">
        <v>2</v>
      </c>
      <c r="C6" s="341" t="s">
        <v>238</v>
      </c>
      <c r="D6" s="341" t="s">
        <v>78</v>
      </c>
      <c r="E6" s="342" t="s">
        <v>115</v>
      </c>
      <c r="F6" s="341" t="s">
        <v>268</v>
      </c>
      <c r="G6" s="342" t="s">
        <v>40</v>
      </c>
      <c r="H6" s="343">
        <v>44554</v>
      </c>
      <c r="I6" s="341" t="s">
        <v>312</v>
      </c>
      <c r="J6" s="344">
        <v>5300</v>
      </c>
      <c r="K6" s="345" t="s">
        <v>271</v>
      </c>
      <c r="L6" s="346">
        <v>3710</v>
      </c>
      <c r="M6" s="194">
        <f>L6*10%</f>
        <v>371</v>
      </c>
      <c r="N6" s="274">
        <f t="shared" si="0"/>
        <v>3339</v>
      </c>
      <c r="O6" s="370"/>
      <c r="P6" s="393" t="e">
        <f>VLOOKUP(G:G,list!B:D,2,FALSE)</f>
        <v>#N/A</v>
      </c>
    </row>
    <row r="7" spans="2:16" ht="18" customHeight="1">
      <c r="B7" s="341">
        <v>3</v>
      </c>
      <c r="C7" s="341" t="s">
        <v>238</v>
      </c>
      <c r="D7" s="341" t="s">
        <v>78</v>
      </c>
      <c r="E7" s="342" t="s">
        <v>115</v>
      </c>
      <c r="F7" s="341" t="s">
        <v>268</v>
      </c>
      <c r="G7" s="342" t="s">
        <v>38</v>
      </c>
      <c r="H7" s="343">
        <v>44554</v>
      </c>
      <c r="I7" s="341" t="s">
        <v>312</v>
      </c>
      <c r="J7" s="344">
        <v>1000</v>
      </c>
      <c r="K7" s="345" t="s">
        <v>271</v>
      </c>
      <c r="L7" s="346">
        <v>700</v>
      </c>
      <c r="M7" s="194">
        <f>L7*10%</f>
        <v>70</v>
      </c>
      <c r="N7" s="274">
        <f t="shared" si="0"/>
        <v>630</v>
      </c>
      <c r="O7" s="370"/>
      <c r="P7" s="393" t="e">
        <f>VLOOKUP(G:G,list!B:D,2,FALSE)</f>
        <v>#N/A</v>
      </c>
    </row>
    <row r="8" spans="2:16" ht="18" customHeight="1">
      <c r="B8" s="341">
        <v>4</v>
      </c>
      <c r="C8" s="341" t="s">
        <v>310</v>
      </c>
      <c r="D8" s="341" t="s">
        <v>78</v>
      </c>
      <c r="E8" s="342" t="s">
        <v>115</v>
      </c>
      <c r="F8" s="341" t="s">
        <v>268</v>
      </c>
      <c r="G8" s="342" t="s">
        <v>202</v>
      </c>
      <c r="H8" s="343">
        <v>44609</v>
      </c>
      <c r="I8" s="341" t="s">
        <v>312</v>
      </c>
      <c r="J8" s="344">
        <v>62400</v>
      </c>
      <c r="K8" s="345" t="s">
        <v>271</v>
      </c>
      <c r="L8" s="346">
        <v>41280</v>
      </c>
      <c r="M8" s="194">
        <v>0</v>
      </c>
      <c r="N8" s="274">
        <f t="shared" si="0"/>
        <v>41280</v>
      </c>
      <c r="O8" s="392"/>
      <c r="P8" s="393" t="e">
        <f>VLOOKUP(G:G,list!B:D,2,FALSE)</f>
        <v>#N/A</v>
      </c>
    </row>
    <row r="9" spans="2:16" ht="18" customHeight="1">
      <c r="B9" s="341">
        <v>5</v>
      </c>
      <c r="C9" s="341" t="s">
        <v>310</v>
      </c>
      <c r="D9" s="341" t="s">
        <v>78</v>
      </c>
      <c r="E9" s="342" t="s">
        <v>9</v>
      </c>
      <c r="F9" s="341" t="s">
        <v>242</v>
      </c>
      <c r="G9" s="342" t="s">
        <v>11</v>
      </c>
      <c r="H9" s="343">
        <v>44308</v>
      </c>
      <c r="I9" s="341" t="s">
        <v>312</v>
      </c>
      <c r="J9" s="344">
        <v>5478746</v>
      </c>
      <c r="K9" s="345">
        <v>0.6</v>
      </c>
      <c r="L9" s="346">
        <v>3287248</v>
      </c>
      <c r="M9" s="274">
        <v>0</v>
      </c>
      <c r="N9" s="274">
        <f t="shared" si="0"/>
        <v>3287248</v>
      </c>
      <c r="O9" s="347"/>
      <c r="P9" s="393" t="e">
        <f>VLOOKUP(G:G,list!B:D,2,FALSE)</f>
        <v>#N/A</v>
      </c>
    </row>
    <row r="10" spans="2:16" ht="18" customHeight="1">
      <c r="B10" s="341">
        <v>6</v>
      </c>
      <c r="C10" s="341" t="s">
        <v>238</v>
      </c>
      <c r="D10" s="341" t="s">
        <v>78</v>
      </c>
      <c r="E10" s="342" t="s">
        <v>9</v>
      </c>
      <c r="F10" s="341" t="s">
        <v>242</v>
      </c>
      <c r="G10" s="342" t="s">
        <v>10</v>
      </c>
      <c r="H10" s="343">
        <v>44309</v>
      </c>
      <c r="I10" s="341" t="s">
        <v>312</v>
      </c>
      <c r="J10" s="344">
        <v>118607405</v>
      </c>
      <c r="K10" s="345">
        <v>0.6</v>
      </c>
      <c r="L10" s="346">
        <v>71164443</v>
      </c>
      <c r="M10" s="274">
        <f>L10*10%</f>
        <v>7116444.3000000007</v>
      </c>
      <c r="N10" s="274">
        <f t="shared" si="0"/>
        <v>64047998.700000003</v>
      </c>
      <c r="O10" s="191"/>
      <c r="P10" s="393" t="e">
        <f>VLOOKUP(G:G,list!B:D,2,FALSE)</f>
        <v>#N/A</v>
      </c>
    </row>
    <row r="11" spans="2:16" ht="18" customHeight="1">
      <c r="B11" s="341">
        <v>7</v>
      </c>
      <c r="C11" s="341" t="s">
        <v>238</v>
      </c>
      <c r="D11" s="341" t="s">
        <v>78</v>
      </c>
      <c r="E11" s="342" t="s">
        <v>9</v>
      </c>
      <c r="F11" s="341" t="s">
        <v>242</v>
      </c>
      <c r="G11" s="342" t="s">
        <v>136</v>
      </c>
      <c r="H11" s="343">
        <v>44240</v>
      </c>
      <c r="I11" s="341" t="s">
        <v>312</v>
      </c>
      <c r="J11" s="348">
        <v>4274264</v>
      </c>
      <c r="K11" s="345">
        <v>0.6</v>
      </c>
      <c r="L11" s="346">
        <v>2564558</v>
      </c>
      <c r="M11" s="274">
        <f>L11*10%</f>
        <v>256455.80000000002</v>
      </c>
      <c r="N11" s="274">
        <f t="shared" si="0"/>
        <v>2308102.2000000002</v>
      </c>
      <c r="O11" s="193"/>
      <c r="P11" s="393" t="e">
        <f>VLOOKUP(G:G,list!B:D,2,FALSE)</f>
        <v>#N/A</v>
      </c>
    </row>
    <row r="12" spans="2:16" ht="18" customHeight="1">
      <c r="B12" s="341">
        <v>8</v>
      </c>
      <c r="C12" s="341" t="s">
        <v>238</v>
      </c>
      <c r="D12" s="341" t="s">
        <v>78</v>
      </c>
      <c r="E12" s="342" t="s">
        <v>9</v>
      </c>
      <c r="F12" s="341" t="s">
        <v>242</v>
      </c>
      <c r="G12" s="342" t="s">
        <v>17</v>
      </c>
      <c r="H12" s="343">
        <v>44391</v>
      </c>
      <c r="I12" s="341" t="s">
        <v>312</v>
      </c>
      <c r="J12" s="349">
        <v>39991291</v>
      </c>
      <c r="K12" s="350">
        <v>0.6</v>
      </c>
      <c r="L12" s="346">
        <v>23994775</v>
      </c>
      <c r="M12" s="194">
        <f>L12*12%</f>
        <v>2879373</v>
      </c>
      <c r="N12" s="274">
        <f t="shared" si="0"/>
        <v>21115402</v>
      </c>
      <c r="O12" s="191"/>
      <c r="P12" s="393" t="e">
        <f>VLOOKUP(G:G,list!B:D,2,FALSE)</f>
        <v>#N/A</v>
      </c>
    </row>
    <row r="13" spans="2:16" ht="18" customHeight="1">
      <c r="B13" s="341">
        <v>9</v>
      </c>
      <c r="C13" s="341" t="s">
        <v>310</v>
      </c>
      <c r="D13" s="341" t="s">
        <v>78</v>
      </c>
      <c r="E13" s="342" t="s">
        <v>9</v>
      </c>
      <c r="F13" s="341" t="s">
        <v>242</v>
      </c>
      <c r="G13" s="342" t="s">
        <v>306</v>
      </c>
      <c r="H13" s="343">
        <v>44603</v>
      </c>
      <c r="I13" s="341" t="s">
        <v>312</v>
      </c>
      <c r="J13" s="349">
        <v>7887244</v>
      </c>
      <c r="K13" s="350">
        <v>0.6</v>
      </c>
      <c r="L13" s="346">
        <v>4732346</v>
      </c>
      <c r="M13" s="194">
        <v>0</v>
      </c>
      <c r="N13" s="274">
        <f t="shared" si="0"/>
        <v>4732346</v>
      </c>
      <c r="O13" s="391"/>
      <c r="P13" s="393" t="e">
        <f>VLOOKUP(G:G,list!B:D,2,FALSE)</f>
        <v>#N/A</v>
      </c>
    </row>
    <row r="14" spans="2:16" ht="18" customHeight="1">
      <c r="B14" s="341">
        <v>10</v>
      </c>
      <c r="C14" s="341" t="s">
        <v>238</v>
      </c>
      <c r="D14" s="341" t="s">
        <v>78</v>
      </c>
      <c r="E14" s="342" t="s">
        <v>115</v>
      </c>
      <c r="F14" s="341" t="s">
        <v>242</v>
      </c>
      <c r="G14" s="342" t="s">
        <v>204</v>
      </c>
      <c r="H14" s="343">
        <v>44428</v>
      </c>
      <c r="I14" s="341" t="s">
        <v>312</v>
      </c>
      <c r="J14" s="351">
        <v>418009</v>
      </c>
      <c r="K14" s="352">
        <v>0.7</v>
      </c>
      <c r="L14" s="346">
        <v>292606</v>
      </c>
      <c r="M14" s="194">
        <f>L14*10%</f>
        <v>29260.600000000002</v>
      </c>
      <c r="N14" s="274">
        <f t="shared" si="0"/>
        <v>263345.40000000002</v>
      </c>
      <c r="O14" s="193"/>
      <c r="P14" s="393" t="e">
        <f>VLOOKUP(G:G,list!B:D,2,FALSE)</f>
        <v>#N/A</v>
      </c>
    </row>
    <row r="15" spans="2:16" ht="18" customHeight="1">
      <c r="B15" s="341">
        <v>11</v>
      </c>
      <c r="C15" s="341" t="s">
        <v>310</v>
      </c>
      <c r="D15" s="341" t="s">
        <v>78</v>
      </c>
      <c r="E15" s="342" t="s">
        <v>115</v>
      </c>
      <c r="F15" s="341" t="s">
        <v>242</v>
      </c>
      <c r="G15" s="342" t="s">
        <v>202</v>
      </c>
      <c r="H15" s="343">
        <v>44525</v>
      </c>
      <c r="I15" s="341" t="s">
        <v>312</v>
      </c>
      <c r="J15" s="348">
        <v>67608</v>
      </c>
      <c r="K15" s="345">
        <v>0.7</v>
      </c>
      <c r="L15" s="346">
        <v>47326</v>
      </c>
      <c r="M15" s="274">
        <v>0</v>
      </c>
      <c r="N15" s="274">
        <f t="shared" si="0"/>
        <v>47326</v>
      </c>
      <c r="O15" s="193"/>
      <c r="P15" s="393" t="e">
        <f>VLOOKUP(G:G,list!B:D,2,FALSE)</f>
        <v>#N/A</v>
      </c>
    </row>
    <row r="16" spans="2:16" ht="18" customHeight="1">
      <c r="B16" s="341">
        <v>12</v>
      </c>
      <c r="C16" s="341" t="s">
        <v>310</v>
      </c>
      <c r="D16" s="341" t="s">
        <v>78</v>
      </c>
      <c r="E16" s="342" t="s">
        <v>115</v>
      </c>
      <c r="F16" s="341" t="s">
        <v>245</v>
      </c>
      <c r="G16" s="342" t="s">
        <v>202</v>
      </c>
      <c r="H16" s="353">
        <v>44441</v>
      </c>
      <c r="I16" s="341" t="s">
        <v>312</v>
      </c>
      <c r="J16" s="348">
        <v>0</v>
      </c>
      <c r="K16" s="345" t="s">
        <v>203</v>
      </c>
      <c r="L16" s="346">
        <v>106800</v>
      </c>
      <c r="M16" s="274">
        <v>0</v>
      </c>
      <c r="N16" s="274">
        <f t="shared" si="0"/>
        <v>106800</v>
      </c>
      <c r="O16" s="193"/>
      <c r="P16" s="393" t="e">
        <f>VLOOKUP(G:G,list!B:D,2,FALSE)</f>
        <v>#N/A</v>
      </c>
    </row>
    <row r="17" spans="2:16" ht="18" customHeight="1">
      <c r="B17" s="341">
        <v>13</v>
      </c>
      <c r="C17" s="341" t="s">
        <v>310</v>
      </c>
      <c r="D17" s="341" t="s">
        <v>78</v>
      </c>
      <c r="E17" s="342" t="s">
        <v>9</v>
      </c>
      <c r="F17" s="341" t="s">
        <v>272</v>
      </c>
      <c r="G17" s="342" t="s">
        <v>273</v>
      </c>
      <c r="H17" s="353">
        <v>44513</v>
      </c>
      <c r="I17" s="354" t="s">
        <v>305</v>
      </c>
      <c r="J17" s="348">
        <v>281470</v>
      </c>
      <c r="K17" s="345">
        <v>0.5</v>
      </c>
      <c r="L17" s="346">
        <v>140735</v>
      </c>
      <c r="M17" s="274">
        <v>0</v>
      </c>
      <c r="N17" s="274">
        <f t="shared" si="0"/>
        <v>140735</v>
      </c>
      <c r="O17" s="355"/>
      <c r="P17" s="393" t="e">
        <f>VLOOKUP(G:G,list!B:D,2,FALSE)</f>
        <v>#N/A</v>
      </c>
    </row>
    <row r="18" spans="2:16" ht="18" customHeight="1">
      <c r="B18" s="341">
        <v>14</v>
      </c>
      <c r="C18" s="341" t="s">
        <v>310</v>
      </c>
      <c r="D18" s="341" t="s">
        <v>78</v>
      </c>
      <c r="E18" s="342" t="s">
        <v>115</v>
      </c>
      <c r="F18" s="341" t="s">
        <v>201</v>
      </c>
      <c r="G18" s="342" t="s">
        <v>202</v>
      </c>
      <c r="H18" s="343">
        <v>44300</v>
      </c>
      <c r="I18" s="341" t="s">
        <v>305</v>
      </c>
      <c r="J18" s="349">
        <v>745200</v>
      </c>
      <c r="K18" s="345">
        <v>0.7</v>
      </c>
      <c r="L18" s="346">
        <v>521640</v>
      </c>
      <c r="M18" s="274">
        <v>0</v>
      </c>
      <c r="N18" s="274">
        <f t="shared" si="0"/>
        <v>521640</v>
      </c>
      <c r="O18" s="193"/>
      <c r="P18" s="393" t="e">
        <f>VLOOKUP(G:G,list!B:D,2,FALSE)</f>
        <v>#N/A</v>
      </c>
    </row>
    <row r="19" spans="2:16" ht="18" customHeight="1">
      <c r="B19" s="341">
        <v>15</v>
      </c>
      <c r="C19" s="341" t="s">
        <v>238</v>
      </c>
      <c r="D19" s="341" t="s">
        <v>78</v>
      </c>
      <c r="E19" s="341" t="s">
        <v>198</v>
      </c>
      <c r="F19" s="341" t="s">
        <v>200</v>
      </c>
      <c r="G19" s="341" t="s">
        <v>151</v>
      </c>
      <c r="H19" s="343">
        <v>44469</v>
      </c>
      <c r="I19" s="341" t="s">
        <v>305</v>
      </c>
      <c r="J19" s="349">
        <v>988000</v>
      </c>
      <c r="K19" s="345">
        <v>0.1</v>
      </c>
      <c r="L19" s="346">
        <v>98800</v>
      </c>
      <c r="M19" s="274">
        <f>ROUND(L19*10%,0)</f>
        <v>9880</v>
      </c>
      <c r="N19" s="274">
        <f t="shared" si="0"/>
        <v>88920</v>
      </c>
      <c r="O19" s="193"/>
      <c r="P19" s="393" t="str">
        <f>VLOOKUP(G:G,list!B:D,2,FALSE)</f>
        <v>원작료</v>
      </c>
    </row>
    <row r="20" spans="2:16" ht="18" customHeight="1">
      <c r="B20" s="341">
        <v>16</v>
      </c>
      <c r="C20" s="341" t="s">
        <v>310</v>
      </c>
      <c r="D20" s="341" t="s">
        <v>78</v>
      </c>
      <c r="E20" s="342" t="s">
        <v>9</v>
      </c>
      <c r="F20" s="341" t="s">
        <v>246</v>
      </c>
      <c r="G20" s="342" t="s">
        <v>36</v>
      </c>
      <c r="H20" s="343">
        <v>43810</v>
      </c>
      <c r="I20" s="341" t="s">
        <v>312</v>
      </c>
      <c r="J20" s="349">
        <v>6828840</v>
      </c>
      <c r="K20" s="345" t="s">
        <v>165</v>
      </c>
      <c r="L20" s="346">
        <v>2761452</v>
      </c>
      <c r="M20" s="274">
        <v>0</v>
      </c>
      <c r="N20" s="274">
        <f t="shared" si="0"/>
        <v>2761452</v>
      </c>
      <c r="O20" s="193"/>
      <c r="P20" s="393" t="str">
        <f>VLOOKUP(G:G,list!B:D,2,FALSE)</f>
        <v>작가기획</v>
      </c>
    </row>
    <row r="21" spans="2:16" ht="18" customHeight="1">
      <c r="B21" s="341">
        <v>17</v>
      </c>
      <c r="C21" s="341" t="s">
        <v>310</v>
      </c>
      <c r="D21" s="341" t="s">
        <v>78</v>
      </c>
      <c r="E21" s="342" t="s">
        <v>9</v>
      </c>
      <c r="F21" s="341" t="s">
        <v>246</v>
      </c>
      <c r="G21" s="342" t="s">
        <v>139</v>
      </c>
      <c r="H21" s="343">
        <v>43852</v>
      </c>
      <c r="I21" s="341" t="s">
        <v>312</v>
      </c>
      <c r="J21" s="349">
        <v>133380</v>
      </c>
      <c r="K21" s="345" t="s">
        <v>165</v>
      </c>
      <c r="L21" s="346">
        <v>52407</v>
      </c>
      <c r="M21" s="274">
        <v>0</v>
      </c>
      <c r="N21" s="274">
        <f t="shared" si="0"/>
        <v>52407</v>
      </c>
      <c r="O21" s="193"/>
      <c r="P21" s="393" t="str">
        <f>VLOOKUP(G:G,list!B:D,2,FALSE)</f>
        <v>작가기획</v>
      </c>
    </row>
    <row r="22" spans="2:16" ht="18" customHeight="1">
      <c r="B22" s="341">
        <v>18</v>
      </c>
      <c r="C22" s="341" t="s">
        <v>310</v>
      </c>
      <c r="D22" s="341" t="s">
        <v>78</v>
      </c>
      <c r="E22" s="342" t="s">
        <v>115</v>
      </c>
      <c r="F22" s="341" t="s">
        <v>246</v>
      </c>
      <c r="G22" s="342" t="s">
        <v>19</v>
      </c>
      <c r="H22" s="343">
        <v>44328</v>
      </c>
      <c r="I22" s="341" t="s">
        <v>312</v>
      </c>
      <c r="J22" s="349">
        <v>274860</v>
      </c>
      <c r="K22" s="345" t="s">
        <v>120</v>
      </c>
      <c r="L22" s="346">
        <v>129740.4</v>
      </c>
      <c r="M22" s="274">
        <v>0</v>
      </c>
      <c r="N22" s="274">
        <f t="shared" si="0"/>
        <v>129740.4</v>
      </c>
      <c r="O22" s="191"/>
      <c r="P22" s="393" t="e">
        <f>VLOOKUP(G:G,list!B:D,2,FALSE)</f>
        <v>#N/A</v>
      </c>
    </row>
    <row r="23" spans="2:16" ht="18" customHeight="1">
      <c r="B23" s="341">
        <v>19</v>
      </c>
      <c r="C23" s="341" t="s">
        <v>310</v>
      </c>
      <c r="D23" s="341" t="s">
        <v>78</v>
      </c>
      <c r="E23" s="342" t="s">
        <v>115</v>
      </c>
      <c r="F23" s="341" t="s">
        <v>197</v>
      </c>
      <c r="G23" s="342" t="s">
        <v>202</v>
      </c>
      <c r="H23" s="356">
        <v>44328</v>
      </c>
      <c r="I23" s="341" t="s">
        <v>312</v>
      </c>
      <c r="J23" s="357">
        <v>3000</v>
      </c>
      <c r="K23" s="345">
        <v>0.7</v>
      </c>
      <c r="L23" s="346">
        <v>2100</v>
      </c>
      <c r="M23" s="274">
        <v>0</v>
      </c>
      <c r="N23" s="274">
        <f t="shared" si="0"/>
        <v>2100</v>
      </c>
      <c r="O23" s="347"/>
      <c r="P23" s="393" t="e">
        <f>VLOOKUP(G:G,list!B:D,2,FALSE)</f>
        <v>#N/A</v>
      </c>
    </row>
    <row r="24" spans="2:16" ht="18" customHeight="1">
      <c r="B24" s="341">
        <v>20</v>
      </c>
      <c r="C24" s="341" t="s">
        <v>238</v>
      </c>
      <c r="D24" s="341" t="s">
        <v>78</v>
      </c>
      <c r="E24" s="342" t="s">
        <v>115</v>
      </c>
      <c r="F24" s="341" t="s">
        <v>309</v>
      </c>
      <c r="G24" s="342" t="s">
        <v>39</v>
      </c>
      <c r="H24" s="356">
        <v>44602</v>
      </c>
      <c r="I24" s="341" t="s">
        <v>312</v>
      </c>
      <c r="J24" s="357">
        <v>17500</v>
      </c>
      <c r="K24" s="345">
        <v>0.7</v>
      </c>
      <c r="L24" s="346">
        <v>12250</v>
      </c>
      <c r="M24" s="274">
        <f>L24*10%</f>
        <v>1225</v>
      </c>
      <c r="N24" s="274">
        <f t="shared" si="0"/>
        <v>11025</v>
      </c>
      <c r="O24" s="347"/>
      <c r="P24" s="393" t="e">
        <f>VLOOKUP(G:G,list!B:D,2,FALSE)</f>
        <v>#N/A</v>
      </c>
    </row>
    <row r="25" spans="2:16" ht="18" customHeight="1">
      <c r="B25" s="341">
        <v>21</v>
      </c>
      <c r="C25" s="341" t="s">
        <v>238</v>
      </c>
      <c r="D25" s="341" t="s">
        <v>78</v>
      </c>
      <c r="E25" s="342" t="s">
        <v>115</v>
      </c>
      <c r="F25" s="341" t="s">
        <v>309</v>
      </c>
      <c r="G25" s="342" t="s">
        <v>40</v>
      </c>
      <c r="H25" s="356">
        <v>44603</v>
      </c>
      <c r="I25" s="341" t="s">
        <v>312</v>
      </c>
      <c r="J25" s="357">
        <v>7600.0000000000009</v>
      </c>
      <c r="K25" s="345">
        <v>0.7</v>
      </c>
      <c r="L25" s="346">
        <v>5320</v>
      </c>
      <c r="M25" s="194">
        <f>L25*10%</f>
        <v>532</v>
      </c>
      <c r="N25" s="274">
        <f t="shared" si="0"/>
        <v>4788</v>
      </c>
      <c r="O25" s="347"/>
      <c r="P25" s="393" t="e">
        <f>VLOOKUP(G:G,list!B:D,2,FALSE)</f>
        <v>#N/A</v>
      </c>
    </row>
    <row r="26" spans="2:16" ht="18" customHeight="1">
      <c r="B26" s="341">
        <v>22</v>
      </c>
      <c r="C26" s="341" t="s">
        <v>238</v>
      </c>
      <c r="D26" s="341" t="s">
        <v>78</v>
      </c>
      <c r="E26" s="342" t="s">
        <v>115</v>
      </c>
      <c r="F26" s="341" t="s">
        <v>309</v>
      </c>
      <c r="G26" s="342" t="s">
        <v>38</v>
      </c>
      <c r="H26" s="356">
        <v>44603</v>
      </c>
      <c r="I26" s="341" t="s">
        <v>312</v>
      </c>
      <c r="J26" s="357">
        <v>8200</v>
      </c>
      <c r="K26" s="345">
        <v>0.7</v>
      </c>
      <c r="L26" s="346">
        <v>5740</v>
      </c>
      <c r="M26" s="194">
        <f>L26*10%</f>
        <v>574</v>
      </c>
      <c r="N26" s="274">
        <f t="shared" si="0"/>
        <v>5166</v>
      </c>
      <c r="O26" s="347" t="s">
        <v>287</v>
      </c>
      <c r="P26" s="393" t="e">
        <f>VLOOKUP(G:G,list!B:D,2,FALSE)</f>
        <v>#N/A</v>
      </c>
    </row>
    <row r="27" spans="2:16" ht="18" customHeight="1">
      <c r="B27" s="341">
        <v>23</v>
      </c>
      <c r="C27" s="341" t="s">
        <v>238</v>
      </c>
      <c r="D27" s="341" t="s">
        <v>78</v>
      </c>
      <c r="E27" s="358" t="s">
        <v>9</v>
      </c>
      <c r="F27" s="341" t="s">
        <v>209</v>
      </c>
      <c r="G27" s="358" t="s">
        <v>28</v>
      </c>
      <c r="H27" s="359">
        <v>44409</v>
      </c>
      <c r="I27" s="341" t="s">
        <v>312</v>
      </c>
      <c r="J27" s="357">
        <v>2298228</v>
      </c>
      <c r="K27" s="345">
        <v>0.55000030549787249</v>
      </c>
      <c r="L27" s="346">
        <v>1264025</v>
      </c>
      <c r="M27" s="194">
        <f>L27*12%</f>
        <v>151683</v>
      </c>
      <c r="N27" s="274">
        <f t="shared" si="0"/>
        <v>1112342</v>
      </c>
      <c r="O27" s="191"/>
      <c r="P27" s="393" t="e">
        <f>VLOOKUP(G:G,list!B:D,2,FALSE)</f>
        <v>#N/A</v>
      </c>
    </row>
    <row r="28" spans="2:16" ht="18" customHeight="1">
      <c r="B28" s="341">
        <v>24</v>
      </c>
      <c r="C28" s="341" t="s">
        <v>318</v>
      </c>
      <c r="D28" s="341" t="s">
        <v>78</v>
      </c>
      <c r="E28" s="358" t="s">
        <v>9</v>
      </c>
      <c r="F28" s="341" t="s">
        <v>209</v>
      </c>
      <c r="G28" s="358" t="s">
        <v>42</v>
      </c>
      <c r="H28" s="359">
        <v>44409</v>
      </c>
      <c r="I28" s="341" t="s">
        <v>312</v>
      </c>
      <c r="J28" s="357">
        <v>10924161</v>
      </c>
      <c r="K28" s="345">
        <v>0.55000005938954677</v>
      </c>
      <c r="L28" s="346">
        <v>6008289</v>
      </c>
      <c r="M28" s="194">
        <f>L28*10%</f>
        <v>600828.9</v>
      </c>
      <c r="N28" s="274">
        <f t="shared" si="0"/>
        <v>5407460.0999999996</v>
      </c>
      <c r="O28" s="195" t="s">
        <v>144</v>
      </c>
      <c r="P28" s="393" t="e">
        <f>VLOOKUP(G:G,list!B:D,2,FALSE)</f>
        <v>#N/A</v>
      </c>
    </row>
    <row r="29" spans="2:16" ht="18" customHeight="1">
      <c r="B29" s="341">
        <v>25</v>
      </c>
      <c r="C29" s="341" t="s">
        <v>238</v>
      </c>
      <c r="D29" s="341" t="s">
        <v>78</v>
      </c>
      <c r="E29" s="358" t="s">
        <v>9</v>
      </c>
      <c r="F29" s="341" t="s">
        <v>209</v>
      </c>
      <c r="G29" s="358" t="s">
        <v>54</v>
      </c>
      <c r="H29" s="359">
        <v>44409</v>
      </c>
      <c r="I29" s="341" t="s">
        <v>312</v>
      </c>
      <c r="J29" s="357">
        <v>220494</v>
      </c>
      <c r="K29" s="345">
        <v>0.55000086238120693</v>
      </c>
      <c r="L29" s="346">
        <v>121272</v>
      </c>
      <c r="M29" s="274">
        <f>L29*10%</f>
        <v>12127.2</v>
      </c>
      <c r="N29" s="274">
        <f t="shared" si="0"/>
        <v>109144.8</v>
      </c>
      <c r="O29" s="191"/>
      <c r="P29" s="393" t="e">
        <f>VLOOKUP(G:G,list!B:D,2,FALSE)</f>
        <v>#N/A</v>
      </c>
    </row>
    <row r="30" spans="2:16" ht="18" customHeight="1">
      <c r="B30" s="341">
        <v>26</v>
      </c>
      <c r="C30" s="341" t="s">
        <v>238</v>
      </c>
      <c r="D30" s="341" t="s">
        <v>78</v>
      </c>
      <c r="E30" s="358" t="s">
        <v>9</v>
      </c>
      <c r="F30" s="341" t="s">
        <v>209</v>
      </c>
      <c r="G30" s="358" t="s">
        <v>46</v>
      </c>
      <c r="H30" s="359">
        <v>44409</v>
      </c>
      <c r="I30" s="341" t="s">
        <v>312</v>
      </c>
      <c r="J30" s="357">
        <v>655569</v>
      </c>
      <c r="K30" s="345">
        <v>0.55000030235412922</v>
      </c>
      <c r="L30" s="346">
        <v>360563</v>
      </c>
      <c r="M30" s="194">
        <f>L30*10%</f>
        <v>36056.300000000003</v>
      </c>
      <c r="N30" s="274">
        <f t="shared" si="0"/>
        <v>324506.7</v>
      </c>
      <c r="O30" s="347"/>
      <c r="P30" s="393" t="e">
        <f>VLOOKUP(G:G,list!B:D,2,FALSE)</f>
        <v>#N/A</v>
      </c>
    </row>
    <row r="31" spans="2:16" ht="18" customHeight="1">
      <c r="B31" s="341">
        <v>27</v>
      </c>
      <c r="C31" s="341" t="s">
        <v>238</v>
      </c>
      <c r="D31" s="341" t="s">
        <v>78</v>
      </c>
      <c r="E31" s="358" t="s">
        <v>9</v>
      </c>
      <c r="F31" s="341" t="s">
        <v>209</v>
      </c>
      <c r="G31" s="358" t="s">
        <v>30</v>
      </c>
      <c r="H31" s="359">
        <v>44409</v>
      </c>
      <c r="I31" s="341" t="s">
        <v>312</v>
      </c>
      <c r="J31" s="357">
        <v>1583795</v>
      </c>
      <c r="K31" s="345">
        <v>0.55000024483664012</v>
      </c>
      <c r="L31" s="346">
        <v>871088</v>
      </c>
      <c r="M31" s="274">
        <f>L31*10%</f>
        <v>87108.800000000003</v>
      </c>
      <c r="N31" s="274">
        <f t="shared" si="0"/>
        <v>783979.2</v>
      </c>
      <c r="O31" s="191"/>
      <c r="P31" s="393" t="str">
        <f>VLOOKUP(G:G,list!B:D,2,FALSE)</f>
        <v>원작료</v>
      </c>
    </row>
    <row r="32" spans="2:16" ht="18" customHeight="1">
      <c r="B32" s="341">
        <v>28</v>
      </c>
      <c r="C32" s="341" t="s">
        <v>318</v>
      </c>
      <c r="D32" s="341" t="s">
        <v>78</v>
      </c>
      <c r="E32" s="358" t="s">
        <v>9</v>
      </c>
      <c r="F32" s="341" t="s">
        <v>209</v>
      </c>
      <c r="G32" s="358" t="s">
        <v>53</v>
      </c>
      <c r="H32" s="359">
        <v>44409</v>
      </c>
      <c r="I32" s="341" t="s">
        <v>312</v>
      </c>
      <c r="J32" s="357">
        <v>1767986</v>
      </c>
      <c r="K32" s="345">
        <v>0.55000033990713737</v>
      </c>
      <c r="L32" s="346">
        <v>972392</v>
      </c>
      <c r="M32" s="274">
        <v>0</v>
      </c>
      <c r="N32" s="274">
        <f t="shared" si="0"/>
        <v>972392</v>
      </c>
      <c r="O32" s="347"/>
      <c r="P32" s="393" t="e">
        <f>VLOOKUP(G:G,list!B:D,2,FALSE)</f>
        <v>#N/A</v>
      </c>
    </row>
    <row r="33" spans="2:16" ht="18" customHeight="1">
      <c r="B33" s="341">
        <v>29</v>
      </c>
      <c r="C33" s="341" t="s">
        <v>238</v>
      </c>
      <c r="D33" s="341" t="s">
        <v>78</v>
      </c>
      <c r="E33" s="358" t="s">
        <v>9</v>
      </c>
      <c r="F33" s="341" t="s">
        <v>209</v>
      </c>
      <c r="G33" s="358" t="s">
        <v>43</v>
      </c>
      <c r="H33" s="359">
        <v>44465</v>
      </c>
      <c r="I33" s="341" t="s">
        <v>312</v>
      </c>
      <c r="J33" s="357">
        <v>11086484</v>
      </c>
      <c r="K33" s="345">
        <v>0.5500000916758343</v>
      </c>
      <c r="L33" s="346">
        <v>6097566</v>
      </c>
      <c r="M33" s="194">
        <f>L33*10%</f>
        <v>609756.6</v>
      </c>
      <c r="N33" s="274">
        <f t="shared" si="0"/>
        <v>5487809.4000000004</v>
      </c>
      <c r="O33" s="191"/>
      <c r="P33" s="393" t="e">
        <f>VLOOKUP(G:G,list!B:D,2,FALSE)</f>
        <v>#N/A</v>
      </c>
    </row>
    <row r="34" spans="2:16" ht="18" customHeight="1">
      <c r="B34" s="341">
        <v>30</v>
      </c>
      <c r="C34" s="341" t="s">
        <v>238</v>
      </c>
      <c r="D34" s="341" t="s">
        <v>78</v>
      </c>
      <c r="E34" s="358" t="s">
        <v>9</v>
      </c>
      <c r="F34" s="341" t="s">
        <v>209</v>
      </c>
      <c r="G34" s="358" t="s">
        <v>225</v>
      </c>
      <c r="H34" s="359">
        <v>44484</v>
      </c>
      <c r="I34" s="341" t="s">
        <v>312</v>
      </c>
      <c r="J34" s="357">
        <v>813906</v>
      </c>
      <c r="K34" s="345">
        <v>0.55000056541116071</v>
      </c>
      <c r="L34" s="346">
        <v>447648</v>
      </c>
      <c r="M34" s="274">
        <f>L34*10%</f>
        <v>44764.800000000003</v>
      </c>
      <c r="N34" s="274">
        <f t="shared" ref="N34:N65" si="1">L34-M34</f>
        <v>402883.2</v>
      </c>
      <c r="O34" s="191"/>
      <c r="P34" s="393" t="e">
        <f>VLOOKUP(G:G,list!B:D,2,FALSE)</f>
        <v>#N/A</v>
      </c>
    </row>
    <row r="35" spans="2:16" ht="18" customHeight="1">
      <c r="B35" s="341">
        <v>31</v>
      </c>
      <c r="C35" s="341" t="s">
        <v>238</v>
      </c>
      <c r="D35" s="341" t="s">
        <v>78</v>
      </c>
      <c r="E35" s="358" t="s">
        <v>9</v>
      </c>
      <c r="F35" s="341" t="s">
        <v>209</v>
      </c>
      <c r="G35" s="358" t="s">
        <v>29</v>
      </c>
      <c r="H35" s="359">
        <v>44510</v>
      </c>
      <c r="I35" s="341" t="s">
        <v>312</v>
      </c>
      <c r="J35" s="357">
        <v>3750888</v>
      </c>
      <c r="K35" s="345">
        <v>0.55000024262484026</v>
      </c>
      <c r="L35" s="346">
        <v>2062989</v>
      </c>
      <c r="M35" s="274">
        <f>L35*10%</f>
        <v>206298.90000000002</v>
      </c>
      <c r="N35" s="274">
        <f t="shared" si="1"/>
        <v>1856690.1</v>
      </c>
      <c r="O35" s="191"/>
      <c r="P35" s="393" t="e">
        <f>VLOOKUP(G:G,list!B:D,2,FALSE)</f>
        <v>#N/A</v>
      </c>
    </row>
    <row r="36" spans="2:16" ht="18" customHeight="1">
      <c r="B36" s="341">
        <v>32</v>
      </c>
      <c r="C36" s="341" t="s">
        <v>238</v>
      </c>
      <c r="D36" s="341" t="s">
        <v>78</v>
      </c>
      <c r="E36" s="358" t="s">
        <v>9</v>
      </c>
      <c r="F36" s="341" t="s">
        <v>209</v>
      </c>
      <c r="G36" s="358" t="s">
        <v>59</v>
      </c>
      <c r="H36" s="359">
        <v>44595</v>
      </c>
      <c r="I36" s="341" t="s">
        <v>312</v>
      </c>
      <c r="J36" s="357">
        <v>2690536</v>
      </c>
      <c r="K36" s="345">
        <v>0.55000024262484026</v>
      </c>
      <c r="L36" s="346">
        <v>1479795</v>
      </c>
      <c r="M36" s="274">
        <f>L36*10%</f>
        <v>147979.5</v>
      </c>
      <c r="N36" s="274">
        <f t="shared" si="1"/>
        <v>1331815.5</v>
      </c>
      <c r="O36" s="391"/>
      <c r="P36" s="393" t="e">
        <f>VLOOKUP(G:G,list!B:D,2,FALSE)</f>
        <v>#N/A</v>
      </c>
    </row>
    <row r="37" spans="2:16" ht="18" customHeight="1">
      <c r="B37" s="341">
        <v>33</v>
      </c>
      <c r="C37" s="341" t="s">
        <v>238</v>
      </c>
      <c r="D37" s="341" t="s">
        <v>78</v>
      </c>
      <c r="E37" s="358" t="s">
        <v>9</v>
      </c>
      <c r="F37" s="341" t="s">
        <v>209</v>
      </c>
      <c r="G37" s="358" t="s">
        <v>173</v>
      </c>
      <c r="H37" s="359">
        <v>44624</v>
      </c>
      <c r="I37" s="341" t="s">
        <v>312</v>
      </c>
      <c r="J37" s="357">
        <v>15458009</v>
      </c>
      <c r="K37" s="345">
        <v>0.60000003881483055</v>
      </c>
      <c r="L37" s="346">
        <v>9274806</v>
      </c>
      <c r="M37" s="274">
        <f>L37*10%</f>
        <v>927480.60000000009</v>
      </c>
      <c r="N37" s="274">
        <f t="shared" si="1"/>
        <v>8347325.4000000004</v>
      </c>
      <c r="O37" s="391"/>
      <c r="P37" s="393" t="e">
        <f>VLOOKUP(G:G,list!B:D,2,FALSE)</f>
        <v>#N/A</v>
      </c>
    </row>
    <row r="38" spans="2:16" ht="18" customHeight="1">
      <c r="B38" s="341">
        <v>34</v>
      </c>
      <c r="C38" s="341" t="s">
        <v>318</v>
      </c>
      <c r="D38" s="341" t="s">
        <v>78</v>
      </c>
      <c r="E38" s="360" t="s">
        <v>250</v>
      </c>
      <c r="F38" s="341" t="s">
        <v>126</v>
      </c>
      <c r="G38" s="360" t="s">
        <v>53</v>
      </c>
      <c r="H38" s="356">
        <v>44224</v>
      </c>
      <c r="I38" s="341" t="s">
        <v>312</v>
      </c>
      <c r="J38" s="357">
        <v>4013735</v>
      </c>
      <c r="K38" s="345" t="s">
        <v>206</v>
      </c>
      <c r="L38" s="346">
        <v>2207555</v>
      </c>
      <c r="M38" s="194">
        <v>0</v>
      </c>
      <c r="N38" s="274">
        <f t="shared" si="1"/>
        <v>2207555</v>
      </c>
      <c r="O38" s="191"/>
      <c r="P38" s="393" t="e">
        <f>VLOOKUP(G:G,list!B:D,2,FALSE)</f>
        <v>#N/A</v>
      </c>
    </row>
    <row r="39" spans="2:16" ht="18" customHeight="1">
      <c r="B39" s="341">
        <v>35</v>
      </c>
      <c r="C39" s="341" t="s">
        <v>238</v>
      </c>
      <c r="D39" s="341" t="s">
        <v>78</v>
      </c>
      <c r="E39" s="360" t="s">
        <v>250</v>
      </c>
      <c r="F39" s="341" t="s">
        <v>126</v>
      </c>
      <c r="G39" s="360" t="s">
        <v>30</v>
      </c>
      <c r="H39" s="356">
        <v>44199</v>
      </c>
      <c r="I39" s="341" t="s">
        <v>312</v>
      </c>
      <c r="J39" s="357">
        <v>5364870</v>
      </c>
      <c r="K39" s="345" t="s">
        <v>206</v>
      </c>
      <c r="L39" s="346">
        <v>2950680</v>
      </c>
      <c r="M39" s="274">
        <f>(L39-2000000)*10%</f>
        <v>95068</v>
      </c>
      <c r="N39" s="274">
        <f t="shared" si="1"/>
        <v>2855612</v>
      </c>
      <c r="O39" s="191" t="s">
        <v>263</v>
      </c>
      <c r="P39" s="393" t="str">
        <f>VLOOKUP(G:G,list!B:D,2,FALSE)</f>
        <v>원작료</v>
      </c>
    </row>
    <row r="40" spans="2:16" ht="18" customHeight="1">
      <c r="B40" s="341">
        <v>36</v>
      </c>
      <c r="C40" s="341" t="s">
        <v>238</v>
      </c>
      <c r="D40" s="341" t="s">
        <v>78</v>
      </c>
      <c r="E40" s="360" t="s">
        <v>250</v>
      </c>
      <c r="F40" s="341" t="s">
        <v>126</v>
      </c>
      <c r="G40" s="360" t="s">
        <v>29</v>
      </c>
      <c r="H40" s="356">
        <v>44040</v>
      </c>
      <c r="I40" s="341" t="s">
        <v>312</v>
      </c>
      <c r="J40" s="357">
        <v>10791653</v>
      </c>
      <c r="K40" s="345" t="s">
        <v>206</v>
      </c>
      <c r="L40" s="346">
        <v>5935410</v>
      </c>
      <c r="M40" s="274">
        <f>L40*10%</f>
        <v>593541</v>
      </c>
      <c r="N40" s="274">
        <f t="shared" si="1"/>
        <v>5341869</v>
      </c>
      <c r="O40" s="347"/>
      <c r="P40" s="393" t="e">
        <f>VLOOKUP(G:G,list!B:D,2,FALSE)</f>
        <v>#N/A</v>
      </c>
    </row>
    <row r="41" spans="2:16" ht="18" customHeight="1">
      <c r="B41" s="341">
        <v>37</v>
      </c>
      <c r="C41" s="341" t="s">
        <v>238</v>
      </c>
      <c r="D41" s="341" t="s">
        <v>78</v>
      </c>
      <c r="E41" s="360" t="s">
        <v>250</v>
      </c>
      <c r="F41" s="341" t="s">
        <v>126</v>
      </c>
      <c r="G41" s="360" t="s">
        <v>28</v>
      </c>
      <c r="H41" s="356">
        <v>43994</v>
      </c>
      <c r="I41" s="341" t="s">
        <v>312</v>
      </c>
      <c r="J41" s="357">
        <v>17706142.675799999</v>
      </c>
      <c r="K41" s="345" t="s">
        <v>206</v>
      </c>
      <c r="L41" s="346">
        <v>9738379</v>
      </c>
      <c r="M41" s="194">
        <f>(L41-4000000)*12%</f>
        <v>688605.48</v>
      </c>
      <c r="N41" s="274">
        <f t="shared" si="1"/>
        <v>9049773.5199999996</v>
      </c>
      <c r="O41" s="191" t="s">
        <v>106</v>
      </c>
      <c r="P41" s="393" t="e">
        <f>VLOOKUP(G:G,list!B:D,2,FALSE)</f>
        <v>#N/A</v>
      </c>
    </row>
    <row r="42" spans="2:16" ht="18" customHeight="1">
      <c r="B42" s="341">
        <v>38</v>
      </c>
      <c r="C42" s="341" t="s">
        <v>238</v>
      </c>
      <c r="D42" s="341" t="s">
        <v>78</v>
      </c>
      <c r="E42" s="360" t="s">
        <v>250</v>
      </c>
      <c r="F42" s="341" t="s">
        <v>126</v>
      </c>
      <c r="G42" s="360" t="s">
        <v>54</v>
      </c>
      <c r="H42" s="356">
        <v>44098</v>
      </c>
      <c r="I42" s="341" t="s">
        <v>312</v>
      </c>
      <c r="J42" s="357">
        <v>1676268</v>
      </c>
      <c r="K42" s="345" t="s">
        <v>206</v>
      </c>
      <c r="L42" s="346">
        <v>921948</v>
      </c>
      <c r="M42" s="274">
        <f t="shared" ref="M42:M48" si="2">L42*10%</f>
        <v>92194.8</v>
      </c>
      <c r="N42" s="274">
        <f t="shared" si="1"/>
        <v>829753.2</v>
      </c>
      <c r="O42" s="191"/>
      <c r="P42" s="393" t="e">
        <f>VLOOKUP(G:G,list!B:D,2,FALSE)</f>
        <v>#N/A</v>
      </c>
    </row>
    <row r="43" spans="2:16" ht="18" customHeight="1">
      <c r="B43" s="341">
        <v>39</v>
      </c>
      <c r="C43" s="341" t="s">
        <v>238</v>
      </c>
      <c r="D43" s="341" t="s">
        <v>78</v>
      </c>
      <c r="E43" s="360" t="s">
        <v>250</v>
      </c>
      <c r="F43" s="341" t="s">
        <v>126</v>
      </c>
      <c r="G43" s="360" t="s">
        <v>55</v>
      </c>
      <c r="H43" s="356">
        <v>44320</v>
      </c>
      <c r="I43" s="341" t="s">
        <v>312</v>
      </c>
      <c r="J43" s="357">
        <v>677370</v>
      </c>
      <c r="K43" s="345" t="s">
        <v>206</v>
      </c>
      <c r="L43" s="346">
        <v>372554</v>
      </c>
      <c r="M43" s="274">
        <f t="shared" si="2"/>
        <v>37255.4</v>
      </c>
      <c r="N43" s="274">
        <f t="shared" si="1"/>
        <v>335298.59999999998</v>
      </c>
      <c r="O43" s="191"/>
      <c r="P43" s="393" t="e">
        <f>VLOOKUP(G:G,list!B:D,2,FALSE)</f>
        <v>#N/A</v>
      </c>
    </row>
    <row r="44" spans="2:16" ht="18" customHeight="1">
      <c r="B44" s="341">
        <v>40</v>
      </c>
      <c r="C44" s="341" t="s">
        <v>318</v>
      </c>
      <c r="D44" s="341" t="s">
        <v>78</v>
      </c>
      <c r="E44" s="360" t="s">
        <v>250</v>
      </c>
      <c r="F44" s="341" t="s">
        <v>126</v>
      </c>
      <c r="G44" s="360" t="s">
        <v>42</v>
      </c>
      <c r="H44" s="356">
        <v>44074</v>
      </c>
      <c r="I44" s="341" t="s">
        <v>312</v>
      </c>
      <c r="J44" s="357">
        <v>72977282.645799994</v>
      </c>
      <c r="K44" s="345" t="s">
        <v>206</v>
      </c>
      <c r="L44" s="346">
        <v>40137504</v>
      </c>
      <c r="M44" s="194">
        <f t="shared" si="2"/>
        <v>4013750.4000000004</v>
      </c>
      <c r="N44" s="274">
        <f t="shared" si="1"/>
        <v>36123753.600000001</v>
      </c>
      <c r="O44" s="195" t="s">
        <v>144</v>
      </c>
      <c r="P44" s="393" t="e">
        <f>VLOOKUP(G:G,list!B:D,2,FALSE)</f>
        <v>#N/A</v>
      </c>
    </row>
    <row r="45" spans="2:16" ht="18" customHeight="1">
      <c r="B45" s="341">
        <v>41</v>
      </c>
      <c r="C45" s="341" t="s">
        <v>238</v>
      </c>
      <c r="D45" s="341" t="s">
        <v>78</v>
      </c>
      <c r="E45" s="360" t="s">
        <v>250</v>
      </c>
      <c r="F45" s="341" t="s">
        <v>126</v>
      </c>
      <c r="G45" s="360" t="s">
        <v>191</v>
      </c>
      <c r="H45" s="356">
        <v>44372</v>
      </c>
      <c r="I45" s="341" t="s">
        <v>312</v>
      </c>
      <c r="J45" s="357">
        <v>3060931</v>
      </c>
      <c r="K45" s="345" t="s">
        <v>207</v>
      </c>
      <c r="L45" s="346">
        <v>1836559</v>
      </c>
      <c r="M45" s="194">
        <f t="shared" si="2"/>
        <v>183655.90000000002</v>
      </c>
      <c r="N45" s="274">
        <f t="shared" si="1"/>
        <v>1652903.1</v>
      </c>
      <c r="O45" s="191"/>
      <c r="P45" s="393" t="e">
        <f>VLOOKUP(G:G,list!B:D,2,FALSE)</f>
        <v>#N/A</v>
      </c>
    </row>
    <row r="46" spans="2:16" ht="18" customHeight="1">
      <c r="B46" s="341">
        <v>42</v>
      </c>
      <c r="C46" s="341" t="s">
        <v>238</v>
      </c>
      <c r="D46" s="341" t="s">
        <v>78</v>
      </c>
      <c r="E46" s="360" t="s">
        <v>250</v>
      </c>
      <c r="F46" s="341" t="s">
        <v>126</v>
      </c>
      <c r="G46" s="360" t="s">
        <v>57</v>
      </c>
      <c r="H46" s="356">
        <v>44331</v>
      </c>
      <c r="I46" s="341" t="s">
        <v>312</v>
      </c>
      <c r="J46" s="357">
        <v>5233901</v>
      </c>
      <c r="K46" s="345" t="s">
        <v>206</v>
      </c>
      <c r="L46" s="346">
        <v>2878648</v>
      </c>
      <c r="M46" s="274">
        <f t="shared" si="2"/>
        <v>287864.8</v>
      </c>
      <c r="N46" s="274">
        <f t="shared" si="1"/>
        <v>2590783.2000000002</v>
      </c>
      <c r="O46" s="191"/>
      <c r="P46" s="393" t="e">
        <f>VLOOKUP(G:G,list!B:D,2,FALSE)</f>
        <v>#N/A</v>
      </c>
    </row>
    <row r="47" spans="2:16" ht="18" customHeight="1">
      <c r="B47" s="341">
        <v>43</v>
      </c>
      <c r="C47" s="341" t="s">
        <v>238</v>
      </c>
      <c r="D47" s="341" t="s">
        <v>78</v>
      </c>
      <c r="E47" s="360" t="s">
        <v>250</v>
      </c>
      <c r="F47" s="341" t="s">
        <v>126</v>
      </c>
      <c r="G47" s="360" t="s">
        <v>59</v>
      </c>
      <c r="H47" s="356">
        <v>44392</v>
      </c>
      <c r="I47" s="341" t="s">
        <v>312</v>
      </c>
      <c r="J47" s="357">
        <v>5661362</v>
      </c>
      <c r="K47" s="345" t="s">
        <v>206</v>
      </c>
      <c r="L47" s="346">
        <v>3113750</v>
      </c>
      <c r="M47" s="274">
        <f t="shared" si="2"/>
        <v>311375</v>
      </c>
      <c r="N47" s="274">
        <f t="shared" si="1"/>
        <v>2802375</v>
      </c>
      <c r="O47" s="191"/>
      <c r="P47" s="393" t="e">
        <f>VLOOKUP(G:G,list!B:D,2,FALSE)</f>
        <v>#N/A</v>
      </c>
    </row>
    <row r="48" spans="2:16" ht="18" customHeight="1">
      <c r="B48" s="341">
        <v>44</v>
      </c>
      <c r="C48" s="341" t="s">
        <v>238</v>
      </c>
      <c r="D48" s="341" t="s">
        <v>78</v>
      </c>
      <c r="E48" s="360" t="s">
        <v>250</v>
      </c>
      <c r="F48" s="341" t="s">
        <v>126</v>
      </c>
      <c r="G48" s="360" t="s">
        <v>173</v>
      </c>
      <c r="H48" s="356">
        <v>44457</v>
      </c>
      <c r="I48" s="341" t="s">
        <v>312</v>
      </c>
      <c r="J48" s="357">
        <v>8513198</v>
      </c>
      <c r="K48" s="345" t="s">
        <v>207</v>
      </c>
      <c r="L48" s="346">
        <v>5107919</v>
      </c>
      <c r="M48" s="194">
        <f t="shared" si="2"/>
        <v>510791.9</v>
      </c>
      <c r="N48" s="274">
        <f t="shared" si="1"/>
        <v>4597127.0999999996</v>
      </c>
      <c r="O48" s="191"/>
      <c r="P48" s="393" t="e">
        <f>VLOOKUP(G:G,list!B:D,2,FALSE)</f>
        <v>#N/A</v>
      </c>
    </row>
    <row r="49" spans="2:16" ht="18" customHeight="1">
      <c r="B49" s="341">
        <v>45</v>
      </c>
      <c r="C49" s="341" t="s">
        <v>318</v>
      </c>
      <c r="D49" s="341" t="s">
        <v>78</v>
      </c>
      <c r="E49" s="360" t="s">
        <v>250</v>
      </c>
      <c r="F49" s="341" t="s">
        <v>126</v>
      </c>
      <c r="G49" s="360" t="s">
        <v>174</v>
      </c>
      <c r="H49" s="356">
        <v>44469</v>
      </c>
      <c r="I49" s="341" t="s">
        <v>312</v>
      </c>
      <c r="J49" s="357">
        <v>5408170</v>
      </c>
      <c r="K49" s="345" t="s">
        <v>206</v>
      </c>
      <c r="L49" s="346">
        <v>2974494</v>
      </c>
      <c r="M49" s="194">
        <v>0</v>
      </c>
      <c r="N49" s="274">
        <f t="shared" si="1"/>
        <v>2974494</v>
      </c>
      <c r="O49" s="191"/>
      <c r="P49" s="393" t="e">
        <f>VLOOKUP(G:G,list!B:D,2,FALSE)</f>
        <v>#N/A</v>
      </c>
    </row>
    <row r="50" spans="2:16" ht="18" customHeight="1">
      <c r="B50" s="341">
        <v>46</v>
      </c>
      <c r="C50" s="341" t="s">
        <v>310</v>
      </c>
      <c r="D50" s="341" t="s">
        <v>78</v>
      </c>
      <c r="E50" s="360" t="s">
        <v>250</v>
      </c>
      <c r="F50" s="341" t="s">
        <v>126</v>
      </c>
      <c r="G50" s="360" t="s">
        <v>308</v>
      </c>
      <c r="H50" s="356">
        <v>44607</v>
      </c>
      <c r="I50" s="341" t="s">
        <v>312</v>
      </c>
      <c r="J50" s="357">
        <v>2003801</v>
      </c>
      <c r="K50" s="345" t="s">
        <v>207</v>
      </c>
      <c r="L50" s="346">
        <v>1202281</v>
      </c>
      <c r="M50" s="194">
        <v>0</v>
      </c>
      <c r="N50" s="274">
        <f t="shared" si="1"/>
        <v>1202281</v>
      </c>
      <c r="O50" s="347"/>
      <c r="P50" s="393" t="str">
        <f>VLOOKUP(G:G,list!B:D,2,FALSE)</f>
        <v>작가기획</v>
      </c>
    </row>
    <row r="51" spans="2:16" ht="18" customHeight="1">
      <c r="B51" s="341">
        <v>47</v>
      </c>
      <c r="C51" s="341" t="s">
        <v>238</v>
      </c>
      <c r="D51" s="341" t="s">
        <v>78</v>
      </c>
      <c r="E51" s="360" t="s">
        <v>250</v>
      </c>
      <c r="F51" s="341" t="s">
        <v>126</v>
      </c>
      <c r="G51" s="360" t="s">
        <v>316</v>
      </c>
      <c r="H51" s="356">
        <v>44639</v>
      </c>
      <c r="I51" s="341" t="s">
        <v>312</v>
      </c>
      <c r="J51" s="357">
        <v>56217093.498600006</v>
      </c>
      <c r="K51" s="345" t="s">
        <v>207</v>
      </c>
      <c r="L51" s="346">
        <v>33730257</v>
      </c>
      <c r="M51" s="194">
        <f>L51*10%</f>
        <v>3373025.7</v>
      </c>
      <c r="N51" s="274">
        <f t="shared" si="1"/>
        <v>30357231.300000001</v>
      </c>
      <c r="O51" s="347" t="s">
        <v>287</v>
      </c>
      <c r="P51" s="393"/>
    </row>
    <row r="52" spans="2:16" ht="18" customHeight="1">
      <c r="B52" s="341">
        <v>48</v>
      </c>
      <c r="C52" s="341" t="s">
        <v>310</v>
      </c>
      <c r="D52" s="341" t="s">
        <v>78</v>
      </c>
      <c r="E52" s="360" t="s">
        <v>249</v>
      </c>
      <c r="F52" s="341" t="s">
        <v>126</v>
      </c>
      <c r="G52" s="360" t="s">
        <v>58</v>
      </c>
      <c r="H52" s="356">
        <v>44328</v>
      </c>
      <c r="I52" s="341" t="s">
        <v>312</v>
      </c>
      <c r="J52" s="357">
        <v>204620</v>
      </c>
      <c r="K52" s="345" t="s">
        <v>207</v>
      </c>
      <c r="L52" s="346">
        <v>140602</v>
      </c>
      <c r="M52" s="194">
        <v>0</v>
      </c>
      <c r="N52" s="274">
        <f t="shared" si="1"/>
        <v>140602</v>
      </c>
      <c r="O52" s="347"/>
      <c r="P52" s="393" t="e">
        <f>VLOOKUP(G:G,list!B:D,2,FALSE)</f>
        <v>#N/A</v>
      </c>
    </row>
    <row r="53" spans="2:16" ht="18" customHeight="1">
      <c r="B53" s="341">
        <v>49</v>
      </c>
      <c r="C53" s="341" t="s">
        <v>238</v>
      </c>
      <c r="D53" s="341" t="s">
        <v>78</v>
      </c>
      <c r="E53" s="360" t="s">
        <v>249</v>
      </c>
      <c r="F53" s="341" t="s">
        <v>248</v>
      </c>
      <c r="G53" s="360" t="s">
        <v>39</v>
      </c>
      <c r="H53" s="356">
        <v>44327</v>
      </c>
      <c r="I53" s="341" t="s">
        <v>312</v>
      </c>
      <c r="J53" s="357">
        <v>756740</v>
      </c>
      <c r="K53" s="345" t="s">
        <v>124</v>
      </c>
      <c r="L53" s="346">
        <v>526704</v>
      </c>
      <c r="M53" s="194">
        <f t="shared" ref="M53:M65" si="3">L53*10%</f>
        <v>52670.400000000001</v>
      </c>
      <c r="N53" s="274">
        <f t="shared" si="1"/>
        <v>474033.6</v>
      </c>
      <c r="O53" s="191"/>
      <c r="P53" s="393" t="e">
        <f>VLOOKUP(G:G,list!B:D,2,FALSE)</f>
        <v>#N/A</v>
      </c>
    </row>
    <row r="54" spans="2:16" ht="18" customHeight="1">
      <c r="B54" s="341">
        <v>50</v>
      </c>
      <c r="C54" s="341" t="s">
        <v>238</v>
      </c>
      <c r="D54" s="341" t="s">
        <v>78</v>
      </c>
      <c r="E54" s="360" t="s">
        <v>249</v>
      </c>
      <c r="F54" s="341" t="s">
        <v>248</v>
      </c>
      <c r="G54" s="360" t="s">
        <v>40</v>
      </c>
      <c r="H54" s="356">
        <v>44328</v>
      </c>
      <c r="I54" s="341" t="s">
        <v>312</v>
      </c>
      <c r="J54" s="357">
        <v>1965990</v>
      </c>
      <c r="K54" s="345" t="s">
        <v>124</v>
      </c>
      <c r="L54" s="346">
        <v>1369084</v>
      </c>
      <c r="M54" s="194">
        <f t="shared" si="3"/>
        <v>136908.4</v>
      </c>
      <c r="N54" s="274">
        <f t="shared" si="1"/>
        <v>1232175.6000000001</v>
      </c>
      <c r="O54" s="191"/>
      <c r="P54" s="393" t="e">
        <f>VLOOKUP(G:G,list!B:D,2,FALSE)</f>
        <v>#N/A</v>
      </c>
    </row>
    <row r="55" spans="2:16" ht="18" customHeight="1">
      <c r="B55" s="341">
        <v>51</v>
      </c>
      <c r="C55" s="341" t="s">
        <v>238</v>
      </c>
      <c r="D55" s="341" t="s">
        <v>78</v>
      </c>
      <c r="E55" s="360" t="s">
        <v>249</v>
      </c>
      <c r="F55" s="341" t="s">
        <v>248</v>
      </c>
      <c r="G55" s="360" t="s">
        <v>38</v>
      </c>
      <c r="H55" s="356">
        <v>44329</v>
      </c>
      <c r="I55" s="341" t="s">
        <v>312</v>
      </c>
      <c r="J55" s="357">
        <v>1004331</v>
      </c>
      <c r="K55" s="345" t="s">
        <v>124</v>
      </c>
      <c r="L55" s="346">
        <v>694849</v>
      </c>
      <c r="M55" s="194">
        <f t="shared" si="3"/>
        <v>69484.900000000009</v>
      </c>
      <c r="N55" s="274">
        <f t="shared" si="1"/>
        <v>625364.1</v>
      </c>
      <c r="O55" s="191"/>
      <c r="P55" s="393" t="e">
        <f>VLOOKUP(G:G,list!B:D,2,FALSE)</f>
        <v>#N/A</v>
      </c>
    </row>
    <row r="56" spans="2:16" ht="18" customHeight="1">
      <c r="B56" s="341">
        <v>52</v>
      </c>
      <c r="C56" s="341" t="s">
        <v>238</v>
      </c>
      <c r="D56" s="341" t="s">
        <v>78</v>
      </c>
      <c r="E56" s="360" t="s">
        <v>250</v>
      </c>
      <c r="F56" s="341" t="s">
        <v>248</v>
      </c>
      <c r="G56" s="360" t="s">
        <v>46</v>
      </c>
      <c r="H56" s="356">
        <v>44246</v>
      </c>
      <c r="I56" s="341" t="s">
        <v>312</v>
      </c>
      <c r="J56" s="357">
        <v>736860</v>
      </c>
      <c r="K56" s="345" t="s">
        <v>206</v>
      </c>
      <c r="L56" s="346">
        <v>405274</v>
      </c>
      <c r="M56" s="194">
        <f t="shared" si="3"/>
        <v>40527.4</v>
      </c>
      <c r="N56" s="274">
        <f t="shared" si="1"/>
        <v>364746.6</v>
      </c>
      <c r="O56" s="191"/>
      <c r="P56" s="393" t="e">
        <f>VLOOKUP(G:G,list!B:D,2,FALSE)</f>
        <v>#N/A</v>
      </c>
    </row>
    <row r="57" spans="2:16" ht="18" customHeight="1">
      <c r="B57" s="341">
        <v>53</v>
      </c>
      <c r="C57" s="341" t="s">
        <v>238</v>
      </c>
      <c r="D57" s="341" t="s">
        <v>78</v>
      </c>
      <c r="E57" s="360" t="s">
        <v>250</v>
      </c>
      <c r="F57" s="341" t="s">
        <v>248</v>
      </c>
      <c r="G57" s="360" t="s">
        <v>47</v>
      </c>
      <c r="H57" s="356">
        <v>44152</v>
      </c>
      <c r="I57" s="341" t="s">
        <v>312</v>
      </c>
      <c r="J57" s="357">
        <v>529675</v>
      </c>
      <c r="K57" s="345" t="s">
        <v>206</v>
      </c>
      <c r="L57" s="346">
        <v>291322</v>
      </c>
      <c r="M57" s="194">
        <f t="shared" si="3"/>
        <v>29132.2</v>
      </c>
      <c r="N57" s="274">
        <f t="shared" si="1"/>
        <v>262189.8</v>
      </c>
      <c r="O57" s="347"/>
      <c r="P57" s="393" t="e">
        <f>VLOOKUP(G:G,list!B:D,2,FALSE)</f>
        <v>#N/A</v>
      </c>
    </row>
    <row r="58" spans="2:16" ht="18" customHeight="1">
      <c r="B58" s="341">
        <v>54</v>
      </c>
      <c r="C58" s="341" t="s">
        <v>318</v>
      </c>
      <c r="D58" s="341" t="s">
        <v>78</v>
      </c>
      <c r="E58" s="360" t="s">
        <v>250</v>
      </c>
      <c r="F58" s="341" t="s">
        <v>248</v>
      </c>
      <c r="G58" s="360" t="s">
        <v>315</v>
      </c>
      <c r="H58" s="356">
        <v>44629</v>
      </c>
      <c r="I58" s="341" t="s">
        <v>312</v>
      </c>
      <c r="J58" s="357">
        <v>20539214</v>
      </c>
      <c r="K58" s="345" t="s">
        <v>207</v>
      </c>
      <c r="L58" s="346">
        <v>12323529</v>
      </c>
      <c r="M58" s="194">
        <v>0</v>
      </c>
      <c r="N58" s="274">
        <f t="shared" si="1"/>
        <v>12323529</v>
      </c>
      <c r="O58" s="347" t="s">
        <v>287</v>
      </c>
      <c r="P58" s="393" t="str">
        <f>VLOOKUP(G:G,list!B:D,2,FALSE)</f>
        <v>외부제작</v>
      </c>
    </row>
    <row r="59" spans="2:16" ht="18" customHeight="1">
      <c r="B59" s="341">
        <v>55</v>
      </c>
      <c r="C59" s="341" t="s">
        <v>238</v>
      </c>
      <c r="D59" s="341" t="s">
        <v>78</v>
      </c>
      <c r="E59" s="341" t="s">
        <v>9</v>
      </c>
      <c r="F59" s="341" t="s">
        <v>175</v>
      </c>
      <c r="G59" s="341" t="s">
        <v>212</v>
      </c>
      <c r="H59" s="353">
        <v>44268</v>
      </c>
      <c r="I59" s="341" t="s">
        <v>312</v>
      </c>
      <c r="J59" s="357">
        <v>39813615</v>
      </c>
      <c r="K59" s="345" t="s">
        <v>206</v>
      </c>
      <c r="L59" s="346">
        <v>21897490</v>
      </c>
      <c r="M59" s="194">
        <f t="shared" si="3"/>
        <v>2189749</v>
      </c>
      <c r="N59" s="274">
        <f t="shared" si="1"/>
        <v>19707741</v>
      </c>
      <c r="O59" s="191"/>
      <c r="P59" s="393" t="e">
        <f>VLOOKUP(G:G,list!B:D,2,FALSE)</f>
        <v>#N/A</v>
      </c>
    </row>
    <row r="60" spans="2:16" ht="18" customHeight="1">
      <c r="B60" s="341">
        <v>56</v>
      </c>
      <c r="C60" s="341" t="s">
        <v>238</v>
      </c>
      <c r="D60" s="341" t="s">
        <v>78</v>
      </c>
      <c r="E60" s="360" t="s">
        <v>249</v>
      </c>
      <c r="F60" s="341" t="s">
        <v>172</v>
      </c>
      <c r="G60" s="360" t="s">
        <v>40</v>
      </c>
      <c r="H60" s="356">
        <v>44379</v>
      </c>
      <c r="I60" s="341" t="s">
        <v>312</v>
      </c>
      <c r="J60" s="357">
        <v>223880</v>
      </c>
      <c r="K60" s="345">
        <v>0.6</v>
      </c>
      <c r="L60" s="346">
        <v>134328</v>
      </c>
      <c r="M60" s="194">
        <f t="shared" si="3"/>
        <v>13432.800000000001</v>
      </c>
      <c r="N60" s="274">
        <f t="shared" si="1"/>
        <v>120895.2</v>
      </c>
      <c r="O60" s="191"/>
      <c r="P60" s="393" t="e">
        <f>VLOOKUP(G:G,list!B:D,2,FALSE)</f>
        <v>#N/A</v>
      </c>
    </row>
    <row r="61" spans="2:16" ht="18" customHeight="1">
      <c r="B61" s="341">
        <v>57</v>
      </c>
      <c r="C61" s="341" t="s">
        <v>238</v>
      </c>
      <c r="D61" s="341" t="s">
        <v>78</v>
      </c>
      <c r="E61" s="360" t="s">
        <v>249</v>
      </c>
      <c r="F61" s="341" t="s">
        <v>172</v>
      </c>
      <c r="G61" s="360" t="s">
        <v>39</v>
      </c>
      <c r="H61" s="356">
        <v>44385</v>
      </c>
      <c r="I61" s="341" t="s">
        <v>312</v>
      </c>
      <c r="J61" s="357">
        <v>1068230</v>
      </c>
      <c r="K61" s="345">
        <v>0.6</v>
      </c>
      <c r="L61" s="346">
        <v>640938</v>
      </c>
      <c r="M61" s="194">
        <f t="shared" si="3"/>
        <v>64093.8</v>
      </c>
      <c r="N61" s="274">
        <f t="shared" si="1"/>
        <v>576844.19999999995</v>
      </c>
      <c r="O61" s="191"/>
      <c r="P61" s="393" t="e">
        <f>VLOOKUP(G:G,list!B:D,2,FALSE)</f>
        <v>#N/A</v>
      </c>
    </row>
    <row r="62" spans="2:16" ht="18" customHeight="1">
      <c r="B62" s="341">
        <v>58</v>
      </c>
      <c r="C62" s="341" t="s">
        <v>238</v>
      </c>
      <c r="D62" s="341" t="s">
        <v>78</v>
      </c>
      <c r="E62" s="360" t="s">
        <v>249</v>
      </c>
      <c r="F62" s="341" t="s">
        <v>172</v>
      </c>
      <c r="G62" s="360" t="s">
        <v>38</v>
      </c>
      <c r="H62" s="356">
        <v>44362</v>
      </c>
      <c r="I62" s="341" t="s">
        <v>312</v>
      </c>
      <c r="J62" s="361">
        <v>556545</v>
      </c>
      <c r="K62" s="345">
        <v>0.6</v>
      </c>
      <c r="L62" s="346">
        <v>333927</v>
      </c>
      <c r="M62" s="274">
        <f t="shared" si="3"/>
        <v>33392.700000000004</v>
      </c>
      <c r="N62" s="274">
        <f t="shared" si="1"/>
        <v>300534.3</v>
      </c>
      <c r="O62" s="347"/>
      <c r="P62" s="393" t="e">
        <f>VLOOKUP(G:G,list!B:D,2,FALSE)</f>
        <v>#N/A</v>
      </c>
    </row>
    <row r="63" spans="2:16" ht="18" customHeight="1">
      <c r="B63" s="341">
        <v>59</v>
      </c>
      <c r="C63" s="341" t="s">
        <v>238</v>
      </c>
      <c r="D63" s="341" t="s">
        <v>78</v>
      </c>
      <c r="E63" s="341" t="s">
        <v>115</v>
      </c>
      <c r="F63" s="341" t="s">
        <v>269</v>
      </c>
      <c r="G63" s="341" t="s">
        <v>39</v>
      </c>
      <c r="H63" s="353">
        <v>44553</v>
      </c>
      <c r="I63" s="341" t="s">
        <v>312</v>
      </c>
      <c r="J63" s="357">
        <v>22900</v>
      </c>
      <c r="K63" s="345">
        <v>0.7</v>
      </c>
      <c r="L63" s="346">
        <v>16030</v>
      </c>
      <c r="M63" s="274">
        <f t="shared" si="3"/>
        <v>1603</v>
      </c>
      <c r="N63" s="274">
        <f t="shared" si="1"/>
        <v>14427</v>
      </c>
      <c r="O63" s="392"/>
      <c r="P63" s="393" t="e">
        <f>VLOOKUP(G:G,list!B:D,2,FALSE)</f>
        <v>#N/A</v>
      </c>
    </row>
    <row r="64" spans="2:16" ht="18" customHeight="1">
      <c r="B64" s="341">
        <v>60</v>
      </c>
      <c r="C64" s="341" t="s">
        <v>238</v>
      </c>
      <c r="D64" s="341" t="s">
        <v>78</v>
      </c>
      <c r="E64" s="341" t="s">
        <v>115</v>
      </c>
      <c r="F64" s="341" t="s">
        <v>269</v>
      </c>
      <c r="G64" s="341" t="s">
        <v>40</v>
      </c>
      <c r="H64" s="353">
        <v>44554</v>
      </c>
      <c r="I64" s="341" t="s">
        <v>312</v>
      </c>
      <c r="J64" s="357">
        <v>13400</v>
      </c>
      <c r="K64" s="345">
        <v>0.7</v>
      </c>
      <c r="L64" s="346">
        <v>9380</v>
      </c>
      <c r="M64" s="194">
        <f t="shared" si="3"/>
        <v>938</v>
      </c>
      <c r="N64" s="274">
        <f t="shared" si="1"/>
        <v>8442</v>
      </c>
      <c r="O64" s="370"/>
      <c r="P64" s="393" t="e">
        <f>VLOOKUP(G:G,list!B:D,2,FALSE)</f>
        <v>#N/A</v>
      </c>
    </row>
    <row r="65" spans="2:16" ht="18" customHeight="1">
      <c r="B65" s="341">
        <v>61</v>
      </c>
      <c r="C65" s="341" t="s">
        <v>238</v>
      </c>
      <c r="D65" s="341" t="s">
        <v>78</v>
      </c>
      <c r="E65" s="341" t="s">
        <v>115</v>
      </c>
      <c r="F65" s="341" t="s">
        <v>269</v>
      </c>
      <c r="G65" s="341" t="s">
        <v>38</v>
      </c>
      <c r="H65" s="353">
        <v>44554</v>
      </c>
      <c r="I65" s="341" t="s">
        <v>312</v>
      </c>
      <c r="J65" s="357">
        <v>18800</v>
      </c>
      <c r="K65" s="345">
        <v>0.7</v>
      </c>
      <c r="L65" s="346">
        <v>13160</v>
      </c>
      <c r="M65" s="274">
        <f t="shared" si="3"/>
        <v>1316</v>
      </c>
      <c r="N65" s="274">
        <f t="shared" si="1"/>
        <v>11844</v>
      </c>
      <c r="O65" s="392"/>
      <c r="P65" s="393" t="e">
        <f>VLOOKUP(G:G,list!B:D,2,FALSE)</f>
        <v>#N/A</v>
      </c>
    </row>
    <row r="66" spans="2:16" ht="18" customHeight="1">
      <c r="B66" s="341">
        <v>62</v>
      </c>
      <c r="C66" s="341" t="s">
        <v>310</v>
      </c>
      <c r="D66" s="341" t="s">
        <v>78</v>
      </c>
      <c r="E66" s="341" t="s">
        <v>115</v>
      </c>
      <c r="F66" s="341" t="s">
        <v>269</v>
      </c>
      <c r="G66" s="341" t="s">
        <v>19</v>
      </c>
      <c r="H66" s="353">
        <v>44609</v>
      </c>
      <c r="I66" s="341" t="s">
        <v>312</v>
      </c>
      <c r="J66" s="357">
        <v>26700</v>
      </c>
      <c r="K66" s="345">
        <v>0.7</v>
      </c>
      <c r="L66" s="346">
        <v>18690</v>
      </c>
      <c r="M66" s="274">
        <v>0</v>
      </c>
      <c r="N66" s="274">
        <f t="shared" ref="N66:N97" si="4">L66-M66</f>
        <v>18690</v>
      </c>
      <c r="O66" s="392" t="s">
        <v>287</v>
      </c>
      <c r="P66" s="393" t="e">
        <f>VLOOKUP(G:G,list!B:D,2,FALSE)</f>
        <v>#N/A</v>
      </c>
    </row>
    <row r="67" spans="2:16" ht="18" customHeight="1">
      <c r="B67" s="341">
        <v>63</v>
      </c>
      <c r="C67" s="341" t="s">
        <v>310</v>
      </c>
      <c r="D67" s="341" t="s">
        <v>78</v>
      </c>
      <c r="E67" s="341" t="s">
        <v>9</v>
      </c>
      <c r="F67" s="341" t="s">
        <v>131</v>
      </c>
      <c r="G67" s="341" t="s">
        <v>210</v>
      </c>
      <c r="H67" s="353">
        <v>44333</v>
      </c>
      <c r="I67" s="341" t="s">
        <v>312</v>
      </c>
      <c r="J67" s="357">
        <v>92016</v>
      </c>
      <c r="K67" s="345">
        <v>0.5</v>
      </c>
      <c r="L67" s="346">
        <v>46008</v>
      </c>
      <c r="M67" s="274">
        <v>0</v>
      </c>
      <c r="N67" s="274">
        <f t="shared" si="4"/>
        <v>46008</v>
      </c>
      <c r="O67" s="191"/>
      <c r="P67" s="393" t="str">
        <f>VLOOKUP(G:G,list!B:D,2,FALSE)</f>
        <v>작가기획</v>
      </c>
    </row>
    <row r="68" spans="2:16" ht="18" customHeight="1">
      <c r="B68" s="341">
        <v>64</v>
      </c>
      <c r="C68" s="341" t="s">
        <v>238</v>
      </c>
      <c r="D68" s="366" t="s">
        <v>253</v>
      </c>
      <c r="E68" s="366" t="s">
        <v>9</v>
      </c>
      <c r="F68" s="341" t="s">
        <v>184</v>
      </c>
      <c r="G68" s="366" t="s">
        <v>218</v>
      </c>
      <c r="H68" s="365">
        <v>44356</v>
      </c>
      <c r="I68" s="341" t="s">
        <v>312</v>
      </c>
      <c r="J68" s="367">
        <v>9303370</v>
      </c>
      <c r="K68" s="368">
        <v>0.3</v>
      </c>
      <c r="L68" s="346">
        <v>2791011</v>
      </c>
      <c r="M68" s="194">
        <f>L68*10%</f>
        <v>279101.10000000003</v>
      </c>
      <c r="N68" s="274">
        <f t="shared" si="4"/>
        <v>2511909.9</v>
      </c>
      <c r="O68" s="364" t="s">
        <v>221</v>
      </c>
      <c r="P68" s="393" t="e">
        <f>VLOOKUP(G:G,list!B:D,2,FALSE)</f>
        <v>#N/A</v>
      </c>
    </row>
    <row r="69" spans="2:16" ht="18" customHeight="1">
      <c r="B69" s="341">
        <v>65</v>
      </c>
      <c r="C69" s="341" t="s">
        <v>238</v>
      </c>
      <c r="D69" s="366" t="s">
        <v>177</v>
      </c>
      <c r="E69" s="366" t="s">
        <v>9</v>
      </c>
      <c r="F69" s="341" t="s">
        <v>184</v>
      </c>
      <c r="G69" s="366" t="s">
        <v>219</v>
      </c>
      <c r="H69" s="365">
        <v>44598</v>
      </c>
      <c r="I69" s="341" t="s">
        <v>312</v>
      </c>
      <c r="J69" s="367">
        <v>4499960</v>
      </c>
      <c r="K69" s="368">
        <v>0.3</v>
      </c>
      <c r="L69" s="346">
        <v>1349988</v>
      </c>
      <c r="M69" s="194">
        <f>L69*12%</f>
        <v>161998.56</v>
      </c>
      <c r="N69" s="274">
        <f t="shared" si="4"/>
        <v>1187989.44</v>
      </c>
      <c r="O69" s="364" t="s">
        <v>221</v>
      </c>
      <c r="P69" s="393" t="e">
        <f>VLOOKUP(G:G,list!B:D,2,FALSE)</f>
        <v>#N/A</v>
      </c>
    </row>
    <row r="70" spans="2:16" ht="18" customHeight="1">
      <c r="B70" s="341">
        <v>66</v>
      </c>
      <c r="C70" s="341" t="s">
        <v>318</v>
      </c>
      <c r="D70" s="362" t="s">
        <v>177</v>
      </c>
      <c r="E70" s="362" t="s">
        <v>9</v>
      </c>
      <c r="F70" s="369" t="s">
        <v>257</v>
      </c>
      <c r="G70" s="362" t="s">
        <v>42</v>
      </c>
      <c r="H70" s="363">
        <v>44419</v>
      </c>
      <c r="I70" s="341" t="s">
        <v>312</v>
      </c>
      <c r="J70" s="361">
        <v>7531445</v>
      </c>
      <c r="K70" s="371">
        <v>0.28000008425415068</v>
      </c>
      <c r="L70" s="346">
        <v>2108804</v>
      </c>
      <c r="M70" s="194">
        <f>L70*10%</f>
        <v>210880.40000000002</v>
      </c>
      <c r="N70" s="274">
        <f t="shared" si="4"/>
        <v>1897923.6</v>
      </c>
      <c r="O70" s="195" t="s">
        <v>85</v>
      </c>
      <c r="P70" s="393" t="e">
        <f>VLOOKUP(G:G,list!B:D,2,FALSE)</f>
        <v>#N/A</v>
      </c>
    </row>
    <row r="71" spans="2:16" ht="18" customHeight="1">
      <c r="B71" s="341">
        <v>67</v>
      </c>
      <c r="C71" s="341" t="s">
        <v>238</v>
      </c>
      <c r="D71" s="362" t="s">
        <v>177</v>
      </c>
      <c r="E71" s="362" t="s">
        <v>9</v>
      </c>
      <c r="F71" s="369" t="s">
        <v>257</v>
      </c>
      <c r="G71" s="362" t="s">
        <v>212</v>
      </c>
      <c r="H71" s="363">
        <v>44477</v>
      </c>
      <c r="I71" s="341" t="s">
        <v>312</v>
      </c>
      <c r="J71" s="361">
        <v>4081399</v>
      </c>
      <c r="K71" s="397">
        <v>0.24500002911191202</v>
      </c>
      <c r="L71" s="346">
        <v>999944</v>
      </c>
      <c r="M71" s="194">
        <f>L71*10%</f>
        <v>99994.400000000009</v>
      </c>
      <c r="N71" s="274">
        <f t="shared" si="4"/>
        <v>899949.6</v>
      </c>
      <c r="O71" s="197"/>
      <c r="P71" s="393" t="e">
        <f>VLOOKUP(G:G,list!B:D,2,FALSE)</f>
        <v>#N/A</v>
      </c>
    </row>
    <row r="72" spans="2:16" ht="18" customHeight="1">
      <c r="B72" s="341">
        <v>68</v>
      </c>
      <c r="C72" s="341" t="s">
        <v>238</v>
      </c>
      <c r="D72" s="362" t="s">
        <v>177</v>
      </c>
      <c r="E72" s="362" t="s">
        <v>9</v>
      </c>
      <c r="F72" s="369" t="s">
        <v>257</v>
      </c>
      <c r="G72" s="362" t="s">
        <v>173</v>
      </c>
      <c r="H72" s="363">
        <v>44636</v>
      </c>
      <c r="I72" s="341" t="s">
        <v>312</v>
      </c>
      <c r="J72" s="361">
        <v>10023680</v>
      </c>
      <c r="K72" s="397">
        <v>0.35</v>
      </c>
      <c r="L72" s="346">
        <v>3508288</v>
      </c>
      <c r="M72" s="194">
        <f>L72*10%</f>
        <v>350828.80000000005</v>
      </c>
      <c r="N72" s="274">
        <f t="shared" si="4"/>
        <v>3157459.2</v>
      </c>
      <c r="O72" s="197" t="s">
        <v>287</v>
      </c>
      <c r="P72" s="393" t="e">
        <f>VLOOKUP(G:G,list!B:D,2,FALSE)</f>
        <v>#N/A</v>
      </c>
    </row>
    <row r="73" spans="2:16" ht="18" customHeight="1">
      <c r="B73" s="341">
        <v>69</v>
      </c>
      <c r="C73" s="341" t="s">
        <v>238</v>
      </c>
      <c r="D73" s="366" t="s">
        <v>255</v>
      </c>
      <c r="E73" s="366" t="s">
        <v>9</v>
      </c>
      <c r="F73" s="341" t="s">
        <v>184</v>
      </c>
      <c r="G73" s="366" t="s">
        <v>218</v>
      </c>
      <c r="H73" s="365">
        <v>44456</v>
      </c>
      <c r="I73" s="341" t="s">
        <v>312</v>
      </c>
      <c r="J73" s="367">
        <v>851613.33333333337</v>
      </c>
      <c r="K73" s="368">
        <v>0.3</v>
      </c>
      <c r="L73" s="346">
        <v>255484</v>
      </c>
      <c r="M73" s="194">
        <f>L73*10%</f>
        <v>25548.400000000001</v>
      </c>
      <c r="N73" s="274">
        <f t="shared" si="4"/>
        <v>229935.6</v>
      </c>
      <c r="O73" s="364" t="s">
        <v>221</v>
      </c>
      <c r="P73" s="393" t="e">
        <f>VLOOKUP(G:G,list!B:D,2,FALSE)</f>
        <v>#N/A</v>
      </c>
    </row>
    <row r="74" spans="2:16" ht="18" customHeight="1">
      <c r="B74" s="341">
        <v>70</v>
      </c>
      <c r="C74" s="341" t="s">
        <v>238</v>
      </c>
      <c r="D74" s="369" t="s">
        <v>66</v>
      </c>
      <c r="E74" s="341" t="s">
        <v>64</v>
      </c>
      <c r="F74" s="369" t="s">
        <v>65</v>
      </c>
      <c r="G74" s="342" t="s">
        <v>152</v>
      </c>
      <c r="H74" s="396">
        <v>44235</v>
      </c>
      <c r="I74" s="341" t="s">
        <v>312</v>
      </c>
      <c r="J74" s="361">
        <v>856543</v>
      </c>
      <c r="K74" s="368">
        <v>0.4</v>
      </c>
      <c r="L74" s="346">
        <v>342617</v>
      </c>
      <c r="M74" s="194">
        <f>L74*12%</f>
        <v>41114.04</v>
      </c>
      <c r="N74" s="274">
        <f t="shared" si="4"/>
        <v>301502.96000000002</v>
      </c>
      <c r="O74" s="191"/>
      <c r="P74" s="393" t="e">
        <f>VLOOKUP(G:G,list!B:D,2,FALSE)</f>
        <v>#N/A</v>
      </c>
    </row>
    <row r="75" spans="2:16" ht="18" customHeight="1">
      <c r="B75" s="341">
        <v>71</v>
      </c>
      <c r="C75" s="341" t="s">
        <v>318</v>
      </c>
      <c r="D75" s="369" t="s">
        <v>66</v>
      </c>
      <c r="E75" s="341" t="s">
        <v>64</v>
      </c>
      <c r="F75" s="369" t="s">
        <v>65</v>
      </c>
      <c r="G75" s="342" t="s">
        <v>179</v>
      </c>
      <c r="H75" s="343">
        <v>44198</v>
      </c>
      <c r="I75" s="341" t="s">
        <v>312</v>
      </c>
      <c r="J75" s="361">
        <v>689468</v>
      </c>
      <c r="K75" s="368">
        <v>0.4</v>
      </c>
      <c r="L75" s="346">
        <v>275787</v>
      </c>
      <c r="M75" s="194">
        <f>L75*10%</f>
        <v>27578.7</v>
      </c>
      <c r="N75" s="274">
        <f t="shared" si="4"/>
        <v>248208.3</v>
      </c>
      <c r="O75" s="195" t="s">
        <v>85</v>
      </c>
      <c r="P75" s="393" t="e">
        <f>VLOOKUP(G:G,list!B:D,2,FALSE)</f>
        <v>#N/A</v>
      </c>
    </row>
    <row r="76" spans="2:16" ht="18" customHeight="1">
      <c r="B76" s="341">
        <v>72</v>
      </c>
      <c r="C76" s="341" t="s">
        <v>318</v>
      </c>
      <c r="D76" s="369" t="s">
        <v>66</v>
      </c>
      <c r="E76" s="341" t="s">
        <v>64</v>
      </c>
      <c r="F76" s="369" t="s">
        <v>65</v>
      </c>
      <c r="G76" s="342" t="s">
        <v>147</v>
      </c>
      <c r="H76" s="343">
        <v>44288</v>
      </c>
      <c r="I76" s="341" t="s">
        <v>312</v>
      </c>
      <c r="J76" s="361">
        <v>227503</v>
      </c>
      <c r="K76" s="368">
        <v>0.4</v>
      </c>
      <c r="L76" s="346">
        <v>91001</v>
      </c>
      <c r="M76" s="194">
        <v>0</v>
      </c>
      <c r="N76" s="274">
        <f t="shared" si="4"/>
        <v>91001</v>
      </c>
      <c r="O76" s="191"/>
      <c r="P76" s="393" t="e">
        <f>VLOOKUP(G:G,list!B:D,2,FALSE)</f>
        <v>#N/A</v>
      </c>
    </row>
    <row r="77" spans="2:16" ht="18" customHeight="1">
      <c r="B77" s="341">
        <v>73</v>
      </c>
      <c r="C77" s="341" t="s">
        <v>318</v>
      </c>
      <c r="D77" s="369" t="s">
        <v>66</v>
      </c>
      <c r="E77" s="341" t="s">
        <v>64</v>
      </c>
      <c r="F77" s="369" t="s">
        <v>65</v>
      </c>
      <c r="G77" s="342" t="s">
        <v>187</v>
      </c>
      <c r="H77" s="343">
        <v>44289</v>
      </c>
      <c r="I77" s="341" t="s">
        <v>312</v>
      </c>
      <c r="J77" s="361">
        <v>1859885</v>
      </c>
      <c r="K77" s="368">
        <v>0.4</v>
      </c>
      <c r="L77" s="346">
        <v>743954</v>
      </c>
      <c r="M77" s="194">
        <v>0</v>
      </c>
      <c r="N77" s="274">
        <f t="shared" si="4"/>
        <v>743954</v>
      </c>
      <c r="O77" s="347"/>
      <c r="P77" s="393" t="e">
        <f>VLOOKUP(G:G,list!B:D,2,FALSE)</f>
        <v>#N/A</v>
      </c>
    </row>
    <row r="78" spans="2:16" ht="18" customHeight="1">
      <c r="B78" s="341">
        <v>74</v>
      </c>
      <c r="C78" s="341" t="s">
        <v>238</v>
      </c>
      <c r="D78" s="369" t="s">
        <v>66</v>
      </c>
      <c r="E78" s="341" t="s">
        <v>64</v>
      </c>
      <c r="F78" s="369" t="s">
        <v>65</v>
      </c>
      <c r="G78" s="342" t="s">
        <v>74</v>
      </c>
      <c r="H78" s="343">
        <v>44246</v>
      </c>
      <c r="I78" s="341" t="s">
        <v>312</v>
      </c>
      <c r="J78" s="361">
        <v>257753</v>
      </c>
      <c r="K78" s="368">
        <v>0.4</v>
      </c>
      <c r="L78" s="346">
        <v>103101</v>
      </c>
      <c r="M78" s="274">
        <f>L78*10%</f>
        <v>10310.1</v>
      </c>
      <c r="N78" s="274">
        <f t="shared" si="4"/>
        <v>92790.9</v>
      </c>
      <c r="O78" s="191"/>
      <c r="P78" s="393" t="e">
        <f>VLOOKUP(G:G,list!B:D,2,FALSE)</f>
        <v>#N/A</v>
      </c>
    </row>
    <row r="79" spans="2:16" ht="18" customHeight="1">
      <c r="B79" s="341">
        <v>75</v>
      </c>
      <c r="C79" s="341" t="s">
        <v>318</v>
      </c>
      <c r="D79" s="369" t="s">
        <v>66</v>
      </c>
      <c r="E79" s="341" t="s">
        <v>64</v>
      </c>
      <c r="F79" s="369" t="s">
        <v>65</v>
      </c>
      <c r="G79" s="342" t="s">
        <v>188</v>
      </c>
      <c r="H79" s="343">
        <v>44415</v>
      </c>
      <c r="I79" s="341" t="s">
        <v>312</v>
      </c>
      <c r="J79" s="361">
        <v>1869030</v>
      </c>
      <c r="K79" s="368">
        <v>0.4</v>
      </c>
      <c r="L79" s="346">
        <v>747612</v>
      </c>
      <c r="M79" s="194">
        <v>0</v>
      </c>
      <c r="N79" s="274">
        <f t="shared" si="4"/>
        <v>747612</v>
      </c>
      <c r="O79" s="191"/>
      <c r="P79" s="393" t="e">
        <f>VLOOKUP(G:G,list!B:D,2,FALSE)</f>
        <v>#N/A</v>
      </c>
    </row>
    <row r="80" spans="2:16" ht="18" customHeight="1">
      <c r="B80" s="341">
        <v>76</v>
      </c>
      <c r="C80" s="341" t="s">
        <v>238</v>
      </c>
      <c r="D80" s="369" t="s">
        <v>66</v>
      </c>
      <c r="E80" s="341" t="s">
        <v>64</v>
      </c>
      <c r="F80" s="369" t="s">
        <v>65</v>
      </c>
      <c r="G80" s="342" t="s">
        <v>30</v>
      </c>
      <c r="H80" s="343">
        <v>44586</v>
      </c>
      <c r="I80" s="341" t="s">
        <v>312</v>
      </c>
      <c r="J80" s="361">
        <v>691688</v>
      </c>
      <c r="K80" s="368">
        <v>0.4</v>
      </c>
      <c r="L80" s="346">
        <v>276675</v>
      </c>
      <c r="M80" s="274">
        <f>L80*10%</f>
        <v>27667.5</v>
      </c>
      <c r="N80" s="274">
        <f t="shared" si="4"/>
        <v>249007.5</v>
      </c>
      <c r="O80" s="191"/>
      <c r="P80" s="393" t="str">
        <f>VLOOKUP(G:G,list!B:D,2,FALSE)</f>
        <v>원작료</v>
      </c>
    </row>
    <row r="81" spans="2:16" ht="18" customHeight="1">
      <c r="B81" s="341">
        <v>77</v>
      </c>
      <c r="C81" s="341" t="s">
        <v>238</v>
      </c>
      <c r="D81" s="366" t="s">
        <v>215</v>
      </c>
      <c r="E81" s="366" t="s">
        <v>9</v>
      </c>
      <c r="F81" s="341" t="s">
        <v>184</v>
      </c>
      <c r="G81" s="366" t="s">
        <v>218</v>
      </c>
      <c r="H81" s="365">
        <v>44395</v>
      </c>
      <c r="I81" s="341" t="s">
        <v>312</v>
      </c>
      <c r="J81" s="367">
        <v>19371940</v>
      </c>
      <c r="K81" s="368">
        <v>0.3</v>
      </c>
      <c r="L81" s="346">
        <v>5811582</v>
      </c>
      <c r="M81" s="194">
        <f>L81*10%</f>
        <v>581158.20000000007</v>
      </c>
      <c r="N81" s="274">
        <f t="shared" si="4"/>
        <v>5230423.8</v>
      </c>
      <c r="O81" s="364" t="s">
        <v>221</v>
      </c>
      <c r="P81" s="393" t="e">
        <f>VLOOKUP(G:G,list!B:D,2,FALSE)</f>
        <v>#N/A</v>
      </c>
    </row>
    <row r="82" spans="2:16" ht="18" customHeight="1">
      <c r="B82" s="341">
        <v>78</v>
      </c>
      <c r="C82" s="341" t="s">
        <v>238</v>
      </c>
      <c r="D82" s="366" t="s">
        <v>215</v>
      </c>
      <c r="E82" s="366" t="s">
        <v>9</v>
      </c>
      <c r="F82" s="341" t="s">
        <v>184</v>
      </c>
      <c r="G82" s="366" t="s">
        <v>219</v>
      </c>
      <c r="H82" s="365">
        <v>44486</v>
      </c>
      <c r="I82" s="341" t="s">
        <v>312</v>
      </c>
      <c r="J82" s="367">
        <v>23103110</v>
      </c>
      <c r="K82" s="368">
        <v>0.3</v>
      </c>
      <c r="L82" s="346">
        <v>6930933</v>
      </c>
      <c r="M82" s="194">
        <f>L82*12%</f>
        <v>831711.96</v>
      </c>
      <c r="N82" s="274">
        <f t="shared" si="4"/>
        <v>6099221.04</v>
      </c>
      <c r="O82" s="364" t="s">
        <v>221</v>
      </c>
      <c r="P82" s="393" t="e">
        <f>VLOOKUP(G:G,list!B:D,2,FALSE)</f>
        <v>#N/A</v>
      </c>
    </row>
    <row r="83" spans="2:16" ht="18" customHeight="1">
      <c r="B83" s="341">
        <v>79</v>
      </c>
      <c r="C83" s="341" t="s">
        <v>238</v>
      </c>
      <c r="D83" s="366" t="s">
        <v>215</v>
      </c>
      <c r="E83" s="366" t="s">
        <v>9</v>
      </c>
      <c r="F83" s="341" t="s">
        <v>184</v>
      </c>
      <c r="G83" s="366" t="s">
        <v>219</v>
      </c>
      <c r="H83" s="365">
        <v>44486</v>
      </c>
      <c r="I83" s="341" t="s">
        <v>305</v>
      </c>
      <c r="J83" s="361">
        <v>730276.66666666674</v>
      </c>
      <c r="K83" s="368">
        <v>0.3</v>
      </c>
      <c r="L83" s="346">
        <v>219083</v>
      </c>
      <c r="M83" s="194">
        <f>L83*12%</f>
        <v>26289.96</v>
      </c>
      <c r="N83" s="274">
        <f t="shared" si="4"/>
        <v>192793.04</v>
      </c>
      <c r="O83" s="364" t="s">
        <v>283</v>
      </c>
      <c r="P83" s="393" t="e">
        <f>VLOOKUP(G:G,list!B:D,2,FALSE)</f>
        <v>#N/A</v>
      </c>
    </row>
    <row r="84" spans="2:16" ht="18" customHeight="1">
      <c r="B84" s="341">
        <v>80</v>
      </c>
      <c r="C84" s="341" t="s">
        <v>238</v>
      </c>
      <c r="D84" s="366" t="s">
        <v>215</v>
      </c>
      <c r="E84" s="366" t="s">
        <v>9</v>
      </c>
      <c r="F84" s="341" t="s">
        <v>184</v>
      </c>
      <c r="G84" s="366" t="s">
        <v>12</v>
      </c>
      <c r="H84" s="365">
        <v>44544</v>
      </c>
      <c r="I84" s="341" t="s">
        <v>305</v>
      </c>
      <c r="J84" s="361">
        <v>262260</v>
      </c>
      <c r="K84" s="368">
        <v>0.3</v>
      </c>
      <c r="L84" s="346">
        <v>78678</v>
      </c>
      <c r="M84" s="274">
        <f>L84*10%</f>
        <v>7867.8</v>
      </c>
      <c r="N84" s="274">
        <f t="shared" si="4"/>
        <v>70810.2</v>
      </c>
      <c r="O84" s="364" t="s">
        <v>283</v>
      </c>
      <c r="P84" s="393" t="e">
        <f>VLOOKUP(G:G,list!B:D,2,FALSE)</f>
        <v>#N/A</v>
      </c>
    </row>
    <row r="85" spans="2:16" ht="18" customHeight="1">
      <c r="B85" s="341">
        <v>81</v>
      </c>
      <c r="C85" s="341" t="s">
        <v>310</v>
      </c>
      <c r="D85" s="366" t="s">
        <v>215</v>
      </c>
      <c r="E85" s="366" t="s">
        <v>9</v>
      </c>
      <c r="F85" s="341" t="s">
        <v>184</v>
      </c>
      <c r="G85" s="366" t="s">
        <v>135</v>
      </c>
      <c r="H85" s="365">
        <v>44420</v>
      </c>
      <c r="I85" s="341" t="s">
        <v>312</v>
      </c>
      <c r="J85" s="361">
        <v>3323313.3333333335</v>
      </c>
      <c r="K85" s="368">
        <v>0.3</v>
      </c>
      <c r="L85" s="346">
        <v>996994</v>
      </c>
      <c r="M85" s="194">
        <v>0</v>
      </c>
      <c r="N85" s="274">
        <f t="shared" si="4"/>
        <v>996994</v>
      </c>
      <c r="O85" s="364" t="s">
        <v>221</v>
      </c>
      <c r="P85" s="393" t="e">
        <f>VLOOKUP(G:G,list!B:D,2,FALSE)</f>
        <v>#N/A</v>
      </c>
    </row>
    <row r="86" spans="2:16" ht="18" customHeight="1">
      <c r="B86" s="341">
        <v>82</v>
      </c>
      <c r="C86" s="341" t="s">
        <v>318</v>
      </c>
      <c r="D86" s="369" t="s">
        <v>69</v>
      </c>
      <c r="E86" s="369" t="s">
        <v>68</v>
      </c>
      <c r="F86" s="372" t="s">
        <v>70</v>
      </c>
      <c r="G86" s="362" t="s">
        <v>42</v>
      </c>
      <c r="H86" s="363">
        <v>44293</v>
      </c>
      <c r="I86" s="341" t="s">
        <v>305</v>
      </c>
      <c r="J86" s="361">
        <v>9353</v>
      </c>
      <c r="K86" s="371">
        <v>0.5</v>
      </c>
      <c r="L86" s="346">
        <v>4677</v>
      </c>
      <c r="M86" s="194">
        <f>L86*10%</f>
        <v>467.70000000000005</v>
      </c>
      <c r="N86" s="274">
        <f t="shared" si="4"/>
        <v>4209.3</v>
      </c>
      <c r="O86" s="195" t="s">
        <v>85</v>
      </c>
      <c r="P86" s="393" t="e">
        <f>VLOOKUP(G:G,list!B:D,2,FALSE)</f>
        <v>#N/A</v>
      </c>
    </row>
    <row r="87" spans="2:16" ht="18" customHeight="1">
      <c r="B87" s="341">
        <v>83</v>
      </c>
      <c r="C87" s="341" t="s">
        <v>238</v>
      </c>
      <c r="D87" s="369" t="s">
        <v>69</v>
      </c>
      <c r="E87" s="369" t="s">
        <v>68</v>
      </c>
      <c r="F87" s="372" t="s">
        <v>70</v>
      </c>
      <c r="G87" s="362" t="s">
        <v>224</v>
      </c>
      <c r="H87" s="363">
        <v>44341</v>
      </c>
      <c r="I87" s="341" t="s">
        <v>305</v>
      </c>
      <c r="J87" s="361">
        <v>6844</v>
      </c>
      <c r="K87" s="371">
        <v>0.5</v>
      </c>
      <c r="L87" s="346">
        <v>3422</v>
      </c>
      <c r="M87" s="274">
        <f>L87*10%</f>
        <v>342.20000000000005</v>
      </c>
      <c r="N87" s="274">
        <f t="shared" si="4"/>
        <v>3079.8</v>
      </c>
      <c r="O87" s="197"/>
      <c r="P87" s="393" t="e">
        <f>VLOOKUP(G:G,list!B:D,2,FALSE)</f>
        <v>#N/A</v>
      </c>
    </row>
    <row r="88" spans="2:16" ht="18" customHeight="1">
      <c r="B88" s="341">
        <v>84</v>
      </c>
      <c r="C88" s="341" t="s">
        <v>238</v>
      </c>
      <c r="D88" s="369" t="s">
        <v>69</v>
      </c>
      <c r="E88" s="369" t="s">
        <v>68</v>
      </c>
      <c r="F88" s="372" t="s">
        <v>70</v>
      </c>
      <c r="G88" s="362" t="s">
        <v>28</v>
      </c>
      <c r="H88" s="363">
        <v>44291</v>
      </c>
      <c r="I88" s="341" t="s">
        <v>305</v>
      </c>
      <c r="J88" s="361">
        <v>56651</v>
      </c>
      <c r="K88" s="371">
        <v>0.5</v>
      </c>
      <c r="L88" s="346">
        <v>28326</v>
      </c>
      <c r="M88" s="194">
        <f>L88*12%</f>
        <v>3399.12</v>
      </c>
      <c r="N88" s="274">
        <f t="shared" si="4"/>
        <v>24926.880000000001</v>
      </c>
      <c r="O88" s="197"/>
      <c r="P88" s="393" t="e">
        <f>VLOOKUP(G:G,list!B:D,2,FALSE)</f>
        <v>#N/A</v>
      </c>
    </row>
    <row r="89" spans="2:16" ht="18" customHeight="1">
      <c r="B89" s="341">
        <v>85</v>
      </c>
      <c r="C89" s="341" t="s">
        <v>238</v>
      </c>
      <c r="D89" s="369" t="s">
        <v>69</v>
      </c>
      <c r="E89" s="369" t="s">
        <v>68</v>
      </c>
      <c r="F89" s="372" t="s">
        <v>70</v>
      </c>
      <c r="G89" s="362" t="s">
        <v>29</v>
      </c>
      <c r="H89" s="363">
        <v>44410</v>
      </c>
      <c r="I89" s="341" t="s">
        <v>305</v>
      </c>
      <c r="J89" s="361">
        <v>18934</v>
      </c>
      <c r="K89" s="371">
        <v>0.5</v>
      </c>
      <c r="L89" s="346">
        <v>9467</v>
      </c>
      <c r="M89" s="274">
        <f>L89*10%</f>
        <v>946.7</v>
      </c>
      <c r="N89" s="274">
        <f t="shared" si="4"/>
        <v>8520.2999999999993</v>
      </c>
      <c r="O89" s="194"/>
      <c r="P89" s="393" t="e">
        <f>VLOOKUP(G:G,list!B:D,2,FALSE)</f>
        <v>#N/A</v>
      </c>
    </row>
    <row r="90" spans="2:16" ht="18" customHeight="1">
      <c r="B90" s="341">
        <v>86</v>
      </c>
      <c r="C90" s="341" t="s">
        <v>238</v>
      </c>
      <c r="D90" s="369" t="s">
        <v>69</v>
      </c>
      <c r="E90" s="369" t="s">
        <v>68</v>
      </c>
      <c r="F90" s="372" t="s">
        <v>70</v>
      </c>
      <c r="G90" s="362" t="s">
        <v>151</v>
      </c>
      <c r="H90" s="363">
        <v>44524</v>
      </c>
      <c r="I90" s="341" t="s">
        <v>305</v>
      </c>
      <c r="J90" s="361">
        <v>9049</v>
      </c>
      <c r="K90" s="371">
        <v>0.5</v>
      </c>
      <c r="L90" s="346">
        <v>4524</v>
      </c>
      <c r="M90" s="274">
        <f>L90*10%</f>
        <v>452.40000000000003</v>
      </c>
      <c r="N90" s="274">
        <f t="shared" si="4"/>
        <v>4071.6</v>
      </c>
      <c r="O90" s="370"/>
      <c r="P90" s="393" t="str">
        <f>VLOOKUP(G:G,list!B:D,2,FALSE)</f>
        <v>원작료</v>
      </c>
    </row>
    <row r="91" spans="2:16" ht="18" customHeight="1">
      <c r="B91" s="341">
        <v>87</v>
      </c>
      <c r="C91" s="341" t="s">
        <v>318</v>
      </c>
      <c r="D91" s="369" t="s">
        <v>182</v>
      </c>
      <c r="E91" s="369" t="s">
        <v>9</v>
      </c>
      <c r="F91" s="372" t="s">
        <v>228</v>
      </c>
      <c r="G91" s="374" t="s">
        <v>179</v>
      </c>
      <c r="H91" s="353">
        <v>44180</v>
      </c>
      <c r="I91" s="341" t="s">
        <v>305</v>
      </c>
      <c r="J91" s="361">
        <v>483067</v>
      </c>
      <c r="K91" s="371">
        <v>0.5</v>
      </c>
      <c r="L91" s="346">
        <v>241533.5</v>
      </c>
      <c r="M91" s="194">
        <f>L91*10%</f>
        <v>24153.350000000002</v>
      </c>
      <c r="N91" s="274">
        <f t="shared" si="4"/>
        <v>217380.15</v>
      </c>
      <c r="O91" s="195" t="s">
        <v>85</v>
      </c>
      <c r="P91" s="393" t="e">
        <f>VLOOKUP(G:G,list!B:D,2,FALSE)</f>
        <v>#N/A</v>
      </c>
    </row>
    <row r="92" spans="2:16" ht="18" customHeight="1">
      <c r="B92" s="341">
        <v>88</v>
      </c>
      <c r="C92" s="341" t="s">
        <v>238</v>
      </c>
      <c r="D92" s="369" t="s">
        <v>182</v>
      </c>
      <c r="E92" s="369" t="s">
        <v>9</v>
      </c>
      <c r="F92" s="372" t="s">
        <v>228</v>
      </c>
      <c r="G92" s="374" t="s">
        <v>152</v>
      </c>
      <c r="H92" s="353">
        <v>44180</v>
      </c>
      <c r="I92" s="341" t="s">
        <v>305</v>
      </c>
      <c r="J92" s="361">
        <v>195079</v>
      </c>
      <c r="K92" s="371">
        <v>0.5</v>
      </c>
      <c r="L92" s="346">
        <v>97539.5</v>
      </c>
      <c r="M92" s="194">
        <f>L92*12%</f>
        <v>11704.74</v>
      </c>
      <c r="N92" s="274">
        <f t="shared" si="4"/>
        <v>85834.76</v>
      </c>
      <c r="O92" s="194"/>
      <c r="P92" s="393" t="e">
        <f>VLOOKUP(G:G,list!B:D,2,FALSE)</f>
        <v>#N/A</v>
      </c>
    </row>
    <row r="93" spans="2:16" ht="18" customHeight="1">
      <c r="B93" s="341">
        <v>89</v>
      </c>
      <c r="C93" s="341" t="s">
        <v>238</v>
      </c>
      <c r="D93" s="369" t="s">
        <v>182</v>
      </c>
      <c r="E93" s="369" t="s">
        <v>9</v>
      </c>
      <c r="F93" s="372" t="s">
        <v>228</v>
      </c>
      <c r="G93" s="374" t="s">
        <v>153</v>
      </c>
      <c r="H93" s="353">
        <v>44180</v>
      </c>
      <c r="I93" s="341" t="s">
        <v>305</v>
      </c>
      <c r="J93" s="361">
        <v>313688</v>
      </c>
      <c r="K93" s="371">
        <v>0.5</v>
      </c>
      <c r="L93" s="346">
        <v>156844</v>
      </c>
      <c r="M93" s="274">
        <f>L93*10%</f>
        <v>15684.400000000001</v>
      </c>
      <c r="N93" s="274">
        <f t="shared" si="4"/>
        <v>141159.6</v>
      </c>
      <c r="O93" s="194"/>
      <c r="P93" s="393" t="e">
        <f>VLOOKUP(G:G,list!B:D,2,FALSE)</f>
        <v>#N/A</v>
      </c>
    </row>
    <row r="94" spans="2:16" ht="18" customHeight="1">
      <c r="B94" s="341">
        <v>90</v>
      </c>
      <c r="C94" s="341" t="s">
        <v>310</v>
      </c>
      <c r="D94" s="369" t="s">
        <v>182</v>
      </c>
      <c r="E94" s="369" t="s">
        <v>9</v>
      </c>
      <c r="F94" s="372" t="s">
        <v>228</v>
      </c>
      <c r="G94" s="374" t="s">
        <v>180</v>
      </c>
      <c r="H94" s="353">
        <v>44180</v>
      </c>
      <c r="I94" s="341" t="s">
        <v>305</v>
      </c>
      <c r="J94" s="361">
        <v>1427251</v>
      </c>
      <c r="K94" s="371">
        <v>0.5</v>
      </c>
      <c r="L94" s="346">
        <v>713625.5</v>
      </c>
      <c r="M94" s="274">
        <v>0</v>
      </c>
      <c r="N94" s="274">
        <f t="shared" si="4"/>
        <v>713625.5</v>
      </c>
      <c r="O94" s="194"/>
      <c r="P94" s="393" t="str">
        <f>VLOOKUP(G:G,list!B:D,2,FALSE)</f>
        <v>작가기획</v>
      </c>
    </row>
    <row r="95" spans="2:16" ht="18" customHeight="1">
      <c r="B95" s="341">
        <v>91</v>
      </c>
      <c r="C95" s="341" t="s">
        <v>310</v>
      </c>
      <c r="D95" s="369" t="s">
        <v>182</v>
      </c>
      <c r="E95" s="369" t="s">
        <v>9</v>
      </c>
      <c r="F95" s="372" t="s">
        <v>228</v>
      </c>
      <c r="G95" s="374" t="s">
        <v>139</v>
      </c>
      <c r="H95" s="353">
        <v>44180</v>
      </c>
      <c r="I95" s="341" t="s">
        <v>305</v>
      </c>
      <c r="J95" s="361">
        <v>57842</v>
      </c>
      <c r="K95" s="371">
        <v>0.5</v>
      </c>
      <c r="L95" s="346">
        <v>28921</v>
      </c>
      <c r="M95" s="194">
        <v>0</v>
      </c>
      <c r="N95" s="274">
        <f t="shared" si="4"/>
        <v>28921</v>
      </c>
      <c r="O95" s="194"/>
      <c r="P95" s="393" t="str">
        <f>VLOOKUP(G:G,list!B:D,2,FALSE)</f>
        <v>작가기획</v>
      </c>
    </row>
    <row r="96" spans="2:16" ht="18" customHeight="1">
      <c r="B96" s="341">
        <v>92</v>
      </c>
      <c r="C96" s="341" t="s">
        <v>318</v>
      </c>
      <c r="D96" s="369" t="s">
        <v>182</v>
      </c>
      <c r="E96" s="369" t="s">
        <v>115</v>
      </c>
      <c r="F96" s="372" t="s">
        <v>228</v>
      </c>
      <c r="G96" s="375" t="s">
        <v>231</v>
      </c>
      <c r="H96" s="353">
        <v>44180</v>
      </c>
      <c r="I96" s="341" t="s">
        <v>305</v>
      </c>
      <c r="J96" s="361">
        <v>143269</v>
      </c>
      <c r="K96" s="371">
        <v>0.5</v>
      </c>
      <c r="L96" s="346">
        <v>71634.5</v>
      </c>
      <c r="M96" s="194">
        <v>0</v>
      </c>
      <c r="N96" s="274">
        <f t="shared" si="4"/>
        <v>71634.5</v>
      </c>
      <c r="O96" s="194"/>
      <c r="P96" s="393" t="e">
        <f>VLOOKUP(G:G,list!B:D,2,FALSE)</f>
        <v>#N/A</v>
      </c>
    </row>
    <row r="97" spans="2:16" ht="18" customHeight="1">
      <c r="B97" s="341">
        <v>93</v>
      </c>
      <c r="C97" s="341" t="s">
        <v>238</v>
      </c>
      <c r="D97" s="369" t="s">
        <v>182</v>
      </c>
      <c r="E97" s="369" t="s">
        <v>9</v>
      </c>
      <c r="F97" s="372" t="s">
        <v>228</v>
      </c>
      <c r="G97" s="374" t="s">
        <v>151</v>
      </c>
      <c r="H97" s="353">
        <v>44207</v>
      </c>
      <c r="I97" s="341" t="s">
        <v>305</v>
      </c>
      <c r="J97" s="361">
        <v>114025</v>
      </c>
      <c r="K97" s="371">
        <v>0.5</v>
      </c>
      <c r="L97" s="346">
        <v>57012.5</v>
      </c>
      <c r="M97" s="274">
        <f t="shared" ref="M97:M102" si="5">L97*10%</f>
        <v>5701.25</v>
      </c>
      <c r="N97" s="274">
        <f t="shared" si="4"/>
        <v>51311.25</v>
      </c>
      <c r="O97" s="194"/>
      <c r="P97" s="393" t="str">
        <f>VLOOKUP(G:G,list!B:D,2,FALSE)</f>
        <v>원작료</v>
      </c>
    </row>
    <row r="98" spans="2:16" ht="18" customHeight="1">
      <c r="B98" s="341">
        <v>94</v>
      </c>
      <c r="C98" s="341" t="s">
        <v>238</v>
      </c>
      <c r="D98" s="369" t="s">
        <v>182</v>
      </c>
      <c r="E98" s="369" t="s">
        <v>9</v>
      </c>
      <c r="F98" s="372" t="s">
        <v>228</v>
      </c>
      <c r="G98" s="374" t="s">
        <v>225</v>
      </c>
      <c r="H98" s="353">
        <v>44357</v>
      </c>
      <c r="I98" s="341" t="s">
        <v>305</v>
      </c>
      <c r="J98" s="361">
        <v>77201</v>
      </c>
      <c r="K98" s="371">
        <v>0.5</v>
      </c>
      <c r="L98" s="346">
        <v>38600.5</v>
      </c>
      <c r="M98" s="274">
        <f t="shared" si="5"/>
        <v>3860.05</v>
      </c>
      <c r="N98" s="274">
        <f t="shared" ref="N98:N129" si="6">L98-M98</f>
        <v>34740.449999999997</v>
      </c>
      <c r="O98" s="347"/>
      <c r="P98" s="393" t="e">
        <f>VLOOKUP(G:G,list!B:D,2,FALSE)</f>
        <v>#N/A</v>
      </c>
    </row>
    <row r="99" spans="2:16" ht="18" customHeight="1">
      <c r="B99" s="341">
        <v>95</v>
      </c>
      <c r="C99" s="341" t="s">
        <v>238</v>
      </c>
      <c r="D99" s="369" t="s">
        <v>182</v>
      </c>
      <c r="E99" s="369" t="s">
        <v>115</v>
      </c>
      <c r="F99" s="372" t="s">
        <v>228</v>
      </c>
      <c r="G99" s="374" t="s">
        <v>204</v>
      </c>
      <c r="H99" s="353">
        <v>44365</v>
      </c>
      <c r="I99" s="341" t="s">
        <v>305</v>
      </c>
      <c r="J99" s="361">
        <v>185406</v>
      </c>
      <c r="K99" s="371">
        <v>0.5</v>
      </c>
      <c r="L99" s="346">
        <v>92703</v>
      </c>
      <c r="M99" s="194">
        <f t="shared" si="5"/>
        <v>9270.3000000000011</v>
      </c>
      <c r="N99" s="274">
        <f t="shared" si="6"/>
        <v>83432.7</v>
      </c>
      <c r="O99" s="194"/>
      <c r="P99" s="393" t="e">
        <f>VLOOKUP(G:G,list!B:D,2,FALSE)</f>
        <v>#N/A</v>
      </c>
    </row>
    <row r="100" spans="2:16" ht="18" customHeight="1">
      <c r="B100" s="341">
        <v>96</v>
      </c>
      <c r="C100" s="341" t="s">
        <v>238</v>
      </c>
      <c r="D100" s="369" t="s">
        <v>182</v>
      </c>
      <c r="E100" s="369" t="s">
        <v>9</v>
      </c>
      <c r="F100" s="372" t="s">
        <v>228</v>
      </c>
      <c r="G100" s="374" t="s">
        <v>191</v>
      </c>
      <c r="H100" s="353">
        <v>44372</v>
      </c>
      <c r="I100" s="341" t="s">
        <v>305</v>
      </c>
      <c r="J100" s="361">
        <v>214018</v>
      </c>
      <c r="K100" s="371">
        <v>0.5</v>
      </c>
      <c r="L100" s="346">
        <v>107009</v>
      </c>
      <c r="M100" s="194">
        <f t="shared" si="5"/>
        <v>10700.900000000001</v>
      </c>
      <c r="N100" s="274">
        <f t="shared" si="6"/>
        <v>96308.1</v>
      </c>
      <c r="O100" s="194"/>
      <c r="P100" s="393" t="e">
        <f>VLOOKUP(G:G,list!B:D,2,FALSE)</f>
        <v>#N/A</v>
      </c>
    </row>
    <row r="101" spans="2:16" ht="18" customHeight="1">
      <c r="B101" s="341">
        <v>97</v>
      </c>
      <c r="C101" s="341" t="s">
        <v>238</v>
      </c>
      <c r="D101" s="369" t="s">
        <v>182</v>
      </c>
      <c r="E101" s="369" t="s">
        <v>9</v>
      </c>
      <c r="F101" s="372" t="s">
        <v>228</v>
      </c>
      <c r="G101" s="360" t="s">
        <v>59</v>
      </c>
      <c r="H101" s="310">
        <v>44392</v>
      </c>
      <c r="I101" s="341" t="s">
        <v>305</v>
      </c>
      <c r="J101" s="361">
        <v>1933529</v>
      </c>
      <c r="K101" s="371">
        <v>0.5</v>
      </c>
      <c r="L101" s="346">
        <v>966764.5</v>
      </c>
      <c r="M101" s="274">
        <f t="shared" si="5"/>
        <v>96676.450000000012</v>
      </c>
      <c r="N101" s="274">
        <f t="shared" si="6"/>
        <v>870088.05</v>
      </c>
      <c r="O101" s="194"/>
      <c r="P101" s="393" t="e">
        <f>VLOOKUP(G:G,list!B:D,2,FALSE)</f>
        <v>#N/A</v>
      </c>
    </row>
    <row r="102" spans="2:16" ht="18" customHeight="1">
      <c r="B102" s="341">
        <v>98</v>
      </c>
      <c r="C102" s="341" t="s">
        <v>238</v>
      </c>
      <c r="D102" s="369" t="s">
        <v>182</v>
      </c>
      <c r="E102" s="362" t="s">
        <v>9</v>
      </c>
      <c r="F102" s="372" t="s">
        <v>228</v>
      </c>
      <c r="G102" s="374" t="s">
        <v>227</v>
      </c>
      <c r="H102" s="353">
        <v>44439</v>
      </c>
      <c r="I102" s="341" t="s">
        <v>305</v>
      </c>
      <c r="J102" s="361">
        <v>3951</v>
      </c>
      <c r="K102" s="371">
        <v>0.5</v>
      </c>
      <c r="L102" s="346">
        <v>1975.5</v>
      </c>
      <c r="M102" s="194">
        <f t="shared" si="5"/>
        <v>197.55</v>
      </c>
      <c r="N102" s="274">
        <f t="shared" si="6"/>
        <v>1777.95</v>
      </c>
      <c r="O102" s="194"/>
      <c r="P102" s="393" t="e">
        <f>VLOOKUP(G:G,list!B:D,2,FALSE)</f>
        <v>#N/A</v>
      </c>
    </row>
    <row r="103" spans="2:16" ht="18" customHeight="1">
      <c r="B103" s="341">
        <v>99</v>
      </c>
      <c r="C103" s="341" t="s">
        <v>310</v>
      </c>
      <c r="D103" s="369" t="s">
        <v>182</v>
      </c>
      <c r="E103" s="362" t="s">
        <v>115</v>
      </c>
      <c r="F103" s="372" t="s">
        <v>228</v>
      </c>
      <c r="G103" s="374" t="s">
        <v>202</v>
      </c>
      <c r="H103" s="310">
        <v>44463</v>
      </c>
      <c r="I103" s="341" t="s">
        <v>305</v>
      </c>
      <c r="J103" s="361">
        <v>14355</v>
      </c>
      <c r="K103" s="371">
        <v>0.5</v>
      </c>
      <c r="L103" s="346">
        <v>7177.5</v>
      </c>
      <c r="M103" s="194">
        <v>0</v>
      </c>
      <c r="N103" s="274">
        <f t="shared" si="6"/>
        <v>7177.5</v>
      </c>
      <c r="O103" s="194"/>
      <c r="P103" s="393" t="e">
        <f>VLOOKUP(G:G,list!B:D,2,FALSE)</f>
        <v>#N/A</v>
      </c>
    </row>
    <row r="104" spans="2:16" ht="18" customHeight="1">
      <c r="B104" s="341">
        <v>100</v>
      </c>
      <c r="C104" s="341" t="s">
        <v>238</v>
      </c>
      <c r="D104" s="369" t="s">
        <v>182</v>
      </c>
      <c r="E104" s="369" t="s">
        <v>9</v>
      </c>
      <c r="F104" s="372" t="s">
        <v>228</v>
      </c>
      <c r="G104" s="376" t="s">
        <v>38</v>
      </c>
      <c r="H104" s="310">
        <v>44491</v>
      </c>
      <c r="I104" s="341" t="s">
        <v>305</v>
      </c>
      <c r="J104" s="361">
        <v>72731</v>
      </c>
      <c r="K104" s="371">
        <v>0.5</v>
      </c>
      <c r="L104" s="346">
        <v>36365.5</v>
      </c>
      <c r="M104" s="274">
        <f>L104*10%</f>
        <v>3636.55</v>
      </c>
      <c r="N104" s="274">
        <f t="shared" si="6"/>
        <v>32728.95</v>
      </c>
      <c r="O104" s="347"/>
      <c r="P104" s="393" t="e">
        <f>VLOOKUP(G:G,list!B:D,2,FALSE)</f>
        <v>#N/A</v>
      </c>
    </row>
    <row r="105" spans="2:16" ht="18" customHeight="1">
      <c r="B105" s="341">
        <v>101</v>
      </c>
      <c r="C105" s="341" t="s">
        <v>238</v>
      </c>
      <c r="D105" s="369" t="s">
        <v>182</v>
      </c>
      <c r="E105" s="369" t="s">
        <v>9</v>
      </c>
      <c r="F105" s="372" t="s">
        <v>228</v>
      </c>
      <c r="G105" s="374" t="s">
        <v>226</v>
      </c>
      <c r="H105" s="353">
        <v>44371</v>
      </c>
      <c r="I105" s="341" t="s">
        <v>305</v>
      </c>
      <c r="J105" s="361">
        <v>1040</v>
      </c>
      <c r="K105" s="371">
        <v>0.5</v>
      </c>
      <c r="L105" s="346">
        <v>520</v>
      </c>
      <c r="M105" s="274">
        <f>L105*10%</f>
        <v>52</v>
      </c>
      <c r="N105" s="274">
        <f t="shared" si="6"/>
        <v>468</v>
      </c>
      <c r="O105" s="347"/>
      <c r="P105" s="393" t="e">
        <f>VLOOKUP(G:G,list!B:D,2,FALSE)</f>
        <v>#N/A</v>
      </c>
    </row>
    <row r="106" spans="2:16" ht="18" customHeight="1">
      <c r="B106" s="341">
        <v>102</v>
      </c>
      <c r="C106" s="341" t="s">
        <v>238</v>
      </c>
      <c r="D106" s="369" t="s">
        <v>182</v>
      </c>
      <c r="E106" s="369" t="s">
        <v>9</v>
      </c>
      <c r="F106" s="372" t="s">
        <v>228</v>
      </c>
      <c r="G106" s="374" t="s">
        <v>74</v>
      </c>
      <c r="H106" s="353">
        <v>44180</v>
      </c>
      <c r="I106" s="341" t="s">
        <v>305</v>
      </c>
      <c r="J106" s="361">
        <v>4472</v>
      </c>
      <c r="K106" s="371">
        <v>0.5</v>
      </c>
      <c r="L106" s="346">
        <v>2236</v>
      </c>
      <c r="M106" s="274">
        <f>L106*10%</f>
        <v>223.60000000000002</v>
      </c>
      <c r="N106" s="274">
        <f t="shared" si="6"/>
        <v>2012.4</v>
      </c>
      <c r="O106" s="347"/>
      <c r="P106" s="393" t="e">
        <f>VLOOKUP(G:G,list!B:D,2,FALSE)</f>
        <v>#N/A</v>
      </c>
    </row>
    <row r="107" spans="2:16" ht="18" customHeight="1">
      <c r="B107" s="341">
        <v>103</v>
      </c>
      <c r="C107" s="341" t="s">
        <v>238</v>
      </c>
      <c r="D107" s="366" t="s">
        <v>313</v>
      </c>
      <c r="E107" s="366" t="s">
        <v>9</v>
      </c>
      <c r="F107" s="341" t="s">
        <v>184</v>
      </c>
      <c r="G107" s="366" t="s">
        <v>219</v>
      </c>
      <c r="H107" s="365">
        <v>44642</v>
      </c>
      <c r="I107" s="341" t="s">
        <v>312</v>
      </c>
      <c r="J107" s="367">
        <v>1253253.3333333335</v>
      </c>
      <c r="K107" s="368">
        <v>0.3</v>
      </c>
      <c r="L107" s="346">
        <v>375976</v>
      </c>
      <c r="M107" s="194">
        <f>L107*12%</f>
        <v>45117.119999999995</v>
      </c>
      <c r="N107" s="274">
        <f t="shared" si="6"/>
        <v>330858.88</v>
      </c>
      <c r="O107" s="364" t="s">
        <v>286</v>
      </c>
      <c r="P107" s="393" t="e">
        <f>VLOOKUP(G:G,list!B:D,2,FALSE)</f>
        <v>#N/A</v>
      </c>
    </row>
    <row r="108" spans="2:16" ht="18" customHeight="1">
      <c r="B108" s="341">
        <v>104</v>
      </c>
      <c r="C108" s="341" t="s">
        <v>318</v>
      </c>
      <c r="D108" s="341" t="s">
        <v>189</v>
      </c>
      <c r="E108" s="362" t="s">
        <v>9</v>
      </c>
      <c r="F108" s="341" t="s">
        <v>41</v>
      </c>
      <c r="G108" s="362" t="s">
        <v>179</v>
      </c>
      <c r="H108" s="363">
        <v>44114</v>
      </c>
      <c r="I108" s="341" t="s">
        <v>305</v>
      </c>
      <c r="J108" s="357">
        <v>180045</v>
      </c>
      <c r="K108" s="345">
        <v>0.8</v>
      </c>
      <c r="L108" s="346">
        <v>144036</v>
      </c>
      <c r="M108" s="194">
        <f>L108*10%</f>
        <v>14403.6</v>
      </c>
      <c r="N108" s="274">
        <f t="shared" si="6"/>
        <v>129632.4</v>
      </c>
      <c r="O108" s="195" t="s">
        <v>85</v>
      </c>
      <c r="P108" s="393" t="e">
        <f>VLOOKUP(G:G,list!B:D,2,FALSE)</f>
        <v>#N/A</v>
      </c>
    </row>
    <row r="109" spans="2:16" ht="18" customHeight="1">
      <c r="B109" s="341">
        <v>105</v>
      </c>
      <c r="C109" s="341" t="s">
        <v>238</v>
      </c>
      <c r="D109" s="341" t="s">
        <v>189</v>
      </c>
      <c r="E109" s="362" t="s">
        <v>9</v>
      </c>
      <c r="F109" s="341" t="s">
        <v>41</v>
      </c>
      <c r="G109" s="362" t="s">
        <v>153</v>
      </c>
      <c r="H109" s="363">
        <v>44122</v>
      </c>
      <c r="I109" s="341" t="s">
        <v>305</v>
      </c>
      <c r="J109" s="357">
        <v>96247</v>
      </c>
      <c r="K109" s="345">
        <v>0.8</v>
      </c>
      <c r="L109" s="346">
        <v>76997</v>
      </c>
      <c r="M109" s="274">
        <f>L109*10%</f>
        <v>7699.7000000000007</v>
      </c>
      <c r="N109" s="274">
        <f t="shared" si="6"/>
        <v>69297.3</v>
      </c>
      <c r="O109" s="191"/>
      <c r="P109" s="393" t="e">
        <f>VLOOKUP(G:G,list!B:D,2,FALSE)</f>
        <v>#N/A</v>
      </c>
    </row>
    <row r="110" spans="2:16" ht="18" customHeight="1">
      <c r="B110" s="341">
        <v>106</v>
      </c>
      <c r="C110" s="341" t="s">
        <v>238</v>
      </c>
      <c r="D110" s="341" t="s">
        <v>189</v>
      </c>
      <c r="E110" s="362" t="s">
        <v>9</v>
      </c>
      <c r="F110" s="341" t="s">
        <v>41</v>
      </c>
      <c r="G110" s="362" t="s">
        <v>152</v>
      </c>
      <c r="H110" s="363">
        <v>44250</v>
      </c>
      <c r="I110" s="341" t="s">
        <v>305</v>
      </c>
      <c r="J110" s="357">
        <v>87368</v>
      </c>
      <c r="K110" s="345">
        <v>0.8</v>
      </c>
      <c r="L110" s="346">
        <v>69894</v>
      </c>
      <c r="M110" s="194">
        <f>L110*12%</f>
        <v>8387.2799999999988</v>
      </c>
      <c r="N110" s="274">
        <f t="shared" si="6"/>
        <v>61506.720000000001</v>
      </c>
      <c r="O110" s="191"/>
      <c r="P110" s="393" t="e">
        <f>VLOOKUP(G:G,list!B:D,2,FALSE)</f>
        <v>#N/A</v>
      </c>
    </row>
    <row r="111" spans="2:16" ht="18" customHeight="1">
      <c r="B111" s="341">
        <v>107</v>
      </c>
      <c r="C111" s="341" t="s">
        <v>238</v>
      </c>
      <c r="D111" s="341" t="s">
        <v>189</v>
      </c>
      <c r="E111" s="362" t="s">
        <v>9</v>
      </c>
      <c r="F111" s="341" t="s">
        <v>41</v>
      </c>
      <c r="G111" s="362" t="s">
        <v>151</v>
      </c>
      <c r="H111" s="363">
        <v>44265</v>
      </c>
      <c r="I111" s="341" t="s">
        <v>305</v>
      </c>
      <c r="J111" s="357">
        <v>236063</v>
      </c>
      <c r="K111" s="345">
        <v>0.8</v>
      </c>
      <c r="L111" s="346">
        <v>188850</v>
      </c>
      <c r="M111" s="274">
        <f>L111*10%</f>
        <v>18885</v>
      </c>
      <c r="N111" s="274">
        <f t="shared" si="6"/>
        <v>169965</v>
      </c>
      <c r="O111" s="364"/>
      <c r="P111" s="393" t="str">
        <f>VLOOKUP(G:G,list!B:D,2,FALSE)</f>
        <v>원작료</v>
      </c>
    </row>
    <row r="112" spans="2:16" ht="18" customHeight="1">
      <c r="B112" s="341">
        <v>108</v>
      </c>
      <c r="C112" s="341" t="s">
        <v>238</v>
      </c>
      <c r="D112" s="366" t="s">
        <v>217</v>
      </c>
      <c r="E112" s="366" t="s">
        <v>9</v>
      </c>
      <c r="F112" s="341" t="s">
        <v>184</v>
      </c>
      <c r="G112" s="366" t="s">
        <v>218</v>
      </c>
      <c r="H112" s="365">
        <v>44366</v>
      </c>
      <c r="I112" s="341" t="s">
        <v>312</v>
      </c>
      <c r="J112" s="367">
        <v>13827850</v>
      </c>
      <c r="K112" s="368">
        <v>0.3</v>
      </c>
      <c r="L112" s="346">
        <v>4148355</v>
      </c>
      <c r="M112" s="194">
        <f>L112*10%</f>
        <v>414835.5</v>
      </c>
      <c r="N112" s="274">
        <f t="shared" si="6"/>
        <v>3733519.5</v>
      </c>
      <c r="O112" s="364" t="s">
        <v>221</v>
      </c>
      <c r="P112" s="393" t="e">
        <f>VLOOKUP(G:G,list!B:D,2,FALSE)</f>
        <v>#N/A</v>
      </c>
    </row>
    <row r="113" spans="2:16" ht="18" customHeight="1">
      <c r="B113" s="341">
        <v>109</v>
      </c>
      <c r="C113" s="341" t="s">
        <v>238</v>
      </c>
      <c r="D113" s="366" t="s">
        <v>217</v>
      </c>
      <c r="E113" s="366" t="s">
        <v>9</v>
      </c>
      <c r="F113" s="341" t="s">
        <v>184</v>
      </c>
      <c r="G113" s="366" t="s">
        <v>219</v>
      </c>
      <c r="H113" s="365">
        <v>44466</v>
      </c>
      <c r="I113" s="341" t="s">
        <v>312</v>
      </c>
      <c r="J113" s="367">
        <v>6973016.666666667</v>
      </c>
      <c r="K113" s="368">
        <v>0.3</v>
      </c>
      <c r="L113" s="346">
        <v>2091905</v>
      </c>
      <c r="M113" s="194">
        <f>L113*12%</f>
        <v>251028.59999999998</v>
      </c>
      <c r="N113" s="274">
        <f t="shared" si="6"/>
        <v>1840876.4</v>
      </c>
      <c r="O113" s="364" t="s">
        <v>221</v>
      </c>
      <c r="P113" s="393" t="e">
        <f>VLOOKUP(G:G,list!B:D,2,FALSE)</f>
        <v>#N/A</v>
      </c>
    </row>
    <row r="114" spans="2:16" ht="18" customHeight="1">
      <c r="B114" s="341">
        <v>110</v>
      </c>
      <c r="C114" s="341" t="s">
        <v>238</v>
      </c>
      <c r="D114" s="341" t="s">
        <v>251</v>
      </c>
      <c r="E114" s="341" t="s">
        <v>9</v>
      </c>
      <c r="F114" s="341" t="s">
        <v>41</v>
      </c>
      <c r="G114" s="341" t="s">
        <v>212</v>
      </c>
      <c r="H114" s="365">
        <v>44327</v>
      </c>
      <c r="I114" s="341" t="s">
        <v>305</v>
      </c>
      <c r="J114" s="357">
        <v>610523</v>
      </c>
      <c r="K114" s="345">
        <v>0.8</v>
      </c>
      <c r="L114" s="346">
        <v>488418</v>
      </c>
      <c r="M114" s="194">
        <f>L114*10%</f>
        <v>48841.8</v>
      </c>
      <c r="N114" s="274">
        <f t="shared" si="6"/>
        <v>439576.2</v>
      </c>
      <c r="O114" s="364"/>
      <c r="P114" s="393" t="e">
        <f>VLOOKUP(G:G,list!B:D,2,FALSE)</f>
        <v>#N/A</v>
      </c>
    </row>
    <row r="115" spans="2:16" ht="18" customHeight="1">
      <c r="B115" s="341">
        <v>111</v>
      </c>
      <c r="C115" s="341" t="s">
        <v>238</v>
      </c>
      <c r="D115" s="366" t="s">
        <v>252</v>
      </c>
      <c r="E115" s="366" t="s">
        <v>9</v>
      </c>
      <c r="F115" s="341" t="s">
        <v>184</v>
      </c>
      <c r="G115" s="366" t="s">
        <v>218</v>
      </c>
      <c r="H115" s="365">
        <v>44466</v>
      </c>
      <c r="I115" s="341" t="s">
        <v>305</v>
      </c>
      <c r="J115" s="357">
        <v>107825313.33333334</v>
      </c>
      <c r="K115" s="345">
        <v>0.3</v>
      </c>
      <c r="L115" s="346">
        <v>32347594</v>
      </c>
      <c r="M115" s="194">
        <f>L115*10%</f>
        <v>3234759.4000000004</v>
      </c>
      <c r="N115" s="274">
        <f t="shared" si="6"/>
        <v>29112834.600000001</v>
      </c>
      <c r="O115" s="364" t="s">
        <v>282</v>
      </c>
      <c r="P115" s="393" t="e">
        <f>VLOOKUP(G:G,list!B:D,2,FALSE)</f>
        <v>#N/A</v>
      </c>
    </row>
    <row r="116" spans="2:16" ht="18" customHeight="1">
      <c r="B116" s="341">
        <v>112</v>
      </c>
      <c r="C116" s="341" t="s">
        <v>310</v>
      </c>
      <c r="D116" s="366" t="s">
        <v>252</v>
      </c>
      <c r="E116" s="366" t="s">
        <v>9</v>
      </c>
      <c r="F116" s="341" t="s">
        <v>184</v>
      </c>
      <c r="G116" s="366" t="s">
        <v>135</v>
      </c>
      <c r="H116" s="365">
        <v>44468</v>
      </c>
      <c r="I116" s="341" t="s">
        <v>305</v>
      </c>
      <c r="J116" s="357">
        <v>94850</v>
      </c>
      <c r="K116" s="345">
        <v>0.3</v>
      </c>
      <c r="L116" s="346">
        <v>28455</v>
      </c>
      <c r="M116" s="194">
        <v>0</v>
      </c>
      <c r="N116" s="274">
        <f t="shared" si="6"/>
        <v>28455</v>
      </c>
      <c r="O116" s="364" t="s">
        <v>282</v>
      </c>
      <c r="P116" s="393" t="e">
        <f>VLOOKUP(G:G,list!B:D,2,FALSE)</f>
        <v>#N/A</v>
      </c>
    </row>
    <row r="117" spans="2:16" ht="18" customHeight="1">
      <c r="B117" s="341">
        <v>113</v>
      </c>
      <c r="C117" s="341" t="s">
        <v>238</v>
      </c>
      <c r="D117" s="366" t="s">
        <v>252</v>
      </c>
      <c r="E117" s="366" t="s">
        <v>9</v>
      </c>
      <c r="F117" s="341" t="s">
        <v>184</v>
      </c>
      <c r="G117" s="366" t="s">
        <v>219</v>
      </c>
      <c r="H117" s="365">
        <v>44498</v>
      </c>
      <c r="I117" s="341" t="s">
        <v>305</v>
      </c>
      <c r="J117" s="367">
        <v>33515313.333333336</v>
      </c>
      <c r="K117" s="345">
        <v>0.3</v>
      </c>
      <c r="L117" s="346">
        <v>10054594</v>
      </c>
      <c r="M117" s="194">
        <f>L117*12%</f>
        <v>1206551.28</v>
      </c>
      <c r="N117" s="274">
        <f t="shared" si="6"/>
        <v>8848042.7200000007</v>
      </c>
      <c r="O117" s="364" t="s">
        <v>282</v>
      </c>
      <c r="P117" s="393" t="e">
        <f>VLOOKUP(G:G,list!B:D,2,FALSE)</f>
        <v>#N/A</v>
      </c>
    </row>
    <row r="118" spans="2:16" ht="18" customHeight="1">
      <c r="B118" s="341">
        <v>114</v>
      </c>
      <c r="C118" s="341" t="s">
        <v>238</v>
      </c>
      <c r="D118" s="366" t="s">
        <v>252</v>
      </c>
      <c r="E118" s="366" t="s">
        <v>9</v>
      </c>
      <c r="F118" s="341" t="s">
        <v>184</v>
      </c>
      <c r="G118" s="366" t="s">
        <v>12</v>
      </c>
      <c r="H118" s="365">
        <v>44552</v>
      </c>
      <c r="I118" s="341" t="s">
        <v>305</v>
      </c>
      <c r="J118" s="367">
        <v>812123.33333333337</v>
      </c>
      <c r="K118" s="345">
        <v>0.3</v>
      </c>
      <c r="L118" s="346">
        <v>243637</v>
      </c>
      <c r="M118" s="274">
        <f>L118*10%</f>
        <v>24363.7</v>
      </c>
      <c r="N118" s="274">
        <f t="shared" si="6"/>
        <v>219273.3</v>
      </c>
      <c r="O118" s="364" t="s">
        <v>282</v>
      </c>
      <c r="P118" s="393" t="e">
        <f>VLOOKUP(G:G,list!B:D,2,FALSE)</f>
        <v>#N/A</v>
      </c>
    </row>
    <row r="119" spans="2:16" ht="18" customHeight="1">
      <c r="B119" s="341">
        <v>115</v>
      </c>
      <c r="C119" s="341" t="s">
        <v>318</v>
      </c>
      <c r="D119" s="369" t="s">
        <v>252</v>
      </c>
      <c r="E119" s="362" t="s">
        <v>9</v>
      </c>
      <c r="F119" s="369" t="s">
        <v>73</v>
      </c>
      <c r="G119" s="362" t="s">
        <v>179</v>
      </c>
      <c r="H119" s="363">
        <v>44198</v>
      </c>
      <c r="I119" s="341" t="s">
        <v>305</v>
      </c>
      <c r="J119" s="361">
        <v>65997709</v>
      </c>
      <c r="K119" s="387">
        <v>0.224</v>
      </c>
      <c r="L119" s="346">
        <v>13305142</v>
      </c>
      <c r="M119" s="194">
        <f>L119*10%</f>
        <v>1330514.2000000002</v>
      </c>
      <c r="N119" s="274">
        <f t="shared" si="6"/>
        <v>11974627.800000001</v>
      </c>
      <c r="O119" s="195" t="s">
        <v>85</v>
      </c>
      <c r="P119" s="393" t="e">
        <f>VLOOKUP(G:G,list!B:D,2,FALSE)</f>
        <v>#N/A</v>
      </c>
    </row>
    <row r="120" spans="2:16" ht="18" customHeight="1">
      <c r="B120" s="341">
        <v>116</v>
      </c>
      <c r="C120" s="341" t="s">
        <v>238</v>
      </c>
      <c r="D120" s="369" t="s">
        <v>252</v>
      </c>
      <c r="E120" s="362" t="s">
        <v>9</v>
      </c>
      <c r="F120" s="369" t="s">
        <v>73</v>
      </c>
      <c r="G120" s="362" t="s">
        <v>28</v>
      </c>
      <c r="H120" s="363">
        <v>44228</v>
      </c>
      <c r="I120" s="341" t="s">
        <v>305</v>
      </c>
      <c r="J120" s="361">
        <v>12572254</v>
      </c>
      <c r="K120" s="387">
        <v>0.224</v>
      </c>
      <c r="L120" s="346">
        <v>2534572</v>
      </c>
      <c r="M120" s="194">
        <f>L120*12%</f>
        <v>304148.64</v>
      </c>
      <c r="N120" s="274">
        <f t="shared" si="6"/>
        <v>2230423.36</v>
      </c>
      <c r="O120" s="194"/>
      <c r="P120" s="393" t="e">
        <f>VLOOKUP(G:G,list!B:D,2,FALSE)</f>
        <v>#N/A</v>
      </c>
    </row>
    <row r="121" spans="2:16" ht="18" customHeight="1">
      <c r="B121" s="341">
        <v>117</v>
      </c>
      <c r="C121" s="341" t="s">
        <v>238</v>
      </c>
      <c r="D121" s="369" t="s">
        <v>252</v>
      </c>
      <c r="E121" s="362" t="s">
        <v>9</v>
      </c>
      <c r="F121" s="369" t="s">
        <v>73</v>
      </c>
      <c r="G121" s="362" t="s">
        <v>54</v>
      </c>
      <c r="H121" s="363">
        <v>44265</v>
      </c>
      <c r="I121" s="341" t="s">
        <v>305</v>
      </c>
      <c r="J121" s="361">
        <v>1719579</v>
      </c>
      <c r="K121" s="387">
        <v>0.224</v>
      </c>
      <c r="L121" s="346">
        <v>346669</v>
      </c>
      <c r="M121" s="274">
        <f>L121*10%</f>
        <v>34666.9</v>
      </c>
      <c r="N121" s="274">
        <f t="shared" si="6"/>
        <v>312002.09999999998</v>
      </c>
      <c r="O121" s="194"/>
      <c r="P121" s="393" t="e">
        <f>VLOOKUP(G:G,list!B:D,2,FALSE)</f>
        <v>#N/A</v>
      </c>
    </row>
    <row r="122" spans="2:16" ht="18" customHeight="1">
      <c r="B122" s="341">
        <v>118</v>
      </c>
      <c r="C122" s="341" t="s">
        <v>238</v>
      </c>
      <c r="D122" s="369" t="s">
        <v>252</v>
      </c>
      <c r="E122" s="362" t="s">
        <v>9</v>
      </c>
      <c r="F122" s="369" t="s">
        <v>73</v>
      </c>
      <c r="G122" s="362" t="s">
        <v>29</v>
      </c>
      <c r="H122" s="363">
        <v>44315</v>
      </c>
      <c r="I122" s="341" t="s">
        <v>305</v>
      </c>
      <c r="J122" s="361">
        <v>7632020</v>
      </c>
      <c r="K122" s="387">
        <v>0.224</v>
      </c>
      <c r="L122" s="346">
        <v>1538621</v>
      </c>
      <c r="M122" s="274">
        <f>L122*10%</f>
        <v>153862.1</v>
      </c>
      <c r="N122" s="274">
        <f t="shared" si="6"/>
        <v>1384758.9</v>
      </c>
      <c r="O122" s="347"/>
      <c r="P122" s="393" t="e">
        <f>VLOOKUP(G:G,list!B:D,2,FALSE)</f>
        <v>#N/A</v>
      </c>
    </row>
    <row r="123" spans="2:16" ht="18" customHeight="1">
      <c r="B123" s="341">
        <v>119</v>
      </c>
      <c r="C123" s="341" t="s">
        <v>238</v>
      </c>
      <c r="D123" s="369" t="s">
        <v>252</v>
      </c>
      <c r="E123" s="362" t="s">
        <v>9</v>
      </c>
      <c r="F123" s="369" t="s">
        <v>73</v>
      </c>
      <c r="G123" s="362" t="s">
        <v>30</v>
      </c>
      <c r="H123" s="363">
        <v>44359</v>
      </c>
      <c r="I123" s="341" t="s">
        <v>305</v>
      </c>
      <c r="J123" s="361">
        <v>16738517</v>
      </c>
      <c r="K123" s="387">
        <v>0.224</v>
      </c>
      <c r="L123" s="346">
        <v>3374489</v>
      </c>
      <c r="M123" s="274">
        <f>(L123-2000000)*10%</f>
        <v>137448.9</v>
      </c>
      <c r="N123" s="274">
        <f t="shared" si="6"/>
        <v>3237040.1</v>
      </c>
      <c r="O123" s="191" t="s">
        <v>263</v>
      </c>
      <c r="P123" s="393" t="str">
        <f>VLOOKUP(G:G,list!B:D,2,FALSE)</f>
        <v>원작료</v>
      </c>
    </row>
    <row r="124" spans="2:16" ht="18" customHeight="1">
      <c r="B124" s="341">
        <v>120</v>
      </c>
      <c r="C124" s="341" t="s">
        <v>238</v>
      </c>
      <c r="D124" s="369" t="s">
        <v>252</v>
      </c>
      <c r="E124" s="362" t="s">
        <v>9</v>
      </c>
      <c r="F124" s="369" t="s">
        <v>73</v>
      </c>
      <c r="G124" s="362" t="s">
        <v>212</v>
      </c>
      <c r="H124" s="363">
        <v>44378</v>
      </c>
      <c r="I124" s="341" t="s">
        <v>305</v>
      </c>
      <c r="J124" s="361">
        <v>161557012</v>
      </c>
      <c r="K124" s="387">
        <v>0.24</v>
      </c>
      <c r="L124" s="346">
        <v>34896321</v>
      </c>
      <c r="M124" s="194">
        <f>L124*10%</f>
        <v>3489632.1</v>
      </c>
      <c r="N124" s="274">
        <f t="shared" si="6"/>
        <v>31406688.899999999</v>
      </c>
      <c r="O124" s="194"/>
      <c r="P124" s="393" t="e">
        <f>VLOOKUP(G:G,list!B:D,2,FALSE)</f>
        <v>#N/A</v>
      </c>
    </row>
    <row r="125" spans="2:16" ht="18" customHeight="1">
      <c r="B125" s="341">
        <v>121</v>
      </c>
      <c r="C125" s="341" t="s">
        <v>318</v>
      </c>
      <c r="D125" s="369" t="s">
        <v>252</v>
      </c>
      <c r="E125" s="362" t="s">
        <v>9</v>
      </c>
      <c r="F125" s="369" t="s">
        <v>73</v>
      </c>
      <c r="G125" s="362" t="s">
        <v>147</v>
      </c>
      <c r="H125" s="363">
        <v>44435</v>
      </c>
      <c r="I125" s="341" t="s">
        <v>305</v>
      </c>
      <c r="J125" s="361">
        <v>3554425</v>
      </c>
      <c r="K125" s="387">
        <v>0.224</v>
      </c>
      <c r="L125" s="346">
        <v>716580</v>
      </c>
      <c r="M125" s="194">
        <v>0</v>
      </c>
      <c r="N125" s="274">
        <f t="shared" si="6"/>
        <v>716580</v>
      </c>
      <c r="O125" s="194"/>
      <c r="P125" s="393" t="e">
        <f>VLOOKUP(G:G,list!B:D,2,FALSE)</f>
        <v>#N/A</v>
      </c>
    </row>
    <row r="126" spans="2:16" ht="18" customHeight="1">
      <c r="B126" s="341">
        <v>122</v>
      </c>
      <c r="C126" s="341" t="s">
        <v>238</v>
      </c>
      <c r="D126" s="369" t="s">
        <v>252</v>
      </c>
      <c r="E126" s="362" t="s">
        <v>9</v>
      </c>
      <c r="F126" s="369" t="s">
        <v>73</v>
      </c>
      <c r="G126" s="362" t="s">
        <v>225</v>
      </c>
      <c r="H126" s="363">
        <v>44479</v>
      </c>
      <c r="I126" s="341" t="s">
        <v>305</v>
      </c>
      <c r="J126" s="361">
        <v>2125557</v>
      </c>
      <c r="K126" s="387">
        <v>0.224</v>
      </c>
      <c r="L126" s="346">
        <v>428520</v>
      </c>
      <c r="M126" s="274">
        <f>L126*10%</f>
        <v>42852</v>
      </c>
      <c r="N126" s="274">
        <f t="shared" si="6"/>
        <v>385668</v>
      </c>
      <c r="O126" s="194"/>
      <c r="P126" s="393" t="e">
        <f>VLOOKUP(G:G,list!B:D,2,FALSE)</f>
        <v>#N/A</v>
      </c>
    </row>
    <row r="127" spans="2:16" ht="18" customHeight="1">
      <c r="B127" s="341">
        <v>123</v>
      </c>
      <c r="C127" s="341" t="s">
        <v>238</v>
      </c>
      <c r="D127" s="369" t="s">
        <v>252</v>
      </c>
      <c r="E127" s="362" t="s">
        <v>9</v>
      </c>
      <c r="F127" s="369" t="s">
        <v>73</v>
      </c>
      <c r="G127" s="362" t="s">
        <v>59</v>
      </c>
      <c r="H127" s="363">
        <v>44597</v>
      </c>
      <c r="I127" s="341" t="s">
        <v>305</v>
      </c>
      <c r="J127" s="361">
        <v>419478328</v>
      </c>
      <c r="K127" s="387">
        <v>0.224</v>
      </c>
      <c r="L127" s="346">
        <v>84571080</v>
      </c>
      <c r="M127" s="274">
        <f>L127*10%</f>
        <v>8457108</v>
      </c>
      <c r="N127" s="274">
        <f t="shared" si="6"/>
        <v>76113972</v>
      </c>
      <c r="O127" s="370" t="s">
        <v>287</v>
      </c>
      <c r="P127" s="393" t="e">
        <f>VLOOKUP(G:G,list!B:D,2,FALSE)</f>
        <v>#N/A</v>
      </c>
    </row>
    <row r="128" spans="2:16" ht="18" customHeight="1">
      <c r="B128" s="341">
        <v>124</v>
      </c>
      <c r="C128" s="341" t="s">
        <v>238</v>
      </c>
      <c r="D128" s="366" t="s">
        <v>214</v>
      </c>
      <c r="E128" s="366" t="s">
        <v>9</v>
      </c>
      <c r="F128" s="341" t="s">
        <v>184</v>
      </c>
      <c r="G128" s="366" t="s">
        <v>218</v>
      </c>
      <c r="H128" s="365">
        <v>44356</v>
      </c>
      <c r="I128" s="341" t="s">
        <v>312</v>
      </c>
      <c r="J128" s="361">
        <v>1140770</v>
      </c>
      <c r="K128" s="368">
        <v>0.3</v>
      </c>
      <c r="L128" s="346">
        <v>342231</v>
      </c>
      <c r="M128" s="194">
        <f>L128*10%</f>
        <v>34223.1</v>
      </c>
      <c r="N128" s="274">
        <f t="shared" si="6"/>
        <v>308007.90000000002</v>
      </c>
      <c r="O128" s="364" t="s">
        <v>220</v>
      </c>
      <c r="P128" s="393" t="e">
        <f>VLOOKUP(G:G,list!B:D,2,FALSE)</f>
        <v>#N/A</v>
      </c>
    </row>
    <row r="129" spans="2:16" ht="18" customHeight="1">
      <c r="B129" s="341">
        <v>125</v>
      </c>
      <c r="C129" s="341" t="s">
        <v>238</v>
      </c>
      <c r="D129" s="366" t="s">
        <v>214</v>
      </c>
      <c r="E129" s="366" t="s">
        <v>9</v>
      </c>
      <c r="F129" s="341" t="s">
        <v>184</v>
      </c>
      <c r="G129" s="366" t="s">
        <v>219</v>
      </c>
      <c r="H129" s="365">
        <v>44477</v>
      </c>
      <c r="I129" s="341" t="s">
        <v>312</v>
      </c>
      <c r="J129" s="367">
        <v>150603.33333333334</v>
      </c>
      <c r="K129" s="368">
        <v>0.3</v>
      </c>
      <c r="L129" s="346">
        <v>45181</v>
      </c>
      <c r="M129" s="194">
        <f>L129*12%</f>
        <v>5421.7199999999993</v>
      </c>
      <c r="N129" s="274">
        <f t="shared" si="6"/>
        <v>39759.279999999999</v>
      </c>
      <c r="O129" s="364" t="s">
        <v>220</v>
      </c>
      <c r="P129" s="393" t="e">
        <f>VLOOKUP(G:G,list!B:D,2,FALSE)</f>
        <v>#N/A</v>
      </c>
    </row>
    <row r="130" spans="2:16" ht="18" customHeight="1">
      <c r="B130" s="341">
        <v>126</v>
      </c>
      <c r="C130" s="341" t="s">
        <v>238</v>
      </c>
      <c r="D130" s="366" t="s">
        <v>214</v>
      </c>
      <c r="E130" s="366" t="s">
        <v>9</v>
      </c>
      <c r="F130" s="341" t="s">
        <v>184</v>
      </c>
      <c r="G130" s="366" t="s">
        <v>136</v>
      </c>
      <c r="H130" s="365">
        <v>44364</v>
      </c>
      <c r="I130" s="341" t="s">
        <v>312</v>
      </c>
      <c r="J130" s="367">
        <v>5096.666666666667</v>
      </c>
      <c r="K130" s="368">
        <v>0.3</v>
      </c>
      <c r="L130" s="346">
        <v>1529</v>
      </c>
      <c r="M130" s="274">
        <f>L130*10%</f>
        <v>152.9</v>
      </c>
      <c r="N130" s="274">
        <f t="shared" ref="N130:N149" si="7">L130-M130</f>
        <v>1376.1</v>
      </c>
      <c r="O130" s="364" t="s">
        <v>220</v>
      </c>
      <c r="P130" s="393" t="e">
        <f>VLOOKUP(G:G,list!B:D,2,FALSE)</f>
        <v>#N/A</v>
      </c>
    </row>
    <row r="131" spans="2:16" ht="18" customHeight="1">
      <c r="B131" s="341">
        <v>127</v>
      </c>
      <c r="C131" s="341" t="s">
        <v>310</v>
      </c>
      <c r="D131" s="366" t="s">
        <v>214</v>
      </c>
      <c r="E131" s="366" t="s">
        <v>9</v>
      </c>
      <c r="F131" s="341" t="s">
        <v>184</v>
      </c>
      <c r="G131" s="366" t="s">
        <v>135</v>
      </c>
      <c r="H131" s="365">
        <v>44381</v>
      </c>
      <c r="I131" s="341" t="s">
        <v>312</v>
      </c>
      <c r="J131" s="361">
        <v>117416.66666666667</v>
      </c>
      <c r="K131" s="368">
        <v>0.3</v>
      </c>
      <c r="L131" s="346">
        <v>35225</v>
      </c>
      <c r="M131" s="194">
        <v>0</v>
      </c>
      <c r="N131" s="274">
        <f t="shared" si="7"/>
        <v>35225</v>
      </c>
      <c r="O131" s="364" t="s">
        <v>220</v>
      </c>
      <c r="P131" s="393" t="e">
        <f>VLOOKUP(G:G,list!B:D,2,FALSE)</f>
        <v>#N/A</v>
      </c>
    </row>
    <row r="132" spans="2:16" ht="18" customHeight="1">
      <c r="B132" s="341">
        <v>128</v>
      </c>
      <c r="C132" s="341" t="s">
        <v>238</v>
      </c>
      <c r="D132" s="369" t="s">
        <v>214</v>
      </c>
      <c r="E132" s="362" t="s">
        <v>9</v>
      </c>
      <c r="F132" s="369" t="s">
        <v>260</v>
      </c>
      <c r="G132" s="341" t="s">
        <v>258</v>
      </c>
      <c r="H132" s="310">
        <v>44492</v>
      </c>
      <c r="I132" s="341" t="s">
        <v>305</v>
      </c>
      <c r="J132" s="361">
        <v>246305</v>
      </c>
      <c r="K132" s="368">
        <v>0.5</v>
      </c>
      <c r="L132" s="346">
        <v>103728</v>
      </c>
      <c r="M132" s="274">
        <f>L132*10%</f>
        <v>10372.800000000001</v>
      </c>
      <c r="N132" s="274">
        <f t="shared" si="7"/>
        <v>93355.199999999997</v>
      </c>
      <c r="O132" s="197"/>
      <c r="P132" s="393" t="e">
        <f>VLOOKUP(G:G,list!B:D,2,FALSE)</f>
        <v>#N/A</v>
      </c>
    </row>
    <row r="133" spans="2:16" ht="18" customHeight="1">
      <c r="B133" s="341">
        <v>129</v>
      </c>
      <c r="C133" s="341" t="s">
        <v>238</v>
      </c>
      <c r="D133" s="366" t="s">
        <v>216</v>
      </c>
      <c r="E133" s="366" t="s">
        <v>9</v>
      </c>
      <c r="F133" s="341" t="s">
        <v>184</v>
      </c>
      <c r="G133" s="366" t="s">
        <v>218</v>
      </c>
      <c r="H133" s="365">
        <v>44396</v>
      </c>
      <c r="I133" s="341" t="s">
        <v>312</v>
      </c>
      <c r="J133" s="367">
        <v>8801456.6666666679</v>
      </c>
      <c r="K133" s="368">
        <v>0.3</v>
      </c>
      <c r="L133" s="346">
        <v>2640437</v>
      </c>
      <c r="M133" s="194">
        <f>L133*10%</f>
        <v>264043.7</v>
      </c>
      <c r="N133" s="274">
        <f t="shared" si="7"/>
        <v>2376393.2999999998</v>
      </c>
      <c r="O133" s="364" t="s">
        <v>221</v>
      </c>
      <c r="P133" s="393" t="e">
        <f>VLOOKUP(G:G,list!B:D,2,FALSE)</f>
        <v>#N/A</v>
      </c>
    </row>
    <row r="134" spans="2:16" ht="18" customHeight="1">
      <c r="B134" s="341">
        <v>130</v>
      </c>
      <c r="C134" s="341" t="s">
        <v>238</v>
      </c>
      <c r="D134" s="366" t="s">
        <v>216</v>
      </c>
      <c r="E134" s="366" t="s">
        <v>9</v>
      </c>
      <c r="F134" s="341" t="s">
        <v>184</v>
      </c>
      <c r="G134" s="366" t="s">
        <v>219</v>
      </c>
      <c r="H134" s="411">
        <v>44497</v>
      </c>
      <c r="I134" s="341" t="s">
        <v>312</v>
      </c>
      <c r="J134" s="367">
        <v>6003173.333333334</v>
      </c>
      <c r="K134" s="368">
        <v>0.3</v>
      </c>
      <c r="L134" s="346">
        <v>1800952</v>
      </c>
      <c r="M134" s="194">
        <f>L134*12%</f>
        <v>216114.24</v>
      </c>
      <c r="N134" s="274">
        <f t="shared" si="7"/>
        <v>1584837.76</v>
      </c>
      <c r="O134" s="364" t="s">
        <v>221</v>
      </c>
      <c r="P134" s="393" t="e">
        <f>VLOOKUP(G:G,list!B:D,2,FALSE)</f>
        <v>#N/A</v>
      </c>
    </row>
    <row r="135" spans="2:16" ht="18" customHeight="1">
      <c r="B135" s="341">
        <v>131</v>
      </c>
      <c r="C135" s="341" t="s">
        <v>310</v>
      </c>
      <c r="D135" s="366" t="s">
        <v>216</v>
      </c>
      <c r="E135" s="366" t="s">
        <v>9</v>
      </c>
      <c r="F135" s="341" t="s">
        <v>184</v>
      </c>
      <c r="G135" s="366" t="s">
        <v>135</v>
      </c>
      <c r="H135" s="365">
        <v>44370</v>
      </c>
      <c r="I135" s="341" t="s">
        <v>312</v>
      </c>
      <c r="J135" s="367">
        <v>353940</v>
      </c>
      <c r="K135" s="368">
        <v>0.3</v>
      </c>
      <c r="L135" s="346">
        <v>106182</v>
      </c>
      <c r="M135" s="194">
        <v>0</v>
      </c>
      <c r="N135" s="274">
        <f t="shared" si="7"/>
        <v>106182</v>
      </c>
      <c r="O135" s="364" t="s">
        <v>221</v>
      </c>
      <c r="P135" s="393" t="e">
        <f>VLOOKUP(G:G,list!B:D,2,FALSE)</f>
        <v>#N/A</v>
      </c>
    </row>
    <row r="136" spans="2:16" ht="18" customHeight="1">
      <c r="B136" s="341">
        <v>132</v>
      </c>
      <c r="C136" s="341" t="s">
        <v>238</v>
      </c>
      <c r="D136" s="369" t="s">
        <v>216</v>
      </c>
      <c r="E136" s="342" t="s">
        <v>115</v>
      </c>
      <c r="F136" s="369" t="s">
        <v>31</v>
      </c>
      <c r="G136" s="342" t="s">
        <v>28</v>
      </c>
      <c r="H136" s="396">
        <v>44096</v>
      </c>
      <c r="I136" s="341" t="s">
        <v>305</v>
      </c>
      <c r="J136" s="361">
        <v>344870</v>
      </c>
      <c r="K136" s="368">
        <v>0.4</v>
      </c>
      <c r="L136" s="346">
        <v>131038</v>
      </c>
      <c r="M136" s="194">
        <f>L136*12%</f>
        <v>15724.56</v>
      </c>
      <c r="N136" s="274">
        <f t="shared" si="7"/>
        <v>115313.44</v>
      </c>
      <c r="O136" s="191"/>
      <c r="P136" s="393" t="e">
        <f>VLOOKUP(G:G,list!B:D,2,FALSE)</f>
        <v>#N/A</v>
      </c>
    </row>
    <row r="137" spans="2:16" ht="18" customHeight="1">
      <c r="B137" s="341">
        <v>133</v>
      </c>
      <c r="C137" s="341" t="s">
        <v>238</v>
      </c>
      <c r="D137" s="369" t="s">
        <v>216</v>
      </c>
      <c r="E137" s="342" t="s">
        <v>115</v>
      </c>
      <c r="F137" s="369" t="s">
        <v>31</v>
      </c>
      <c r="G137" s="342" t="s">
        <v>29</v>
      </c>
      <c r="H137" s="343">
        <v>44137</v>
      </c>
      <c r="I137" s="341" t="s">
        <v>305</v>
      </c>
      <c r="J137" s="361">
        <v>300604</v>
      </c>
      <c r="K137" s="368">
        <v>0.4</v>
      </c>
      <c r="L137" s="346">
        <v>114226</v>
      </c>
      <c r="M137" s="274">
        <f t="shared" ref="M137:M143" si="8">L137*10%</f>
        <v>11422.6</v>
      </c>
      <c r="N137" s="274">
        <f t="shared" si="7"/>
        <v>102803.4</v>
      </c>
      <c r="O137" s="191"/>
      <c r="P137" s="393" t="e">
        <f>VLOOKUP(G:G,list!B:D,2,FALSE)</f>
        <v>#N/A</v>
      </c>
    </row>
    <row r="138" spans="2:16" ht="18" customHeight="1">
      <c r="B138" s="341">
        <v>134</v>
      </c>
      <c r="C138" s="341" t="s">
        <v>238</v>
      </c>
      <c r="D138" s="369" t="s">
        <v>216</v>
      </c>
      <c r="E138" s="342" t="s">
        <v>115</v>
      </c>
      <c r="F138" s="369" t="s">
        <v>31</v>
      </c>
      <c r="G138" s="342" t="s">
        <v>151</v>
      </c>
      <c r="H138" s="396">
        <v>44239</v>
      </c>
      <c r="I138" s="341" t="s">
        <v>305</v>
      </c>
      <c r="J138" s="361">
        <v>300196</v>
      </c>
      <c r="K138" s="368">
        <v>0.4</v>
      </c>
      <c r="L138" s="346">
        <v>114082</v>
      </c>
      <c r="M138" s="274">
        <f t="shared" si="8"/>
        <v>11408.2</v>
      </c>
      <c r="N138" s="274">
        <f t="shared" si="7"/>
        <v>102673.8</v>
      </c>
      <c r="O138" s="347"/>
      <c r="P138" s="393" t="str">
        <f>VLOOKUP(G:G,list!B:D,2,FALSE)</f>
        <v>원작료</v>
      </c>
    </row>
    <row r="139" spans="2:16" ht="18" customHeight="1">
      <c r="B139" s="341">
        <v>135</v>
      </c>
      <c r="C139" s="341" t="s">
        <v>238</v>
      </c>
      <c r="D139" s="369" t="s">
        <v>216</v>
      </c>
      <c r="E139" s="342" t="s">
        <v>115</v>
      </c>
      <c r="F139" s="369" t="s">
        <v>31</v>
      </c>
      <c r="G139" s="342" t="s">
        <v>256</v>
      </c>
      <c r="H139" s="396">
        <v>44487</v>
      </c>
      <c r="I139" s="341" t="s">
        <v>305</v>
      </c>
      <c r="J139" s="361">
        <v>44914</v>
      </c>
      <c r="K139" s="368">
        <v>0.4</v>
      </c>
      <c r="L139" s="346">
        <v>17064</v>
      </c>
      <c r="M139" s="194">
        <f t="shared" si="8"/>
        <v>1706.4</v>
      </c>
      <c r="N139" s="274">
        <f t="shared" si="7"/>
        <v>15357.6</v>
      </c>
      <c r="O139" s="194"/>
      <c r="P139" s="393" t="e">
        <f>VLOOKUP(G:G,list!B:D,2,FALSE)</f>
        <v>#N/A</v>
      </c>
    </row>
    <row r="140" spans="2:16" ht="18" customHeight="1">
      <c r="B140" s="341">
        <v>136</v>
      </c>
      <c r="C140" s="341" t="s">
        <v>238</v>
      </c>
      <c r="D140" s="369" t="s">
        <v>216</v>
      </c>
      <c r="E140" s="342" t="s">
        <v>115</v>
      </c>
      <c r="F140" s="369" t="s">
        <v>31</v>
      </c>
      <c r="G140" s="342" t="s">
        <v>204</v>
      </c>
      <c r="H140" s="396">
        <v>44453</v>
      </c>
      <c r="I140" s="341" t="s">
        <v>305</v>
      </c>
      <c r="J140" s="361">
        <v>83189</v>
      </c>
      <c r="K140" s="368">
        <v>0.4</v>
      </c>
      <c r="L140" s="346">
        <v>31612</v>
      </c>
      <c r="M140" s="194">
        <f t="shared" si="8"/>
        <v>3161.2000000000003</v>
      </c>
      <c r="N140" s="274">
        <f t="shared" si="7"/>
        <v>28450.799999999999</v>
      </c>
      <c r="O140" s="197"/>
      <c r="P140" s="393" t="e">
        <f>VLOOKUP(G:G,list!B:D,2,FALSE)</f>
        <v>#N/A</v>
      </c>
    </row>
    <row r="141" spans="2:16" ht="18" customHeight="1">
      <c r="B141" s="341">
        <v>137</v>
      </c>
      <c r="C141" s="341" t="s">
        <v>238</v>
      </c>
      <c r="D141" s="369" t="s">
        <v>216</v>
      </c>
      <c r="E141" s="342" t="s">
        <v>115</v>
      </c>
      <c r="F141" s="369" t="s">
        <v>31</v>
      </c>
      <c r="G141" s="342" t="s">
        <v>38</v>
      </c>
      <c r="H141" s="382">
        <v>44470</v>
      </c>
      <c r="I141" s="341" t="s">
        <v>305</v>
      </c>
      <c r="J141" s="361">
        <v>232514</v>
      </c>
      <c r="K141" s="368">
        <v>0.4</v>
      </c>
      <c r="L141" s="346">
        <v>88354</v>
      </c>
      <c r="M141" s="274">
        <f t="shared" si="8"/>
        <v>8835.4</v>
      </c>
      <c r="N141" s="274">
        <f t="shared" si="7"/>
        <v>79518.600000000006</v>
      </c>
      <c r="O141" s="370"/>
      <c r="P141" s="393" t="e">
        <f>VLOOKUP(G:G,list!B:D,2,FALSE)</f>
        <v>#N/A</v>
      </c>
    </row>
    <row r="142" spans="2:16" ht="18" customHeight="1">
      <c r="B142" s="341">
        <v>138</v>
      </c>
      <c r="C142" s="341" t="s">
        <v>318</v>
      </c>
      <c r="D142" s="362" t="s">
        <v>32</v>
      </c>
      <c r="E142" s="362" t="s">
        <v>9</v>
      </c>
      <c r="F142" s="369" t="s">
        <v>257</v>
      </c>
      <c r="G142" s="362" t="s">
        <v>42</v>
      </c>
      <c r="H142" s="409">
        <v>44354</v>
      </c>
      <c r="I142" s="341" t="s">
        <v>312</v>
      </c>
      <c r="J142" s="361">
        <v>23731677</v>
      </c>
      <c r="K142" s="371">
        <v>0.27999995826320889</v>
      </c>
      <c r="L142" s="346">
        <v>6644869</v>
      </c>
      <c r="M142" s="194">
        <f t="shared" si="8"/>
        <v>664486.9</v>
      </c>
      <c r="N142" s="274">
        <f t="shared" si="7"/>
        <v>5980382.0999999996</v>
      </c>
      <c r="O142" s="195" t="s">
        <v>85</v>
      </c>
      <c r="P142" s="393" t="e">
        <f>VLOOKUP(G:G,list!B:D,2,FALSE)</f>
        <v>#N/A</v>
      </c>
    </row>
    <row r="143" spans="2:16" ht="18" customHeight="1">
      <c r="B143" s="341">
        <v>139</v>
      </c>
      <c r="C143" s="341" t="s">
        <v>238</v>
      </c>
      <c r="D143" s="362" t="s">
        <v>32</v>
      </c>
      <c r="E143" s="362" t="s">
        <v>9</v>
      </c>
      <c r="F143" s="369" t="s">
        <v>257</v>
      </c>
      <c r="G143" s="362" t="s">
        <v>212</v>
      </c>
      <c r="H143" s="363">
        <v>44507</v>
      </c>
      <c r="I143" s="341" t="s">
        <v>312</v>
      </c>
      <c r="J143" s="361">
        <v>22205846</v>
      </c>
      <c r="K143" s="397">
        <v>0.24499999976453651</v>
      </c>
      <c r="L143" s="346">
        <v>5440432</v>
      </c>
      <c r="M143" s="194">
        <f t="shared" si="8"/>
        <v>544043.20000000007</v>
      </c>
      <c r="N143" s="274">
        <f t="shared" si="7"/>
        <v>4896388.8</v>
      </c>
      <c r="O143" s="197"/>
      <c r="P143" s="393" t="e">
        <f>VLOOKUP(G:G,list!B:D,2,FALSE)</f>
        <v>#N/A</v>
      </c>
    </row>
    <row r="144" spans="2:16" ht="18" customHeight="1">
      <c r="B144" s="341">
        <v>140</v>
      </c>
      <c r="C144" s="341" t="s">
        <v>310</v>
      </c>
      <c r="D144" s="369" t="s">
        <v>216</v>
      </c>
      <c r="E144" s="362" t="s">
        <v>9</v>
      </c>
      <c r="F144" s="372" t="s">
        <v>154</v>
      </c>
      <c r="G144" s="362" t="s">
        <v>36</v>
      </c>
      <c r="H144" s="409">
        <v>44106</v>
      </c>
      <c r="I144" s="341" t="s">
        <v>305</v>
      </c>
      <c r="J144" s="361">
        <v>1391285</v>
      </c>
      <c r="K144" s="373">
        <v>0.4</v>
      </c>
      <c r="L144" s="346">
        <v>528688</v>
      </c>
      <c r="M144" s="274">
        <v>0</v>
      </c>
      <c r="N144" s="274">
        <f t="shared" si="7"/>
        <v>528688</v>
      </c>
      <c r="O144" s="197"/>
      <c r="P144" s="393" t="str">
        <f>VLOOKUP(G:G,list!B:D,2,FALSE)</f>
        <v>작가기획</v>
      </c>
    </row>
    <row r="145" spans="2:16" ht="18" customHeight="1">
      <c r="B145" s="341">
        <v>141</v>
      </c>
      <c r="C145" s="341" t="s">
        <v>310</v>
      </c>
      <c r="D145" s="369" t="s">
        <v>216</v>
      </c>
      <c r="E145" s="362" t="s">
        <v>9</v>
      </c>
      <c r="F145" s="372" t="s">
        <v>154</v>
      </c>
      <c r="G145" s="362" t="s">
        <v>37</v>
      </c>
      <c r="H145" s="363">
        <v>44113</v>
      </c>
      <c r="I145" s="341" t="s">
        <v>305</v>
      </c>
      <c r="J145" s="361">
        <v>95928</v>
      </c>
      <c r="K145" s="373">
        <v>0.4</v>
      </c>
      <c r="L145" s="346">
        <v>36453</v>
      </c>
      <c r="M145" s="274">
        <v>0</v>
      </c>
      <c r="N145" s="274">
        <f t="shared" si="7"/>
        <v>36453</v>
      </c>
      <c r="O145" s="197"/>
      <c r="P145" s="393" t="str">
        <f>VLOOKUP(G:G,list!B:D,2,FALSE)</f>
        <v>작가기획</v>
      </c>
    </row>
    <row r="146" spans="2:16" ht="18" customHeight="1">
      <c r="B146" s="341">
        <v>142</v>
      </c>
      <c r="C146" s="341" t="s">
        <v>238</v>
      </c>
      <c r="D146" s="369" t="s">
        <v>216</v>
      </c>
      <c r="E146" s="362" t="s">
        <v>115</v>
      </c>
      <c r="F146" s="372" t="s">
        <v>154</v>
      </c>
      <c r="G146" s="362" t="s">
        <v>258</v>
      </c>
      <c r="H146" s="363">
        <v>44386</v>
      </c>
      <c r="I146" s="341" t="s">
        <v>305</v>
      </c>
      <c r="J146" s="361">
        <v>744025</v>
      </c>
      <c r="K146" s="373">
        <v>0.4</v>
      </c>
      <c r="L146" s="346">
        <v>282730</v>
      </c>
      <c r="M146" s="274">
        <f>L146*10%</f>
        <v>28273</v>
      </c>
      <c r="N146" s="274">
        <f t="shared" si="7"/>
        <v>254457</v>
      </c>
      <c r="O146" s="197"/>
      <c r="P146" s="393" t="e">
        <f>VLOOKUP(G:G,list!B:D,2,FALSE)</f>
        <v>#N/A</v>
      </c>
    </row>
    <row r="147" spans="2:16" ht="18" customHeight="1">
      <c r="B147" s="341">
        <v>143</v>
      </c>
      <c r="C147" s="341" t="s">
        <v>238</v>
      </c>
      <c r="D147" s="366" t="s">
        <v>254</v>
      </c>
      <c r="E147" s="366" t="s">
        <v>9</v>
      </c>
      <c r="F147" s="341" t="s">
        <v>184</v>
      </c>
      <c r="G147" s="366" t="s">
        <v>218</v>
      </c>
      <c r="H147" s="365">
        <v>44516</v>
      </c>
      <c r="I147" s="341" t="s">
        <v>312</v>
      </c>
      <c r="J147" s="367">
        <v>6628826.666666667</v>
      </c>
      <c r="K147" s="368">
        <v>0.3</v>
      </c>
      <c r="L147" s="346">
        <v>1988648</v>
      </c>
      <c r="M147" s="194">
        <f>L147*10%</f>
        <v>198864.80000000002</v>
      </c>
      <c r="N147" s="274">
        <f t="shared" si="7"/>
        <v>1789783.2</v>
      </c>
      <c r="O147" s="364" t="s">
        <v>221</v>
      </c>
      <c r="P147" s="393" t="e">
        <f>VLOOKUP(G:G,list!B:D,2,FALSE)</f>
        <v>#N/A</v>
      </c>
    </row>
    <row r="148" spans="2:16" ht="18" customHeight="1">
      <c r="B148" s="341">
        <v>144</v>
      </c>
      <c r="C148" s="381" t="s">
        <v>238</v>
      </c>
      <c r="D148" s="366" t="s">
        <v>67</v>
      </c>
      <c r="E148" s="366" t="s">
        <v>9</v>
      </c>
      <c r="F148" s="341" t="s">
        <v>184</v>
      </c>
      <c r="G148" s="366" t="s">
        <v>191</v>
      </c>
      <c r="H148" s="365">
        <v>44581</v>
      </c>
      <c r="I148" s="341" t="s">
        <v>312</v>
      </c>
      <c r="J148" s="367">
        <v>4859266.666666667</v>
      </c>
      <c r="K148" s="368">
        <v>0.3</v>
      </c>
      <c r="L148" s="346">
        <v>1457780</v>
      </c>
      <c r="M148" s="194">
        <f>L148*10%</f>
        <v>145778</v>
      </c>
      <c r="N148" s="274">
        <f t="shared" si="7"/>
        <v>1312002</v>
      </c>
      <c r="O148" s="364" t="s">
        <v>307</v>
      </c>
      <c r="P148" s="393" t="e">
        <f>VLOOKUP(G:G,list!B:D,2,FALSE)</f>
        <v>#N/A</v>
      </c>
    </row>
    <row r="149" spans="2:16" ht="18" customHeight="1">
      <c r="B149" s="341">
        <v>145</v>
      </c>
      <c r="C149" s="341" t="s">
        <v>238</v>
      </c>
      <c r="D149" s="366" t="s">
        <v>67</v>
      </c>
      <c r="E149" s="366" t="s">
        <v>9</v>
      </c>
      <c r="F149" s="341" t="s">
        <v>184</v>
      </c>
      <c r="G149" s="366" t="s">
        <v>59</v>
      </c>
      <c r="H149" s="365">
        <v>44582</v>
      </c>
      <c r="I149" s="341" t="s">
        <v>312</v>
      </c>
      <c r="J149" s="367">
        <v>4911483.333333334</v>
      </c>
      <c r="K149" s="368">
        <v>0.3</v>
      </c>
      <c r="L149" s="346">
        <v>1473445</v>
      </c>
      <c r="M149" s="274">
        <f>L149*10%</f>
        <v>147344.5</v>
      </c>
      <c r="N149" s="274">
        <f t="shared" si="7"/>
        <v>1326100.5</v>
      </c>
      <c r="O149" s="364" t="s">
        <v>307</v>
      </c>
      <c r="P149" s="393" t="e">
        <f>VLOOKUP(G:G,list!B:D,2,FALSE)</f>
        <v>#N/A</v>
      </c>
    </row>
    <row r="150" spans="2:16" ht="18" customHeight="1">
      <c r="B150" s="341">
        <v>146</v>
      </c>
      <c r="C150" s="341" t="s">
        <v>238</v>
      </c>
      <c r="D150" s="366" t="s">
        <v>67</v>
      </c>
      <c r="E150" s="366" t="s">
        <v>9</v>
      </c>
      <c r="F150" s="341" t="s">
        <v>184</v>
      </c>
      <c r="G150" s="366" t="s">
        <v>314</v>
      </c>
      <c r="H150" s="365">
        <v>44627</v>
      </c>
      <c r="I150" s="341" t="s">
        <v>312</v>
      </c>
      <c r="J150" s="367">
        <v>2061586.6666666667</v>
      </c>
      <c r="K150" s="368">
        <v>0.3</v>
      </c>
      <c r="L150" s="346">
        <v>618476</v>
      </c>
      <c r="M150" s="274">
        <f>L150*10%</f>
        <v>61847.600000000006</v>
      </c>
      <c r="N150" s="274">
        <f>L150-M150</f>
        <v>556628.4</v>
      </c>
      <c r="O150" s="364" t="s">
        <v>317</v>
      </c>
      <c r="P150" s="393" t="e">
        <f>VLOOKUP(G:G,list!B:D,2,FALSE)</f>
        <v>#N/A</v>
      </c>
    </row>
    <row r="151" spans="2:16" ht="18" customHeight="1">
      <c r="B151" s="341">
        <v>147</v>
      </c>
      <c r="C151" s="341" t="s">
        <v>238</v>
      </c>
      <c r="D151" s="369" t="s">
        <v>254</v>
      </c>
      <c r="E151" s="342" t="s">
        <v>9</v>
      </c>
      <c r="F151" s="369" t="s">
        <v>65</v>
      </c>
      <c r="G151" s="342" t="s">
        <v>152</v>
      </c>
      <c r="H151" s="343">
        <v>44105</v>
      </c>
      <c r="I151" s="341" t="s">
        <v>312</v>
      </c>
      <c r="J151" s="361">
        <v>2724180</v>
      </c>
      <c r="K151" s="368">
        <v>0.4</v>
      </c>
      <c r="L151" s="346">
        <v>1089672</v>
      </c>
      <c r="M151" s="194">
        <f>L151*12%</f>
        <v>130760.64</v>
      </c>
      <c r="N151" s="274">
        <f t="shared" ref="N151:N160" si="9">L151-M151</f>
        <v>958911.36</v>
      </c>
      <c r="O151" s="191"/>
      <c r="P151" s="393" t="e">
        <f>VLOOKUP(G:G,list!B:D,2,FALSE)</f>
        <v>#N/A</v>
      </c>
    </row>
    <row r="152" spans="2:16" ht="18" customHeight="1">
      <c r="B152" s="341">
        <v>148</v>
      </c>
      <c r="C152" s="341" t="s">
        <v>238</v>
      </c>
      <c r="D152" s="369" t="s">
        <v>254</v>
      </c>
      <c r="E152" s="342" t="s">
        <v>9</v>
      </c>
      <c r="F152" s="369" t="s">
        <v>65</v>
      </c>
      <c r="G152" s="342" t="s">
        <v>153</v>
      </c>
      <c r="H152" s="343">
        <v>44111</v>
      </c>
      <c r="I152" s="341" t="s">
        <v>312</v>
      </c>
      <c r="J152" s="361">
        <v>2202415</v>
      </c>
      <c r="K152" s="368">
        <v>0.4</v>
      </c>
      <c r="L152" s="346">
        <v>880966</v>
      </c>
      <c r="M152" s="274">
        <f>L152*10%</f>
        <v>88096.6</v>
      </c>
      <c r="N152" s="274">
        <f t="shared" si="9"/>
        <v>792869.4</v>
      </c>
      <c r="O152" s="191"/>
      <c r="P152" s="393" t="e">
        <f>VLOOKUP(G:G,list!B:D,2,FALSE)</f>
        <v>#N/A</v>
      </c>
    </row>
    <row r="153" spans="2:16" ht="18" customHeight="1">
      <c r="B153" s="341">
        <v>149</v>
      </c>
      <c r="C153" s="341" t="s">
        <v>310</v>
      </c>
      <c r="D153" s="369" t="s">
        <v>254</v>
      </c>
      <c r="E153" s="342" t="s">
        <v>9</v>
      </c>
      <c r="F153" s="369" t="s">
        <v>65</v>
      </c>
      <c r="G153" s="342" t="s">
        <v>139</v>
      </c>
      <c r="H153" s="343">
        <v>43921</v>
      </c>
      <c r="I153" s="341" t="s">
        <v>312</v>
      </c>
      <c r="J153" s="361">
        <v>142360</v>
      </c>
      <c r="K153" s="368">
        <v>0.4</v>
      </c>
      <c r="L153" s="346">
        <v>56944</v>
      </c>
      <c r="M153" s="194">
        <v>0</v>
      </c>
      <c r="N153" s="274">
        <f t="shared" si="9"/>
        <v>56944</v>
      </c>
      <c r="O153" s="347"/>
      <c r="P153" s="393" t="str">
        <f>VLOOKUP(G:G,list!B:D,2,FALSE)</f>
        <v>작가기획</v>
      </c>
    </row>
    <row r="154" spans="2:16" ht="18" customHeight="1">
      <c r="B154" s="341">
        <v>150</v>
      </c>
      <c r="C154" s="341" t="s">
        <v>310</v>
      </c>
      <c r="D154" s="369" t="s">
        <v>254</v>
      </c>
      <c r="E154" s="342" t="s">
        <v>9</v>
      </c>
      <c r="F154" s="369" t="s">
        <v>65</v>
      </c>
      <c r="G154" s="342" t="s">
        <v>180</v>
      </c>
      <c r="H154" s="343">
        <v>43941</v>
      </c>
      <c r="I154" s="341" t="s">
        <v>312</v>
      </c>
      <c r="J154" s="361">
        <v>1877080</v>
      </c>
      <c r="K154" s="368">
        <v>0.4</v>
      </c>
      <c r="L154" s="346">
        <v>750832</v>
      </c>
      <c r="M154" s="194">
        <v>0</v>
      </c>
      <c r="N154" s="274">
        <f t="shared" si="9"/>
        <v>750832</v>
      </c>
      <c r="O154" s="347"/>
      <c r="P154" s="393" t="str">
        <f>VLOOKUP(G:G,list!B:D,2,FALSE)</f>
        <v>작가기획</v>
      </c>
    </row>
    <row r="155" spans="2:16" ht="18" customHeight="1">
      <c r="B155" s="341">
        <v>151</v>
      </c>
      <c r="C155" s="341" t="s">
        <v>238</v>
      </c>
      <c r="D155" s="369" t="s">
        <v>254</v>
      </c>
      <c r="E155" s="341" t="s">
        <v>64</v>
      </c>
      <c r="F155" s="369" t="s">
        <v>65</v>
      </c>
      <c r="G155" s="342" t="s">
        <v>151</v>
      </c>
      <c r="H155" s="343">
        <v>44258</v>
      </c>
      <c r="I155" s="341" t="s">
        <v>312</v>
      </c>
      <c r="J155" s="361">
        <v>9776795</v>
      </c>
      <c r="K155" s="368">
        <v>0.4</v>
      </c>
      <c r="L155" s="346">
        <v>3910718</v>
      </c>
      <c r="M155" s="274">
        <f>L155*10%</f>
        <v>391071.80000000005</v>
      </c>
      <c r="N155" s="274">
        <f t="shared" si="9"/>
        <v>3519646.2</v>
      </c>
      <c r="O155" s="191"/>
      <c r="P155" s="393" t="str">
        <f>VLOOKUP(G:G,list!B:D,2,FALSE)</f>
        <v>원작료</v>
      </c>
    </row>
    <row r="156" spans="2:16" ht="18" customHeight="1">
      <c r="B156" s="341">
        <v>152</v>
      </c>
      <c r="C156" s="341" t="s">
        <v>318</v>
      </c>
      <c r="D156" s="369" t="s">
        <v>254</v>
      </c>
      <c r="E156" s="341" t="s">
        <v>64</v>
      </c>
      <c r="F156" s="369" t="s">
        <v>65</v>
      </c>
      <c r="G156" s="342" t="s">
        <v>179</v>
      </c>
      <c r="H156" s="343">
        <v>44233</v>
      </c>
      <c r="I156" s="341" t="s">
        <v>312</v>
      </c>
      <c r="J156" s="361">
        <v>5913705</v>
      </c>
      <c r="K156" s="368">
        <v>0.4</v>
      </c>
      <c r="L156" s="346">
        <v>2365482</v>
      </c>
      <c r="M156" s="194">
        <f>L156*10%</f>
        <v>236548.2</v>
      </c>
      <c r="N156" s="274">
        <f t="shared" si="9"/>
        <v>2128933.7999999998</v>
      </c>
      <c r="O156" s="195" t="s">
        <v>85</v>
      </c>
      <c r="P156" s="393" t="e">
        <f>VLOOKUP(G:G,list!B:D,2,FALSE)</f>
        <v>#N/A</v>
      </c>
    </row>
    <row r="157" spans="2:16" ht="18" customHeight="1">
      <c r="B157" s="341">
        <v>153</v>
      </c>
      <c r="C157" s="341" t="s">
        <v>238</v>
      </c>
      <c r="D157" s="369" t="s">
        <v>254</v>
      </c>
      <c r="E157" s="341" t="s">
        <v>64</v>
      </c>
      <c r="F157" s="369" t="s">
        <v>65</v>
      </c>
      <c r="G157" s="342" t="s">
        <v>54</v>
      </c>
      <c r="H157" s="343">
        <v>44254</v>
      </c>
      <c r="I157" s="341" t="s">
        <v>312</v>
      </c>
      <c r="J157" s="361">
        <v>437615</v>
      </c>
      <c r="K157" s="368">
        <v>0.4</v>
      </c>
      <c r="L157" s="346">
        <v>175046</v>
      </c>
      <c r="M157" s="274">
        <f>L157*10%</f>
        <v>17504.600000000002</v>
      </c>
      <c r="N157" s="274">
        <f t="shared" si="9"/>
        <v>157541.4</v>
      </c>
      <c r="O157" s="191"/>
      <c r="P157" s="393" t="e">
        <f>VLOOKUP(G:G,list!B:D,2,FALSE)</f>
        <v>#N/A</v>
      </c>
    </row>
    <row r="158" spans="2:16" ht="18" customHeight="1">
      <c r="B158" s="341">
        <v>154</v>
      </c>
      <c r="C158" s="341" t="s">
        <v>318</v>
      </c>
      <c r="D158" s="369" t="s">
        <v>254</v>
      </c>
      <c r="E158" s="341" t="s">
        <v>64</v>
      </c>
      <c r="F158" s="369" t="s">
        <v>65</v>
      </c>
      <c r="G158" s="342" t="s">
        <v>147</v>
      </c>
      <c r="H158" s="343">
        <v>44260</v>
      </c>
      <c r="I158" s="341" t="s">
        <v>312</v>
      </c>
      <c r="J158" s="361">
        <v>752315</v>
      </c>
      <c r="K158" s="368">
        <v>0.4</v>
      </c>
      <c r="L158" s="346">
        <v>300926</v>
      </c>
      <c r="M158" s="194">
        <v>0</v>
      </c>
      <c r="N158" s="274">
        <f t="shared" si="9"/>
        <v>300926</v>
      </c>
      <c r="O158" s="191"/>
      <c r="P158" s="393" t="e">
        <f>VLOOKUP(G:G,list!B:D,2,FALSE)</f>
        <v>#N/A</v>
      </c>
    </row>
    <row r="159" spans="2:16" ht="18" customHeight="1">
      <c r="B159" s="341">
        <v>155</v>
      </c>
      <c r="C159" s="341" t="s">
        <v>318</v>
      </c>
      <c r="D159" s="369" t="s">
        <v>254</v>
      </c>
      <c r="E159" s="341" t="s">
        <v>64</v>
      </c>
      <c r="F159" s="369" t="s">
        <v>65</v>
      </c>
      <c r="G159" s="342" t="s">
        <v>187</v>
      </c>
      <c r="H159" s="343">
        <v>44289</v>
      </c>
      <c r="I159" s="341" t="s">
        <v>312</v>
      </c>
      <c r="J159" s="361">
        <v>1121253</v>
      </c>
      <c r="K159" s="368">
        <v>0.4</v>
      </c>
      <c r="L159" s="346">
        <v>448501</v>
      </c>
      <c r="M159" s="194">
        <v>0</v>
      </c>
      <c r="N159" s="274">
        <f t="shared" si="9"/>
        <v>448501</v>
      </c>
      <c r="O159" s="191"/>
      <c r="P159" s="393" t="e">
        <f>VLOOKUP(G:G,list!B:D,2,FALSE)</f>
        <v>#N/A</v>
      </c>
    </row>
    <row r="160" spans="2:16" ht="18" customHeight="1">
      <c r="B160" s="341">
        <v>156</v>
      </c>
      <c r="C160" s="341" t="s">
        <v>318</v>
      </c>
      <c r="D160" s="369" t="s">
        <v>254</v>
      </c>
      <c r="E160" s="341" t="s">
        <v>64</v>
      </c>
      <c r="F160" s="369" t="s">
        <v>65</v>
      </c>
      <c r="G160" s="342" t="s">
        <v>121</v>
      </c>
      <c r="H160" s="343">
        <v>44449</v>
      </c>
      <c r="I160" s="341" t="s">
        <v>312</v>
      </c>
      <c r="J160" s="361">
        <v>6183418</v>
      </c>
      <c r="K160" s="368">
        <v>0.4</v>
      </c>
      <c r="L160" s="346">
        <v>2473367</v>
      </c>
      <c r="M160" s="194">
        <v>0</v>
      </c>
      <c r="N160" s="274">
        <f t="shared" si="9"/>
        <v>2473367</v>
      </c>
      <c r="O160" s="347"/>
      <c r="P160" s="393" t="e">
        <f>VLOOKUP(G:G,list!B:D,2,FALSE)</f>
        <v>#N/A</v>
      </c>
    </row>
    <row r="162" spans="2:16" s="7" customFormat="1">
      <c r="B162" s="380" t="s">
        <v>299</v>
      </c>
      <c r="E162" s="186"/>
      <c r="H162"/>
      <c r="I162"/>
      <c r="J162"/>
      <c r="L162" s="335"/>
      <c r="M162"/>
      <c r="N162" s="333"/>
      <c r="O162" s="18"/>
      <c r="P162" s="184"/>
    </row>
    <row r="163" spans="2:16" s="7" customFormat="1">
      <c r="B163" s="380" t="s">
        <v>302</v>
      </c>
      <c r="E163" s="186"/>
      <c r="H163"/>
      <c r="I163"/>
      <c r="L163" s="335"/>
      <c r="M163"/>
      <c r="N163" s="333"/>
      <c r="O163" s="18"/>
      <c r="P163" s="184"/>
    </row>
    <row r="164" spans="2:16" s="7" customFormat="1">
      <c r="B164" s="379" t="s">
        <v>303</v>
      </c>
      <c r="E164" s="186"/>
      <c r="H164"/>
      <c r="I164"/>
      <c r="L164" s="335"/>
      <c r="M164"/>
      <c r="N164" s="333"/>
      <c r="O164" s="18"/>
      <c r="P164" s="184"/>
    </row>
    <row r="165" spans="2:16">
      <c r="J165" s="7"/>
    </row>
    <row r="166" spans="2:16">
      <c r="J166" s="7"/>
    </row>
    <row r="167" spans="2:16">
      <c r="J167" s="7"/>
    </row>
    <row r="168" spans="2:16">
      <c r="J168" s="7"/>
    </row>
    <row r="169" spans="2:16">
      <c r="J169" s="7"/>
    </row>
    <row r="170" spans="2:16">
      <c r="J170" s="7"/>
    </row>
    <row r="171" spans="2:16">
      <c r="J171" s="7"/>
    </row>
    <row r="172" spans="2:16">
      <c r="J172" s="7"/>
    </row>
    <row r="173" spans="2:16">
      <c r="J173" s="7"/>
    </row>
    <row r="174" spans="2:16">
      <c r="J174" s="7"/>
    </row>
    <row r="175" spans="2:16">
      <c r="J175" s="7"/>
    </row>
    <row r="176" spans="2:16">
      <c r="J176" s="7"/>
    </row>
    <row r="177" spans="10:10">
      <c r="J177" s="7"/>
    </row>
    <row r="178" spans="10:10">
      <c r="J178" s="7"/>
    </row>
    <row r="179" spans="10:10">
      <c r="J179" s="7"/>
    </row>
    <row r="180" spans="10:10">
      <c r="J180" s="7"/>
    </row>
    <row r="181" spans="10:10">
      <c r="J181" s="7"/>
    </row>
    <row r="182" spans="10:10">
      <c r="J182" s="7"/>
    </row>
    <row r="183" spans="10:10">
      <c r="J183" s="7"/>
    </row>
    <row r="184" spans="10:10">
      <c r="J184" s="7"/>
    </row>
    <row r="185" spans="10:10">
      <c r="J185" s="7"/>
    </row>
    <row r="186" spans="10:10">
      <c r="J186" s="7"/>
    </row>
    <row r="187" spans="10:10">
      <c r="J187" s="7"/>
    </row>
    <row r="188" spans="10:10">
      <c r="J188" s="7"/>
    </row>
    <row r="189" spans="10:10">
      <c r="J189" s="7"/>
    </row>
    <row r="190" spans="10:10">
      <c r="J190" s="7"/>
    </row>
    <row r="191" spans="10:10">
      <c r="J191" s="7"/>
    </row>
  </sheetData>
  <autoFilter ref="B4:P160" xr:uid="{24D42A8E-2636-4EEA-8FCC-EB436B307D28}"/>
  <sortState xmlns:xlrd2="http://schemas.microsoft.com/office/spreadsheetml/2017/richdata2" ref="C5:P160">
    <sortCondition ref="D5:D160"/>
    <sortCondition ref="F5:F160"/>
  </sortState>
  <mergeCells count="1">
    <mergeCell ref="O2:P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DE4E-0C42-44CB-8741-27C27FFC6E87}">
  <dimension ref="B1:P172"/>
  <sheetViews>
    <sheetView showGridLines="0" zoomScaleNormal="100" workbookViewId="0">
      <pane xSplit="7" ySplit="4" topLeftCell="H5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7.69921875" style="7" customWidth="1"/>
    <col min="4" max="4" width="9.69921875" style="7" customWidth="1"/>
    <col min="5" max="5" width="10.19921875" style="186" bestFit="1" customWidth="1"/>
    <col min="6" max="6" width="16.8984375" style="7" customWidth="1"/>
    <col min="7" max="7" width="28" style="7" customWidth="1"/>
    <col min="8" max="8" width="14.59765625" customWidth="1"/>
    <col min="9" max="9" width="13.59765625" customWidth="1"/>
    <col min="10" max="10" width="11.59765625" customWidth="1"/>
    <col min="11" max="11" width="11.19921875" style="7" customWidth="1"/>
    <col min="12" max="12" width="13.59765625" style="335" customWidth="1"/>
    <col min="13" max="13" width="13.59765625" customWidth="1"/>
    <col min="14" max="14" width="13.59765625" style="333" customWidth="1"/>
    <col min="15" max="15" width="37.59765625" style="18" customWidth="1"/>
    <col min="16" max="16" width="43" style="184" customWidth="1"/>
  </cols>
  <sheetData>
    <row r="1" spans="2:16" ht="16.5" customHeight="1"/>
    <row r="2" spans="2:16" ht="30" customHeight="1" thickBot="1">
      <c r="B2" s="4" t="s">
        <v>304</v>
      </c>
      <c r="C2" s="4"/>
      <c r="D2" s="4"/>
      <c r="E2" s="187"/>
      <c r="F2" s="4"/>
      <c r="J2" s="200" t="s">
        <v>88</v>
      </c>
      <c r="K2"/>
      <c r="L2" s="336" t="s">
        <v>196</v>
      </c>
      <c r="O2" s="685" t="s">
        <v>262</v>
      </c>
      <c r="P2" s="686"/>
    </row>
    <row r="3" spans="2:16" s="6" customFormat="1" ht="18.600000000000001" thickTop="1" thickBot="1">
      <c r="B3" s="8"/>
      <c r="C3" s="8"/>
      <c r="D3" s="8"/>
      <c r="E3" s="188"/>
      <c r="F3" s="8"/>
      <c r="G3" s="8"/>
      <c r="J3" s="390"/>
      <c r="K3" s="8"/>
      <c r="L3" s="337">
        <f>SUBTOTAL(109,L5:L1048576)</f>
        <v>439066631.10000002</v>
      </c>
      <c r="M3" s="340">
        <f>SUBTOTAL(109,M5:M1048576)</f>
        <v>41288971.029999994</v>
      </c>
      <c r="N3" s="309">
        <f>SUBTOTAL(109,N5:N1048576)</f>
        <v>397777660.07000011</v>
      </c>
      <c r="O3" s="19"/>
      <c r="P3" s="185"/>
    </row>
    <row r="4" spans="2:16" s="9" customFormat="1" ht="24" customHeight="1">
      <c r="B4" s="275" t="s">
        <v>7</v>
      </c>
      <c r="C4" s="276" t="s">
        <v>237</v>
      </c>
      <c r="D4" s="277" t="s">
        <v>76</v>
      </c>
      <c r="E4" s="278" t="s">
        <v>3</v>
      </c>
      <c r="F4" s="277" t="s">
        <v>0</v>
      </c>
      <c r="G4" s="279" t="s">
        <v>4</v>
      </c>
      <c r="H4" s="278" t="s">
        <v>5</v>
      </c>
      <c r="I4" s="278" t="s">
        <v>6</v>
      </c>
      <c r="J4" s="278" t="s">
        <v>2</v>
      </c>
      <c r="K4" s="280" t="s">
        <v>1</v>
      </c>
      <c r="L4" s="338" t="s">
        <v>88</v>
      </c>
      <c r="M4" s="281" t="s">
        <v>232</v>
      </c>
      <c r="N4" s="334" t="s">
        <v>233</v>
      </c>
      <c r="O4" s="281" t="s">
        <v>82</v>
      </c>
      <c r="P4" s="281" t="s">
        <v>274</v>
      </c>
    </row>
    <row r="5" spans="2:16" ht="18" customHeight="1">
      <c r="B5" s="341">
        <v>1</v>
      </c>
      <c r="C5" s="341" t="s">
        <v>238</v>
      </c>
      <c r="D5" s="341" t="s">
        <v>78</v>
      </c>
      <c r="E5" s="342" t="s">
        <v>115</v>
      </c>
      <c r="F5" s="341" t="s">
        <v>268</v>
      </c>
      <c r="G5" s="342" t="s">
        <v>39</v>
      </c>
      <c r="H5" s="343">
        <v>44553</v>
      </c>
      <c r="I5" s="341" t="s">
        <v>305</v>
      </c>
      <c r="J5" s="344">
        <v>5500</v>
      </c>
      <c r="K5" s="345" t="s">
        <v>271</v>
      </c>
      <c r="L5" s="346">
        <v>3550</v>
      </c>
      <c r="M5" s="274">
        <f>L5*10%</f>
        <v>355</v>
      </c>
      <c r="N5" s="274">
        <f>L5-M5</f>
        <v>3195</v>
      </c>
      <c r="O5" s="370"/>
      <c r="P5" s="393" t="e">
        <f>VLOOKUP(G:G,list!B:D,2,FALSE)</f>
        <v>#N/A</v>
      </c>
    </row>
    <row r="6" spans="2:16" ht="18" customHeight="1">
      <c r="B6" s="341">
        <v>2</v>
      </c>
      <c r="C6" s="341" t="s">
        <v>238</v>
      </c>
      <c r="D6" s="341" t="s">
        <v>78</v>
      </c>
      <c r="E6" s="342" t="s">
        <v>115</v>
      </c>
      <c r="F6" s="341" t="s">
        <v>268</v>
      </c>
      <c r="G6" s="342" t="s">
        <v>40</v>
      </c>
      <c r="H6" s="343">
        <v>44554</v>
      </c>
      <c r="I6" s="341" t="s">
        <v>305</v>
      </c>
      <c r="J6" s="344">
        <v>17500</v>
      </c>
      <c r="K6" s="345" t="s">
        <v>271</v>
      </c>
      <c r="L6" s="346">
        <v>12250</v>
      </c>
      <c r="M6" s="194">
        <f>L6*10%</f>
        <v>1225</v>
      </c>
      <c r="N6" s="274">
        <f>L6-M6</f>
        <v>11025</v>
      </c>
      <c r="O6" s="370"/>
      <c r="P6" s="393" t="e">
        <f>VLOOKUP(G:G,list!B:D,2,FALSE)</f>
        <v>#N/A</v>
      </c>
    </row>
    <row r="7" spans="2:16" ht="18" customHeight="1">
      <c r="B7" s="341">
        <v>3</v>
      </c>
      <c r="C7" s="341" t="s">
        <v>238</v>
      </c>
      <c r="D7" s="341" t="s">
        <v>78</v>
      </c>
      <c r="E7" s="342" t="s">
        <v>115</v>
      </c>
      <c r="F7" s="341" t="s">
        <v>268</v>
      </c>
      <c r="G7" s="342" t="s">
        <v>38</v>
      </c>
      <c r="H7" s="343">
        <v>44554</v>
      </c>
      <c r="I7" s="341" t="s">
        <v>305</v>
      </c>
      <c r="J7" s="344">
        <v>4000</v>
      </c>
      <c r="K7" s="345" t="s">
        <v>271</v>
      </c>
      <c r="L7" s="346">
        <v>2800</v>
      </c>
      <c r="M7" s="194">
        <f>L7*10%</f>
        <v>280</v>
      </c>
      <c r="N7" s="274">
        <f>L7-M7</f>
        <v>2520</v>
      </c>
      <c r="O7" s="370"/>
      <c r="P7" s="393" t="e">
        <f>VLOOKUP(G:G,list!B:D,2,FALSE)</f>
        <v>#N/A</v>
      </c>
    </row>
    <row r="8" spans="2:16" ht="18" customHeight="1">
      <c r="B8" s="341">
        <v>4</v>
      </c>
      <c r="C8" s="341"/>
      <c r="D8" s="341" t="s">
        <v>78</v>
      </c>
      <c r="E8" s="342" t="s">
        <v>115</v>
      </c>
      <c r="F8" s="341" t="s">
        <v>268</v>
      </c>
      <c r="G8" s="342" t="s">
        <v>202</v>
      </c>
      <c r="H8" s="343">
        <v>44609</v>
      </c>
      <c r="I8" s="341" t="s">
        <v>305</v>
      </c>
      <c r="J8" s="344">
        <v>37500</v>
      </c>
      <c r="K8" s="345" t="s">
        <v>271</v>
      </c>
      <c r="L8" s="346">
        <v>26250</v>
      </c>
      <c r="M8" s="194">
        <v>0</v>
      </c>
      <c r="N8" s="274">
        <f>L8-M8</f>
        <v>26250</v>
      </c>
      <c r="O8" s="392" t="s">
        <v>287</v>
      </c>
      <c r="P8" s="393" t="e">
        <f>VLOOKUP(G:G,list!B:D,2,FALSE)</f>
        <v>#N/A</v>
      </c>
    </row>
    <row r="9" spans="2:16" ht="18" customHeight="1">
      <c r="B9" s="341">
        <v>5</v>
      </c>
      <c r="C9" s="341"/>
      <c r="D9" s="341" t="s">
        <v>189</v>
      </c>
      <c r="E9" s="362" t="s">
        <v>9</v>
      </c>
      <c r="F9" s="341" t="s">
        <v>41</v>
      </c>
      <c r="G9" s="362" t="s">
        <v>179</v>
      </c>
      <c r="H9" s="363">
        <v>44114</v>
      </c>
      <c r="I9" s="341" t="s">
        <v>281</v>
      </c>
      <c r="J9" s="357">
        <v>287135</v>
      </c>
      <c r="K9" s="345">
        <v>0.8</v>
      </c>
      <c r="L9" s="346">
        <v>229708</v>
      </c>
      <c r="M9" s="194">
        <f>L9*10%</f>
        <v>22970.800000000003</v>
      </c>
      <c r="N9" s="274">
        <f t="shared" ref="N9:N14" si="0">L9-M9</f>
        <v>206737.2</v>
      </c>
      <c r="O9" s="195" t="s">
        <v>85</v>
      </c>
      <c r="P9" s="393" t="e">
        <f>VLOOKUP(G:G,list!B:D,2,FALSE)</f>
        <v>#N/A</v>
      </c>
    </row>
    <row r="10" spans="2:16" ht="18" customHeight="1">
      <c r="B10" s="341">
        <v>6</v>
      </c>
      <c r="C10" s="341" t="s">
        <v>238</v>
      </c>
      <c r="D10" s="341" t="s">
        <v>189</v>
      </c>
      <c r="E10" s="362" t="s">
        <v>9</v>
      </c>
      <c r="F10" s="341" t="s">
        <v>41</v>
      </c>
      <c r="G10" s="362" t="s">
        <v>153</v>
      </c>
      <c r="H10" s="363">
        <v>44122</v>
      </c>
      <c r="I10" s="341" t="s">
        <v>281</v>
      </c>
      <c r="J10" s="357">
        <v>195183</v>
      </c>
      <c r="K10" s="345">
        <v>0.8</v>
      </c>
      <c r="L10" s="346">
        <v>156146</v>
      </c>
      <c r="M10" s="274">
        <f>L10*10%</f>
        <v>15614.6</v>
      </c>
      <c r="N10" s="274">
        <f t="shared" si="0"/>
        <v>140531.4</v>
      </c>
      <c r="O10" s="191"/>
      <c r="P10" s="393" t="e">
        <f>VLOOKUP(G:G,list!B:D,2,FALSE)</f>
        <v>#N/A</v>
      </c>
    </row>
    <row r="11" spans="2:16" ht="18" customHeight="1">
      <c r="B11" s="341">
        <v>7</v>
      </c>
      <c r="C11" s="341" t="s">
        <v>238</v>
      </c>
      <c r="D11" s="341" t="s">
        <v>189</v>
      </c>
      <c r="E11" s="362" t="s">
        <v>9</v>
      </c>
      <c r="F11" s="341" t="s">
        <v>41</v>
      </c>
      <c r="G11" s="362" t="s">
        <v>152</v>
      </c>
      <c r="H11" s="363">
        <v>44250</v>
      </c>
      <c r="I11" s="341" t="s">
        <v>281</v>
      </c>
      <c r="J11" s="357">
        <v>129300</v>
      </c>
      <c r="K11" s="345">
        <v>0.8</v>
      </c>
      <c r="L11" s="346">
        <v>103440</v>
      </c>
      <c r="M11" s="194">
        <f>L11*12%</f>
        <v>12412.8</v>
      </c>
      <c r="N11" s="274">
        <f t="shared" si="0"/>
        <v>91027.199999999997</v>
      </c>
      <c r="O11" s="191"/>
      <c r="P11" s="393" t="e">
        <f>VLOOKUP(G:G,list!B:D,2,FALSE)</f>
        <v>#N/A</v>
      </c>
    </row>
    <row r="12" spans="2:16" ht="18" customHeight="1">
      <c r="B12" s="341">
        <v>8</v>
      </c>
      <c r="C12" s="341" t="s">
        <v>238</v>
      </c>
      <c r="D12" s="341" t="s">
        <v>189</v>
      </c>
      <c r="E12" s="362" t="s">
        <v>9</v>
      </c>
      <c r="F12" s="341" t="s">
        <v>41</v>
      </c>
      <c r="G12" s="362" t="s">
        <v>151</v>
      </c>
      <c r="H12" s="363">
        <v>44265</v>
      </c>
      <c r="I12" s="341" t="s">
        <v>281</v>
      </c>
      <c r="J12" s="357">
        <v>61454</v>
      </c>
      <c r="K12" s="345">
        <v>0.8</v>
      </c>
      <c r="L12" s="346">
        <v>49163</v>
      </c>
      <c r="M12" s="274">
        <f>L12*10%</f>
        <v>4916.3</v>
      </c>
      <c r="N12" s="274">
        <f t="shared" si="0"/>
        <v>44246.7</v>
      </c>
      <c r="O12" s="364"/>
      <c r="P12" s="393" t="str">
        <f>VLOOKUP(G:G,list!B:D,2,FALSE)</f>
        <v>원작료</v>
      </c>
    </row>
    <row r="13" spans="2:16" ht="18" customHeight="1">
      <c r="B13" s="341">
        <v>9</v>
      </c>
      <c r="C13" s="341" t="s">
        <v>238</v>
      </c>
      <c r="D13" s="341" t="s">
        <v>251</v>
      </c>
      <c r="E13" s="341" t="s">
        <v>9</v>
      </c>
      <c r="F13" s="341" t="s">
        <v>41</v>
      </c>
      <c r="G13" s="341" t="s">
        <v>212</v>
      </c>
      <c r="H13" s="365">
        <v>44327</v>
      </c>
      <c r="I13" s="341" t="s">
        <v>281</v>
      </c>
      <c r="J13" s="357">
        <v>1048507</v>
      </c>
      <c r="K13" s="345">
        <v>0.8</v>
      </c>
      <c r="L13" s="346">
        <v>838805</v>
      </c>
      <c r="M13" s="194">
        <f>L13*10%</f>
        <v>83880.5</v>
      </c>
      <c r="N13" s="274">
        <f t="shared" si="0"/>
        <v>754924.5</v>
      </c>
      <c r="O13" s="364"/>
      <c r="P13" s="393" t="e">
        <f>VLOOKUP(G:G,list!B:D,2,FALSE)</f>
        <v>#N/A</v>
      </c>
    </row>
    <row r="14" spans="2:16" ht="18" customHeight="1">
      <c r="B14" s="341">
        <v>10</v>
      </c>
      <c r="C14" s="341" t="s">
        <v>238</v>
      </c>
      <c r="D14" s="366" t="s">
        <v>253</v>
      </c>
      <c r="E14" s="366" t="s">
        <v>9</v>
      </c>
      <c r="F14" s="341" t="s">
        <v>184</v>
      </c>
      <c r="G14" s="366" t="s">
        <v>218</v>
      </c>
      <c r="H14" s="365">
        <v>44356</v>
      </c>
      <c r="I14" s="341" t="s">
        <v>305</v>
      </c>
      <c r="J14" s="367">
        <v>6300486.666666667</v>
      </c>
      <c r="K14" s="368">
        <v>0.3</v>
      </c>
      <c r="L14" s="346">
        <v>1890146</v>
      </c>
      <c r="M14" s="194">
        <f>L14*10%</f>
        <v>189014.6</v>
      </c>
      <c r="N14" s="274">
        <f t="shared" si="0"/>
        <v>1701131.4</v>
      </c>
      <c r="O14" s="364" t="s">
        <v>221</v>
      </c>
      <c r="P14" s="393" t="e">
        <f>VLOOKUP(G:G,list!B:D,2,FALSE)</f>
        <v>#N/A</v>
      </c>
    </row>
    <row r="15" spans="2:16" ht="18" customHeight="1">
      <c r="B15" s="341">
        <v>11</v>
      </c>
      <c r="C15" s="341" t="s">
        <v>238</v>
      </c>
      <c r="D15" s="366" t="s">
        <v>177</v>
      </c>
      <c r="E15" s="366" t="s">
        <v>9</v>
      </c>
      <c r="F15" s="341" t="s">
        <v>184</v>
      </c>
      <c r="G15" s="366" t="s">
        <v>219</v>
      </c>
      <c r="H15" s="365">
        <v>44598</v>
      </c>
      <c r="I15" s="341" t="s">
        <v>305</v>
      </c>
      <c r="J15" s="367">
        <v>15906020</v>
      </c>
      <c r="K15" s="368">
        <v>0.3</v>
      </c>
      <c r="L15" s="346">
        <v>4771806</v>
      </c>
      <c r="M15" s="194">
        <f>L15*12%</f>
        <v>572616.72</v>
      </c>
      <c r="N15" s="274">
        <f t="shared" ref="N15:N41" si="1">L15-M15</f>
        <v>4199189.28</v>
      </c>
      <c r="O15" s="364" t="s">
        <v>286</v>
      </c>
      <c r="P15" s="393" t="e">
        <f>VLOOKUP(G:G,list!B:D,2,FALSE)</f>
        <v>#N/A</v>
      </c>
    </row>
    <row r="16" spans="2:16" ht="18" customHeight="1">
      <c r="B16" s="341">
        <v>12</v>
      </c>
      <c r="C16" s="341" t="s">
        <v>238</v>
      </c>
      <c r="D16" s="366" t="s">
        <v>255</v>
      </c>
      <c r="E16" s="366" t="s">
        <v>9</v>
      </c>
      <c r="F16" s="341" t="s">
        <v>184</v>
      </c>
      <c r="G16" s="366" t="s">
        <v>218</v>
      </c>
      <c r="H16" s="365">
        <v>44456</v>
      </c>
      <c r="I16" s="341" t="s">
        <v>305</v>
      </c>
      <c r="J16" s="367">
        <v>880626.66666666674</v>
      </c>
      <c r="K16" s="368">
        <v>0.3</v>
      </c>
      <c r="L16" s="346">
        <v>264188</v>
      </c>
      <c r="M16" s="194">
        <f>L16*10%</f>
        <v>26418.800000000003</v>
      </c>
      <c r="N16" s="274">
        <f t="shared" si="1"/>
        <v>237769.2</v>
      </c>
      <c r="O16" s="364" t="s">
        <v>221</v>
      </c>
      <c r="P16" s="393" t="e">
        <f>VLOOKUP(G:G,list!B:D,2,FALSE)</f>
        <v>#N/A</v>
      </c>
    </row>
    <row r="17" spans="2:16" ht="18" customHeight="1">
      <c r="B17" s="341">
        <v>13</v>
      </c>
      <c r="C17" s="341" t="s">
        <v>238</v>
      </c>
      <c r="D17" s="366" t="s">
        <v>215</v>
      </c>
      <c r="E17" s="366" t="s">
        <v>9</v>
      </c>
      <c r="F17" s="341" t="s">
        <v>184</v>
      </c>
      <c r="G17" s="366" t="s">
        <v>218</v>
      </c>
      <c r="H17" s="365">
        <v>44395</v>
      </c>
      <c r="I17" s="341" t="s">
        <v>305</v>
      </c>
      <c r="J17" s="361">
        <v>17850396.666666668</v>
      </c>
      <c r="K17" s="368">
        <v>0.3</v>
      </c>
      <c r="L17" s="346">
        <v>5355119</v>
      </c>
      <c r="M17" s="194">
        <f>L17*10%</f>
        <v>535511.9</v>
      </c>
      <c r="N17" s="274">
        <f t="shared" si="1"/>
        <v>4819607.0999999996</v>
      </c>
      <c r="O17" s="364" t="s">
        <v>221</v>
      </c>
      <c r="P17" s="393" t="e">
        <f>VLOOKUP(G:G,list!B:D,2,FALSE)</f>
        <v>#N/A</v>
      </c>
    </row>
    <row r="18" spans="2:16" ht="18" customHeight="1">
      <c r="B18" s="341">
        <v>14</v>
      </c>
      <c r="C18" s="341" t="s">
        <v>238</v>
      </c>
      <c r="D18" s="366" t="s">
        <v>215</v>
      </c>
      <c r="E18" s="366" t="s">
        <v>9</v>
      </c>
      <c r="F18" s="341" t="s">
        <v>184</v>
      </c>
      <c r="G18" s="366" t="s">
        <v>219</v>
      </c>
      <c r="H18" s="365">
        <v>44486</v>
      </c>
      <c r="I18" s="341" t="s">
        <v>305</v>
      </c>
      <c r="J18" s="367">
        <v>20073470</v>
      </c>
      <c r="K18" s="368">
        <v>0.3</v>
      </c>
      <c r="L18" s="346">
        <v>6022041</v>
      </c>
      <c r="M18" s="194">
        <f>L18*12%</f>
        <v>722644.91999999993</v>
      </c>
      <c r="N18" s="274">
        <f t="shared" si="1"/>
        <v>5299396.08</v>
      </c>
      <c r="O18" s="364" t="s">
        <v>221</v>
      </c>
      <c r="P18" s="393" t="e">
        <f>VLOOKUP(G:G,list!B:D,2,FALSE)</f>
        <v>#N/A</v>
      </c>
    </row>
    <row r="19" spans="2:16" ht="18" customHeight="1">
      <c r="B19" s="341">
        <v>15</v>
      </c>
      <c r="C19" s="341" t="s">
        <v>238</v>
      </c>
      <c r="D19" s="366" t="s">
        <v>215</v>
      </c>
      <c r="E19" s="366" t="s">
        <v>9</v>
      </c>
      <c r="F19" s="341" t="s">
        <v>184</v>
      </c>
      <c r="G19" s="366" t="s">
        <v>219</v>
      </c>
      <c r="H19" s="365">
        <v>44486</v>
      </c>
      <c r="I19" s="341" t="s">
        <v>281</v>
      </c>
      <c r="J19" s="361">
        <v>992030</v>
      </c>
      <c r="K19" s="368">
        <v>0.3</v>
      </c>
      <c r="L19" s="346">
        <v>297609</v>
      </c>
      <c r="M19" s="194">
        <f>L19*12%</f>
        <v>35713.08</v>
      </c>
      <c r="N19" s="274">
        <f t="shared" si="1"/>
        <v>261895.91999999998</v>
      </c>
      <c r="O19" s="364" t="s">
        <v>283</v>
      </c>
      <c r="P19" s="393" t="e">
        <f>VLOOKUP(G:G,list!B:D,2,FALSE)</f>
        <v>#N/A</v>
      </c>
    </row>
    <row r="20" spans="2:16" ht="18" customHeight="1">
      <c r="B20" s="341">
        <v>16</v>
      </c>
      <c r="C20" s="341" t="s">
        <v>238</v>
      </c>
      <c r="D20" s="366" t="s">
        <v>215</v>
      </c>
      <c r="E20" s="366" t="s">
        <v>9</v>
      </c>
      <c r="F20" s="341" t="s">
        <v>184</v>
      </c>
      <c r="G20" s="366" t="s">
        <v>12</v>
      </c>
      <c r="H20" s="365">
        <v>44544</v>
      </c>
      <c r="I20" s="341" t="s">
        <v>281</v>
      </c>
      <c r="J20" s="361">
        <v>370440</v>
      </c>
      <c r="K20" s="368">
        <v>0.3</v>
      </c>
      <c r="L20" s="346">
        <v>111132</v>
      </c>
      <c r="M20" s="274">
        <f>L20*10%</f>
        <v>11113.2</v>
      </c>
      <c r="N20" s="274">
        <f t="shared" si="1"/>
        <v>100018.8</v>
      </c>
      <c r="O20" s="364" t="s">
        <v>283</v>
      </c>
      <c r="P20" s="393" t="e">
        <f>VLOOKUP(G:G,list!B:D,2,FALSE)</f>
        <v>#N/A</v>
      </c>
    </row>
    <row r="21" spans="2:16" ht="18" customHeight="1">
      <c r="B21" s="341">
        <v>17</v>
      </c>
      <c r="C21" s="341"/>
      <c r="D21" s="366" t="s">
        <v>215</v>
      </c>
      <c r="E21" s="366" t="s">
        <v>9</v>
      </c>
      <c r="F21" s="341" t="s">
        <v>184</v>
      </c>
      <c r="G21" s="366" t="s">
        <v>135</v>
      </c>
      <c r="H21" s="365">
        <v>44420</v>
      </c>
      <c r="I21" s="341" t="s">
        <v>305</v>
      </c>
      <c r="J21" s="361">
        <v>2639900</v>
      </c>
      <c r="K21" s="368">
        <v>0.3</v>
      </c>
      <c r="L21" s="346">
        <v>791970</v>
      </c>
      <c r="M21" s="194">
        <v>0</v>
      </c>
      <c r="N21" s="274">
        <f t="shared" si="1"/>
        <v>791970</v>
      </c>
      <c r="O21" s="364" t="s">
        <v>221</v>
      </c>
      <c r="P21" s="393" t="e">
        <f>VLOOKUP(G:G,list!B:D,2,FALSE)</f>
        <v>#N/A</v>
      </c>
    </row>
    <row r="22" spans="2:16" ht="18" customHeight="1">
      <c r="B22" s="341">
        <v>18</v>
      </c>
      <c r="C22" s="341" t="s">
        <v>238</v>
      </c>
      <c r="D22" s="366" t="s">
        <v>217</v>
      </c>
      <c r="E22" s="366" t="s">
        <v>9</v>
      </c>
      <c r="F22" s="341" t="s">
        <v>184</v>
      </c>
      <c r="G22" s="366" t="s">
        <v>218</v>
      </c>
      <c r="H22" s="365">
        <v>44366</v>
      </c>
      <c r="I22" s="341" t="s">
        <v>305</v>
      </c>
      <c r="J22" s="367">
        <v>12773260</v>
      </c>
      <c r="K22" s="368">
        <v>0.3</v>
      </c>
      <c r="L22" s="346">
        <v>3831978</v>
      </c>
      <c r="M22" s="194">
        <f>L22*10%</f>
        <v>383197.80000000005</v>
      </c>
      <c r="N22" s="274">
        <f t="shared" si="1"/>
        <v>3448780.2</v>
      </c>
      <c r="O22" s="364" t="s">
        <v>221</v>
      </c>
      <c r="P22" s="393" t="e">
        <f>VLOOKUP(G:G,list!B:D,2,FALSE)</f>
        <v>#N/A</v>
      </c>
    </row>
    <row r="23" spans="2:16" ht="18" customHeight="1">
      <c r="B23" s="341">
        <v>19</v>
      </c>
      <c r="C23" s="341" t="s">
        <v>238</v>
      </c>
      <c r="D23" s="366" t="s">
        <v>217</v>
      </c>
      <c r="E23" s="366" t="s">
        <v>9</v>
      </c>
      <c r="F23" s="341" t="s">
        <v>184</v>
      </c>
      <c r="G23" s="366" t="s">
        <v>219</v>
      </c>
      <c r="H23" s="365">
        <v>44466</v>
      </c>
      <c r="I23" s="341" t="s">
        <v>305</v>
      </c>
      <c r="J23" s="367">
        <v>6523110</v>
      </c>
      <c r="K23" s="368">
        <v>0.3</v>
      </c>
      <c r="L23" s="346">
        <v>1956933</v>
      </c>
      <c r="M23" s="194">
        <f>L23*12%</f>
        <v>234831.96</v>
      </c>
      <c r="N23" s="274">
        <f t="shared" si="1"/>
        <v>1722101.04</v>
      </c>
      <c r="O23" s="364" t="s">
        <v>221</v>
      </c>
      <c r="P23" s="393" t="e">
        <f>VLOOKUP(G:G,list!B:D,2,FALSE)</f>
        <v>#N/A</v>
      </c>
    </row>
    <row r="24" spans="2:16" ht="18" customHeight="1">
      <c r="B24" s="341">
        <v>20</v>
      </c>
      <c r="C24" s="341" t="s">
        <v>238</v>
      </c>
      <c r="D24" s="366" t="s">
        <v>252</v>
      </c>
      <c r="E24" s="366" t="s">
        <v>9</v>
      </c>
      <c r="F24" s="341" t="s">
        <v>184</v>
      </c>
      <c r="G24" s="366" t="s">
        <v>218</v>
      </c>
      <c r="H24" s="365">
        <v>44466</v>
      </c>
      <c r="I24" s="341" t="s">
        <v>281</v>
      </c>
      <c r="J24" s="357">
        <v>116938463.33333334</v>
      </c>
      <c r="K24" s="345">
        <v>0.3</v>
      </c>
      <c r="L24" s="346">
        <v>35081539</v>
      </c>
      <c r="M24" s="194">
        <f>L24*10%</f>
        <v>3508153.9000000004</v>
      </c>
      <c r="N24" s="274">
        <f t="shared" si="1"/>
        <v>31573385.100000001</v>
      </c>
      <c r="O24" s="364" t="s">
        <v>282</v>
      </c>
      <c r="P24" s="393" t="e">
        <f>VLOOKUP(G:G,list!B:D,2,FALSE)</f>
        <v>#N/A</v>
      </c>
    </row>
    <row r="25" spans="2:16" ht="18" customHeight="1">
      <c r="B25" s="341">
        <v>21</v>
      </c>
      <c r="C25" s="341"/>
      <c r="D25" s="366" t="s">
        <v>252</v>
      </c>
      <c r="E25" s="366" t="s">
        <v>9</v>
      </c>
      <c r="F25" s="341" t="s">
        <v>184</v>
      </c>
      <c r="G25" s="366" t="s">
        <v>135</v>
      </c>
      <c r="H25" s="365">
        <v>44468</v>
      </c>
      <c r="I25" s="341" t="s">
        <v>281</v>
      </c>
      <c r="J25" s="357">
        <v>125286.66666666667</v>
      </c>
      <c r="K25" s="345">
        <v>0.3</v>
      </c>
      <c r="L25" s="346">
        <v>37586</v>
      </c>
      <c r="M25" s="194">
        <v>0</v>
      </c>
      <c r="N25" s="274">
        <f t="shared" si="1"/>
        <v>37586</v>
      </c>
      <c r="O25" s="364" t="s">
        <v>282</v>
      </c>
      <c r="P25" s="393" t="e">
        <f>VLOOKUP(G:G,list!B:D,2,FALSE)</f>
        <v>#N/A</v>
      </c>
    </row>
    <row r="26" spans="2:16" ht="18" customHeight="1">
      <c r="B26" s="341">
        <v>22</v>
      </c>
      <c r="C26" s="341" t="s">
        <v>238</v>
      </c>
      <c r="D26" s="366" t="s">
        <v>252</v>
      </c>
      <c r="E26" s="366" t="s">
        <v>9</v>
      </c>
      <c r="F26" s="341" t="s">
        <v>184</v>
      </c>
      <c r="G26" s="366" t="s">
        <v>219</v>
      </c>
      <c r="H26" s="365">
        <v>44498</v>
      </c>
      <c r="I26" s="341" t="s">
        <v>281</v>
      </c>
      <c r="J26" s="367">
        <v>32771970</v>
      </c>
      <c r="K26" s="345">
        <v>0.3</v>
      </c>
      <c r="L26" s="346">
        <v>9831591</v>
      </c>
      <c r="M26" s="194">
        <f>L26*12%</f>
        <v>1179790.92</v>
      </c>
      <c r="N26" s="274">
        <f t="shared" si="1"/>
        <v>8651800.0800000001</v>
      </c>
      <c r="O26" s="364" t="s">
        <v>282</v>
      </c>
      <c r="P26" s="393" t="e">
        <f>VLOOKUP(G:G,list!B:D,2,FALSE)</f>
        <v>#N/A</v>
      </c>
    </row>
    <row r="27" spans="2:16" ht="18" customHeight="1">
      <c r="B27" s="341">
        <v>23</v>
      </c>
      <c r="C27" s="341" t="s">
        <v>238</v>
      </c>
      <c r="D27" s="366" t="s">
        <v>252</v>
      </c>
      <c r="E27" s="366" t="s">
        <v>9</v>
      </c>
      <c r="F27" s="341" t="s">
        <v>184</v>
      </c>
      <c r="G27" s="366" t="s">
        <v>12</v>
      </c>
      <c r="H27" s="365">
        <v>44552</v>
      </c>
      <c r="I27" s="341" t="s">
        <v>281</v>
      </c>
      <c r="J27" s="367">
        <v>907336.66666666674</v>
      </c>
      <c r="K27" s="345">
        <v>0.3</v>
      </c>
      <c r="L27" s="346">
        <v>272201</v>
      </c>
      <c r="M27" s="274">
        <f>L27*10%</f>
        <v>27220.100000000002</v>
      </c>
      <c r="N27" s="274">
        <f t="shared" si="1"/>
        <v>244980.9</v>
      </c>
      <c r="O27" s="364" t="s">
        <v>282</v>
      </c>
      <c r="P27" s="393" t="e">
        <f>VLOOKUP(G:G,list!B:D,2,FALSE)</f>
        <v>#N/A</v>
      </c>
    </row>
    <row r="28" spans="2:16" ht="18" customHeight="1">
      <c r="B28" s="341">
        <v>24</v>
      </c>
      <c r="C28" s="341" t="s">
        <v>238</v>
      </c>
      <c r="D28" s="366" t="s">
        <v>214</v>
      </c>
      <c r="E28" s="366" t="s">
        <v>9</v>
      </c>
      <c r="F28" s="341" t="s">
        <v>184</v>
      </c>
      <c r="G28" s="366" t="s">
        <v>218</v>
      </c>
      <c r="H28" s="365">
        <v>44356</v>
      </c>
      <c r="I28" s="341" t="s">
        <v>305</v>
      </c>
      <c r="J28" s="361">
        <v>1630883.3333333335</v>
      </c>
      <c r="K28" s="368">
        <v>0.3</v>
      </c>
      <c r="L28" s="346">
        <v>489265</v>
      </c>
      <c r="M28" s="194">
        <f>L28*10%</f>
        <v>48926.5</v>
      </c>
      <c r="N28" s="274">
        <f t="shared" si="1"/>
        <v>440338.5</v>
      </c>
      <c r="O28" s="364" t="s">
        <v>220</v>
      </c>
      <c r="P28" s="393" t="e">
        <f>VLOOKUP(G:G,list!B:D,2,FALSE)</f>
        <v>#N/A</v>
      </c>
    </row>
    <row r="29" spans="2:16" ht="18" customHeight="1">
      <c r="B29" s="341">
        <v>25</v>
      </c>
      <c r="C29" s="341" t="s">
        <v>238</v>
      </c>
      <c r="D29" s="366" t="s">
        <v>214</v>
      </c>
      <c r="E29" s="366" t="s">
        <v>9</v>
      </c>
      <c r="F29" s="341" t="s">
        <v>184</v>
      </c>
      <c r="G29" s="366" t="s">
        <v>219</v>
      </c>
      <c r="H29" s="365">
        <v>44477</v>
      </c>
      <c r="I29" s="341" t="s">
        <v>305</v>
      </c>
      <c r="J29" s="367">
        <v>235883.33333333334</v>
      </c>
      <c r="K29" s="368">
        <v>0.3</v>
      </c>
      <c r="L29" s="346">
        <v>70765</v>
      </c>
      <c r="M29" s="194">
        <f>L29*12%</f>
        <v>8491.7999999999993</v>
      </c>
      <c r="N29" s="274">
        <f t="shared" si="1"/>
        <v>62273.2</v>
      </c>
      <c r="O29" s="364" t="s">
        <v>220</v>
      </c>
      <c r="P29" s="393" t="e">
        <f>VLOOKUP(G:G,list!B:D,2,FALSE)</f>
        <v>#N/A</v>
      </c>
    </row>
    <row r="30" spans="2:16" ht="18" customHeight="1">
      <c r="B30" s="341">
        <v>26</v>
      </c>
      <c r="C30" s="341" t="s">
        <v>238</v>
      </c>
      <c r="D30" s="366" t="s">
        <v>214</v>
      </c>
      <c r="E30" s="366" t="s">
        <v>9</v>
      </c>
      <c r="F30" s="341" t="s">
        <v>184</v>
      </c>
      <c r="G30" s="366" t="s">
        <v>136</v>
      </c>
      <c r="H30" s="365">
        <v>44364</v>
      </c>
      <c r="I30" s="341" t="s">
        <v>305</v>
      </c>
      <c r="J30" s="367">
        <v>11093.333333333334</v>
      </c>
      <c r="K30" s="368">
        <v>0.3</v>
      </c>
      <c r="L30" s="346">
        <v>3328</v>
      </c>
      <c r="M30" s="274">
        <f>L30*10%</f>
        <v>332.8</v>
      </c>
      <c r="N30" s="274">
        <f t="shared" si="1"/>
        <v>2995.2</v>
      </c>
      <c r="O30" s="364" t="s">
        <v>220</v>
      </c>
      <c r="P30" s="393" t="e">
        <f>VLOOKUP(G:G,list!B:D,2,FALSE)</f>
        <v>#N/A</v>
      </c>
    </row>
    <row r="31" spans="2:16" ht="18" customHeight="1">
      <c r="B31" s="341">
        <v>27</v>
      </c>
      <c r="C31" s="341"/>
      <c r="D31" s="366" t="s">
        <v>214</v>
      </c>
      <c r="E31" s="366" t="s">
        <v>9</v>
      </c>
      <c r="F31" s="341" t="s">
        <v>184</v>
      </c>
      <c r="G31" s="366" t="s">
        <v>135</v>
      </c>
      <c r="H31" s="365">
        <v>44381</v>
      </c>
      <c r="I31" s="341" t="s">
        <v>305</v>
      </c>
      <c r="J31" s="361">
        <v>198303.33333333334</v>
      </c>
      <c r="K31" s="368">
        <v>0.3</v>
      </c>
      <c r="L31" s="346">
        <v>59491</v>
      </c>
      <c r="M31" s="194">
        <v>0</v>
      </c>
      <c r="N31" s="274">
        <f t="shared" si="1"/>
        <v>59491</v>
      </c>
      <c r="O31" s="364" t="s">
        <v>220</v>
      </c>
      <c r="P31" s="393" t="e">
        <f>VLOOKUP(G:G,list!B:D,2,FALSE)</f>
        <v>#N/A</v>
      </c>
    </row>
    <row r="32" spans="2:16" ht="18" customHeight="1">
      <c r="B32" s="341">
        <v>28</v>
      </c>
      <c r="C32" s="341" t="s">
        <v>238</v>
      </c>
      <c r="D32" s="366" t="s">
        <v>216</v>
      </c>
      <c r="E32" s="366" t="s">
        <v>9</v>
      </c>
      <c r="F32" s="341" t="s">
        <v>184</v>
      </c>
      <c r="G32" s="366" t="s">
        <v>218</v>
      </c>
      <c r="H32" s="365">
        <v>44396</v>
      </c>
      <c r="I32" s="341" t="s">
        <v>305</v>
      </c>
      <c r="J32" s="361">
        <v>6375513.333333334</v>
      </c>
      <c r="K32" s="368">
        <v>0.3</v>
      </c>
      <c r="L32" s="346">
        <v>1912654</v>
      </c>
      <c r="M32" s="194">
        <f>L32*10%</f>
        <v>191265.40000000002</v>
      </c>
      <c r="N32" s="274">
        <f t="shared" si="1"/>
        <v>1721388.6</v>
      </c>
      <c r="O32" s="364" t="s">
        <v>221</v>
      </c>
      <c r="P32" s="393" t="e">
        <f>VLOOKUP(G:G,list!B:D,2,FALSE)</f>
        <v>#N/A</v>
      </c>
    </row>
    <row r="33" spans="2:16" ht="18" customHeight="1">
      <c r="B33" s="341">
        <v>29</v>
      </c>
      <c r="C33" s="341" t="s">
        <v>238</v>
      </c>
      <c r="D33" s="366" t="s">
        <v>216</v>
      </c>
      <c r="E33" s="366" t="s">
        <v>9</v>
      </c>
      <c r="F33" s="341" t="s">
        <v>184</v>
      </c>
      <c r="G33" s="366" t="s">
        <v>219</v>
      </c>
      <c r="H33" s="365">
        <v>44497</v>
      </c>
      <c r="I33" s="341" t="s">
        <v>305</v>
      </c>
      <c r="J33" s="367">
        <v>5130233.333333334</v>
      </c>
      <c r="K33" s="368">
        <v>0.3</v>
      </c>
      <c r="L33" s="346">
        <v>1539070</v>
      </c>
      <c r="M33" s="194">
        <f>L33*12%</f>
        <v>184688.4</v>
      </c>
      <c r="N33" s="274">
        <f t="shared" si="1"/>
        <v>1354381.6</v>
      </c>
      <c r="O33" s="364" t="s">
        <v>221</v>
      </c>
      <c r="P33" s="393" t="e">
        <f>VLOOKUP(G:G,list!B:D,2,FALSE)</f>
        <v>#N/A</v>
      </c>
    </row>
    <row r="34" spans="2:16" ht="18" customHeight="1">
      <c r="B34" s="341">
        <v>30</v>
      </c>
      <c r="C34" s="341"/>
      <c r="D34" s="366" t="s">
        <v>216</v>
      </c>
      <c r="E34" s="366" t="s">
        <v>9</v>
      </c>
      <c r="F34" s="341" t="s">
        <v>184</v>
      </c>
      <c r="G34" s="366" t="s">
        <v>135</v>
      </c>
      <c r="H34" s="365">
        <v>44370</v>
      </c>
      <c r="I34" s="341" t="s">
        <v>305</v>
      </c>
      <c r="J34" s="367">
        <v>378560</v>
      </c>
      <c r="K34" s="368">
        <v>0.3</v>
      </c>
      <c r="L34" s="346">
        <v>113568</v>
      </c>
      <c r="M34" s="194">
        <v>0</v>
      </c>
      <c r="N34" s="274">
        <f t="shared" si="1"/>
        <v>113568</v>
      </c>
      <c r="O34" s="364" t="s">
        <v>221</v>
      </c>
      <c r="P34" s="393" t="e">
        <f>VLOOKUP(G:G,list!B:D,2,FALSE)</f>
        <v>#N/A</v>
      </c>
    </row>
    <row r="35" spans="2:16" ht="18" customHeight="1">
      <c r="B35" s="341">
        <v>31</v>
      </c>
      <c r="C35" s="341" t="s">
        <v>238</v>
      </c>
      <c r="D35" s="366" t="s">
        <v>254</v>
      </c>
      <c r="E35" s="366" t="s">
        <v>9</v>
      </c>
      <c r="F35" s="341" t="s">
        <v>184</v>
      </c>
      <c r="G35" s="366" t="s">
        <v>218</v>
      </c>
      <c r="H35" s="365">
        <v>44516</v>
      </c>
      <c r="I35" s="341" t="s">
        <v>305</v>
      </c>
      <c r="J35" s="367">
        <v>3309063.3333333335</v>
      </c>
      <c r="K35" s="368">
        <v>0.3</v>
      </c>
      <c r="L35" s="346">
        <v>992719</v>
      </c>
      <c r="M35" s="194">
        <f>L35*10%</f>
        <v>99271.900000000009</v>
      </c>
      <c r="N35" s="274">
        <f t="shared" si="1"/>
        <v>893447.1</v>
      </c>
      <c r="O35" s="364" t="s">
        <v>221</v>
      </c>
      <c r="P35" s="393" t="e">
        <f>VLOOKUP(G:G,list!B:D,2,FALSE)</f>
        <v>#N/A</v>
      </c>
    </row>
    <row r="36" spans="2:16" ht="18" customHeight="1">
      <c r="B36" s="341">
        <v>32</v>
      </c>
      <c r="C36" s="341" t="s">
        <v>238</v>
      </c>
      <c r="D36" s="366" t="s">
        <v>67</v>
      </c>
      <c r="E36" s="366" t="s">
        <v>9</v>
      </c>
      <c r="F36" s="341" t="s">
        <v>184</v>
      </c>
      <c r="G36" s="366" t="s">
        <v>191</v>
      </c>
      <c r="H36" s="365">
        <v>44581</v>
      </c>
      <c r="I36" s="341" t="s">
        <v>305</v>
      </c>
      <c r="J36" s="367">
        <v>7820403.333333334</v>
      </c>
      <c r="K36" s="368">
        <v>0.3</v>
      </c>
      <c r="L36" s="346">
        <v>2346121</v>
      </c>
      <c r="M36" s="194">
        <f>L36*10%</f>
        <v>234612.1</v>
      </c>
      <c r="N36" s="274">
        <f t="shared" si="1"/>
        <v>2111508.9</v>
      </c>
      <c r="O36" s="364" t="s">
        <v>307</v>
      </c>
      <c r="P36" s="393" t="e">
        <f>VLOOKUP(G:G,list!B:D,2,FALSE)</f>
        <v>#N/A</v>
      </c>
    </row>
    <row r="37" spans="2:16" ht="18" customHeight="1">
      <c r="B37" s="341">
        <v>33</v>
      </c>
      <c r="C37" s="341" t="s">
        <v>238</v>
      </c>
      <c r="D37" s="366" t="s">
        <v>67</v>
      </c>
      <c r="E37" s="366" t="s">
        <v>9</v>
      </c>
      <c r="F37" s="341" t="s">
        <v>184</v>
      </c>
      <c r="G37" s="366" t="s">
        <v>59</v>
      </c>
      <c r="H37" s="365">
        <v>44582</v>
      </c>
      <c r="I37" s="341" t="s">
        <v>305</v>
      </c>
      <c r="J37" s="367">
        <v>8016860</v>
      </c>
      <c r="K37" s="368">
        <v>0.3</v>
      </c>
      <c r="L37" s="346">
        <v>2405058</v>
      </c>
      <c r="M37" s="274">
        <f>L37*10%</f>
        <v>240505.80000000002</v>
      </c>
      <c r="N37" s="274">
        <f t="shared" si="1"/>
        <v>2164552.2000000002</v>
      </c>
      <c r="O37" s="364" t="s">
        <v>307</v>
      </c>
      <c r="P37" s="393" t="e">
        <f>VLOOKUP(G:G,list!B:D,2,FALSE)</f>
        <v>#N/A</v>
      </c>
    </row>
    <row r="38" spans="2:16" ht="18" customHeight="1">
      <c r="B38" s="341">
        <v>34</v>
      </c>
      <c r="C38" s="341"/>
      <c r="D38" s="341" t="s">
        <v>78</v>
      </c>
      <c r="E38" s="342" t="s">
        <v>9</v>
      </c>
      <c r="F38" s="341" t="s">
        <v>242</v>
      </c>
      <c r="G38" s="342" t="s">
        <v>11</v>
      </c>
      <c r="H38" s="343">
        <v>44308</v>
      </c>
      <c r="I38" s="341" t="s">
        <v>305</v>
      </c>
      <c r="J38" s="344">
        <v>6745157</v>
      </c>
      <c r="K38" s="345">
        <v>0.6</v>
      </c>
      <c r="L38" s="346">
        <v>4047094</v>
      </c>
      <c r="M38" s="274">
        <v>0</v>
      </c>
      <c r="N38" s="274">
        <f t="shared" si="1"/>
        <v>4047094</v>
      </c>
      <c r="O38" s="347"/>
      <c r="P38" s="393" t="e">
        <f>VLOOKUP(G:G,list!B:D,2,FALSE)</f>
        <v>#N/A</v>
      </c>
    </row>
    <row r="39" spans="2:16" ht="18" customHeight="1">
      <c r="B39" s="341">
        <v>35</v>
      </c>
      <c r="C39" s="341" t="s">
        <v>238</v>
      </c>
      <c r="D39" s="341" t="s">
        <v>78</v>
      </c>
      <c r="E39" s="342" t="s">
        <v>9</v>
      </c>
      <c r="F39" s="341" t="s">
        <v>242</v>
      </c>
      <c r="G39" s="342" t="s">
        <v>10</v>
      </c>
      <c r="H39" s="343">
        <v>44309</v>
      </c>
      <c r="I39" s="341" t="s">
        <v>305</v>
      </c>
      <c r="J39" s="344">
        <v>129878480</v>
      </c>
      <c r="K39" s="345">
        <v>0.6</v>
      </c>
      <c r="L39" s="346">
        <v>77927088</v>
      </c>
      <c r="M39" s="274">
        <f>L39*10%</f>
        <v>7792708.8000000007</v>
      </c>
      <c r="N39" s="274">
        <f t="shared" si="1"/>
        <v>70134379.200000003</v>
      </c>
      <c r="O39" s="191"/>
      <c r="P39" s="393" t="e">
        <f>VLOOKUP(G:G,list!B:D,2,FALSE)</f>
        <v>#N/A</v>
      </c>
    </row>
    <row r="40" spans="2:16" ht="18" customHeight="1">
      <c r="B40" s="341">
        <v>36</v>
      </c>
      <c r="C40" s="341" t="s">
        <v>238</v>
      </c>
      <c r="D40" s="341" t="s">
        <v>78</v>
      </c>
      <c r="E40" s="342" t="s">
        <v>9</v>
      </c>
      <c r="F40" s="341" t="s">
        <v>242</v>
      </c>
      <c r="G40" s="342" t="s">
        <v>136</v>
      </c>
      <c r="H40" s="343">
        <v>44240</v>
      </c>
      <c r="I40" s="341" t="s">
        <v>305</v>
      </c>
      <c r="J40" s="348">
        <v>896979</v>
      </c>
      <c r="K40" s="345">
        <v>0.6</v>
      </c>
      <c r="L40" s="346">
        <v>538187</v>
      </c>
      <c r="M40" s="274">
        <f>L40*10%</f>
        <v>53818.700000000004</v>
      </c>
      <c r="N40" s="274">
        <f t="shared" si="1"/>
        <v>484368.3</v>
      </c>
      <c r="O40" s="193"/>
      <c r="P40" s="393" t="e">
        <f>VLOOKUP(G:G,list!B:D,2,FALSE)</f>
        <v>#N/A</v>
      </c>
    </row>
    <row r="41" spans="2:16" ht="18" customHeight="1">
      <c r="B41" s="341">
        <v>37</v>
      </c>
      <c r="C41" s="341" t="s">
        <v>238</v>
      </c>
      <c r="D41" s="341" t="s">
        <v>78</v>
      </c>
      <c r="E41" s="342" t="s">
        <v>9</v>
      </c>
      <c r="F41" s="341" t="s">
        <v>242</v>
      </c>
      <c r="G41" s="342" t="s">
        <v>17</v>
      </c>
      <c r="H41" s="343">
        <v>44391</v>
      </c>
      <c r="I41" s="341" t="s">
        <v>305</v>
      </c>
      <c r="J41" s="349">
        <v>36018640</v>
      </c>
      <c r="K41" s="350">
        <v>0.6</v>
      </c>
      <c r="L41" s="346">
        <v>21611184</v>
      </c>
      <c r="M41" s="194">
        <f>L41*12%</f>
        <v>2593342.08</v>
      </c>
      <c r="N41" s="274">
        <f t="shared" si="1"/>
        <v>19017841.920000002</v>
      </c>
      <c r="O41" s="191"/>
      <c r="P41" s="393" t="e">
        <f>VLOOKUP(G:G,list!B:D,2,FALSE)</f>
        <v>#N/A</v>
      </c>
    </row>
    <row r="42" spans="2:16" ht="18" customHeight="1">
      <c r="B42" s="341">
        <v>38</v>
      </c>
      <c r="C42" s="341" t="s">
        <v>310</v>
      </c>
      <c r="D42" s="341" t="s">
        <v>78</v>
      </c>
      <c r="E42" s="342" t="s">
        <v>9</v>
      </c>
      <c r="F42" s="341" t="s">
        <v>242</v>
      </c>
      <c r="G42" s="342" t="s">
        <v>306</v>
      </c>
      <c r="H42" s="343">
        <v>44603</v>
      </c>
      <c r="I42" s="341" t="s">
        <v>305</v>
      </c>
      <c r="J42" s="349">
        <v>11374707</v>
      </c>
      <c r="K42" s="350">
        <v>0.6</v>
      </c>
      <c r="L42" s="346">
        <v>6824825</v>
      </c>
      <c r="M42" s="194">
        <v>0</v>
      </c>
      <c r="N42" s="274">
        <f>L42-M42</f>
        <v>6824825</v>
      </c>
      <c r="O42" s="391" t="s">
        <v>287</v>
      </c>
      <c r="P42" s="393" t="e">
        <f>VLOOKUP(G:G,list!B:D,2,FALSE)</f>
        <v>#N/A</v>
      </c>
    </row>
    <row r="43" spans="2:16" ht="18" customHeight="1">
      <c r="B43" s="341">
        <v>39</v>
      </c>
      <c r="C43" s="341" t="s">
        <v>238</v>
      </c>
      <c r="D43" s="341" t="s">
        <v>78</v>
      </c>
      <c r="E43" s="342" t="s">
        <v>115</v>
      </c>
      <c r="F43" s="341" t="s">
        <v>242</v>
      </c>
      <c r="G43" s="342" t="s">
        <v>204</v>
      </c>
      <c r="H43" s="343">
        <v>44428</v>
      </c>
      <c r="I43" s="341" t="s">
        <v>305</v>
      </c>
      <c r="J43" s="351">
        <v>477521</v>
      </c>
      <c r="K43" s="352">
        <v>0.7</v>
      </c>
      <c r="L43" s="346">
        <v>334265</v>
      </c>
      <c r="M43" s="194">
        <f>L43*10%</f>
        <v>33426.5</v>
      </c>
      <c r="N43" s="274">
        <f t="shared" ref="N43:N71" si="2">L43-M43</f>
        <v>300838.5</v>
      </c>
      <c r="O43" s="193"/>
      <c r="P43" s="393" t="e">
        <f>VLOOKUP(G:G,list!B:D,2,FALSE)</f>
        <v>#N/A</v>
      </c>
    </row>
    <row r="44" spans="2:16" ht="18" customHeight="1">
      <c r="B44" s="341">
        <v>40</v>
      </c>
      <c r="C44" s="341"/>
      <c r="D44" s="341" t="s">
        <v>78</v>
      </c>
      <c r="E44" s="342" t="s">
        <v>115</v>
      </c>
      <c r="F44" s="341" t="s">
        <v>242</v>
      </c>
      <c r="G44" s="342" t="s">
        <v>202</v>
      </c>
      <c r="H44" s="343">
        <v>44525</v>
      </c>
      <c r="I44" s="341" t="s">
        <v>305</v>
      </c>
      <c r="J44" s="348">
        <v>40800</v>
      </c>
      <c r="K44" s="345">
        <v>0.7</v>
      </c>
      <c r="L44" s="346">
        <v>28560</v>
      </c>
      <c r="M44" s="274">
        <v>0</v>
      </c>
      <c r="N44" s="274">
        <f t="shared" si="2"/>
        <v>28560</v>
      </c>
      <c r="O44" s="193"/>
      <c r="P44" s="393" t="e">
        <f>VLOOKUP(G:G,list!B:D,2,FALSE)</f>
        <v>#N/A</v>
      </c>
    </row>
    <row r="45" spans="2:16" ht="18" customHeight="1">
      <c r="B45" s="341">
        <v>41</v>
      </c>
      <c r="C45" s="341" t="s">
        <v>238</v>
      </c>
      <c r="D45" s="369" t="s">
        <v>66</v>
      </c>
      <c r="E45" s="341" t="s">
        <v>64</v>
      </c>
      <c r="F45" s="369" t="s">
        <v>65</v>
      </c>
      <c r="G45" s="342" t="s">
        <v>152</v>
      </c>
      <c r="H45" s="343">
        <v>44235</v>
      </c>
      <c r="I45" s="341" t="s">
        <v>305</v>
      </c>
      <c r="J45" s="361">
        <v>1166845</v>
      </c>
      <c r="K45" s="368">
        <v>0.4</v>
      </c>
      <c r="L45" s="346">
        <v>466738</v>
      </c>
      <c r="M45" s="194">
        <f>L45*12%</f>
        <v>56008.56</v>
      </c>
      <c r="N45" s="274">
        <f t="shared" si="2"/>
        <v>410729.44</v>
      </c>
      <c r="O45" s="191"/>
      <c r="P45" s="393" t="e">
        <f>VLOOKUP(G:G,list!B:D,2,FALSE)</f>
        <v>#N/A</v>
      </c>
    </row>
    <row r="46" spans="2:16" ht="18" customHeight="1">
      <c r="B46" s="341">
        <v>42</v>
      </c>
      <c r="C46" s="341"/>
      <c r="D46" s="369" t="s">
        <v>66</v>
      </c>
      <c r="E46" s="341" t="s">
        <v>64</v>
      </c>
      <c r="F46" s="369" t="s">
        <v>65</v>
      </c>
      <c r="G46" s="342" t="s">
        <v>179</v>
      </c>
      <c r="H46" s="343">
        <v>44198</v>
      </c>
      <c r="I46" s="341" t="s">
        <v>305</v>
      </c>
      <c r="J46" s="361">
        <v>825970</v>
      </c>
      <c r="K46" s="368">
        <v>0.4</v>
      </c>
      <c r="L46" s="346">
        <v>330388</v>
      </c>
      <c r="M46" s="194">
        <f>L46*10%</f>
        <v>33038.800000000003</v>
      </c>
      <c r="N46" s="274">
        <f t="shared" si="2"/>
        <v>297349.2</v>
      </c>
      <c r="O46" s="195" t="s">
        <v>85</v>
      </c>
      <c r="P46" s="393" t="e">
        <f>VLOOKUP(G:G,list!B:D,2,FALSE)</f>
        <v>#N/A</v>
      </c>
    </row>
    <row r="47" spans="2:16" ht="18" customHeight="1">
      <c r="B47" s="341">
        <v>43</v>
      </c>
      <c r="C47" s="341"/>
      <c r="D47" s="369" t="s">
        <v>66</v>
      </c>
      <c r="E47" s="341" t="s">
        <v>64</v>
      </c>
      <c r="F47" s="369" t="s">
        <v>65</v>
      </c>
      <c r="G47" s="342" t="s">
        <v>147</v>
      </c>
      <c r="H47" s="343">
        <v>44288</v>
      </c>
      <c r="I47" s="341" t="s">
        <v>305</v>
      </c>
      <c r="J47" s="361">
        <v>310170</v>
      </c>
      <c r="K47" s="368">
        <v>0.4</v>
      </c>
      <c r="L47" s="346">
        <v>124068</v>
      </c>
      <c r="M47" s="194">
        <v>0</v>
      </c>
      <c r="N47" s="274">
        <f t="shared" si="2"/>
        <v>124068</v>
      </c>
      <c r="O47" s="191"/>
      <c r="P47" s="393" t="e">
        <f>VLOOKUP(G:G,list!B:D,2,FALSE)</f>
        <v>#N/A</v>
      </c>
    </row>
    <row r="48" spans="2:16" ht="18" customHeight="1">
      <c r="B48" s="341">
        <v>44</v>
      </c>
      <c r="C48" s="341"/>
      <c r="D48" s="369" t="s">
        <v>66</v>
      </c>
      <c r="E48" s="341" t="s">
        <v>64</v>
      </c>
      <c r="F48" s="369" t="s">
        <v>65</v>
      </c>
      <c r="G48" s="342" t="s">
        <v>187</v>
      </c>
      <c r="H48" s="343">
        <v>44289</v>
      </c>
      <c r="I48" s="341" t="s">
        <v>305</v>
      </c>
      <c r="J48" s="361">
        <v>1682578</v>
      </c>
      <c r="K48" s="368">
        <v>0.4</v>
      </c>
      <c r="L48" s="346">
        <v>673031</v>
      </c>
      <c r="M48" s="194">
        <v>0</v>
      </c>
      <c r="N48" s="274">
        <f t="shared" si="2"/>
        <v>673031</v>
      </c>
      <c r="O48" s="347"/>
      <c r="P48" s="393" t="e">
        <f>VLOOKUP(G:G,list!B:D,2,FALSE)</f>
        <v>#N/A</v>
      </c>
    </row>
    <row r="49" spans="2:16" ht="18" customHeight="1">
      <c r="B49" s="341">
        <v>45</v>
      </c>
      <c r="C49" s="341" t="s">
        <v>238</v>
      </c>
      <c r="D49" s="369" t="s">
        <v>66</v>
      </c>
      <c r="E49" s="341" t="s">
        <v>64</v>
      </c>
      <c r="F49" s="369" t="s">
        <v>65</v>
      </c>
      <c r="G49" s="342" t="s">
        <v>74</v>
      </c>
      <c r="H49" s="343">
        <v>44246</v>
      </c>
      <c r="I49" s="341" t="s">
        <v>305</v>
      </c>
      <c r="J49" s="361">
        <v>410175</v>
      </c>
      <c r="K49" s="368">
        <v>0.4</v>
      </c>
      <c r="L49" s="346">
        <v>164070</v>
      </c>
      <c r="M49" s="274">
        <f>L49*10%</f>
        <v>16407</v>
      </c>
      <c r="N49" s="274">
        <f t="shared" si="2"/>
        <v>147663</v>
      </c>
      <c r="O49" s="191"/>
      <c r="P49" s="393" t="e">
        <f>VLOOKUP(G:G,list!B:D,2,FALSE)</f>
        <v>#N/A</v>
      </c>
    </row>
    <row r="50" spans="2:16" ht="18" customHeight="1">
      <c r="B50" s="341">
        <v>46</v>
      </c>
      <c r="C50" s="341"/>
      <c r="D50" s="369" t="s">
        <v>66</v>
      </c>
      <c r="E50" s="341" t="s">
        <v>64</v>
      </c>
      <c r="F50" s="369" t="s">
        <v>65</v>
      </c>
      <c r="G50" s="342" t="s">
        <v>188</v>
      </c>
      <c r="H50" s="343">
        <v>44415</v>
      </c>
      <c r="I50" s="341" t="s">
        <v>305</v>
      </c>
      <c r="J50" s="361">
        <v>1794533</v>
      </c>
      <c r="K50" s="368">
        <v>0.4</v>
      </c>
      <c r="L50" s="346">
        <v>717813</v>
      </c>
      <c r="M50" s="194">
        <v>0</v>
      </c>
      <c r="N50" s="274">
        <f t="shared" si="2"/>
        <v>717813</v>
      </c>
      <c r="O50" s="191"/>
      <c r="P50" s="393" t="e">
        <f>VLOOKUP(G:G,list!B:D,2,FALSE)</f>
        <v>#N/A</v>
      </c>
    </row>
    <row r="51" spans="2:16" ht="18" customHeight="1">
      <c r="B51" s="341">
        <v>47</v>
      </c>
      <c r="C51" s="341" t="s">
        <v>238</v>
      </c>
      <c r="D51" s="369" t="s">
        <v>66</v>
      </c>
      <c r="E51" s="341" t="s">
        <v>64</v>
      </c>
      <c r="F51" s="369" t="s">
        <v>65</v>
      </c>
      <c r="G51" s="342" t="s">
        <v>30</v>
      </c>
      <c r="H51" s="343">
        <v>44586</v>
      </c>
      <c r="I51" s="341" t="s">
        <v>305</v>
      </c>
      <c r="J51" s="361">
        <v>775493</v>
      </c>
      <c r="K51" s="368">
        <v>0.4</v>
      </c>
      <c r="L51" s="346">
        <v>310197</v>
      </c>
      <c r="M51" s="274">
        <f>L51*10%</f>
        <v>31019.7</v>
      </c>
      <c r="N51" s="274">
        <f t="shared" si="2"/>
        <v>279177.3</v>
      </c>
      <c r="O51" s="191"/>
      <c r="P51" s="393" t="str">
        <f>VLOOKUP(G:G,list!B:D,2,FALSE)</f>
        <v>원작료</v>
      </c>
    </row>
    <row r="52" spans="2:16" ht="18" customHeight="1">
      <c r="B52" s="341">
        <v>48</v>
      </c>
      <c r="C52" s="341" t="s">
        <v>238</v>
      </c>
      <c r="D52" s="369" t="s">
        <v>254</v>
      </c>
      <c r="E52" s="342" t="s">
        <v>9</v>
      </c>
      <c r="F52" s="369" t="s">
        <v>65</v>
      </c>
      <c r="G52" s="342" t="s">
        <v>152</v>
      </c>
      <c r="H52" s="343">
        <v>44105</v>
      </c>
      <c r="I52" s="341" t="s">
        <v>305</v>
      </c>
      <c r="J52" s="361">
        <v>1336250</v>
      </c>
      <c r="K52" s="368">
        <v>0.4</v>
      </c>
      <c r="L52" s="346">
        <v>534500</v>
      </c>
      <c r="M52" s="194">
        <f>L52*12%</f>
        <v>64140</v>
      </c>
      <c r="N52" s="274">
        <f t="shared" si="2"/>
        <v>470360</v>
      </c>
      <c r="O52" s="191"/>
      <c r="P52" s="393" t="e">
        <f>VLOOKUP(G:G,list!B:D,2,FALSE)</f>
        <v>#N/A</v>
      </c>
    </row>
    <row r="53" spans="2:16" ht="18" customHeight="1">
      <c r="B53" s="341">
        <v>49</v>
      </c>
      <c r="C53" s="341" t="s">
        <v>238</v>
      </c>
      <c r="D53" s="369" t="s">
        <v>254</v>
      </c>
      <c r="E53" s="342" t="s">
        <v>9</v>
      </c>
      <c r="F53" s="369" t="s">
        <v>65</v>
      </c>
      <c r="G53" s="342" t="s">
        <v>153</v>
      </c>
      <c r="H53" s="343">
        <v>44111</v>
      </c>
      <c r="I53" s="341" t="s">
        <v>305</v>
      </c>
      <c r="J53" s="361">
        <v>1463103</v>
      </c>
      <c r="K53" s="368">
        <v>0.4</v>
      </c>
      <c r="L53" s="346">
        <v>585241</v>
      </c>
      <c r="M53" s="274">
        <f>L53*10%</f>
        <v>58524.100000000006</v>
      </c>
      <c r="N53" s="274">
        <f t="shared" si="2"/>
        <v>526716.9</v>
      </c>
      <c r="O53" s="191"/>
      <c r="P53" s="393" t="e">
        <f>VLOOKUP(G:G,list!B:D,2,FALSE)</f>
        <v>#N/A</v>
      </c>
    </row>
    <row r="54" spans="2:16" ht="18" customHeight="1">
      <c r="B54" s="341">
        <v>50</v>
      </c>
      <c r="C54" s="341"/>
      <c r="D54" s="369" t="s">
        <v>254</v>
      </c>
      <c r="E54" s="342" t="s">
        <v>9</v>
      </c>
      <c r="F54" s="369" t="s">
        <v>65</v>
      </c>
      <c r="G54" s="342" t="s">
        <v>139</v>
      </c>
      <c r="H54" s="343">
        <v>43921</v>
      </c>
      <c r="I54" s="341" t="s">
        <v>305</v>
      </c>
      <c r="J54" s="361">
        <v>279263</v>
      </c>
      <c r="K54" s="368">
        <v>0.4</v>
      </c>
      <c r="L54" s="346">
        <v>111705</v>
      </c>
      <c r="M54" s="194">
        <v>0</v>
      </c>
      <c r="N54" s="274">
        <f t="shared" si="2"/>
        <v>111705</v>
      </c>
      <c r="O54" s="347"/>
      <c r="P54" s="393" t="str">
        <f>VLOOKUP(G:G,list!B:D,2,FALSE)</f>
        <v>작가기획</v>
      </c>
    </row>
    <row r="55" spans="2:16" ht="18" customHeight="1">
      <c r="B55" s="341">
        <v>51</v>
      </c>
      <c r="C55" s="341"/>
      <c r="D55" s="369" t="s">
        <v>254</v>
      </c>
      <c r="E55" s="342" t="s">
        <v>9</v>
      </c>
      <c r="F55" s="369" t="s">
        <v>65</v>
      </c>
      <c r="G55" s="342" t="s">
        <v>180</v>
      </c>
      <c r="H55" s="343">
        <v>43941</v>
      </c>
      <c r="I55" s="341" t="s">
        <v>305</v>
      </c>
      <c r="J55" s="361">
        <v>1483213</v>
      </c>
      <c r="K55" s="368">
        <v>0.4</v>
      </c>
      <c r="L55" s="346">
        <v>593285</v>
      </c>
      <c r="M55" s="194">
        <v>0</v>
      </c>
      <c r="N55" s="274">
        <f t="shared" si="2"/>
        <v>593285</v>
      </c>
      <c r="O55" s="347"/>
      <c r="P55" s="393" t="str">
        <f>VLOOKUP(G:G,list!B:D,2,FALSE)</f>
        <v>작가기획</v>
      </c>
    </row>
    <row r="56" spans="2:16" ht="18" customHeight="1">
      <c r="B56" s="341">
        <v>52</v>
      </c>
      <c r="C56" s="341" t="s">
        <v>238</v>
      </c>
      <c r="D56" s="369" t="s">
        <v>254</v>
      </c>
      <c r="E56" s="341" t="s">
        <v>64</v>
      </c>
      <c r="F56" s="369" t="s">
        <v>65</v>
      </c>
      <c r="G56" s="342" t="s">
        <v>151</v>
      </c>
      <c r="H56" s="343">
        <v>44258</v>
      </c>
      <c r="I56" s="341" t="s">
        <v>305</v>
      </c>
      <c r="J56" s="361">
        <v>609745</v>
      </c>
      <c r="K56" s="368">
        <v>0.4</v>
      </c>
      <c r="L56" s="346">
        <v>243898</v>
      </c>
      <c r="M56" s="274">
        <f>L56*10%</f>
        <v>24389.800000000003</v>
      </c>
      <c r="N56" s="274">
        <f t="shared" si="2"/>
        <v>219508.2</v>
      </c>
      <c r="O56" s="191"/>
      <c r="P56" s="393" t="str">
        <f>VLOOKUP(G:G,list!B:D,2,FALSE)</f>
        <v>원작료</v>
      </c>
    </row>
    <row r="57" spans="2:16" ht="18" customHeight="1">
      <c r="B57" s="341">
        <v>53</v>
      </c>
      <c r="C57" s="341"/>
      <c r="D57" s="369" t="s">
        <v>254</v>
      </c>
      <c r="E57" s="341" t="s">
        <v>64</v>
      </c>
      <c r="F57" s="369" t="s">
        <v>65</v>
      </c>
      <c r="G57" s="342" t="s">
        <v>179</v>
      </c>
      <c r="H57" s="343">
        <v>44233</v>
      </c>
      <c r="I57" s="341" t="s">
        <v>305</v>
      </c>
      <c r="J57" s="361">
        <v>4574115</v>
      </c>
      <c r="K57" s="368">
        <v>0.4</v>
      </c>
      <c r="L57" s="346">
        <v>1829646</v>
      </c>
      <c r="M57" s="194">
        <f>L57*10%</f>
        <v>182964.6</v>
      </c>
      <c r="N57" s="274">
        <f t="shared" si="2"/>
        <v>1646681.4</v>
      </c>
      <c r="O57" s="195" t="s">
        <v>85</v>
      </c>
      <c r="P57" s="393" t="e">
        <f>VLOOKUP(G:G,list!B:D,2,FALSE)</f>
        <v>#N/A</v>
      </c>
    </row>
    <row r="58" spans="2:16" ht="18" customHeight="1">
      <c r="B58" s="341">
        <v>54</v>
      </c>
      <c r="C58" s="341" t="s">
        <v>238</v>
      </c>
      <c r="D58" s="369" t="s">
        <v>254</v>
      </c>
      <c r="E58" s="341" t="s">
        <v>64</v>
      </c>
      <c r="F58" s="369" t="s">
        <v>65</v>
      </c>
      <c r="G58" s="342" t="s">
        <v>54</v>
      </c>
      <c r="H58" s="343">
        <v>44254</v>
      </c>
      <c r="I58" s="341" t="s">
        <v>305</v>
      </c>
      <c r="J58" s="361">
        <v>453373</v>
      </c>
      <c r="K58" s="368">
        <v>0.4</v>
      </c>
      <c r="L58" s="346">
        <v>181349</v>
      </c>
      <c r="M58" s="274">
        <f>L58*10%</f>
        <v>18134.900000000001</v>
      </c>
      <c r="N58" s="274">
        <f t="shared" si="2"/>
        <v>163214.1</v>
      </c>
      <c r="O58" s="191"/>
      <c r="P58" s="393" t="e">
        <f>VLOOKUP(G:G,list!B:D,2,FALSE)</f>
        <v>#N/A</v>
      </c>
    </row>
    <row r="59" spans="2:16" ht="18" customHeight="1">
      <c r="B59" s="341">
        <v>55</v>
      </c>
      <c r="C59" s="341"/>
      <c r="D59" s="369" t="s">
        <v>254</v>
      </c>
      <c r="E59" s="341" t="s">
        <v>64</v>
      </c>
      <c r="F59" s="369" t="s">
        <v>65</v>
      </c>
      <c r="G59" s="342" t="s">
        <v>147</v>
      </c>
      <c r="H59" s="343">
        <v>44260</v>
      </c>
      <c r="I59" s="341" t="s">
        <v>305</v>
      </c>
      <c r="J59" s="361">
        <v>838463</v>
      </c>
      <c r="K59" s="368">
        <v>0.4</v>
      </c>
      <c r="L59" s="346">
        <v>335385</v>
      </c>
      <c r="M59" s="194">
        <v>0</v>
      </c>
      <c r="N59" s="274">
        <f t="shared" si="2"/>
        <v>335385</v>
      </c>
      <c r="O59" s="191"/>
      <c r="P59" s="393" t="e">
        <f>VLOOKUP(G:G,list!B:D,2,FALSE)</f>
        <v>#N/A</v>
      </c>
    </row>
    <row r="60" spans="2:16" ht="18" customHeight="1">
      <c r="B60" s="341">
        <v>56</v>
      </c>
      <c r="C60" s="341"/>
      <c r="D60" s="369" t="s">
        <v>254</v>
      </c>
      <c r="E60" s="341" t="s">
        <v>64</v>
      </c>
      <c r="F60" s="369" t="s">
        <v>65</v>
      </c>
      <c r="G60" s="342" t="s">
        <v>187</v>
      </c>
      <c r="H60" s="343">
        <v>44289</v>
      </c>
      <c r="I60" s="341" t="s">
        <v>305</v>
      </c>
      <c r="J60" s="361">
        <v>1555660</v>
      </c>
      <c r="K60" s="368">
        <v>0.4</v>
      </c>
      <c r="L60" s="346">
        <v>622264</v>
      </c>
      <c r="M60" s="194">
        <v>0</v>
      </c>
      <c r="N60" s="274">
        <f t="shared" si="2"/>
        <v>622264</v>
      </c>
      <c r="O60" s="191"/>
      <c r="P60" s="393" t="e">
        <f>VLOOKUP(G:G,list!B:D,2,FALSE)</f>
        <v>#N/A</v>
      </c>
    </row>
    <row r="61" spans="2:16" ht="18" customHeight="1">
      <c r="B61" s="341">
        <v>57</v>
      </c>
      <c r="C61" s="341"/>
      <c r="D61" s="369" t="s">
        <v>254</v>
      </c>
      <c r="E61" s="341" t="s">
        <v>64</v>
      </c>
      <c r="F61" s="369" t="s">
        <v>65</v>
      </c>
      <c r="G61" s="342" t="s">
        <v>121</v>
      </c>
      <c r="H61" s="343">
        <v>44449</v>
      </c>
      <c r="I61" s="341" t="s">
        <v>305</v>
      </c>
      <c r="J61" s="361">
        <v>6148495</v>
      </c>
      <c r="K61" s="368">
        <v>0.4</v>
      </c>
      <c r="L61" s="346">
        <v>2459398</v>
      </c>
      <c r="M61" s="194">
        <v>0</v>
      </c>
      <c r="N61" s="274">
        <f t="shared" si="2"/>
        <v>2459398</v>
      </c>
      <c r="O61" s="347"/>
      <c r="P61" s="393" t="e">
        <f>VLOOKUP(G:G,list!B:D,2,FALSE)</f>
        <v>#N/A</v>
      </c>
    </row>
    <row r="62" spans="2:16" ht="18" customHeight="1">
      <c r="B62" s="341">
        <v>58</v>
      </c>
      <c r="C62" s="341"/>
      <c r="D62" s="341" t="s">
        <v>78</v>
      </c>
      <c r="E62" s="342" t="s">
        <v>115</v>
      </c>
      <c r="F62" s="341" t="s">
        <v>245</v>
      </c>
      <c r="G62" s="342" t="s">
        <v>202</v>
      </c>
      <c r="H62" s="353">
        <v>44441</v>
      </c>
      <c r="I62" s="341" t="s">
        <v>305</v>
      </c>
      <c r="J62" s="348">
        <v>0</v>
      </c>
      <c r="K62" s="345" t="s">
        <v>203</v>
      </c>
      <c r="L62" s="346">
        <v>179800</v>
      </c>
      <c r="M62" s="274">
        <v>0</v>
      </c>
      <c r="N62" s="274">
        <f t="shared" si="2"/>
        <v>179800</v>
      </c>
      <c r="O62" s="193"/>
      <c r="P62" s="393" t="e">
        <f>VLOOKUP(G:G,list!B:D,2,FALSE)</f>
        <v>#N/A</v>
      </c>
    </row>
    <row r="63" spans="2:16" ht="18" customHeight="1">
      <c r="B63" s="341">
        <v>59</v>
      </c>
      <c r="C63" s="341"/>
      <c r="D63" s="341" t="s">
        <v>78</v>
      </c>
      <c r="E63" s="342" t="s">
        <v>9</v>
      </c>
      <c r="F63" s="341" t="s">
        <v>272</v>
      </c>
      <c r="G63" s="342" t="s">
        <v>273</v>
      </c>
      <c r="H63" s="353">
        <v>44513</v>
      </c>
      <c r="I63" s="354" t="s">
        <v>281</v>
      </c>
      <c r="J63" s="348">
        <v>165270</v>
      </c>
      <c r="K63" s="345">
        <v>0.5</v>
      </c>
      <c r="L63" s="346">
        <v>82635</v>
      </c>
      <c r="M63" s="274">
        <v>0</v>
      </c>
      <c r="N63" s="274">
        <f t="shared" si="2"/>
        <v>82635</v>
      </c>
      <c r="O63" s="355"/>
      <c r="P63" s="393" t="e">
        <f>VLOOKUP(G:G,list!B:D,2,FALSE)</f>
        <v>#N/A</v>
      </c>
    </row>
    <row r="64" spans="2:16" ht="18" customHeight="1">
      <c r="B64" s="341">
        <v>60</v>
      </c>
      <c r="C64" s="341"/>
      <c r="D64" s="341" t="s">
        <v>78</v>
      </c>
      <c r="E64" s="342" t="s">
        <v>115</v>
      </c>
      <c r="F64" s="341" t="s">
        <v>201</v>
      </c>
      <c r="G64" s="342" t="s">
        <v>202</v>
      </c>
      <c r="H64" s="343">
        <v>44300</v>
      </c>
      <c r="I64" s="341" t="s">
        <v>281</v>
      </c>
      <c r="J64" s="349">
        <v>294000</v>
      </c>
      <c r="K64" s="345">
        <v>0.7</v>
      </c>
      <c r="L64" s="346">
        <v>205800</v>
      </c>
      <c r="M64" s="274">
        <v>0</v>
      </c>
      <c r="N64" s="274">
        <f t="shared" si="2"/>
        <v>205800</v>
      </c>
      <c r="O64" s="193"/>
      <c r="P64" s="393" t="e">
        <f>VLOOKUP(G:G,list!B:D,2,FALSE)</f>
        <v>#N/A</v>
      </c>
    </row>
    <row r="65" spans="2:16" ht="18" customHeight="1">
      <c r="B65" s="341">
        <v>61</v>
      </c>
      <c r="C65" s="341" t="s">
        <v>238</v>
      </c>
      <c r="D65" s="341" t="s">
        <v>78</v>
      </c>
      <c r="E65" s="341" t="s">
        <v>198</v>
      </c>
      <c r="F65" s="341" t="s">
        <v>200</v>
      </c>
      <c r="G65" s="341" t="s">
        <v>151</v>
      </c>
      <c r="H65" s="343">
        <v>44469</v>
      </c>
      <c r="I65" s="341" t="s">
        <v>281</v>
      </c>
      <c r="J65" s="349">
        <v>758000</v>
      </c>
      <c r="K65" s="345">
        <v>0.1</v>
      </c>
      <c r="L65" s="346">
        <v>75800</v>
      </c>
      <c r="M65" s="274">
        <f>ROUND(L65*10%,0)</f>
        <v>7580</v>
      </c>
      <c r="N65" s="274">
        <f t="shared" si="2"/>
        <v>68220</v>
      </c>
      <c r="O65" s="193"/>
      <c r="P65" s="393" t="str">
        <f>VLOOKUP(G:G,list!B:D,2,FALSE)</f>
        <v>원작료</v>
      </c>
    </row>
    <row r="66" spans="2:16" ht="18" customHeight="1">
      <c r="B66" s="341">
        <v>62</v>
      </c>
      <c r="C66" s="341"/>
      <c r="D66" s="341" t="s">
        <v>78</v>
      </c>
      <c r="E66" s="342" t="s">
        <v>9</v>
      </c>
      <c r="F66" s="341" t="s">
        <v>246</v>
      </c>
      <c r="G66" s="342" t="s">
        <v>36</v>
      </c>
      <c r="H66" s="343">
        <v>43810</v>
      </c>
      <c r="I66" s="341" t="s">
        <v>305</v>
      </c>
      <c r="J66" s="349">
        <v>4517100</v>
      </c>
      <c r="K66" s="345" t="s">
        <v>165</v>
      </c>
      <c r="L66" s="346">
        <v>1825983</v>
      </c>
      <c r="M66" s="274">
        <v>0</v>
      </c>
      <c r="N66" s="274">
        <f t="shared" si="2"/>
        <v>1825983</v>
      </c>
      <c r="O66" s="193"/>
      <c r="P66" s="393" t="str">
        <f>VLOOKUP(G:G,list!B:D,2,FALSE)</f>
        <v>작가기획</v>
      </c>
    </row>
    <row r="67" spans="2:16" ht="18" customHeight="1">
      <c r="B67" s="341">
        <v>63</v>
      </c>
      <c r="C67" s="341"/>
      <c r="D67" s="341" t="s">
        <v>78</v>
      </c>
      <c r="E67" s="342" t="s">
        <v>9</v>
      </c>
      <c r="F67" s="341" t="s">
        <v>246</v>
      </c>
      <c r="G67" s="342" t="s">
        <v>139</v>
      </c>
      <c r="H67" s="343">
        <v>43852</v>
      </c>
      <c r="I67" s="341" t="s">
        <v>305</v>
      </c>
      <c r="J67" s="349">
        <v>179280</v>
      </c>
      <c r="K67" s="345" t="s">
        <v>165</v>
      </c>
      <c r="L67" s="346">
        <v>74088</v>
      </c>
      <c r="M67" s="274">
        <v>0</v>
      </c>
      <c r="N67" s="274">
        <f t="shared" si="2"/>
        <v>74088</v>
      </c>
      <c r="O67" s="193"/>
      <c r="P67" s="393" t="str">
        <f>VLOOKUP(G:G,list!B:D,2,FALSE)</f>
        <v>작가기획</v>
      </c>
    </row>
    <row r="68" spans="2:16" ht="18" customHeight="1">
      <c r="B68" s="341">
        <v>64</v>
      </c>
      <c r="C68" s="341"/>
      <c r="D68" s="341" t="s">
        <v>78</v>
      </c>
      <c r="E68" s="342" t="s">
        <v>115</v>
      </c>
      <c r="F68" s="341" t="s">
        <v>246</v>
      </c>
      <c r="G68" s="342" t="s">
        <v>19</v>
      </c>
      <c r="H68" s="343">
        <v>44328</v>
      </c>
      <c r="I68" s="341" t="s">
        <v>305</v>
      </c>
      <c r="J68" s="349">
        <v>484380</v>
      </c>
      <c r="K68" s="345" t="s">
        <v>120</v>
      </c>
      <c r="L68" s="346">
        <v>232491.6</v>
      </c>
      <c r="M68" s="274">
        <v>0</v>
      </c>
      <c r="N68" s="274">
        <f t="shared" si="2"/>
        <v>232491.6</v>
      </c>
      <c r="O68" s="191"/>
      <c r="P68" s="393" t="e">
        <f>VLOOKUP(G:G,list!B:D,2,FALSE)</f>
        <v>#N/A</v>
      </c>
    </row>
    <row r="69" spans="2:16" ht="18" customHeight="1">
      <c r="B69" s="341">
        <v>65</v>
      </c>
      <c r="C69" s="341"/>
      <c r="D69" s="341" t="s">
        <v>78</v>
      </c>
      <c r="E69" s="342" t="s">
        <v>115</v>
      </c>
      <c r="F69" s="341" t="s">
        <v>197</v>
      </c>
      <c r="G69" s="342" t="s">
        <v>202</v>
      </c>
      <c r="H69" s="356">
        <v>44328</v>
      </c>
      <c r="I69" s="341" t="s">
        <v>305</v>
      </c>
      <c r="J69" s="357">
        <v>12600</v>
      </c>
      <c r="K69" s="345">
        <v>0.7</v>
      </c>
      <c r="L69" s="346">
        <v>8820</v>
      </c>
      <c r="M69" s="274">
        <v>0</v>
      </c>
      <c r="N69" s="274">
        <f t="shared" si="2"/>
        <v>8820</v>
      </c>
      <c r="O69" s="347"/>
      <c r="P69" s="393" t="e">
        <f>VLOOKUP(G:G,list!B:D,2,FALSE)</f>
        <v>#N/A</v>
      </c>
    </row>
    <row r="70" spans="2:16" ht="18" customHeight="1">
      <c r="B70" s="341">
        <v>66</v>
      </c>
      <c r="C70" s="341" t="s">
        <v>238</v>
      </c>
      <c r="D70" s="341" t="s">
        <v>78</v>
      </c>
      <c r="E70" s="342" t="s">
        <v>115</v>
      </c>
      <c r="F70" s="341" t="s">
        <v>309</v>
      </c>
      <c r="G70" s="342" t="s">
        <v>39</v>
      </c>
      <c r="H70" s="356">
        <v>44602</v>
      </c>
      <c r="I70" s="341" t="s">
        <v>305</v>
      </c>
      <c r="J70" s="357">
        <v>1600</v>
      </c>
      <c r="K70" s="345">
        <v>0.7</v>
      </c>
      <c r="L70" s="346">
        <v>1120</v>
      </c>
      <c r="M70" s="274">
        <f>L70*10%</f>
        <v>112</v>
      </c>
      <c r="N70" s="274">
        <f>L70-M70</f>
        <v>1008</v>
      </c>
      <c r="O70" s="347" t="s">
        <v>287</v>
      </c>
      <c r="P70" s="393" t="e">
        <f>VLOOKUP(G:G,list!B:D,2,FALSE)</f>
        <v>#N/A</v>
      </c>
    </row>
    <row r="71" spans="2:16" ht="18" customHeight="1">
      <c r="B71" s="341">
        <v>67</v>
      </c>
      <c r="C71" s="341" t="s">
        <v>238</v>
      </c>
      <c r="D71" s="341" t="s">
        <v>78</v>
      </c>
      <c r="E71" s="342" t="s">
        <v>115</v>
      </c>
      <c r="F71" s="341" t="s">
        <v>309</v>
      </c>
      <c r="G71" s="342" t="s">
        <v>40</v>
      </c>
      <c r="H71" s="356">
        <v>44603</v>
      </c>
      <c r="I71" s="341" t="s">
        <v>305</v>
      </c>
      <c r="J71" s="357">
        <v>27200</v>
      </c>
      <c r="K71" s="345">
        <v>0.7</v>
      </c>
      <c r="L71" s="346">
        <v>19040</v>
      </c>
      <c r="M71" s="194">
        <f>L71*10%</f>
        <v>1904</v>
      </c>
      <c r="N71" s="274">
        <f t="shared" si="2"/>
        <v>17136</v>
      </c>
      <c r="O71" s="347" t="s">
        <v>287</v>
      </c>
      <c r="P71" s="393" t="e">
        <f>VLOOKUP(G:G,list!B:D,2,FALSE)</f>
        <v>#N/A</v>
      </c>
    </row>
    <row r="72" spans="2:16" ht="18" customHeight="1">
      <c r="B72" s="341">
        <v>68</v>
      </c>
      <c r="C72" s="341" t="s">
        <v>238</v>
      </c>
      <c r="D72" s="369" t="s">
        <v>214</v>
      </c>
      <c r="E72" s="362" t="s">
        <v>9</v>
      </c>
      <c r="F72" s="369" t="s">
        <v>260</v>
      </c>
      <c r="G72" s="341" t="s">
        <v>258</v>
      </c>
      <c r="H72" s="310">
        <v>44492</v>
      </c>
      <c r="I72" s="341" t="s">
        <v>281</v>
      </c>
      <c r="J72" s="361">
        <v>191779</v>
      </c>
      <c r="K72" s="368">
        <v>0.5</v>
      </c>
      <c r="L72" s="346">
        <v>80764</v>
      </c>
      <c r="M72" s="274">
        <f>L72*10%</f>
        <v>8076.4000000000005</v>
      </c>
      <c r="N72" s="274">
        <f t="shared" ref="N72:N88" si="3">L72-M72</f>
        <v>72687.600000000006</v>
      </c>
      <c r="O72" s="197"/>
      <c r="P72" s="393" t="e">
        <f>VLOOKUP(G:G,list!B:D,2,FALSE)</f>
        <v>#N/A</v>
      </c>
    </row>
    <row r="73" spans="2:16" ht="18" customHeight="1">
      <c r="B73" s="341">
        <v>69</v>
      </c>
      <c r="C73" s="341" t="s">
        <v>238</v>
      </c>
      <c r="D73" s="369" t="s">
        <v>216</v>
      </c>
      <c r="E73" s="342" t="s">
        <v>115</v>
      </c>
      <c r="F73" s="369" t="s">
        <v>31</v>
      </c>
      <c r="G73" s="342" t="s">
        <v>28</v>
      </c>
      <c r="H73" s="396">
        <v>44096</v>
      </c>
      <c r="I73" s="341" t="s">
        <v>281</v>
      </c>
      <c r="J73" s="361">
        <v>349140</v>
      </c>
      <c r="K73" s="368">
        <v>0.4</v>
      </c>
      <c r="L73" s="346">
        <v>132678</v>
      </c>
      <c r="M73" s="194">
        <f>L73*12%</f>
        <v>15921.359999999999</v>
      </c>
      <c r="N73" s="274">
        <f t="shared" si="3"/>
        <v>116756.64</v>
      </c>
      <c r="O73" s="191"/>
      <c r="P73" s="393" t="e">
        <f>VLOOKUP(G:G,list!B:D,2,FALSE)</f>
        <v>#N/A</v>
      </c>
    </row>
    <row r="74" spans="2:16" ht="18" customHeight="1">
      <c r="B74" s="341">
        <v>70</v>
      </c>
      <c r="C74" s="341" t="s">
        <v>238</v>
      </c>
      <c r="D74" s="369" t="s">
        <v>216</v>
      </c>
      <c r="E74" s="342" t="s">
        <v>115</v>
      </c>
      <c r="F74" s="369" t="s">
        <v>31</v>
      </c>
      <c r="G74" s="342" t="s">
        <v>29</v>
      </c>
      <c r="H74" s="343">
        <v>44137</v>
      </c>
      <c r="I74" s="341" t="s">
        <v>281</v>
      </c>
      <c r="J74" s="361">
        <v>398489</v>
      </c>
      <c r="K74" s="368">
        <v>0.4</v>
      </c>
      <c r="L74" s="346">
        <v>151424</v>
      </c>
      <c r="M74" s="274">
        <f>L74*10%</f>
        <v>15142.400000000001</v>
      </c>
      <c r="N74" s="274">
        <f t="shared" si="3"/>
        <v>136281.60000000001</v>
      </c>
      <c r="O74" s="191"/>
      <c r="P74" s="393" t="e">
        <f>VLOOKUP(G:G,list!B:D,2,FALSE)</f>
        <v>#N/A</v>
      </c>
    </row>
    <row r="75" spans="2:16" ht="18" customHeight="1">
      <c r="B75" s="341">
        <v>71</v>
      </c>
      <c r="C75" s="341" t="s">
        <v>238</v>
      </c>
      <c r="D75" s="369" t="s">
        <v>216</v>
      </c>
      <c r="E75" s="342" t="s">
        <v>115</v>
      </c>
      <c r="F75" s="369" t="s">
        <v>31</v>
      </c>
      <c r="G75" s="342" t="s">
        <v>151</v>
      </c>
      <c r="H75" s="343">
        <v>44239</v>
      </c>
      <c r="I75" s="341" t="s">
        <v>281</v>
      </c>
      <c r="J75" s="361">
        <v>547895</v>
      </c>
      <c r="K75" s="368">
        <v>0.4</v>
      </c>
      <c r="L75" s="346">
        <v>208200</v>
      </c>
      <c r="M75" s="274">
        <f>L75*10%</f>
        <v>20820</v>
      </c>
      <c r="N75" s="274">
        <f t="shared" si="3"/>
        <v>187380</v>
      </c>
      <c r="O75" s="347"/>
      <c r="P75" s="393" t="str">
        <f>VLOOKUP(G:G,list!B:D,2,FALSE)</f>
        <v>원작료</v>
      </c>
    </row>
    <row r="76" spans="2:16" ht="18" customHeight="1">
      <c r="B76" s="341">
        <v>72</v>
      </c>
      <c r="C76" s="341" t="s">
        <v>238</v>
      </c>
      <c r="D76" s="369" t="s">
        <v>216</v>
      </c>
      <c r="E76" s="342" t="s">
        <v>115</v>
      </c>
      <c r="F76" s="369" t="s">
        <v>31</v>
      </c>
      <c r="G76" s="342" t="s">
        <v>256</v>
      </c>
      <c r="H76" s="343">
        <v>44487</v>
      </c>
      <c r="I76" s="341" t="s">
        <v>281</v>
      </c>
      <c r="J76" s="361">
        <v>63486</v>
      </c>
      <c r="K76" s="368">
        <v>0.4</v>
      </c>
      <c r="L76" s="346">
        <v>24131</v>
      </c>
      <c r="M76" s="194">
        <f>L76*10%</f>
        <v>2413.1</v>
      </c>
      <c r="N76" s="274">
        <f t="shared" si="3"/>
        <v>21717.9</v>
      </c>
      <c r="O76" s="194"/>
      <c r="P76" s="393" t="e">
        <f>VLOOKUP(G:G,list!B:D,2,FALSE)</f>
        <v>#N/A</v>
      </c>
    </row>
    <row r="77" spans="2:16" ht="18" customHeight="1">
      <c r="B77" s="341">
        <v>73</v>
      </c>
      <c r="C77" s="341" t="s">
        <v>238</v>
      </c>
      <c r="D77" s="369" t="s">
        <v>216</v>
      </c>
      <c r="E77" s="342" t="s">
        <v>115</v>
      </c>
      <c r="F77" s="369" t="s">
        <v>31</v>
      </c>
      <c r="G77" s="342" t="s">
        <v>204</v>
      </c>
      <c r="H77" s="343">
        <v>44453</v>
      </c>
      <c r="I77" s="341" t="s">
        <v>281</v>
      </c>
      <c r="J77" s="361">
        <v>150338</v>
      </c>
      <c r="K77" s="368">
        <v>0.4</v>
      </c>
      <c r="L77" s="346">
        <v>57121</v>
      </c>
      <c r="M77" s="194">
        <f>L77*10%</f>
        <v>5712.1</v>
      </c>
      <c r="N77" s="274">
        <f t="shared" si="3"/>
        <v>51408.9</v>
      </c>
      <c r="O77" s="197"/>
      <c r="P77" s="393" t="e">
        <f>VLOOKUP(G:G,list!B:D,2,FALSE)</f>
        <v>#N/A</v>
      </c>
    </row>
    <row r="78" spans="2:16" ht="18" customHeight="1">
      <c r="B78" s="341">
        <v>74</v>
      </c>
      <c r="C78" s="341" t="s">
        <v>238</v>
      </c>
      <c r="D78" s="369" t="s">
        <v>216</v>
      </c>
      <c r="E78" s="342" t="s">
        <v>115</v>
      </c>
      <c r="F78" s="369" t="s">
        <v>31</v>
      </c>
      <c r="G78" s="342" t="s">
        <v>38</v>
      </c>
      <c r="H78" s="343">
        <v>44470</v>
      </c>
      <c r="I78" s="341" t="s">
        <v>281</v>
      </c>
      <c r="J78" s="361">
        <v>284377</v>
      </c>
      <c r="K78" s="368">
        <v>0.4</v>
      </c>
      <c r="L78" s="346">
        <v>108070</v>
      </c>
      <c r="M78" s="274">
        <f>L78*10%</f>
        <v>10807</v>
      </c>
      <c r="N78" s="274">
        <f t="shared" si="3"/>
        <v>97263</v>
      </c>
      <c r="O78" s="370"/>
      <c r="P78" s="393" t="e">
        <f>VLOOKUP(G:G,list!B:D,2,FALSE)</f>
        <v>#N/A</v>
      </c>
    </row>
    <row r="79" spans="2:16" ht="18" customHeight="1">
      <c r="B79" s="341">
        <v>75</v>
      </c>
      <c r="C79" s="341" t="s">
        <v>238</v>
      </c>
      <c r="D79" s="341" t="s">
        <v>78</v>
      </c>
      <c r="E79" s="358" t="s">
        <v>9</v>
      </c>
      <c r="F79" s="341" t="s">
        <v>209</v>
      </c>
      <c r="G79" s="358" t="s">
        <v>28</v>
      </c>
      <c r="H79" s="359">
        <v>44409</v>
      </c>
      <c r="I79" s="341" t="s">
        <v>305</v>
      </c>
      <c r="J79" s="357">
        <v>2204324</v>
      </c>
      <c r="K79" s="345">
        <v>0.55000030549787249</v>
      </c>
      <c r="L79" s="346">
        <v>1212379</v>
      </c>
      <c r="M79" s="194">
        <f>L79*12%</f>
        <v>145485.47999999998</v>
      </c>
      <c r="N79" s="274">
        <f t="shared" si="3"/>
        <v>1066893.52</v>
      </c>
      <c r="O79" s="191"/>
      <c r="P79" s="393" t="e">
        <f>VLOOKUP(G:G,list!B:D,2,FALSE)</f>
        <v>#N/A</v>
      </c>
    </row>
    <row r="80" spans="2:16" ht="18" customHeight="1">
      <c r="B80" s="341">
        <v>76</v>
      </c>
      <c r="C80" s="341"/>
      <c r="D80" s="341" t="s">
        <v>78</v>
      </c>
      <c r="E80" s="358" t="s">
        <v>9</v>
      </c>
      <c r="F80" s="341" t="s">
        <v>209</v>
      </c>
      <c r="G80" s="358" t="s">
        <v>42</v>
      </c>
      <c r="H80" s="359">
        <v>44409</v>
      </c>
      <c r="I80" s="341" t="s">
        <v>305</v>
      </c>
      <c r="J80" s="357">
        <v>11623360</v>
      </c>
      <c r="K80" s="345">
        <v>0.55000005938954677</v>
      </c>
      <c r="L80" s="346">
        <v>6392849</v>
      </c>
      <c r="M80" s="194">
        <f>L80*10%</f>
        <v>639284.9</v>
      </c>
      <c r="N80" s="274">
        <f t="shared" si="3"/>
        <v>5753564.0999999996</v>
      </c>
      <c r="O80" s="195" t="s">
        <v>144</v>
      </c>
      <c r="P80" s="393" t="e">
        <f>VLOOKUP(G:G,list!B:D,2,FALSE)</f>
        <v>#N/A</v>
      </c>
    </row>
    <row r="81" spans="2:16" ht="18" customHeight="1">
      <c r="B81" s="341">
        <v>77</v>
      </c>
      <c r="C81" s="341" t="s">
        <v>238</v>
      </c>
      <c r="D81" s="341" t="s">
        <v>78</v>
      </c>
      <c r="E81" s="358" t="s">
        <v>9</v>
      </c>
      <c r="F81" s="341" t="s">
        <v>209</v>
      </c>
      <c r="G81" s="358" t="s">
        <v>54</v>
      </c>
      <c r="H81" s="359">
        <v>44409</v>
      </c>
      <c r="I81" s="341" t="s">
        <v>305</v>
      </c>
      <c r="J81" s="357">
        <v>273119</v>
      </c>
      <c r="K81" s="345">
        <v>0.55000086238120693</v>
      </c>
      <c r="L81" s="346">
        <v>150215</v>
      </c>
      <c r="M81" s="274">
        <f>L81*10%</f>
        <v>15021.5</v>
      </c>
      <c r="N81" s="274">
        <f t="shared" si="3"/>
        <v>135193.5</v>
      </c>
      <c r="O81" s="191"/>
      <c r="P81" s="393" t="e">
        <f>VLOOKUP(G:G,list!B:D,2,FALSE)</f>
        <v>#N/A</v>
      </c>
    </row>
    <row r="82" spans="2:16" ht="18" customHeight="1">
      <c r="B82" s="341">
        <v>78</v>
      </c>
      <c r="C82" s="341" t="s">
        <v>238</v>
      </c>
      <c r="D82" s="341" t="s">
        <v>78</v>
      </c>
      <c r="E82" s="358" t="s">
        <v>9</v>
      </c>
      <c r="F82" s="341" t="s">
        <v>209</v>
      </c>
      <c r="G82" s="358" t="s">
        <v>46</v>
      </c>
      <c r="H82" s="359">
        <v>44409</v>
      </c>
      <c r="I82" s="341" t="s">
        <v>305</v>
      </c>
      <c r="J82" s="357">
        <v>1540125</v>
      </c>
      <c r="K82" s="345">
        <v>0.55000030235412922</v>
      </c>
      <c r="L82" s="346">
        <v>847069</v>
      </c>
      <c r="M82" s="194">
        <f>L82*10%</f>
        <v>84706.900000000009</v>
      </c>
      <c r="N82" s="274">
        <f t="shared" si="3"/>
        <v>762362.1</v>
      </c>
      <c r="O82" s="347"/>
      <c r="P82" s="393" t="e">
        <f>VLOOKUP(G:G,list!B:D,2,FALSE)</f>
        <v>#N/A</v>
      </c>
    </row>
    <row r="83" spans="2:16" ht="18" customHeight="1">
      <c r="B83" s="341">
        <v>79</v>
      </c>
      <c r="C83" s="341" t="s">
        <v>238</v>
      </c>
      <c r="D83" s="341" t="s">
        <v>78</v>
      </c>
      <c r="E83" s="358" t="s">
        <v>9</v>
      </c>
      <c r="F83" s="341" t="s">
        <v>209</v>
      </c>
      <c r="G83" s="358" t="s">
        <v>30</v>
      </c>
      <c r="H83" s="359">
        <v>44409</v>
      </c>
      <c r="I83" s="341" t="s">
        <v>305</v>
      </c>
      <c r="J83" s="357">
        <v>1238930</v>
      </c>
      <c r="K83" s="345">
        <v>0.55000024483664012</v>
      </c>
      <c r="L83" s="346">
        <v>681412</v>
      </c>
      <c r="M83" s="274">
        <f>L83*10%</f>
        <v>68141.2</v>
      </c>
      <c r="N83" s="274">
        <f t="shared" si="3"/>
        <v>613270.80000000005</v>
      </c>
      <c r="O83" s="191"/>
      <c r="P83" s="393" t="str">
        <f>VLOOKUP(G:G,list!B:D,2,FALSE)</f>
        <v>원작료</v>
      </c>
    </row>
    <row r="84" spans="2:16" ht="18" customHeight="1">
      <c r="B84" s="341">
        <v>80</v>
      </c>
      <c r="C84" s="341"/>
      <c r="D84" s="341" t="s">
        <v>78</v>
      </c>
      <c r="E84" s="358" t="s">
        <v>9</v>
      </c>
      <c r="F84" s="341" t="s">
        <v>209</v>
      </c>
      <c r="G84" s="358" t="s">
        <v>53</v>
      </c>
      <c r="H84" s="359">
        <v>44409</v>
      </c>
      <c r="I84" s="341" t="s">
        <v>305</v>
      </c>
      <c r="J84" s="357">
        <v>1511940</v>
      </c>
      <c r="K84" s="345">
        <v>0.55000033990713737</v>
      </c>
      <c r="L84" s="346">
        <v>831568</v>
      </c>
      <c r="M84" s="274">
        <v>0</v>
      </c>
      <c r="N84" s="274">
        <f t="shared" si="3"/>
        <v>831568</v>
      </c>
      <c r="O84" s="347"/>
      <c r="P84" s="393" t="e">
        <f>VLOOKUP(G:G,list!B:D,2,FALSE)</f>
        <v>#N/A</v>
      </c>
    </row>
    <row r="85" spans="2:16" ht="18" customHeight="1">
      <c r="B85" s="341">
        <v>81</v>
      </c>
      <c r="C85" s="341" t="s">
        <v>238</v>
      </c>
      <c r="D85" s="341" t="s">
        <v>78</v>
      </c>
      <c r="E85" s="358" t="s">
        <v>9</v>
      </c>
      <c r="F85" s="341" t="s">
        <v>209</v>
      </c>
      <c r="G85" s="358" t="s">
        <v>43</v>
      </c>
      <c r="H85" s="359">
        <v>44465</v>
      </c>
      <c r="I85" s="341" t="s">
        <v>305</v>
      </c>
      <c r="J85" s="357">
        <v>14306208</v>
      </c>
      <c r="K85" s="345">
        <v>0.5500000916758343</v>
      </c>
      <c r="L85" s="346">
        <v>7868415</v>
      </c>
      <c r="M85" s="194">
        <f t="shared" ref="M85:M92" si="4">L85*10%</f>
        <v>786841.5</v>
      </c>
      <c r="N85" s="274">
        <f t="shared" si="3"/>
        <v>7081573.5</v>
      </c>
      <c r="O85" s="191"/>
      <c r="P85" s="393" t="e">
        <f>VLOOKUP(G:G,list!B:D,2,FALSE)</f>
        <v>#N/A</v>
      </c>
    </row>
    <row r="86" spans="2:16" ht="18" customHeight="1">
      <c r="B86" s="341">
        <v>82</v>
      </c>
      <c r="C86" s="341" t="s">
        <v>238</v>
      </c>
      <c r="D86" s="341" t="s">
        <v>78</v>
      </c>
      <c r="E86" s="358" t="s">
        <v>9</v>
      </c>
      <c r="F86" s="341" t="s">
        <v>209</v>
      </c>
      <c r="G86" s="358" t="s">
        <v>225</v>
      </c>
      <c r="H86" s="359">
        <v>44484</v>
      </c>
      <c r="I86" s="341" t="s">
        <v>305</v>
      </c>
      <c r="J86" s="357">
        <v>762931</v>
      </c>
      <c r="K86" s="345">
        <v>0.55000056541116071</v>
      </c>
      <c r="L86" s="346">
        <v>419613</v>
      </c>
      <c r="M86" s="274">
        <f t="shared" si="4"/>
        <v>41961.3</v>
      </c>
      <c r="N86" s="274">
        <f t="shared" si="3"/>
        <v>377651.7</v>
      </c>
      <c r="O86" s="191"/>
      <c r="P86" s="393" t="e">
        <f>VLOOKUP(G:G,list!B:D,2,FALSE)</f>
        <v>#N/A</v>
      </c>
    </row>
    <row r="87" spans="2:16" ht="18" customHeight="1">
      <c r="B87" s="341">
        <v>83</v>
      </c>
      <c r="C87" s="341" t="s">
        <v>238</v>
      </c>
      <c r="D87" s="341" t="s">
        <v>78</v>
      </c>
      <c r="E87" s="358" t="s">
        <v>9</v>
      </c>
      <c r="F87" s="341" t="s">
        <v>209</v>
      </c>
      <c r="G87" s="358" t="s">
        <v>29</v>
      </c>
      <c r="H87" s="359">
        <v>44510</v>
      </c>
      <c r="I87" s="341" t="s">
        <v>305</v>
      </c>
      <c r="J87" s="357">
        <v>1424971</v>
      </c>
      <c r="K87" s="345">
        <v>0.55000024262484026</v>
      </c>
      <c r="L87" s="346">
        <v>783735</v>
      </c>
      <c r="M87" s="274">
        <f t="shared" si="4"/>
        <v>78373.5</v>
      </c>
      <c r="N87" s="274">
        <f t="shared" si="3"/>
        <v>705361.5</v>
      </c>
      <c r="O87" s="191"/>
      <c r="P87" s="393" t="e">
        <f>VLOOKUP(G:G,list!B:D,2,FALSE)</f>
        <v>#N/A</v>
      </c>
    </row>
    <row r="88" spans="2:16" ht="18" customHeight="1">
      <c r="B88" s="341">
        <v>84</v>
      </c>
      <c r="C88" s="341" t="s">
        <v>238</v>
      </c>
      <c r="D88" s="341" t="s">
        <v>78</v>
      </c>
      <c r="E88" s="358" t="s">
        <v>9</v>
      </c>
      <c r="F88" s="341" t="s">
        <v>209</v>
      </c>
      <c r="G88" s="358" t="s">
        <v>59</v>
      </c>
      <c r="H88" s="359">
        <v>44595</v>
      </c>
      <c r="I88" s="341" t="s">
        <v>305</v>
      </c>
      <c r="J88" s="357">
        <v>8107723</v>
      </c>
      <c r="K88" s="345">
        <v>0.55000024262484026</v>
      </c>
      <c r="L88" s="346">
        <v>4459249</v>
      </c>
      <c r="M88" s="274">
        <f t="shared" si="4"/>
        <v>445924.9</v>
      </c>
      <c r="N88" s="274">
        <f t="shared" si="3"/>
        <v>4013324.1</v>
      </c>
      <c r="O88" s="391" t="s">
        <v>287</v>
      </c>
      <c r="P88" s="393" t="e">
        <f>VLOOKUP(G:G,list!B:D,2,FALSE)</f>
        <v>#N/A</v>
      </c>
    </row>
    <row r="89" spans="2:16" ht="18" customHeight="1">
      <c r="B89" s="341">
        <v>85</v>
      </c>
      <c r="C89" s="341"/>
      <c r="D89" s="362" t="s">
        <v>177</v>
      </c>
      <c r="E89" s="362" t="s">
        <v>9</v>
      </c>
      <c r="F89" s="369" t="s">
        <v>257</v>
      </c>
      <c r="G89" s="362" t="s">
        <v>42</v>
      </c>
      <c r="H89" s="363">
        <v>44419</v>
      </c>
      <c r="I89" s="341" t="s">
        <v>305</v>
      </c>
      <c r="J89" s="361">
        <v>11637765</v>
      </c>
      <c r="K89" s="371">
        <v>0.28000008425415068</v>
      </c>
      <c r="L89" s="346">
        <v>3258574</v>
      </c>
      <c r="M89" s="194">
        <f t="shared" si="4"/>
        <v>325857.40000000002</v>
      </c>
      <c r="N89" s="274">
        <f t="shared" ref="N89:N104" si="5">L89-M89</f>
        <v>2932716.6</v>
      </c>
      <c r="O89" s="195" t="s">
        <v>85</v>
      </c>
      <c r="P89" s="393" t="e">
        <f>VLOOKUP(G:G,list!B:D,2,FALSE)</f>
        <v>#N/A</v>
      </c>
    </row>
    <row r="90" spans="2:16" ht="18" customHeight="1">
      <c r="B90" s="341">
        <v>86</v>
      </c>
      <c r="C90" s="341" t="s">
        <v>238</v>
      </c>
      <c r="D90" s="362" t="s">
        <v>177</v>
      </c>
      <c r="E90" s="362" t="s">
        <v>9</v>
      </c>
      <c r="F90" s="369" t="s">
        <v>257</v>
      </c>
      <c r="G90" s="362" t="s">
        <v>212</v>
      </c>
      <c r="H90" s="363">
        <v>44477</v>
      </c>
      <c r="I90" s="341" t="s">
        <v>305</v>
      </c>
      <c r="J90" s="361">
        <v>948660</v>
      </c>
      <c r="K90" s="397">
        <v>0.24500002911191202</v>
      </c>
      <c r="L90" s="346">
        <v>232422</v>
      </c>
      <c r="M90" s="194">
        <f t="shared" si="4"/>
        <v>23242.2</v>
      </c>
      <c r="N90" s="274">
        <f t="shared" si="5"/>
        <v>209179.8</v>
      </c>
      <c r="O90" s="197"/>
      <c r="P90" s="393" t="e">
        <f>VLOOKUP(G:G,list!B:D,2,FALSE)</f>
        <v>#N/A</v>
      </c>
    </row>
    <row r="91" spans="2:16" ht="18" customHeight="1">
      <c r="B91" s="341">
        <v>87</v>
      </c>
      <c r="C91" s="341"/>
      <c r="D91" s="362" t="s">
        <v>32</v>
      </c>
      <c r="E91" s="362" t="s">
        <v>9</v>
      </c>
      <c r="F91" s="369" t="s">
        <v>257</v>
      </c>
      <c r="G91" s="362" t="s">
        <v>42</v>
      </c>
      <c r="H91" s="363">
        <v>44354</v>
      </c>
      <c r="I91" s="341" t="s">
        <v>305</v>
      </c>
      <c r="J91" s="361">
        <v>29541188</v>
      </c>
      <c r="K91" s="371">
        <v>0.27999995826320889</v>
      </c>
      <c r="L91" s="346">
        <v>8271533</v>
      </c>
      <c r="M91" s="194">
        <f t="shared" si="4"/>
        <v>827153.3</v>
      </c>
      <c r="N91" s="274">
        <f t="shared" si="5"/>
        <v>7444379.7000000002</v>
      </c>
      <c r="O91" s="195" t="s">
        <v>85</v>
      </c>
      <c r="P91" s="393" t="e">
        <f>VLOOKUP(G:G,list!B:D,2,FALSE)</f>
        <v>#N/A</v>
      </c>
    </row>
    <row r="92" spans="2:16" ht="18" customHeight="1">
      <c r="B92" s="341">
        <v>88</v>
      </c>
      <c r="C92" s="341" t="s">
        <v>238</v>
      </c>
      <c r="D92" s="362" t="s">
        <v>32</v>
      </c>
      <c r="E92" s="362" t="s">
        <v>9</v>
      </c>
      <c r="F92" s="369" t="s">
        <v>257</v>
      </c>
      <c r="G92" s="362" t="s">
        <v>212</v>
      </c>
      <c r="H92" s="363">
        <v>44507</v>
      </c>
      <c r="I92" s="341" t="s">
        <v>305</v>
      </c>
      <c r="J92" s="361">
        <v>24469977</v>
      </c>
      <c r="K92" s="397">
        <v>0.24499999976453651</v>
      </c>
      <c r="L92" s="346">
        <v>5995144</v>
      </c>
      <c r="M92" s="194">
        <f t="shared" si="4"/>
        <v>599514.4</v>
      </c>
      <c r="N92" s="274">
        <f t="shared" si="5"/>
        <v>5395629.5999999996</v>
      </c>
      <c r="O92" s="197"/>
      <c r="P92" s="393" t="e">
        <f>VLOOKUP(G:G,list!B:D,2,FALSE)</f>
        <v>#N/A</v>
      </c>
    </row>
    <row r="93" spans="2:16" ht="18" customHeight="1">
      <c r="B93" s="341">
        <v>89</v>
      </c>
      <c r="C93" s="341"/>
      <c r="D93" s="341" t="s">
        <v>78</v>
      </c>
      <c r="E93" s="360" t="s">
        <v>250</v>
      </c>
      <c r="F93" s="341" t="s">
        <v>126</v>
      </c>
      <c r="G93" s="360" t="s">
        <v>53</v>
      </c>
      <c r="H93" s="356">
        <v>44224</v>
      </c>
      <c r="I93" s="341" t="s">
        <v>305</v>
      </c>
      <c r="J93" s="357">
        <v>5826020</v>
      </c>
      <c r="K93" s="345" t="s">
        <v>206</v>
      </c>
      <c r="L93" s="346">
        <v>3204312</v>
      </c>
      <c r="M93" s="194">
        <v>0</v>
      </c>
      <c r="N93" s="274">
        <f t="shared" si="5"/>
        <v>3204312</v>
      </c>
      <c r="O93" s="191"/>
      <c r="P93" s="393" t="e">
        <f>VLOOKUP(G:G,list!B:D,2,FALSE)</f>
        <v>#N/A</v>
      </c>
    </row>
    <row r="94" spans="2:16" ht="18" customHeight="1">
      <c r="B94" s="341">
        <v>90</v>
      </c>
      <c r="C94" s="341" t="s">
        <v>238</v>
      </c>
      <c r="D94" s="341" t="s">
        <v>78</v>
      </c>
      <c r="E94" s="360" t="s">
        <v>250</v>
      </c>
      <c r="F94" s="341" t="s">
        <v>126</v>
      </c>
      <c r="G94" s="360" t="s">
        <v>30</v>
      </c>
      <c r="H94" s="356">
        <v>44199</v>
      </c>
      <c r="I94" s="341" t="s">
        <v>305</v>
      </c>
      <c r="J94" s="357">
        <v>7973310</v>
      </c>
      <c r="K94" s="345" t="s">
        <v>206</v>
      </c>
      <c r="L94" s="346">
        <v>4385321</v>
      </c>
      <c r="M94" s="274">
        <f>(L94-3000000)*10%</f>
        <v>138532.1</v>
      </c>
      <c r="N94" s="274">
        <f t="shared" si="5"/>
        <v>4246788.9000000004</v>
      </c>
      <c r="O94" s="191" t="s">
        <v>263</v>
      </c>
      <c r="P94" s="393" t="str">
        <f>VLOOKUP(G:G,list!B:D,2,FALSE)</f>
        <v>원작료</v>
      </c>
    </row>
    <row r="95" spans="2:16" ht="18" customHeight="1">
      <c r="B95" s="341">
        <v>91</v>
      </c>
      <c r="C95" s="341" t="s">
        <v>238</v>
      </c>
      <c r="D95" s="341" t="s">
        <v>78</v>
      </c>
      <c r="E95" s="360" t="s">
        <v>250</v>
      </c>
      <c r="F95" s="341" t="s">
        <v>126</v>
      </c>
      <c r="G95" s="360" t="s">
        <v>29</v>
      </c>
      <c r="H95" s="356">
        <v>44040</v>
      </c>
      <c r="I95" s="341" t="s">
        <v>305</v>
      </c>
      <c r="J95" s="357">
        <v>2935139</v>
      </c>
      <c r="K95" s="345" t="s">
        <v>206</v>
      </c>
      <c r="L95" s="346">
        <v>1614328</v>
      </c>
      <c r="M95" s="274">
        <f>L95*10%</f>
        <v>161432.80000000002</v>
      </c>
      <c r="N95" s="274">
        <f t="shared" si="5"/>
        <v>1452895.2</v>
      </c>
      <c r="O95" s="347"/>
      <c r="P95" s="393" t="e">
        <f>VLOOKUP(G:G,list!B:D,2,FALSE)</f>
        <v>#N/A</v>
      </c>
    </row>
    <row r="96" spans="2:16" ht="18" customHeight="1">
      <c r="B96" s="341">
        <v>92</v>
      </c>
      <c r="C96" s="341" t="s">
        <v>238</v>
      </c>
      <c r="D96" s="341" t="s">
        <v>78</v>
      </c>
      <c r="E96" s="360" t="s">
        <v>250</v>
      </c>
      <c r="F96" s="341" t="s">
        <v>126</v>
      </c>
      <c r="G96" s="360" t="s">
        <v>28</v>
      </c>
      <c r="H96" s="356">
        <v>43994</v>
      </c>
      <c r="I96" s="341" t="s">
        <v>305</v>
      </c>
      <c r="J96" s="357">
        <v>18700603</v>
      </c>
      <c r="K96" s="345" t="s">
        <v>206</v>
      </c>
      <c r="L96" s="346">
        <v>10285333</v>
      </c>
      <c r="M96" s="194">
        <f>(L96-3000000)*12%</f>
        <v>874239.96</v>
      </c>
      <c r="N96" s="274">
        <f t="shared" si="5"/>
        <v>9411093.0399999991</v>
      </c>
      <c r="O96" s="191" t="s">
        <v>106</v>
      </c>
      <c r="P96" s="393" t="e">
        <f>VLOOKUP(G:G,list!B:D,2,FALSE)</f>
        <v>#N/A</v>
      </c>
    </row>
    <row r="97" spans="2:16" ht="18" customHeight="1">
      <c r="B97" s="341">
        <v>93</v>
      </c>
      <c r="C97" s="341" t="s">
        <v>238</v>
      </c>
      <c r="D97" s="341" t="s">
        <v>78</v>
      </c>
      <c r="E97" s="360" t="s">
        <v>250</v>
      </c>
      <c r="F97" s="341" t="s">
        <v>126</v>
      </c>
      <c r="G97" s="360" t="s">
        <v>54</v>
      </c>
      <c r="H97" s="356">
        <v>44098</v>
      </c>
      <c r="I97" s="341" t="s">
        <v>305</v>
      </c>
      <c r="J97" s="357">
        <v>1499960</v>
      </c>
      <c r="K97" s="345" t="s">
        <v>206</v>
      </c>
      <c r="L97" s="346">
        <v>824979</v>
      </c>
      <c r="M97" s="274">
        <f t="shared" ref="M97:M103" si="6">L97*10%</f>
        <v>82497.900000000009</v>
      </c>
      <c r="N97" s="274">
        <f t="shared" si="5"/>
        <v>742481.1</v>
      </c>
      <c r="O97" s="191"/>
      <c r="P97" s="393" t="e">
        <f>VLOOKUP(G:G,list!B:D,2,FALSE)</f>
        <v>#N/A</v>
      </c>
    </row>
    <row r="98" spans="2:16" ht="18" customHeight="1">
      <c r="B98" s="341">
        <v>94</v>
      </c>
      <c r="C98" s="341" t="s">
        <v>238</v>
      </c>
      <c r="D98" s="341" t="s">
        <v>78</v>
      </c>
      <c r="E98" s="360" t="s">
        <v>250</v>
      </c>
      <c r="F98" s="341" t="s">
        <v>126</v>
      </c>
      <c r="G98" s="360" t="s">
        <v>55</v>
      </c>
      <c r="H98" s="356">
        <v>44320</v>
      </c>
      <c r="I98" s="341" t="s">
        <v>305</v>
      </c>
      <c r="J98" s="357">
        <v>821910</v>
      </c>
      <c r="K98" s="345" t="s">
        <v>206</v>
      </c>
      <c r="L98" s="346">
        <v>452052</v>
      </c>
      <c r="M98" s="274">
        <f t="shared" si="6"/>
        <v>45205.200000000004</v>
      </c>
      <c r="N98" s="274">
        <f t="shared" si="5"/>
        <v>406846.8</v>
      </c>
      <c r="O98" s="191"/>
      <c r="P98" s="393" t="e">
        <f>VLOOKUP(G:G,list!B:D,2,FALSE)</f>
        <v>#N/A</v>
      </c>
    </row>
    <row r="99" spans="2:16" ht="18" customHeight="1">
      <c r="B99" s="341">
        <v>95</v>
      </c>
      <c r="C99" s="341"/>
      <c r="D99" s="341" t="s">
        <v>78</v>
      </c>
      <c r="E99" s="360" t="s">
        <v>250</v>
      </c>
      <c r="F99" s="341" t="s">
        <v>126</v>
      </c>
      <c r="G99" s="360" t="s">
        <v>42</v>
      </c>
      <c r="H99" s="356">
        <v>44074</v>
      </c>
      <c r="I99" s="341" t="s">
        <v>305</v>
      </c>
      <c r="J99" s="357">
        <v>63914262.285900004</v>
      </c>
      <c r="K99" s="345" t="s">
        <v>206</v>
      </c>
      <c r="L99" s="346">
        <v>35152844</v>
      </c>
      <c r="M99" s="194">
        <f t="shared" si="6"/>
        <v>3515284.4000000004</v>
      </c>
      <c r="N99" s="274">
        <f t="shared" si="5"/>
        <v>31637559.600000001</v>
      </c>
      <c r="O99" s="195" t="s">
        <v>144</v>
      </c>
      <c r="P99" s="393" t="e">
        <f>VLOOKUP(G:G,list!B:D,2,FALSE)</f>
        <v>#N/A</v>
      </c>
    </row>
    <row r="100" spans="2:16" ht="18" customHeight="1">
      <c r="B100" s="341">
        <v>96</v>
      </c>
      <c r="C100" s="341" t="s">
        <v>238</v>
      </c>
      <c r="D100" s="341" t="s">
        <v>78</v>
      </c>
      <c r="E100" s="360" t="s">
        <v>250</v>
      </c>
      <c r="F100" s="341" t="s">
        <v>126</v>
      </c>
      <c r="G100" s="360" t="s">
        <v>191</v>
      </c>
      <c r="H100" s="356">
        <v>44372</v>
      </c>
      <c r="I100" s="341" t="s">
        <v>305</v>
      </c>
      <c r="J100" s="357">
        <v>2165957</v>
      </c>
      <c r="K100" s="345" t="s">
        <v>207</v>
      </c>
      <c r="L100" s="346">
        <v>1299574</v>
      </c>
      <c r="M100" s="194">
        <f t="shared" si="6"/>
        <v>129957.40000000001</v>
      </c>
      <c r="N100" s="274">
        <f t="shared" si="5"/>
        <v>1169616.6000000001</v>
      </c>
      <c r="O100" s="191"/>
      <c r="P100" s="393" t="e">
        <f>VLOOKUP(G:G,list!B:D,2,FALSE)</f>
        <v>#N/A</v>
      </c>
    </row>
    <row r="101" spans="2:16" ht="18" customHeight="1">
      <c r="B101" s="341">
        <v>97</v>
      </c>
      <c r="C101" s="341" t="s">
        <v>238</v>
      </c>
      <c r="D101" s="341" t="s">
        <v>78</v>
      </c>
      <c r="E101" s="360" t="s">
        <v>250</v>
      </c>
      <c r="F101" s="341" t="s">
        <v>126</v>
      </c>
      <c r="G101" s="360" t="s">
        <v>57</v>
      </c>
      <c r="H101" s="356">
        <v>44331</v>
      </c>
      <c r="I101" s="341" t="s">
        <v>305</v>
      </c>
      <c r="J101" s="357">
        <v>2740818</v>
      </c>
      <c r="K101" s="345" t="s">
        <v>206</v>
      </c>
      <c r="L101" s="346">
        <v>1507452</v>
      </c>
      <c r="M101" s="274">
        <f t="shared" si="6"/>
        <v>150745.20000000001</v>
      </c>
      <c r="N101" s="274">
        <f t="shared" si="5"/>
        <v>1356706.8</v>
      </c>
      <c r="O101" s="191"/>
      <c r="P101" s="393" t="e">
        <f>VLOOKUP(G:G,list!B:D,2,FALSE)</f>
        <v>#N/A</v>
      </c>
    </row>
    <row r="102" spans="2:16" ht="18" customHeight="1">
      <c r="B102" s="341">
        <v>98</v>
      </c>
      <c r="C102" s="341" t="s">
        <v>238</v>
      </c>
      <c r="D102" s="341" t="s">
        <v>78</v>
      </c>
      <c r="E102" s="360" t="s">
        <v>250</v>
      </c>
      <c r="F102" s="341" t="s">
        <v>126</v>
      </c>
      <c r="G102" s="360" t="s">
        <v>59</v>
      </c>
      <c r="H102" s="356">
        <v>44392</v>
      </c>
      <c r="I102" s="341" t="s">
        <v>305</v>
      </c>
      <c r="J102" s="357">
        <v>5626132</v>
      </c>
      <c r="K102" s="345" t="s">
        <v>206</v>
      </c>
      <c r="L102" s="346">
        <v>3094374</v>
      </c>
      <c r="M102" s="274">
        <f t="shared" si="6"/>
        <v>309437.40000000002</v>
      </c>
      <c r="N102" s="274">
        <f t="shared" si="5"/>
        <v>2784936.6</v>
      </c>
      <c r="O102" s="191"/>
      <c r="P102" s="393" t="e">
        <f>VLOOKUP(G:G,list!B:D,2,FALSE)</f>
        <v>#N/A</v>
      </c>
    </row>
    <row r="103" spans="2:16" ht="18" customHeight="1">
      <c r="B103" s="341">
        <v>99</v>
      </c>
      <c r="C103" s="341" t="s">
        <v>238</v>
      </c>
      <c r="D103" s="341" t="s">
        <v>78</v>
      </c>
      <c r="E103" s="360" t="s">
        <v>250</v>
      </c>
      <c r="F103" s="341" t="s">
        <v>126</v>
      </c>
      <c r="G103" s="360" t="s">
        <v>173</v>
      </c>
      <c r="H103" s="356">
        <v>44457</v>
      </c>
      <c r="I103" s="341" t="s">
        <v>305</v>
      </c>
      <c r="J103" s="357">
        <v>25523907</v>
      </c>
      <c r="K103" s="345" t="s">
        <v>207</v>
      </c>
      <c r="L103" s="346">
        <v>15314344</v>
      </c>
      <c r="M103" s="194">
        <f t="shared" si="6"/>
        <v>1531434.4000000001</v>
      </c>
      <c r="N103" s="274">
        <f t="shared" si="5"/>
        <v>13782909.6</v>
      </c>
      <c r="O103" s="191"/>
      <c r="P103" s="393" t="e">
        <f>VLOOKUP(G:G,list!B:D,2,FALSE)</f>
        <v>#N/A</v>
      </c>
    </row>
    <row r="104" spans="2:16" ht="18" customHeight="1">
      <c r="B104" s="341">
        <v>100</v>
      </c>
      <c r="C104" s="341"/>
      <c r="D104" s="341" t="s">
        <v>78</v>
      </c>
      <c r="E104" s="360" t="s">
        <v>250</v>
      </c>
      <c r="F104" s="341" t="s">
        <v>126</v>
      </c>
      <c r="G104" s="360" t="s">
        <v>174</v>
      </c>
      <c r="H104" s="356">
        <v>44469</v>
      </c>
      <c r="I104" s="341" t="s">
        <v>305</v>
      </c>
      <c r="J104" s="357">
        <v>2837550</v>
      </c>
      <c r="K104" s="345" t="s">
        <v>206</v>
      </c>
      <c r="L104" s="346">
        <v>1560654</v>
      </c>
      <c r="M104" s="194">
        <v>0</v>
      </c>
      <c r="N104" s="274">
        <f t="shared" si="5"/>
        <v>1560654</v>
      </c>
      <c r="O104" s="191"/>
      <c r="P104" s="393" t="e">
        <f>VLOOKUP(G:G,list!B:D,2,FALSE)</f>
        <v>#N/A</v>
      </c>
    </row>
    <row r="105" spans="2:16" ht="18" customHeight="1">
      <c r="B105" s="341">
        <v>101</v>
      </c>
      <c r="C105" s="341" t="s">
        <v>310</v>
      </c>
      <c r="D105" s="341" t="s">
        <v>78</v>
      </c>
      <c r="E105" s="360" t="s">
        <v>250</v>
      </c>
      <c r="F105" s="341" t="s">
        <v>126</v>
      </c>
      <c r="G105" s="360" t="s">
        <v>308</v>
      </c>
      <c r="H105" s="356">
        <v>44607</v>
      </c>
      <c r="I105" s="341" t="s">
        <v>305</v>
      </c>
      <c r="J105" s="357">
        <v>6145709</v>
      </c>
      <c r="K105" s="345" t="s">
        <v>206</v>
      </c>
      <c r="L105" s="346">
        <v>3687426</v>
      </c>
      <c r="M105" s="194">
        <v>0</v>
      </c>
      <c r="N105" s="274">
        <f>L105-M105</f>
        <v>3687426</v>
      </c>
      <c r="O105" s="347" t="s">
        <v>287</v>
      </c>
      <c r="P105" s="393" t="str">
        <f>VLOOKUP(G:G,list!B:D,2,FALSE)</f>
        <v>작가기획</v>
      </c>
    </row>
    <row r="106" spans="2:16" ht="18" customHeight="1">
      <c r="B106" s="341">
        <v>102</v>
      </c>
      <c r="C106" s="341"/>
      <c r="D106" s="341" t="s">
        <v>78</v>
      </c>
      <c r="E106" s="360" t="s">
        <v>249</v>
      </c>
      <c r="F106" s="341" t="s">
        <v>126</v>
      </c>
      <c r="G106" s="360" t="s">
        <v>58</v>
      </c>
      <c r="H106" s="356">
        <v>44328</v>
      </c>
      <c r="I106" s="341" t="s">
        <v>305</v>
      </c>
      <c r="J106" s="357">
        <v>172440</v>
      </c>
      <c r="K106" s="345" t="s">
        <v>207</v>
      </c>
      <c r="L106" s="346">
        <v>120664</v>
      </c>
      <c r="M106" s="194">
        <v>0</v>
      </c>
      <c r="N106" s="274">
        <f t="shared" ref="N106:N138" si="7">L106-M106</f>
        <v>120664</v>
      </c>
      <c r="O106" s="347"/>
      <c r="P106" s="393" t="e">
        <f>VLOOKUP(G:G,list!B:D,2,FALSE)</f>
        <v>#N/A</v>
      </c>
    </row>
    <row r="107" spans="2:16" ht="18" customHeight="1">
      <c r="B107" s="341">
        <v>103</v>
      </c>
      <c r="C107" s="341" t="s">
        <v>238</v>
      </c>
      <c r="D107" s="341" t="s">
        <v>78</v>
      </c>
      <c r="E107" s="360" t="s">
        <v>249</v>
      </c>
      <c r="F107" s="341" t="s">
        <v>248</v>
      </c>
      <c r="G107" s="360" t="s">
        <v>39</v>
      </c>
      <c r="H107" s="356">
        <v>44327</v>
      </c>
      <c r="I107" s="341" t="s">
        <v>305</v>
      </c>
      <c r="J107" s="357">
        <v>749166</v>
      </c>
      <c r="K107" s="345" t="s">
        <v>124</v>
      </c>
      <c r="L107" s="346">
        <v>520610</v>
      </c>
      <c r="M107" s="194">
        <f t="shared" ref="M107:M112" si="8">L107*10%</f>
        <v>52061</v>
      </c>
      <c r="N107" s="274">
        <f t="shared" si="7"/>
        <v>468549</v>
      </c>
      <c r="O107" s="191"/>
      <c r="P107" s="393" t="e">
        <f>VLOOKUP(G:G,list!B:D,2,FALSE)</f>
        <v>#N/A</v>
      </c>
    </row>
    <row r="108" spans="2:16" ht="18" customHeight="1">
      <c r="B108" s="341">
        <v>104</v>
      </c>
      <c r="C108" s="341" t="s">
        <v>238</v>
      </c>
      <c r="D108" s="341" t="s">
        <v>78</v>
      </c>
      <c r="E108" s="360" t="s">
        <v>249</v>
      </c>
      <c r="F108" s="341" t="s">
        <v>248</v>
      </c>
      <c r="G108" s="360" t="s">
        <v>40</v>
      </c>
      <c r="H108" s="356">
        <v>44328</v>
      </c>
      <c r="I108" s="341" t="s">
        <v>305</v>
      </c>
      <c r="J108" s="357">
        <v>2287250</v>
      </c>
      <c r="K108" s="345" t="s">
        <v>124</v>
      </c>
      <c r="L108" s="346">
        <v>1590170</v>
      </c>
      <c r="M108" s="194">
        <f t="shared" si="8"/>
        <v>159017</v>
      </c>
      <c r="N108" s="274">
        <f t="shared" si="7"/>
        <v>1431153</v>
      </c>
      <c r="O108" s="191"/>
      <c r="P108" s="393" t="e">
        <f>VLOOKUP(G:G,list!B:D,2,FALSE)</f>
        <v>#N/A</v>
      </c>
    </row>
    <row r="109" spans="2:16" ht="18" customHeight="1">
      <c r="B109" s="341">
        <v>105</v>
      </c>
      <c r="C109" s="341" t="s">
        <v>238</v>
      </c>
      <c r="D109" s="341" t="s">
        <v>78</v>
      </c>
      <c r="E109" s="360" t="s">
        <v>249</v>
      </c>
      <c r="F109" s="341" t="s">
        <v>248</v>
      </c>
      <c r="G109" s="360" t="s">
        <v>38</v>
      </c>
      <c r="H109" s="356">
        <v>44329</v>
      </c>
      <c r="I109" s="341" t="s">
        <v>305</v>
      </c>
      <c r="J109" s="357">
        <v>1003460</v>
      </c>
      <c r="K109" s="345" t="s">
        <v>124</v>
      </c>
      <c r="L109" s="346">
        <v>697296</v>
      </c>
      <c r="M109" s="194">
        <f t="shared" si="8"/>
        <v>69729.600000000006</v>
      </c>
      <c r="N109" s="274">
        <f t="shared" si="7"/>
        <v>627566.4</v>
      </c>
      <c r="O109" s="191"/>
      <c r="P109" s="393" t="e">
        <f>VLOOKUP(G:G,list!B:D,2,FALSE)</f>
        <v>#N/A</v>
      </c>
    </row>
    <row r="110" spans="2:16" ht="18" customHeight="1">
      <c r="B110" s="341">
        <v>106</v>
      </c>
      <c r="C110" s="341" t="s">
        <v>238</v>
      </c>
      <c r="D110" s="341" t="s">
        <v>78</v>
      </c>
      <c r="E110" s="360" t="s">
        <v>250</v>
      </c>
      <c r="F110" s="341" t="s">
        <v>248</v>
      </c>
      <c r="G110" s="360" t="s">
        <v>46</v>
      </c>
      <c r="H110" s="356">
        <v>44246</v>
      </c>
      <c r="I110" s="341" t="s">
        <v>305</v>
      </c>
      <c r="J110" s="357">
        <v>1074290</v>
      </c>
      <c r="K110" s="345" t="s">
        <v>206</v>
      </c>
      <c r="L110" s="346">
        <v>590860</v>
      </c>
      <c r="M110" s="194">
        <f t="shared" si="8"/>
        <v>59086</v>
      </c>
      <c r="N110" s="274">
        <f t="shared" si="7"/>
        <v>531774</v>
      </c>
      <c r="O110" s="191"/>
      <c r="P110" s="393" t="e">
        <f>VLOOKUP(G:G,list!B:D,2,FALSE)</f>
        <v>#N/A</v>
      </c>
    </row>
    <row r="111" spans="2:16" ht="18" customHeight="1">
      <c r="B111" s="341">
        <v>107</v>
      </c>
      <c r="C111" s="341" t="s">
        <v>238</v>
      </c>
      <c r="D111" s="341" t="s">
        <v>78</v>
      </c>
      <c r="E111" s="360" t="s">
        <v>250</v>
      </c>
      <c r="F111" s="341" t="s">
        <v>248</v>
      </c>
      <c r="G111" s="360" t="s">
        <v>47</v>
      </c>
      <c r="H111" s="356">
        <v>44152</v>
      </c>
      <c r="I111" s="341" t="s">
        <v>305</v>
      </c>
      <c r="J111" s="357">
        <v>513200</v>
      </c>
      <c r="K111" s="345" t="s">
        <v>206</v>
      </c>
      <c r="L111" s="346">
        <v>282260</v>
      </c>
      <c r="M111" s="194">
        <f t="shared" si="8"/>
        <v>28226</v>
      </c>
      <c r="N111" s="274">
        <f t="shared" si="7"/>
        <v>254034</v>
      </c>
      <c r="O111" s="347"/>
      <c r="P111" s="393" t="e">
        <f>VLOOKUP(G:G,list!B:D,2,FALSE)</f>
        <v>#N/A</v>
      </c>
    </row>
    <row r="112" spans="2:16" ht="18" customHeight="1">
      <c r="B112" s="341">
        <v>108</v>
      </c>
      <c r="C112" s="341" t="s">
        <v>238</v>
      </c>
      <c r="D112" s="341" t="s">
        <v>78</v>
      </c>
      <c r="E112" s="341" t="s">
        <v>9</v>
      </c>
      <c r="F112" s="341" t="s">
        <v>175</v>
      </c>
      <c r="G112" s="341" t="s">
        <v>212</v>
      </c>
      <c r="H112" s="353">
        <v>44268</v>
      </c>
      <c r="I112" s="341" t="s">
        <v>305</v>
      </c>
      <c r="J112" s="357">
        <v>49475508.542999998</v>
      </c>
      <c r="K112" s="345" t="s">
        <v>206</v>
      </c>
      <c r="L112" s="346">
        <v>27211530</v>
      </c>
      <c r="M112" s="194">
        <f t="shared" si="8"/>
        <v>2721153</v>
      </c>
      <c r="N112" s="274">
        <f t="shared" si="7"/>
        <v>24490377</v>
      </c>
      <c r="O112" s="191"/>
      <c r="P112" s="393" t="e">
        <f>VLOOKUP(G:G,list!B:D,2,FALSE)</f>
        <v>#N/A</v>
      </c>
    </row>
    <row r="113" spans="2:16" ht="18" customHeight="1">
      <c r="B113" s="341">
        <v>109</v>
      </c>
      <c r="C113" s="341"/>
      <c r="D113" s="369" t="s">
        <v>216</v>
      </c>
      <c r="E113" s="362" t="s">
        <v>9</v>
      </c>
      <c r="F113" s="372" t="s">
        <v>154</v>
      </c>
      <c r="G113" s="362" t="s">
        <v>36</v>
      </c>
      <c r="H113" s="363">
        <v>44106</v>
      </c>
      <c r="I113" s="341" t="s">
        <v>281</v>
      </c>
      <c r="J113" s="361">
        <v>2134808</v>
      </c>
      <c r="K113" s="373">
        <v>0.4</v>
      </c>
      <c r="L113" s="346">
        <v>811227</v>
      </c>
      <c r="M113" s="274">
        <v>0</v>
      </c>
      <c r="N113" s="274">
        <f t="shared" si="7"/>
        <v>811227</v>
      </c>
      <c r="O113" s="197"/>
      <c r="P113" s="393" t="str">
        <f>VLOOKUP(G:G,list!B:D,2,FALSE)</f>
        <v>작가기획</v>
      </c>
    </row>
    <row r="114" spans="2:16" ht="18" customHeight="1">
      <c r="B114" s="341">
        <v>110</v>
      </c>
      <c r="C114" s="341"/>
      <c r="D114" s="369" t="s">
        <v>216</v>
      </c>
      <c r="E114" s="362" t="s">
        <v>9</v>
      </c>
      <c r="F114" s="372" t="s">
        <v>154</v>
      </c>
      <c r="G114" s="362" t="s">
        <v>37</v>
      </c>
      <c r="H114" s="363">
        <v>44113</v>
      </c>
      <c r="I114" s="341" t="s">
        <v>281</v>
      </c>
      <c r="J114" s="361">
        <v>128632</v>
      </c>
      <c r="K114" s="373">
        <v>0.4</v>
      </c>
      <c r="L114" s="346">
        <v>48880</v>
      </c>
      <c r="M114" s="274">
        <v>0</v>
      </c>
      <c r="N114" s="274">
        <f t="shared" si="7"/>
        <v>48880</v>
      </c>
      <c r="O114" s="197"/>
      <c r="P114" s="393" t="str">
        <f>VLOOKUP(G:G,list!B:D,2,FALSE)</f>
        <v>작가기획</v>
      </c>
    </row>
    <row r="115" spans="2:16" ht="18" customHeight="1">
      <c r="B115" s="341">
        <v>111</v>
      </c>
      <c r="C115" s="341" t="s">
        <v>238</v>
      </c>
      <c r="D115" s="369" t="s">
        <v>216</v>
      </c>
      <c r="E115" s="362" t="s">
        <v>115</v>
      </c>
      <c r="F115" s="372" t="s">
        <v>154</v>
      </c>
      <c r="G115" s="362" t="s">
        <v>258</v>
      </c>
      <c r="H115" s="363">
        <v>44386</v>
      </c>
      <c r="I115" s="341" t="s">
        <v>281</v>
      </c>
      <c r="J115" s="361">
        <v>803202</v>
      </c>
      <c r="K115" s="373">
        <v>0.4</v>
      </c>
      <c r="L115" s="346">
        <v>305217</v>
      </c>
      <c r="M115" s="274">
        <f t="shared" ref="M115:M120" si="9">L115*10%</f>
        <v>30521.7</v>
      </c>
      <c r="N115" s="274">
        <f t="shared" si="7"/>
        <v>274695.3</v>
      </c>
      <c r="O115" s="197"/>
      <c r="P115" s="393" t="e">
        <f>VLOOKUP(G:G,list!B:D,2,FALSE)</f>
        <v>#N/A</v>
      </c>
    </row>
    <row r="116" spans="2:16" ht="18" customHeight="1">
      <c r="B116" s="341">
        <v>112</v>
      </c>
      <c r="C116" s="341" t="s">
        <v>238</v>
      </c>
      <c r="D116" s="341" t="s">
        <v>78</v>
      </c>
      <c r="E116" s="360" t="s">
        <v>249</v>
      </c>
      <c r="F116" s="341" t="s">
        <v>172</v>
      </c>
      <c r="G116" s="360" t="s">
        <v>40</v>
      </c>
      <c r="H116" s="356">
        <v>44379</v>
      </c>
      <c r="I116" s="341" t="s">
        <v>305</v>
      </c>
      <c r="J116" s="357">
        <v>124065</v>
      </c>
      <c r="K116" s="345">
        <v>0.6</v>
      </c>
      <c r="L116" s="346">
        <v>74439</v>
      </c>
      <c r="M116" s="194">
        <f t="shared" si="9"/>
        <v>7443.9000000000005</v>
      </c>
      <c r="N116" s="274">
        <f t="shared" si="7"/>
        <v>66995.100000000006</v>
      </c>
      <c r="O116" s="191"/>
      <c r="P116" s="393" t="e">
        <f>VLOOKUP(G:G,list!B:D,2,FALSE)</f>
        <v>#N/A</v>
      </c>
    </row>
    <row r="117" spans="2:16" ht="18" customHeight="1">
      <c r="B117" s="341">
        <v>113</v>
      </c>
      <c r="C117" s="341" t="s">
        <v>238</v>
      </c>
      <c r="D117" s="341" t="s">
        <v>78</v>
      </c>
      <c r="E117" s="360" t="s">
        <v>249</v>
      </c>
      <c r="F117" s="341" t="s">
        <v>172</v>
      </c>
      <c r="G117" s="360" t="s">
        <v>39</v>
      </c>
      <c r="H117" s="356">
        <v>44385</v>
      </c>
      <c r="I117" s="341" t="s">
        <v>305</v>
      </c>
      <c r="J117" s="357">
        <v>19035</v>
      </c>
      <c r="K117" s="345">
        <v>0.6</v>
      </c>
      <c r="L117" s="346">
        <v>11421</v>
      </c>
      <c r="M117" s="194">
        <f t="shared" si="9"/>
        <v>1142.1000000000001</v>
      </c>
      <c r="N117" s="274">
        <f t="shared" si="7"/>
        <v>10278.9</v>
      </c>
      <c r="O117" s="191"/>
      <c r="P117" s="393" t="e">
        <f>VLOOKUP(G:G,list!B:D,2,FALSE)</f>
        <v>#N/A</v>
      </c>
    </row>
    <row r="118" spans="2:16" ht="18" customHeight="1">
      <c r="B118" s="341">
        <v>114</v>
      </c>
      <c r="C118" s="341" t="s">
        <v>238</v>
      </c>
      <c r="D118" s="341" t="s">
        <v>78</v>
      </c>
      <c r="E118" s="360" t="s">
        <v>249</v>
      </c>
      <c r="F118" s="341" t="s">
        <v>172</v>
      </c>
      <c r="G118" s="360" t="s">
        <v>38</v>
      </c>
      <c r="H118" s="356">
        <v>44362</v>
      </c>
      <c r="I118" s="341" t="s">
        <v>305</v>
      </c>
      <c r="J118" s="361">
        <v>281160</v>
      </c>
      <c r="K118" s="345">
        <v>0.6</v>
      </c>
      <c r="L118" s="346">
        <v>168696</v>
      </c>
      <c r="M118" s="274">
        <f t="shared" si="9"/>
        <v>16869.600000000002</v>
      </c>
      <c r="N118" s="274">
        <f t="shared" si="7"/>
        <v>151826.4</v>
      </c>
      <c r="O118" s="347"/>
      <c r="P118" s="393" t="e">
        <f>VLOOKUP(G:G,list!B:D,2,FALSE)</f>
        <v>#N/A</v>
      </c>
    </row>
    <row r="119" spans="2:16" ht="18" customHeight="1">
      <c r="B119" s="341">
        <v>115</v>
      </c>
      <c r="C119" s="341"/>
      <c r="D119" s="369" t="s">
        <v>69</v>
      </c>
      <c r="E119" s="369" t="s">
        <v>68</v>
      </c>
      <c r="F119" s="372" t="s">
        <v>70</v>
      </c>
      <c r="G119" s="362" t="s">
        <v>42</v>
      </c>
      <c r="H119" s="363">
        <v>44293</v>
      </c>
      <c r="I119" s="341" t="s">
        <v>281</v>
      </c>
      <c r="J119" s="361">
        <v>26760</v>
      </c>
      <c r="K119" s="371">
        <v>0.5</v>
      </c>
      <c r="L119" s="346">
        <v>13380</v>
      </c>
      <c r="M119" s="194">
        <f t="shared" si="9"/>
        <v>1338</v>
      </c>
      <c r="N119" s="274">
        <f t="shared" si="7"/>
        <v>12042</v>
      </c>
      <c r="O119" s="195" t="s">
        <v>85</v>
      </c>
      <c r="P119" s="393" t="e">
        <f>VLOOKUP(G:G,list!B:D,2,FALSE)</f>
        <v>#N/A</v>
      </c>
    </row>
    <row r="120" spans="2:16" ht="18" customHeight="1">
      <c r="B120" s="341">
        <v>116</v>
      </c>
      <c r="C120" s="341" t="s">
        <v>238</v>
      </c>
      <c r="D120" s="369" t="s">
        <v>69</v>
      </c>
      <c r="E120" s="369" t="s">
        <v>68</v>
      </c>
      <c r="F120" s="372" t="s">
        <v>70</v>
      </c>
      <c r="G120" s="362" t="s">
        <v>224</v>
      </c>
      <c r="H120" s="363">
        <v>44341</v>
      </c>
      <c r="I120" s="341" t="s">
        <v>281</v>
      </c>
      <c r="J120" s="361">
        <v>16725</v>
      </c>
      <c r="K120" s="371">
        <v>0.5</v>
      </c>
      <c r="L120" s="346">
        <v>8362</v>
      </c>
      <c r="M120" s="274">
        <f t="shared" si="9"/>
        <v>836.2</v>
      </c>
      <c r="N120" s="274">
        <f t="shared" si="7"/>
        <v>7525.8</v>
      </c>
      <c r="O120" s="197"/>
      <c r="P120" s="393" t="e">
        <f>VLOOKUP(G:G,list!B:D,2,FALSE)</f>
        <v>#N/A</v>
      </c>
    </row>
    <row r="121" spans="2:16" ht="18" customHeight="1">
      <c r="B121" s="341">
        <v>117</v>
      </c>
      <c r="C121" s="341" t="s">
        <v>238</v>
      </c>
      <c r="D121" s="369" t="s">
        <v>69</v>
      </c>
      <c r="E121" s="369" t="s">
        <v>68</v>
      </c>
      <c r="F121" s="372" t="s">
        <v>70</v>
      </c>
      <c r="G121" s="362" t="s">
        <v>28</v>
      </c>
      <c r="H121" s="363">
        <v>44291</v>
      </c>
      <c r="I121" s="341" t="s">
        <v>281</v>
      </c>
      <c r="J121" s="361">
        <v>45918</v>
      </c>
      <c r="K121" s="371">
        <v>0.5</v>
      </c>
      <c r="L121" s="346">
        <v>22959</v>
      </c>
      <c r="M121" s="194">
        <f>L121*12%</f>
        <v>2755.08</v>
      </c>
      <c r="N121" s="274">
        <f t="shared" si="7"/>
        <v>20203.919999999998</v>
      </c>
      <c r="O121" s="197"/>
      <c r="P121" s="393" t="e">
        <f>VLOOKUP(G:G,list!B:D,2,FALSE)</f>
        <v>#N/A</v>
      </c>
    </row>
    <row r="122" spans="2:16" ht="18" customHeight="1">
      <c r="B122" s="341">
        <v>118</v>
      </c>
      <c r="C122" s="341" t="s">
        <v>238</v>
      </c>
      <c r="D122" s="369" t="s">
        <v>69</v>
      </c>
      <c r="E122" s="369" t="s">
        <v>68</v>
      </c>
      <c r="F122" s="372" t="s">
        <v>70</v>
      </c>
      <c r="G122" s="362" t="s">
        <v>29</v>
      </c>
      <c r="H122" s="363">
        <v>44410</v>
      </c>
      <c r="I122" s="341" t="s">
        <v>281</v>
      </c>
      <c r="J122" s="361">
        <v>44245</v>
      </c>
      <c r="K122" s="371">
        <v>0.5</v>
      </c>
      <c r="L122" s="346">
        <v>22123</v>
      </c>
      <c r="M122" s="274">
        <f>L122*10%</f>
        <v>2212.3000000000002</v>
      </c>
      <c r="N122" s="274">
        <f t="shared" si="7"/>
        <v>19910.7</v>
      </c>
      <c r="O122" s="194"/>
      <c r="P122" s="393" t="e">
        <f>VLOOKUP(G:G,list!B:D,2,FALSE)</f>
        <v>#N/A</v>
      </c>
    </row>
    <row r="123" spans="2:16" ht="18" customHeight="1">
      <c r="B123" s="341">
        <v>119</v>
      </c>
      <c r="C123" s="341" t="s">
        <v>238</v>
      </c>
      <c r="D123" s="369" t="s">
        <v>69</v>
      </c>
      <c r="E123" s="369" t="s">
        <v>68</v>
      </c>
      <c r="F123" s="372" t="s">
        <v>70</v>
      </c>
      <c r="G123" s="362" t="s">
        <v>151</v>
      </c>
      <c r="H123" s="363">
        <v>44524</v>
      </c>
      <c r="I123" s="341" t="s">
        <v>281</v>
      </c>
      <c r="J123" s="361">
        <v>12240</v>
      </c>
      <c r="K123" s="371">
        <v>0.5</v>
      </c>
      <c r="L123" s="346">
        <v>6120</v>
      </c>
      <c r="M123" s="274">
        <f>L123*10%</f>
        <v>612</v>
      </c>
      <c r="N123" s="274">
        <f t="shared" si="7"/>
        <v>5508</v>
      </c>
      <c r="O123" s="370"/>
      <c r="P123" s="393" t="str">
        <f>VLOOKUP(G:G,list!B:D,2,FALSE)</f>
        <v>원작료</v>
      </c>
    </row>
    <row r="124" spans="2:16" ht="18" customHeight="1">
      <c r="B124" s="341">
        <v>120</v>
      </c>
      <c r="C124" s="341"/>
      <c r="D124" s="369" t="s">
        <v>182</v>
      </c>
      <c r="E124" s="369" t="s">
        <v>9</v>
      </c>
      <c r="F124" s="372" t="s">
        <v>228</v>
      </c>
      <c r="G124" s="374" t="s">
        <v>179</v>
      </c>
      <c r="H124" s="353">
        <v>44180</v>
      </c>
      <c r="I124" s="341" t="s">
        <v>281</v>
      </c>
      <c r="J124" s="361">
        <v>535293</v>
      </c>
      <c r="K124" s="371">
        <v>0.5</v>
      </c>
      <c r="L124" s="346">
        <v>267646.5</v>
      </c>
      <c r="M124" s="194">
        <f>L124*10%</f>
        <v>26764.65</v>
      </c>
      <c r="N124" s="274">
        <f t="shared" si="7"/>
        <v>240881.85</v>
      </c>
      <c r="O124" s="195" t="s">
        <v>85</v>
      </c>
      <c r="P124" s="393" t="e">
        <f>VLOOKUP(G:G,list!B:D,2,FALSE)</f>
        <v>#N/A</v>
      </c>
    </row>
    <row r="125" spans="2:16" ht="18" customHeight="1">
      <c r="B125" s="341">
        <v>121</v>
      </c>
      <c r="C125" s="341" t="s">
        <v>238</v>
      </c>
      <c r="D125" s="369" t="s">
        <v>182</v>
      </c>
      <c r="E125" s="369" t="s">
        <v>9</v>
      </c>
      <c r="F125" s="372" t="s">
        <v>228</v>
      </c>
      <c r="G125" s="374" t="s">
        <v>152</v>
      </c>
      <c r="H125" s="353">
        <v>44180</v>
      </c>
      <c r="I125" s="341" t="s">
        <v>281</v>
      </c>
      <c r="J125" s="361">
        <v>261805</v>
      </c>
      <c r="K125" s="371">
        <v>0.5</v>
      </c>
      <c r="L125" s="346">
        <v>130902.5</v>
      </c>
      <c r="M125" s="194">
        <f>L125*12%</f>
        <v>15708.3</v>
      </c>
      <c r="N125" s="274">
        <f t="shared" si="7"/>
        <v>115194.2</v>
      </c>
      <c r="O125" s="194"/>
      <c r="P125" s="393" t="e">
        <f>VLOOKUP(G:G,list!B:D,2,FALSE)</f>
        <v>#N/A</v>
      </c>
    </row>
    <row r="126" spans="2:16" ht="18" customHeight="1">
      <c r="B126" s="341">
        <v>122</v>
      </c>
      <c r="C126" s="341" t="s">
        <v>238</v>
      </c>
      <c r="D126" s="369" t="s">
        <v>182</v>
      </c>
      <c r="E126" s="369" t="s">
        <v>9</v>
      </c>
      <c r="F126" s="372" t="s">
        <v>228</v>
      </c>
      <c r="G126" s="374" t="s">
        <v>153</v>
      </c>
      <c r="H126" s="353">
        <v>44180</v>
      </c>
      <c r="I126" s="341" t="s">
        <v>281</v>
      </c>
      <c r="J126" s="361">
        <v>361659</v>
      </c>
      <c r="K126" s="371">
        <v>0.5</v>
      </c>
      <c r="L126" s="346">
        <v>180829.5</v>
      </c>
      <c r="M126" s="274">
        <f>L126*10%</f>
        <v>18082.95</v>
      </c>
      <c r="N126" s="274">
        <f t="shared" si="7"/>
        <v>162746.54999999999</v>
      </c>
      <c r="O126" s="194"/>
      <c r="P126" s="393" t="e">
        <f>VLOOKUP(G:G,list!B:D,2,FALSE)</f>
        <v>#N/A</v>
      </c>
    </row>
    <row r="127" spans="2:16" ht="18" customHeight="1">
      <c r="B127" s="341">
        <v>124</v>
      </c>
      <c r="C127" s="341"/>
      <c r="D127" s="369" t="s">
        <v>182</v>
      </c>
      <c r="E127" s="369" t="s">
        <v>9</v>
      </c>
      <c r="F127" s="372" t="s">
        <v>228</v>
      </c>
      <c r="G127" s="374" t="s">
        <v>180</v>
      </c>
      <c r="H127" s="353">
        <v>44180</v>
      </c>
      <c r="I127" s="341" t="s">
        <v>281</v>
      </c>
      <c r="J127" s="361">
        <v>1452280</v>
      </c>
      <c r="K127" s="371">
        <v>0.5</v>
      </c>
      <c r="L127" s="346">
        <v>726140</v>
      </c>
      <c r="M127" s="274">
        <v>0</v>
      </c>
      <c r="N127" s="274">
        <f t="shared" si="7"/>
        <v>726140</v>
      </c>
      <c r="O127" s="194"/>
      <c r="P127" s="393" t="str">
        <f>VLOOKUP(G:G,list!B:D,2,FALSE)</f>
        <v>작가기획</v>
      </c>
    </row>
    <row r="128" spans="2:16" ht="18" customHeight="1">
      <c r="B128" s="341">
        <v>125</v>
      </c>
      <c r="C128" s="341"/>
      <c r="D128" s="369" t="s">
        <v>182</v>
      </c>
      <c r="E128" s="369" t="s">
        <v>9</v>
      </c>
      <c r="F128" s="372" t="s">
        <v>228</v>
      </c>
      <c r="G128" s="374" t="s">
        <v>139</v>
      </c>
      <c r="H128" s="353">
        <v>44180</v>
      </c>
      <c r="I128" s="341" t="s">
        <v>281</v>
      </c>
      <c r="J128" s="361">
        <v>60395</v>
      </c>
      <c r="K128" s="371">
        <v>0.5</v>
      </c>
      <c r="L128" s="346">
        <v>30197.5</v>
      </c>
      <c r="M128" s="194">
        <v>0</v>
      </c>
      <c r="N128" s="274">
        <f t="shared" si="7"/>
        <v>30197.5</v>
      </c>
      <c r="O128" s="194"/>
      <c r="P128" s="393" t="str">
        <f>VLOOKUP(G:G,list!B:D,2,FALSE)</f>
        <v>작가기획</v>
      </c>
    </row>
    <row r="129" spans="2:16" ht="18" customHeight="1">
      <c r="B129" s="341">
        <v>126</v>
      </c>
      <c r="C129" s="341"/>
      <c r="D129" s="369" t="s">
        <v>182</v>
      </c>
      <c r="E129" s="369" t="s">
        <v>115</v>
      </c>
      <c r="F129" s="372" t="s">
        <v>228</v>
      </c>
      <c r="G129" s="375" t="s">
        <v>231</v>
      </c>
      <c r="H129" s="353">
        <v>44180</v>
      </c>
      <c r="I129" s="341" t="s">
        <v>281</v>
      </c>
      <c r="J129" s="361">
        <v>94618</v>
      </c>
      <c r="K129" s="371">
        <v>0.5</v>
      </c>
      <c r="L129" s="346">
        <v>47309</v>
      </c>
      <c r="M129" s="194">
        <v>0</v>
      </c>
      <c r="N129" s="274">
        <f t="shared" si="7"/>
        <v>47309</v>
      </c>
      <c r="O129" s="194"/>
      <c r="P129" s="393" t="e">
        <f>VLOOKUP(G:G,list!B:D,2,FALSE)</f>
        <v>#N/A</v>
      </c>
    </row>
    <row r="130" spans="2:16" ht="18" customHeight="1">
      <c r="B130" s="341">
        <v>127</v>
      </c>
      <c r="C130" s="341" t="s">
        <v>238</v>
      </c>
      <c r="D130" s="369" t="s">
        <v>182</v>
      </c>
      <c r="E130" s="369" t="s">
        <v>9</v>
      </c>
      <c r="F130" s="372" t="s">
        <v>228</v>
      </c>
      <c r="G130" s="374" t="s">
        <v>151</v>
      </c>
      <c r="H130" s="398">
        <v>44207</v>
      </c>
      <c r="I130" s="341" t="s">
        <v>281</v>
      </c>
      <c r="J130" s="361">
        <v>66230</v>
      </c>
      <c r="K130" s="371">
        <v>0.5</v>
      </c>
      <c r="L130" s="346">
        <v>33115</v>
      </c>
      <c r="M130" s="274">
        <f t="shared" ref="M130:M135" si="10">L130*10%</f>
        <v>3311.5</v>
      </c>
      <c r="N130" s="274">
        <f t="shared" si="7"/>
        <v>29803.5</v>
      </c>
      <c r="O130" s="194"/>
      <c r="P130" s="393" t="str">
        <f>VLOOKUP(G:G,list!B:D,2,FALSE)</f>
        <v>원작료</v>
      </c>
    </row>
    <row r="131" spans="2:16" ht="18" customHeight="1">
      <c r="B131" s="341">
        <v>128</v>
      </c>
      <c r="C131" s="341" t="s">
        <v>238</v>
      </c>
      <c r="D131" s="369" t="s">
        <v>182</v>
      </c>
      <c r="E131" s="369" t="s">
        <v>9</v>
      </c>
      <c r="F131" s="372" t="s">
        <v>228</v>
      </c>
      <c r="G131" s="374" t="s">
        <v>225</v>
      </c>
      <c r="H131" s="353">
        <v>44357</v>
      </c>
      <c r="I131" s="341" t="s">
        <v>281</v>
      </c>
      <c r="J131" s="361">
        <v>109117</v>
      </c>
      <c r="K131" s="371">
        <v>0.5</v>
      </c>
      <c r="L131" s="346">
        <v>54558.5</v>
      </c>
      <c r="M131" s="274">
        <f t="shared" si="10"/>
        <v>5455.85</v>
      </c>
      <c r="N131" s="274">
        <f t="shared" si="7"/>
        <v>49102.65</v>
      </c>
      <c r="O131" s="347"/>
      <c r="P131" s="393" t="e">
        <f>VLOOKUP(G:G,list!B:D,2,FALSE)</f>
        <v>#N/A</v>
      </c>
    </row>
    <row r="132" spans="2:16" ht="18" customHeight="1">
      <c r="B132" s="341">
        <v>129</v>
      </c>
      <c r="C132" s="341" t="s">
        <v>238</v>
      </c>
      <c r="D132" s="369" t="s">
        <v>182</v>
      </c>
      <c r="E132" s="369" t="s">
        <v>115</v>
      </c>
      <c r="F132" s="372" t="s">
        <v>228</v>
      </c>
      <c r="G132" s="374" t="s">
        <v>204</v>
      </c>
      <c r="H132" s="399">
        <v>44365</v>
      </c>
      <c r="I132" s="341" t="s">
        <v>281</v>
      </c>
      <c r="J132" s="361">
        <v>263219</v>
      </c>
      <c r="K132" s="371">
        <v>0.5</v>
      </c>
      <c r="L132" s="346">
        <v>131609.5</v>
      </c>
      <c r="M132" s="194">
        <f t="shared" si="10"/>
        <v>13160.95</v>
      </c>
      <c r="N132" s="274">
        <f t="shared" si="7"/>
        <v>118448.55</v>
      </c>
      <c r="O132" s="194"/>
      <c r="P132" s="393" t="e">
        <f>VLOOKUP(G:G,list!B:D,2,FALSE)</f>
        <v>#N/A</v>
      </c>
    </row>
    <row r="133" spans="2:16" ht="18" customHeight="1">
      <c r="B133" s="341">
        <v>130</v>
      </c>
      <c r="C133" s="341" t="s">
        <v>238</v>
      </c>
      <c r="D133" s="369" t="s">
        <v>182</v>
      </c>
      <c r="E133" s="369" t="s">
        <v>9</v>
      </c>
      <c r="F133" s="372" t="s">
        <v>228</v>
      </c>
      <c r="G133" s="374" t="s">
        <v>191</v>
      </c>
      <c r="H133" s="353">
        <v>44372</v>
      </c>
      <c r="I133" s="341" t="s">
        <v>281</v>
      </c>
      <c r="J133" s="361">
        <v>358747</v>
      </c>
      <c r="K133" s="371">
        <v>0.5</v>
      </c>
      <c r="L133" s="346">
        <v>179373.5</v>
      </c>
      <c r="M133" s="194">
        <f t="shared" si="10"/>
        <v>17937.350000000002</v>
      </c>
      <c r="N133" s="274">
        <f t="shared" si="7"/>
        <v>161436.15</v>
      </c>
      <c r="O133" s="194"/>
      <c r="P133" s="393" t="e">
        <f>VLOOKUP(G:G,list!B:D,2,FALSE)</f>
        <v>#N/A</v>
      </c>
    </row>
    <row r="134" spans="2:16" ht="18" customHeight="1">
      <c r="B134" s="341">
        <v>131</v>
      </c>
      <c r="C134" s="341" t="s">
        <v>238</v>
      </c>
      <c r="D134" s="369" t="s">
        <v>182</v>
      </c>
      <c r="E134" s="369" t="s">
        <v>9</v>
      </c>
      <c r="F134" s="372" t="s">
        <v>228</v>
      </c>
      <c r="G134" s="360" t="s">
        <v>59</v>
      </c>
      <c r="H134" s="400">
        <v>44392</v>
      </c>
      <c r="I134" s="341" t="s">
        <v>281</v>
      </c>
      <c r="J134" s="361">
        <v>3147551</v>
      </c>
      <c r="K134" s="371">
        <v>0.5</v>
      </c>
      <c r="L134" s="346">
        <v>1573775.5</v>
      </c>
      <c r="M134" s="274">
        <f t="shared" si="10"/>
        <v>157377.55000000002</v>
      </c>
      <c r="N134" s="274">
        <f t="shared" si="7"/>
        <v>1416397.95</v>
      </c>
      <c r="O134" s="194"/>
      <c r="P134" s="393" t="e">
        <f>VLOOKUP(G:G,list!B:D,2,FALSE)</f>
        <v>#N/A</v>
      </c>
    </row>
    <row r="135" spans="2:16" ht="18" customHeight="1">
      <c r="B135" s="341">
        <v>132</v>
      </c>
      <c r="C135" s="341" t="s">
        <v>238</v>
      </c>
      <c r="D135" s="369" t="s">
        <v>182</v>
      </c>
      <c r="E135" s="362" t="s">
        <v>9</v>
      </c>
      <c r="F135" s="372" t="s">
        <v>228</v>
      </c>
      <c r="G135" s="374" t="s">
        <v>227</v>
      </c>
      <c r="H135" s="399">
        <v>44439</v>
      </c>
      <c r="I135" s="341" t="s">
        <v>281</v>
      </c>
      <c r="J135" s="361">
        <v>599</v>
      </c>
      <c r="K135" s="371">
        <v>0.5</v>
      </c>
      <c r="L135" s="346">
        <v>299.5</v>
      </c>
      <c r="M135" s="194">
        <f t="shared" si="10"/>
        <v>29.950000000000003</v>
      </c>
      <c r="N135" s="274">
        <f t="shared" si="7"/>
        <v>269.55</v>
      </c>
      <c r="O135" s="194"/>
      <c r="P135" s="393" t="e">
        <f>VLOOKUP(G:G,list!B:D,2,FALSE)</f>
        <v>#N/A</v>
      </c>
    </row>
    <row r="136" spans="2:16" ht="18" customHeight="1">
      <c r="B136" s="341">
        <v>133</v>
      </c>
      <c r="C136" s="341"/>
      <c r="D136" s="369" t="s">
        <v>182</v>
      </c>
      <c r="E136" s="362" t="s">
        <v>115</v>
      </c>
      <c r="F136" s="372" t="s">
        <v>228</v>
      </c>
      <c r="G136" s="374" t="s">
        <v>202</v>
      </c>
      <c r="H136" s="400">
        <v>44463</v>
      </c>
      <c r="I136" s="341" t="s">
        <v>281</v>
      </c>
      <c r="J136" s="361">
        <v>47404</v>
      </c>
      <c r="K136" s="371">
        <v>0.5</v>
      </c>
      <c r="L136" s="346">
        <v>23702</v>
      </c>
      <c r="M136" s="194">
        <v>0</v>
      </c>
      <c r="N136" s="274">
        <f t="shared" si="7"/>
        <v>23702</v>
      </c>
      <c r="O136" s="194"/>
      <c r="P136" s="393" t="e">
        <f>VLOOKUP(G:G,list!B:D,2,FALSE)</f>
        <v>#N/A</v>
      </c>
    </row>
    <row r="137" spans="2:16" ht="18" customHeight="1">
      <c r="B137" s="341">
        <v>134</v>
      </c>
      <c r="C137" s="341" t="s">
        <v>238</v>
      </c>
      <c r="D137" s="369" t="s">
        <v>182</v>
      </c>
      <c r="E137" s="369" t="s">
        <v>9</v>
      </c>
      <c r="F137" s="372" t="s">
        <v>228</v>
      </c>
      <c r="G137" s="376" t="s">
        <v>38</v>
      </c>
      <c r="H137" s="401">
        <v>44491</v>
      </c>
      <c r="I137" s="341" t="s">
        <v>281</v>
      </c>
      <c r="J137" s="361">
        <v>76500</v>
      </c>
      <c r="K137" s="371">
        <v>0.5</v>
      </c>
      <c r="L137" s="346">
        <v>38250</v>
      </c>
      <c r="M137" s="274">
        <f>L137*10%</f>
        <v>3825</v>
      </c>
      <c r="N137" s="274">
        <f t="shared" si="7"/>
        <v>34425</v>
      </c>
      <c r="O137" s="347"/>
      <c r="P137" s="393" t="e">
        <f>VLOOKUP(G:G,list!B:D,2,FALSE)</f>
        <v>#N/A</v>
      </c>
    </row>
    <row r="138" spans="2:16" ht="18" customHeight="1">
      <c r="B138" s="341">
        <v>135</v>
      </c>
      <c r="C138" s="341" t="s">
        <v>238</v>
      </c>
      <c r="D138" s="369" t="s">
        <v>182</v>
      </c>
      <c r="E138" s="369" t="s">
        <v>9</v>
      </c>
      <c r="F138" s="372" t="s">
        <v>228</v>
      </c>
      <c r="G138" s="374" t="s">
        <v>226</v>
      </c>
      <c r="H138" s="402">
        <v>44371</v>
      </c>
      <c r="I138" s="341" t="s">
        <v>281</v>
      </c>
      <c r="J138" s="361">
        <v>1810</v>
      </c>
      <c r="K138" s="371">
        <v>0.5</v>
      </c>
      <c r="L138" s="346">
        <v>905</v>
      </c>
      <c r="M138" s="274">
        <f>L138*10%</f>
        <v>90.5</v>
      </c>
      <c r="N138" s="274">
        <f t="shared" si="7"/>
        <v>814.5</v>
      </c>
      <c r="O138" s="347"/>
      <c r="P138" s="393" t="e">
        <f>VLOOKUP(G:G,list!B:D,2,FALSE)</f>
        <v>#N/A</v>
      </c>
    </row>
    <row r="139" spans="2:16" ht="18" customHeight="1">
      <c r="B139" s="341">
        <v>136</v>
      </c>
      <c r="C139" s="341" t="s">
        <v>238</v>
      </c>
      <c r="D139" s="341" t="s">
        <v>78</v>
      </c>
      <c r="E139" s="341" t="s">
        <v>115</v>
      </c>
      <c r="F139" s="341" t="s">
        <v>269</v>
      </c>
      <c r="G139" s="341" t="s">
        <v>39</v>
      </c>
      <c r="H139" s="402">
        <v>44553</v>
      </c>
      <c r="I139" s="341" t="s">
        <v>305</v>
      </c>
      <c r="J139" s="357">
        <v>3900</v>
      </c>
      <c r="K139" s="345">
        <v>0.7</v>
      </c>
      <c r="L139" s="346">
        <v>2730</v>
      </c>
      <c r="M139" s="274">
        <f>L139*10%</f>
        <v>273</v>
      </c>
      <c r="N139" s="274">
        <f>L139-M139</f>
        <v>2457</v>
      </c>
      <c r="O139" s="392" t="s">
        <v>287</v>
      </c>
      <c r="P139" s="393" t="e">
        <f>VLOOKUP(G:G,list!B:D,2,FALSE)</f>
        <v>#N/A</v>
      </c>
    </row>
    <row r="140" spans="2:16" ht="18" customHeight="1">
      <c r="B140" s="341">
        <v>137</v>
      </c>
      <c r="C140" s="381" t="s">
        <v>238</v>
      </c>
      <c r="D140" s="341" t="s">
        <v>78</v>
      </c>
      <c r="E140" s="341" t="s">
        <v>115</v>
      </c>
      <c r="F140" s="341" t="s">
        <v>269</v>
      </c>
      <c r="G140" s="341" t="s">
        <v>40</v>
      </c>
      <c r="H140" s="353">
        <v>44554</v>
      </c>
      <c r="I140" s="341" t="s">
        <v>305</v>
      </c>
      <c r="J140" s="357">
        <v>17200</v>
      </c>
      <c r="K140" s="345">
        <v>0.7</v>
      </c>
      <c r="L140" s="346">
        <v>12040</v>
      </c>
      <c r="M140" s="194">
        <f>L140*10%</f>
        <v>1204</v>
      </c>
      <c r="N140" s="274">
        <f>L140-M140</f>
        <v>10836</v>
      </c>
      <c r="O140" s="370"/>
      <c r="P140" s="393" t="e">
        <f>VLOOKUP(G:G,list!B:D,2,FALSE)</f>
        <v>#N/A</v>
      </c>
    </row>
    <row r="141" spans="2:16" ht="18" customHeight="1">
      <c r="B141" s="341">
        <v>138</v>
      </c>
      <c r="C141" s="341" t="s">
        <v>238</v>
      </c>
      <c r="D141" s="341" t="s">
        <v>78</v>
      </c>
      <c r="E141" s="341" t="s">
        <v>115</v>
      </c>
      <c r="F141" s="341" t="s">
        <v>269</v>
      </c>
      <c r="G141" s="341" t="s">
        <v>38</v>
      </c>
      <c r="H141" s="353">
        <v>44554</v>
      </c>
      <c r="I141" s="341" t="s">
        <v>305</v>
      </c>
      <c r="J141" s="357">
        <v>138300</v>
      </c>
      <c r="K141" s="345">
        <v>0.7</v>
      </c>
      <c r="L141" s="346">
        <v>96810</v>
      </c>
      <c r="M141" s="274">
        <f>L141*10%</f>
        <v>9681</v>
      </c>
      <c r="N141" s="274">
        <f>L141-M141</f>
        <v>87129</v>
      </c>
      <c r="O141" s="392" t="s">
        <v>287</v>
      </c>
      <c r="P141" s="393" t="e">
        <f>VLOOKUP(G:G,list!B:D,2,FALSE)</f>
        <v>#N/A</v>
      </c>
    </row>
    <row r="142" spans="2:16" ht="18" customHeight="1">
      <c r="B142" s="341">
        <v>139</v>
      </c>
      <c r="C142" s="381" t="s">
        <v>310</v>
      </c>
      <c r="D142" s="341" t="s">
        <v>78</v>
      </c>
      <c r="E142" s="341" t="s">
        <v>9</v>
      </c>
      <c r="F142" s="341" t="s">
        <v>131</v>
      </c>
      <c r="G142" s="341" t="s">
        <v>210</v>
      </c>
      <c r="H142" s="353">
        <v>44333</v>
      </c>
      <c r="I142" s="341" t="s">
        <v>305</v>
      </c>
      <c r="J142" s="357">
        <v>259296</v>
      </c>
      <c r="K142" s="345">
        <v>0.5</v>
      </c>
      <c r="L142" s="346">
        <v>129648</v>
      </c>
      <c r="M142" s="274">
        <v>0</v>
      </c>
      <c r="N142" s="274">
        <f t="shared" ref="N142:N150" si="11">L142-M142</f>
        <v>129648</v>
      </c>
      <c r="O142" s="191"/>
      <c r="P142" s="393" t="str">
        <f>VLOOKUP(G:G,list!B:D,2,FALSE)</f>
        <v>작가기획</v>
      </c>
    </row>
    <row r="143" spans="2:16" ht="18" customHeight="1">
      <c r="B143" s="341">
        <v>140</v>
      </c>
      <c r="C143" s="341"/>
      <c r="D143" s="369" t="s">
        <v>252</v>
      </c>
      <c r="E143" s="362" t="s">
        <v>9</v>
      </c>
      <c r="F143" s="369" t="s">
        <v>73</v>
      </c>
      <c r="G143" s="362" t="s">
        <v>179</v>
      </c>
      <c r="H143" s="363">
        <v>44198</v>
      </c>
      <c r="I143" s="341" t="s">
        <v>281</v>
      </c>
      <c r="J143" s="361">
        <v>107651431</v>
      </c>
      <c r="K143" s="368">
        <v>0.224</v>
      </c>
      <c r="L143" s="346">
        <v>21702538</v>
      </c>
      <c r="M143" s="194">
        <f>L143*10%</f>
        <v>2170253.8000000003</v>
      </c>
      <c r="N143" s="274">
        <f t="shared" si="11"/>
        <v>19532284.199999999</v>
      </c>
      <c r="O143" s="195" t="s">
        <v>85</v>
      </c>
      <c r="P143" s="393" t="e">
        <f>VLOOKUP(G:G,list!B:D,2,FALSE)</f>
        <v>#N/A</v>
      </c>
    </row>
    <row r="144" spans="2:16" ht="18" customHeight="1">
      <c r="B144" s="341">
        <v>141</v>
      </c>
      <c r="C144" s="341" t="s">
        <v>238</v>
      </c>
      <c r="D144" s="369" t="s">
        <v>252</v>
      </c>
      <c r="E144" s="362" t="s">
        <v>9</v>
      </c>
      <c r="F144" s="369" t="s">
        <v>73</v>
      </c>
      <c r="G144" s="362" t="s">
        <v>28</v>
      </c>
      <c r="H144" s="363">
        <v>44228</v>
      </c>
      <c r="I144" s="341" t="s">
        <v>281</v>
      </c>
      <c r="J144" s="361">
        <v>14866438</v>
      </c>
      <c r="K144" s="387">
        <v>0.224</v>
      </c>
      <c r="L144" s="346">
        <v>2997083</v>
      </c>
      <c r="M144" s="194">
        <f>L144*12%</f>
        <v>359649.95999999996</v>
      </c>
      <c r="N144" s="274">
        <f t="shared" si="11"/>
        <v>2637433.04</v>
      </c>
      <c r="O144" s="194"/>
      <c r="P144" s="393" t="e">
        <f>VLOOKUP(G:G,list!B:D,2,FALSE)</f>
        <v>#N/A</v>
      </c>
    </row>
    <row r="145" spans="2:16" ht="18" customHeight="1">
      <c r="B145" s="341">
        <v>142</v>
      </c>
      <c r="C145" s="341" t="s">
        <v>238</v>
      </c>
      <c r="D145" s="369" t="s">
        <v>252</v>
      </c>
      <c r="E145" s="362" t="s">
        <v>9</v>
      </c>
      <c r="F145" s="369" t="s">
        <v>73</v>
      </c>
      <c r="G145" s="362" t="s">
        <v>54</v>
      </c>
      <c r="H145" s="363">
        <v>44265</v>
      </c>
      <c r="I145" s="341" t="s">
        <v>281</v>
      </c>
      <c r="J145" s="361">
        <v>673701</v>
      </c>
      <c r="K145" s="368">
        <v>0.224</v>
      </c>
      <c r="L145" s="346">
        <v>135825</v>
      </c>
      <c r="M145" s="274">
        <f>L145*10%</f>
        <v>13582.5</v>
      </c>
      <c r="N145" s="274">
        <f t="shared" si="11"/>
        <v>122242.5</v>
      </c>
      <c r="O145" s="194"/>
      <c r="P145" s="393" t="e">
        <f>VLOOKUP(G:G,list!B:D,2,FALSE)</f>
        <v>#N/A</v>
      </c>
    </row>
    <row r="146" spans="2:16" ht="18" customHeight="1">
      <c r="B146" s="341">
        <v>143</v>
      </c>
      <c r="C146" s="341" t="s">
        <v>238</v>
      </c>
      <c r="D146" s="369" t="s">
        <v>252</v>
      </c>
      <c r="E146" s="362" t="s">
        <v>9</v>
      </c>
      <c r="F146" s="369" t="s">
        <v>73</v>
      </c>
      <c r="G146" s="362" t="s">
        <v>29</v>
      </c>
      <c r="H146" s="363">
        <v>44315</v>
      </c>
      <c r="I146" s="341" t="s">
        <v>281</v>
      </c>
      <c r="J146" s="361">
        <v>7405036</v>
      </c>
      <c r="K146" s="368">
        <v>0.224</v>
      </c>
      <c r="L146" s="346">
        <v>1492857</v>
      </c>
      <c r="M146" s="274">
        <f>L146*10%</f>
        <v>149285.70000000001</v>
      </c>
      <c r="N146" s="274">
        <f t="shared" si="11"/>
        <v>1343571.3</v>
      </c>
      <c r="O146" s="347"/>
      <c r="P146" s="393" t="e">
        <f>VLOOKUP(G:G,list!B:D,2,FALSE)</f>
        <v>#N/A</v>
      </c>
    </row>
    <row r="147" spans="2:16" ht="18" customHeight="1">
      <c r="B147" s="341">
        <v>144</v>
      </c>
      <c r="C147" s="341" t="s">
        <v>238</v>
      </c>
      <c r="D147" s="369" t="s">
        <v>252</v>
      </c>
      <c r="E147" s="362" t="s">
        <v>9</v>
      </c>
      <c r="F147" s="369" t="s">
        <v>73</v>
      </c>
      <c r="G147" s="362" t="s">
        <v>30</v>
      </c>
      <c r="H147" s="363">
        <v>44359</v>
      </c>
      <c r="I147" s="341" t="s">
        <v>281</v>
      </c>
      <c r="J147" s="361">
        <v>22154349</v>
      </c>
      <c r="K147" s="368">
        <v>0.224</v>
      </c>
      <c r="L147" s="346">
        <v>4466324</v>
      </c>
      <c r="M147" s="274">
        <f>L147*10%</f>
        <v>446632.4</v>
      </c>
      <c r="N147" s="274">
        <f t="shared" si="11"/>
        <v>4019691.6</v>
      </c>
      <c r="O147" s="194"/>
      <c r="P147" s="393" t="str">
        <f>VLOOKUP(G:G,list!B:D,2,FALSE)</f>
        <v>원작료</v>
      </c>
    </row>
    <row r="148" spans="2:16" ht="18" customHeight="1">
      <c r="B148" s="341">
        <v>145</v>
      </c>
      <c r="C148" s="341" t="s">
        <v>238</v>
      </c>
      <c r="D148" s="369" t="s">
        <v>252</v>
      </c>
      <c r="E148" s="362" t="s">
        <v>9</v>
      </c>
      <c r="F148" s="369" t="s">
        <v>73</v>
      </c>
      <c r="G148" s="362" t="s">
        <v>212</v>
      </c>
      <c r="H148" s="363">
        <v>44378</v>
      </c>
      <c r="I148" s="341" t="s">
        <v>281</v>
      </c>
      <c r="J148" s="361">
        <v>54100832</v>
      </c>
      <c r="K148" s="368">
        <v>0.24</v>
      </c>
      <c r="L148" s="346">
        <v>11685781</v>
      </c>
      <c r="M148" s="194">
        <f>L148*10%</f>
        <v>1168578.1000000001</v>
      </c>
      <c r="N148" s="274">
        <f t="shared" si="11"/>
        <v>10517202.9</v>
      </c>
      <c r="O148" s="194"/>
      <c r="P148" s="393" t="e">
        <f>VLOOKUP(G:G,list!B:D,2,FALSE)</f>
        <v>#N/A</v>
      </c>
    </row>
    <row r="149" spans="2:16" ht="18" customHeight="1">
      <c r="B149" s="341">
        <v>146</v>
      </c>
      <c r="C149" s="341"/>
      <c r="D149" s="369" t="s">
        <v>252</v>
      </c>
      <c r="E149" s="362" t="s">
        <v>9</v>
      </c>
      <c r="F149" s="369" t="s">
        <v>73</v>
      </c>
      <c r="G149" s="362" t="s">
        <v>147</v>
      </c>
      <c r="H149" s="363">
        <v>44435</v>
      </c>
      <c r="I149" s="341" t="s">
        <v>281</v>
      </c>
      <c r="J149" s="361">
        <v>5893635</v>
      </c>
      <c r="K149" s="368">
        <v>0.224</v>
      </c>
      <c r="L149" s="346">
        <v>1188161</v>
      </c>
      <c r="M149" s="194">
        <v>0</v>
      </c>
      <c r="N149" s="274">
        <f t="shared" si="11"/>
        <v>1188161</v>
      </c>
      <c r="O149" s="194"/>
      <c r="P149" s="393" t="e">
        <f>VLOOKUP(G:G,list!B:D,2,FALSE)</f>
        <v>#N/A</v>
      </c>
    </row>
    <row r="150" spans="2:16" ht="18" customHeight="1">
      <c r="B150" s="341">
        <v>147</v>
      </c>
      <c r="C150" s="341" t="s">
        <v>238</v>
      </c>
      <c r="D150" s="369" t="s">
        <v>252</v>
      </c>
      <c r="E150" s="362" t="s">
        <v>9</v>
      </c>
      <c r="F150" s="369" t="s">
        <v>73</v>
      </c>
      <c r="G150" s="362" t="s">
        <v>225</v>
      </c>
      <c r="H150" s="363">
        <v>44479</v>
      </c>
      <c r="I150" s="341" t="s">
        <v>281</v>
      </c>
      <c r="J150" s="361">
        <v>2247787</v>
      </c>
      <c r="K150" s="368">
        <v>0.224</v>
      </c>
      <c r="L150" s="346">
        <v>453159</v>
      </c>
      <c r="M150" s="274">
        <f>L150*10%</f>
        <v>45315.9</v>
      </c>
      <c r="N150" s="274">
        <f t="shared" si="11"/>
        <v>407843.1</v>
      </c>
      <c r="O150" s="194"/>
      <c r="P150" s="393" t="e">
        <f>VLOOKUP(G:G,list!B:D,2,FALSE)</f>
        <v>#N/A</v>
      </c>
    </row>
    <row r="151" spans="2:16" ht="18" customHeight="1">
      <c r="B151" s="341">
        <v>148</v>
      </c>
      <c r="C151" s="341" t="s">
        <v>238</v>
      </c>
      <c r="D151" s="369" t="s">
        <v>79</v>
      </c>
      <c r="E151" s="403" t="s">
        <v>9</v>
      </c>
      <c r="F151" s="369" t="s">
        <v>235</v>
      </c>
      <c r="G151" s="341" t="s">
        <v>29</v>
      </c>
      <c r="H151" s="404">
        <v>44223</v>
      </c>
      <c r="I151" s="405">
        <v>44470</v>
      </c>
      <c r="J151" s="361">
        <v>1208560</v>
      </c>
      <c r="K151" s="394">
        <v>0.6</v>
      </c>
      <c r="L151" s="346">
        <v>615741</v>
      </c>
      <c r="M151" s="274">
        <f>L151*10%</f>
        <v>61574.100000000006</v>
      </c>
      <c r="N151" s="395">
        <f t="shared" ref="N151:N168" si="12">L151-M151</f>
        <v>554166.9</v>
      </c>
      <c r="O151" s="194"/>
      <c r="P151" s="393" t="e">
        <f>VLOOKUP(G:G,list!B:D,2,FALSE)</f>
        <v>#N/A</v>
      </c>
    </row>
    <row r="152" spans="2:16" ht="18" customHeight="1">
      <c r="B152" s="341">
        <v>149</v>
      </c>
      <c r="C152" s="341" t="s">
        <v>238</v>
      </c>
      <c r="D152" s="369" t="s">
        <v>79</v>
      </c>
      <c r="E152" s="403" t="s">
        <v>9</v>
      </c>
      <c r="F152" s="369" t="s">
        <v>235</v>
      </c>
      <c r="G152" s="341" t="s">
        <v>28</v>
      </c>
      <c r="H152" s="404">
        <v>44253</v>
      </c>
      <c r="I152" s="405">
        <v>44470</v>
      </c>
      <c r="J152" s="361">
        <v>3037683</v>
      </c>
      <c r="K152" s="394">
        <v>0.6</v>
      </c>
      <c r="L152" s="346">
        <v>1547990</v>
      </c>
      <c r="M152" s="194">
        <f>ROUND(L152*12%,0)</f>
        <v>185759</v>
      </c>
      <c r="N152" s="395">
        <f t="shared" si="12"/>
        <v>1362231</v>
      </c>
      <c r="O152" s="194"/>
      <c r="P152" s="393" t="e">
        <f>VLOOKUP(G:G,list!B:D,2,FALSE)</f>
        <v>#N/A</v>
      </c>
    </row>
    <row r="153" spans="2:16" ht="18" customHeight="1">
      <c r="B153" s="341">
        <v>150</v>
      </c>
      <c r="C153" s="341" t="s">
        <v>238</v>
      </c>
      <c r="D153" s="369" t="s">
        <v>79</v>
      </c>
      <c r="E153" s="403" t="s">
        <v>9</v>
      </c>
      <c r="F153" s="369" t="s">
        <v>235</v>
      </c>
      <c r="G153" s="341" t="s">
        <v>54</v>
      </c>
      <c r="H153" s="404">
        <v>44247</v>
      </c>
      <c r="I153" s="405">
        <v>44470</v>
      </c>
      <c r="J153" s="361">
        <v>127277</v>
      </c>
      <c r="K153" s="394">
        <v>0.5</v>
      </c>
      <c r="L153" s="346">
        <v>53600</v>
      </c>
      <c r="M153" s="274">
        <f>L153*10%</f>
        <v>5360</v>
      </c>
      <c r="N153" s="395">
        <f t="shared" si="12"/>
        <v>48240</v>
      </c>
      <c r="O153" s="194"/>
      <c r="P153" s="393" t="e">
        <f>VLOOKUP(G:G,list!B:D,2,FALSE)</f>
        <v>#N/A</v>
      </c>
    </row>
    <row r="154" spans="2:16" ht="18" customHeight="1">
      <c r="B154" s="341">
        <v>151</v>
      </c>
      <c r="C154" s="341" t="s">
        <v>238</v>
      </c>
      <c r="D154" s="369" t="s">
        <v>79</v>
      </c>
      <c r="E154" s="403" t="s">
        <v>9</v>
      </c>
      <c r="F154" s="369" t="s">
        <v>235</v>
      </c>
      <c r="G154" s="341" t="s">
        <v>30</v>
      </c>
      <c r="H154" s="404">
        <v>44281</v>
      </c>
      <c r="I154" s="405">
        <v>44470</v>
      </c>
      <c r="J154" s="361">
        <v>2001777</v>
      </c>
      <c r="K154" s="394">
        <v>0.5</v>
      </c>
      <c r="L154" s="346">
        <v>843149</v>
      </c>
      <c r="M154" s="274">
        <f>L154*10%</f>
        <v>84314.900000000009</v>
      </c>
      <c r="N154" s="395">
        <f t="shared" si="12"/>
        <v>758834.1</v>
      </c>
      <c r="O154" s="194"/>
      <c r="P154" s="393" t="str">
        <f>VLOOKUP(G:G,list!B:D,2,FALSE)</f>
        <v>원작료</v>
      </c>
    </row>
    <row r="155" spans="2:16" ht="18" customHeight="1">
      <c r="B155" s="341">
        <v>152</v>
      </c>
      <c r="C155" s="341"/>
      <c r="D155" s="369" t="s">
        <v>79</v>
      </c>
      <c r="E155" s="403" t="s">
        <v>9</v>
      </c>
      <c r="F155" s="369" t="s">
        <v>235</v>
      </c>
      <c r="G155" s="341" t="s">
        <v>36</v>
      </c>
      <c r="H155" s="404">
        <v>44293</v>
      </c>
      <c r="I155" s="405">
        <v>44470</v>
      </c>
      <c r="J155" s="361">
        <v>229106</v>
      </c>
      <c r="K155" s="394">
        <v>0.5</v>
      </c>
      <c r="L155" s="346">
        <v>96756</v>
      </c>
      <c r="M155" s="274">
        <v>0</v>
      </c>
      <c r="N155" s="395">
        <f t="shared" si="12"/>
        <v>96756</v>
      </c>
      <c r="O155" s="194"/>
      <c r="P155" s="393" t="str">
        <f>VLOOKUP(G:G,list!B:D,2,FALSE)</f>
        <v>작가기획</v>
      </c>
    </row>
    <row r="156" spans="2:16" ht="18" customHeight="1">
      <c r="B156" s="341">
        <v>153</v>
      </c>
      <c r="C156" s="341"/>
      <c r="D156" s="369" t="s">
        <v>79</v>
      </c>
      <c r="E156" s="403" t="s">
        <v>9</v>
      </c>
      <c r="F156" s="369" t="s">
        <v>235</v>
      </c>
      <c r="G156" s="341" t="s">
        <v>42</v>
      </c>
      <c r="H156" s="404">
        <v>44163</v>
      </c>
      <c r="I156" s="405">
        <v>44470</v>
      </c>
      <c r="J156" s="361">
        <v>13020748</v>
      </c>
      <c r="K156" s="394">
        <v>0.5</v>
      </c>
      <c r="L156" s="346">
        <v>5535606</v>
      </c>
      <c r="M156" s="194">
        <f>L156*10%</f>
        <v>553560.6</v>
      </c>
      <c r="N156" s="395">
        <f t="shared" si="12"/>
        <v>4982045.4000000004</v>
      </c>
      <c r="O156" s="195" t="s">
        <v>85</v>
      </c>
      <c r="P156" s="393" t="e">
        <f>VLOOKUP(G:G,list!B:D,2,FALSE)</f>
        <v>#N/A</v>
      </c>
    </row>
    <row r="157" spans="2:16" ht="18" customHeight="1">
      <c r="B157" s="341">
        <v>154</v>
      </c>
      <c r="C157" s="341" t="s">
        <v>238</v>
      </c>
      <c r="D157" s="369" t="s">
        <v>79</v>
      </c>
      <c r="E157" s="403" t="s">
        <v>9</v>
      </c>
      <c r="F157" s="369" t="s">
        <v>235</v>
      </c>
      <c r="G157" s="341" t="s">
        <v>29</v>
      </c>
      <c r="H157" s="406">
        <v>44223</v>
      </c>
      <c r="I157" s="405">
        <v>44501</v>
      </c>
      <c r="J157" s="361">
        <v>1104588</v>
      </c>
      <c r="K157" s="394">
        <v>0.6</v>
      </c>
      <c r="L157" s="346">
        <v>562784</v>
      </c>
      <c r="M157" s="274">
        <f>L157*10%</f>
        <v>56278.400000000001</v>
      </c>
      <c r="N157" s="395">
        <f t="shared" si="12"/>
        <v>506505.6</v>
      </c>
      <c r="O157" s="194"/>
      <c r="P157" s="393" t="e">
        <f>VLOOKUP(G:G,list!B:D,2,FALSE)</f>
        <v>#N/A</v>
      </c>
    </row>
    <row r="158" spans="2:16" ht="18" customHeight="1">
      <c r="B158" s="341">
        <v>155</v>
      </c>
      <c r="C158" s="341" t="s">
        <v>238</v>
      </c>
      <c r="D158" s="369" t="s">
        <v>79</v>
      </c>
      <c r="E158" s="403" t="s">
        <v>9</v>
      </c>
      <c r="F158" s="369" t="s">
        <v>235</v>
      </c>
      <c r="G158" s="341" t="s">
        <v>28</v>
      </c>
      <c r="H158" s="404">
        <v>44253</v>
      </c>
      <c r="I158" s="405">
        <v>44501</v>
      </c>
      <c r="J158" s="361">
        <v>3139922</v>
      </c>
      <c r="K158" s="394">
        <v>0.6</v>
      </c>
      <c r="L158" s="346">
        <v>1600183</v>
      </c>
      <c r="M158" s="194">
        <f>ROUND(L158*12%,0)</f>
        <v>192022</v>
      </c>
      <c r="N158" s="395">
        <f t="shared" si="12"/>
        <v>1408161</v>
      </c>
      <c r="O158" s="194"/>
      <c r="P158" s="393" t="e">
        <f>VLOOKUP(G:G,list!B:D,2,FALSE)</f>
        <v>#N/A</v>
      </c>
    </row>
    <row r="159" spans="2:16" ht="18" customHeight="1">
      <c r="B159" s="341">
        <v>156</v>
      </c>
      <c r="C159" s="341" t="s">
        <v>238</v>
      </c>
      <c r="D159" s="369" t="s">
        <v>79</v>
      </c>
      <c r="E159" s="403" t="s">
        <v>9</v>
      </c>
      <c r="F159" s="369" t="s">
        <v>235</v>
      </c>
      <c r="G159" s="341" t="s">
        <v>54</v>
      </c>
      <c r="H159" s="407">
        <v>44247</v>
      </c>
      <c r="I159" s="405">
        <v>44501</v>
      </c>
      <c r="J159" s="361">
        <v>47806</v>
      </c>
      <c r="K159" s="394">
        <v>0.5</v>
      </c>
      <c r="L159" s="346">
        <v>20132</v>
      </c>
      <c r="M159" s="274">
        <f>L159*10%</f>
        <v>2013.2</v>
      </c>
      <c r="N159" s="395">
        <f t="shared" si="12"/>
        <v>18118.8</v>
      </c>
      <c r="O159" s="194"/>
      <c r="P159" s="393" t="e">
        <f>VLOOKUP(G:G,list!B:D,2,FALSE)</f>
        <v>#N/A</v>
      </c>
    </row>
    <row r="160" spans="2:16" ht="18" customHeight="1">
      <c r="B160" s="341">
        <v>157</v>
      </c>
      <c r="C160" s="341" t="s">
        <v>238</v>
      </c>
      <c r="D160" s="369" t="s">
        <v>79</v>
      </c>
      <c r="E160" s="403" t="s">
        <v>9</v>
      </c>
      <c r="F160" s="369" t="s">
        <v>235</v>
      </c>
      <c r="G160" s="341" t="s">
        <v>30</v>
      </c>
      <c r="H160" s="404">
        <v>44281</v>
      </c>
      <c r="I160" s="405">
        <v>44501</v>
      </c>
      <c r="J160" s="361">
        <v>1786800</v>
      </c>
      <c r="K160" s="394">
        <v>0.5</v>
      </c>
      <c r="L160" s="346">
        <v>752897</v>
      </c>
      <c r="M160" s="274">
        <f>L160*10%</f>
        <v>75289.7</v>
      </c>
      <c r="N160" s="395">
        <f t="shared" si="12"/>
        <v>677607.3</v>
      </c>
      <c r="O160" s="194"/>
      <c r="P160" s="393" t="str">
        <f>VLOOKUP(G:G,list!B:D,2,FALSE)</f>
        <v>원작료</v>
      </c>
    </row>
    <row r="161" spans="2:16" ht="18" customHeight="1">
      <c r="B161" s="341">
        <v>158</v>
      </c>
      <c r="C161" s="341"/>
      <c r="D161" s="369" t="s">
        <v>79</v>
      </c>
      <c r="E161" s="403" t="s">
        <v>9</v>
      </c>
      <c r="F161" s="369" t="s">
        <v>235</v>
      </c>
      <c r="G161" s="341" t="s">
        <v>36</v>
      </c>
      <c r="H161" s="407">
        <v>44293</v>
      </c>
      <c r="I161" s="405">
        <v>44501</v>
      </c>
      <c r="J161" s="361">
        <v>90126</v>
      </c>
      <c r="K161" s="394">
        <v>0.5</v>
      </c>
      <c r="L161" s="346">
        <v>37954</v>
      </c>
      <c r="M161" s="274">
        <v>0</v>
      </c>
      <c r="N161" s="395">
        <f t="shared" si="12"/>
        <v>37954</v>
      </c>
      <c r="O161" s="194"/>
      <c r="P161" s="393" t="str">
        <f>VLOOKUP(G:G,list!B:D,2,FALSE)</f>
        <v>작가기획</v>
      </c>
    </row>
    <row r="162" spans="2:16" ht="18" customHeight="1">
      <c r="B162" s="341">
        <v>159</v>
      </c>
      <c r="C162" s="341"/>
      <c r="D162" s="369" t="s">
        <v>79</v>
      </c>
      <c r="E162" s="403" t="s">
        <v>9</v>
      </c>
      <c r="F162" s="369" t="s">
        <v>235</v>
      </c>
      <c r="G162" s="341" t="s">
        <v>42</v>
      </c>
      <c r="H162" s="407">
        <v>44163</v>
      </c>
      <c r="I162" s="405">
        <v>44501</v>
      </c>
      <c r="J162" s="361">
        <v>15623367</v>
      </c>
      <c r="K162" s="394">
        <v>0.5</v>
      </c>
      <c r="L162" s="346">
        <v>6638053</v>
      </c>
      <c r="M162" s="194">
        <f>L162*10%</f>
        <v>663805.30000000005</v>
      </c>
      <c r="N162" s="395">
        <f t="shared" si="12"/>
        <v>5974247.7000000002</v>
      </c>
      <c r="O162" s="195" t="s">
        <v>85</v>
      </c>
      <c r="P162" s="393" t="e">
        <f>VLOOKUP(G:G,list!B:D,2,FALSE)</f>
        <v>#N/A</v>
      </c>
    </row>
    <row r="163" spans="2:16" ht="18" customHeight="1">
      <c r="B163" s="341">
        <v>160</v>
      </c>
      <c r="C163" s="341" t="s">
        <v>238</v>
      </c>
      <c r="D163" s="369" t="s">
        <v>79</v>
      </c>
      <c r="E163" s="403" t="s">
        <v>9</v>
      </c>
      <c r="F163" s="369" t="s">
        <v>235</v>
      </c>
      <c r="G163" s="341" t="s">
        <v>29</v>
      </c>
      <c r="H163" s="407">
        <v>44223</v>
      </c>
      <c r="I163" s="405">
        <v>44531</v>
      </c>
      <c r="J163" s="361">
        <v>801982</v>
      </c>
      <c r="K163" s="394">
        <v>0.6</v>
      </c>
      <c r="L163" s="346">
        <v>408639</v>
      </c>
      <c r="M163" s="274">
        <f>L163*10%</f>
        <v>40863.9</v>
      </c>
      <c r="N163" s="395">
        <f t="shared" si="12"/>
        <v>367775.1</v>
      </c>
      <c r="O163" s="194"/>
      <c r="P163" s="393" t="e">
        <f>VLOOKUP(G:G,list!B:D,2,FALSE)</f>
        <v>#N/A</v>
      </c>
    </row>
    <row r="164" spans="2:16" ht="18" customHeight="1">
      <c r="B164" s="341">
        <v>161</v>
      </c>
      <c r="C164" s="341" t="s">
        <v>238</v>
      </c>
      <c r="D164" s="369" t="s">
        <v>79</v>
      </c>
      <c r="E164" s="403" t="s">
        <v>9</v>
      </c>
      <c r="F164" s="369" t="s">
        <v>235</v>
      </c>
      <c r="G164" s="341" t="s">
        <v>28</v>
      </c>
      <c r="H164" s="408">
        <v>44253</v>
      </c>
      <c r="I164" s="405">
        <v>44531</v>
      </c>
      <c r="J164" s="361">
        <v>1305754</v>
      </c>
      <c r="K164" s="394">
        <v>0.6</v>
      </c>
      <c r="L164" s="346">
        <v>665368</v>
      </c>
      <c r="M164" s="194">
        <f>ROUND(L164*12%,0)</f>
        <v>79844</v>
      </c>
      <c r="N164" s="395">
        <f t="shared" si="12"/>
        <v>585524</v>
      </c>
      <c r="O164" s="194"/>
      <c r="P164" s="393" t="e">
        <f>VLOOKUP(G:G,list!B:D,2,FALSE)</f>
        <v>#N/A</v>
      </c>
    </row>
    <row r="165" spans="2:16" ht="18" customHeight="1">
      <c r="B165" s="341">
        <v>162</v>
      </c>
      <c r="C165" s="341" t="s">
        <v>238</v>
      </c>
      <c r="D165" s="369" t="s">
        <v>79</v>
      </c>
      <c r="E165" s="403" t="s">
        <v>9</v>
      </c>
      <c r="F165" s="369" t="s">
        <v>235</v>
      </c>
      <c r="G165" s="341" t="s">
        <v>54</v>
      </c>
      <c r="H165" s="408">
        <v>44247</v>
      </c>
      <c r="I165" s="405">
        <v>44531</v>
      </c>
      <c r="J165" s="361">
        <v>43830</v>
      </c>
      <c r="K165" s="394">
        <v>0.5</v>
      </c>
      <c r="L165" s="346">
        <v>18458</v>
      </c>
      <c r="M165" s="274">
        <f>L165*10%</f>
        <v>1845.8000000000002</v>
      </c>
      <c r="N165" s="395">
        <f t="shared" si="12"/>
        <v>16612.2</v>
      </c>
      <c r="O165" s="194"/>
      <c r="P165" s="393" t="e">
        <f>VLOOKUP(G:G,list!B:D,2,FALSE)</f>
        <v>#N/A</v>
      </c>
    </row>
    <row r="166" spans="2:16" ht="18" customHeight="1">
      <c r="B166" s="341">
        <v>163</v>
      </c>
      <c r="C166" s="341" t="s">
        <v>238</v>
      </c>
      <c r="D166" s="369" t="s">
        <v>79</v>
      </c>
      <c r="E166" s="403" t="s">
        <v>9</v>
      </c>
      <c r="F166" s="369" t="s">
        <v>235</v>
      </c>
      <c r="G166" s="341" t="s">
        <v>30</v>
      </c>
      <c r="H166" s="408">
        <v>44281</v>
      </c>
      <c r="I166" s="405">
        <v>44531</v>
      </c>
      <c r="J166" s="361">
        <v>947641</v>
      </c>
      <c r="K166" s="394">
        <v>0.5</v>
      </c>
      <c r="L166" s="346">
        <v>399129</v>
      </c>
      <c r="M166" s="274">
        <f>L166*10%</f>
        <v>39912.9</v>
      </c>
      <c r="N166" s="395">
        <f t="shared" si="12"/>
        <v>359216.1</v>
      </c>
      <c r="O166" s="194"/>
      <c r="P166" s="393" t="str">
        <f>VLOOKUP(G:G,list!B:D,2,FALSE)</f>
        <v>원작료</v>
      </c>
    </row>
    <row r="167" spans="2:16" ht="18" customHeight="1">
      <c r="B167" s="341">
        <v>164</v>
      </c>
      <c r="C167" s="381"/>
      <c r="D167" s="369" t="s">
        <v>79</v>
      </c>
      <c r="E167" s="403" t="s">
        <v>9</v>
      </c>
      <c r="F167" s="369" t="s">
        <v>235</v>
      </c>
      <c r="G167" s="341" t="s">
        <v>36</v>
      </c>
      <c r="H167" s="404">
        <v>44293</v>
      </c>
      <c r="I167" s="405">
        <v>44531</v>
      </c>
      <c r="J167" s="361">
        <v>39233</v>
      </c>
      <c r="K167" s="394">
        <v>0.5</v>
      </c>
      <c r="L167" s="346">
        <v>16523</v>
      </c>
      <c r="M167" s="274">
        <v>0</v>
      </c>
      <c r="N167" s="395">
        <f t="shared" si="12"/>
        <v>16523</v>
      </c>
      <c r="O167" s="194"/>
      <c r="P167" s="393" t="str">
        <f>VLOOKUP(G:G,list!B:D,2,FALSE)</f>
        <v>작가기획</v>
      </c>
    </row>
    <row r="168" spans="2:16" ht="18" customHeight="1">
      <c r="B168" s="341">
        <v>165</v>
      </c>
      <c r="C168" s="381"/>
      <c r="D168" s="369" t="s">
        <v>79</v>
      </c>
      <c r="E168" s="403" t="s">
        <v>9</v>
      </c>
      <c r="F168" s="369" t="s">
        <v>235</v>
      </c>
      <c r="G168" s="341" t="s">
        <v>42</v>
      </c>
      <c r="H168" s="404">
        <v>44163</v>
      </c>
      <c r="I168" s="405">
        <v>44531</v>
      </c>
      <c r="J168" s="361">
        <v>19403615</v>
      </c>
      <c r="K168" s="394">
        <v>0.5</v>
      </c>
      <c r="L168" s="346">
        <v>8246581</v>
      </c>
      <c r="M168" s="194">
        <f>L168*10%</f>
        <v>824658.10000000009</v>
      </c>
      <c r="N168" s="395">
        <f t="shared" si="12"/>
        <v>7421922.9000000004</v>
      </c>
      <c r="O168" s="195" t="s">
        <v>85</v>
      </c>
      <c r="P168" s="393" t="e">
        <f>VLOOKUP(G:G,list!B:D,2,FALSE)</f>
        <v>#N/A</v>
      </c>
    </row>
    <row r="170" spans="2:16" s="7" customFormat="1">
      <c r="B170" s="380" t="s">
        <v>299</v>
      </c>
      <c r="E170" s="186"/>
      <c r="H170"/>
      <c r="I170"/>
      <c r="J170"/>
      <c r="L170" s="335"/>
      <c r="M170"/>
      <c r="N170" s="333"/>
      <c r="O170" s="18"/>
      <c r="P170" s="184"/>
    </row>
    <row r="171" spans="2:16" s="7" customFormat="1">
      <c r="B171" s="380" t="s">
        <v>302</v>
      </c>
      <c r="E171" s="186"/>
      <c r="H171"/>
      <c r="I171"/>
      <c r="J171"/>
      <c r="L171" s="335"/>
      <c r="M171"/>
      <c r="N171" s="333"/>
      <c r="O171" s="18"/>
      <c r="P171" s="184"/>
    </row>
    <row r="172" spans="2:16" s="7" customFormat="1">
      <c r="B172" s="379" t="s">
        <v>303</v>
      </c>
      <c r="E172" s="186"/>
      <c r="H172"/>
      <c r="I172"/>
      <c r="J172"/>
      <c r="L172" s="335"/>
      <c r="M172"/>
      <c r="N172" s="333"/>
      <c r="O172" s="18"/>
      <c r="P172" s="184"/>
    </row>
  </sheetData>
  <autoFilter ref="B4:P172" xr:uid="{0C69DE4E-0C42-44CB-8741-27C27FFC6E87}"/>
  <sortState xmlns:xlrd2="http://schemas.microsoft.com/office/spreadsheetml/2017/richdata2" ref="C5:P150">
    <sortCondition ref="F5:F150"/>
    <sortCondition ref="D5:D150"/>
  </sortState>
  <mergeCells count="1">
    <mergeCell ref="O2:P2"/>
  </mergeCells>
  <phoneticPr fontId="1" type="noConversion"/>
  <pageMargins left="0.7" right="0.7" top="0.75" bottom="0.75" header="0.3" footer="0.3"/>
  <pageSetup paperSize="9" orientation="portrait" r:id="rId1"/>
  <ignoredErrors>
    <ignoredError sqref="M15 M23 M29" formula="1"/>
  </ignoredError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1C58-7F75-4056-AE82-760902297FEF}">
  <dimension ref="B1:P179"/>
  <sheetViews>
    <sheetView showGridLines="0" zoomScaleNormal="100" workbookViewId="0">
      <pane xSplit="7" ySplit="4" topLeftCell="H5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7.69921875" style="7" customWidth="1"/>
    <col min="4" max="4" width="9.69921875" style="7" customWidth="1"/>
    <col min="5" max="5" width="8.59765625" style="186" customWidth="1"/>
    <col min="6" max="6" width="16.8984375" style="7" customWidth="1"/>
    <col min="7" max="7" width="28" style="7" customWidth="1"/>
    <col min="8" max="8" width="14.59765625" customWidth="1"/>
    <col min="9" max="9" width="13.59765625" customWidth="1"/>
    <col min="10" max="10" width="11.59765625" customWidth="1"/>
    <col min="11" max="11" width="11.19921875" style="7" customWidth="1"/>
    <col min="12" max="12" width="13.59765625" style="335" customWidth="1"/>
    <col min="13" max="13" width="13.59765625" customWidth="1"/>
    <col min="14" max="14" width="13.59765625" style="333" customWidth="1"/>
    <col min="15" max="15" width="37.59765625" style="18" customWidth="1"/>
    <col min="16" max="16" width="43" style="184" customWidth="1"/>
  </cols>
  <sheetData>
    <row r="1" spans="2:16" ht="16.5" customHeight="1"/>
    <row r="2" spans="2:16" ht="30" customHeight="1" thickBot="1">
      <c r="B2" s="4" t="s">
        <v>280</v>
      </c>
      <c r="C2" s="4"/>
      <c r="D2" s="4"/>
      <c r="E2" s="187"/>
      <c r="F2" s="4"/>
      <c r="J2" s="200" t="s">
        <v>88</v>
      </c>
      <c r="K2"/>
      <c r="L2" s="336" t="s">
        <v>196</v>
      </c>
      <c r="O2" s="685" t="s">
        <v>262</v>
      </c>
      <c r="P2" s="686"/>
    </row>
    <row r="3" spans="2:16" s="6" customFormat="1" ht="18.600000000000001" thickTop="1" thickBot="1">
      <c r="B3" s="8"/>
      <c r="C3" s="8"/>
      <c r="D3" s="8"/>
      <c r="E3" s="188"/>
      <c r="F3" s="8"/>
      <c r="G3" s="8"/>
      <c r="J3" s="390"/>
      <c r="K3" s="8"/>
      <c r="L3" s="337">
        <f>SUBTOTAL(109,L5:L1048576)</f>
        <v>441971369.19999999</v>
      </c>
      <c r="M3" s="340">
        <f>SUBTOTAL(109,M5:M1048576)</f>
        <v>42098375.219999984</v>
      </c>
      <c r="N3" s="309">
        <f>SUBTOTAL(109,N5:N1048576)</f>
        <v>399872993.98000008</v>
      </c>
      <c r="O3" s="19"/>
      <c r="P3" s="185"/>
    </row>
    <row r="4" spans="2:16" s="9" customFormat="1" ht="24" customHeight="1">
      <c r="B4" s="275" t="s">
        <v>7</v>
      </c>
      <c r="C4" s="276" t="s">
        <v>237</v>
      </c>
      <c r="D4" s="277" t="s">
        <v>76</v>
      </c>
      <c r="E4" s="278" t="s">
        <v>3</v>
      </c>
      <c r="F4" s="277" t="s">
        <v>0</v>
      </c>
      <c r="G4" s="279" t="s">
        <v>4</v>
      </c>
      <c r="H4" s="278" t="s">
        <v>5</v>
      </c>
      <c r="I4" s="278" t="s">
        <v>6</v>
      </c>
      <c r="J4" s="278" t="s">
        <v>2</v>
      </c>
      <c r="K4" s="280" t="s">
        <v>1</v>
      </c>
      <c r="L4" s="338" t="s">
        <v>88</v>
      </c>
      <c r="M4" s="281" t="s">
        <v>232</v>
      </c>
      <c r="N4" s="334" t="s">
        <v>233</v>
      </c>
      <c r="O4" s="281" t="s">
        <v>82</v>
      </c>
      <c r="P4" s="281" t="s">
        <v>274</v>
      </c>
    </row>
    <row r="5" spans="2:16" ht="18" customHeight="1">
      <c r="B5" s="341">
        <v>1</v>
      </c>
      <c r="C5" s="341" t="s">
        <v>238</v>
      </c>
      <c r="D5" s="341" t="s">
        <v>78</v>
      </c>
      <c r="E5" s="342" t="s">
        <v>115</v>
      </c>
      <c r="F5" s="341" t="s">
        <v>268</v>
      </c>
      <c r="G5" s="342" t="s">
        <v>39</v>
      </c>
      <c r="H5" s="343">
        <v>44553</v>
      </c>
      <c r="I5" s="341" t="s">
        <v>281</v>
      </c>
      <c r="J5" s="344">
        <v>9100</v>
      </c>
      <c r="K5" s="345" t="s">
        <v>271</v>
      </c>
      <c r="L5" s="346">
        <v>5970</v>
      </c>
      <c r="M5" s="274">
        <f>L5*10%</f>
        <v>597</v>
      </c>
      <c r="N5" s="274">
        <f t="shared" ref="N5:N36" si="0">L5-M5</f>
        <v>5373</v>
      </c>
      <c r="O5" s="370"/>
      <c r="P5" s="201" t="e">
        <f>VLOOKUP(G:G,list!B:D,2,FALSE)</f>
        <v>#N/A</v>
      </c>
    </row>
    <row r="6" spans="2:16" ht="18" customHeight="1">
      <c r="B6" s="341">
        <v>2</v>
      </c>
      <c r="C6" s="341" t="s">
        <v>238</v>
      </c>
      <c r="D6" s="341" t="s">
        <v>78</v>
      </c>
      <c r="E6" s="342" t="s">
        <v>115</v>
      </c>
      <c r="F6" s="341" t="s">
        <v>268</v>
      </c>
      <c r="G6" s="342" t="s">
        <v>40</v>
      </c>
      <c r="H6" s="343">
        <v>44554</v>
      </c>
      <c r="I6" s="341" t="s">
        <v>281</v>
      </c>
      <c r="J6" s="344">
        <v>35700</v>
      </c>
      <c r="K6" s="345" t="s">
        <v>271</v>
      </c>
      <c r="L6" s="346">
        <v>24990</v>
      </c>
      <c r="M6" s="194">
        <f>L6*10%</f>
        <v>2499</v>
      </c>
      <c r="N6" s="274">
        <f t="shared" si="0"/>
        <v>22491</v>
      </c>
      <c r="O6" s="370"/>
      <c r="P6" s="201" t="e">
        <f>VLOOKUP(G:G,list!B:D,2,FALSE)</f>
        <v>#N/A</v>
      </c>
    </row>
    <row r="7" spans="2:16" ht="18" customHeight="1">
      <c r="B7" s="341">
        <v>3</v>
      </c>
      <c r="C7" s="341" t="s">
        <v>238</v>
      </c>
      <c r="D7" s="341" t="s">
        <v>78</v>
      </c>
      <c r="E7" s="342" t="s">
        <v>115</v>
      </c>
      <c r="F7" s="341" t="s">
        <v>268</v>
      </c>
      <c r="G7" s="342" t="s">
        <v>38</v>
      </c>
      <c r="H7" s="343">
        <v>44554</v>
      </c>
      <c r="I7" s="341" t="s">
        <v>281</v>
      </c>
      <c r="J7" s="344">
        <v>32300</v>
      </c>
      <c r="K7" s="345" t="s">
        <v>271</v>
      </c>
      <c r="L7" s="346">
        <v>22610</v>
      </c>
      <c r="M7" s="194">
        <f>L7*10%</f>
        <v>2261</v>
      </c>
      <c r="N7" s="274">
        <f t="shared" si="0"/>
        <v>20349</v>
      </c>
      <c r="O7" s="370" t="s">
        <v>287</v>
      </c>
      <c r="P7" s="201" t="e">
        <f>VLOOKUP(G:G,list!B:D,2,FALSE)</f>
        <v>#N/A</v>
      </c>
    </row>
    <row r="8" spans="2:16" ht="18" customHeight="1">
      <c r="B8" s="341">
        <v>4</v>
      </c>
      <c r="C8" s="341"/>
      <c r="D8" s="341" t="s">
        <v>78</v>
      </c>
      <c r="E8" s="342" t="s">
        <v>9</v>
      </c>
      <c r="F8" s="341" t="s">
        <v>242</v>
      </c>
      <c r="G8" s="342" t="s">
        <v>11</v>
      </c>
      <c r="H8" s="343">
        <v>44308</v>
      </c>
      <c r="I8" s="341" t="s">
        <v>281</v>
      </c>
      <c r="J8" s="344">
        <v>6147732</v>
      </c>
      <c r="K8" s="345">
        <v>0.6</v>
      </c>
      <c r="L8" s="346">
        <v>3688639</v>
      </c>
      <c r="M8" s="274">
        <v>0</v>
      </c>
      <c r="N8" s="274">
        <f t="shared" si="0"/>
        <v>3688639</v>
      </c>
      <c r="O8" s="347"/>
      <c r="P8" s="201" t="e">
        <f>VLOOKUP(G:G,list!B:D,2,FALSE)</f>
        <v>#N/A</v>
      </c>
    </row>
    <row r="9" spans="2:16" ht="18" customHeight="1">
      <c r="B9" s="341">
        <v>5</v>
      </c>
      <c r="C9" s="341" t="s">
        <v>238</v>
      </c>
      <c r="D9" s="341" t="s">
        <v>78</v>
      </c>
      <c r="E9" s="342" t="s">
        <v>9</v>
      </c>
      <c r="F9" s="341" t="s">
        <v>242</v>
      </c>
      <c r="G9" s="342" t="s">
        <v>10</v>
      </c>
      <c r="H9" s="343">
        <v>44309</v>
      </c>
      <c r="I9" s="341" t="s">
        <v>281</v>
      </c>
      <c r="J9" s="344">
        <v>101356855</v>
      </c>
      <c r="K9" s="345">
        <v>0.6</v>
      </c>
      <c r="L9" s="346">
        <v>60814113</v>
      </c>
      <c r="M9" s="274">
        <f>L9*10%</f>
        <v>6081411.3000000007</v>
      </c>
      <c r="N9" s="274">
        <f t="shared" si="0"/>
        <v>54732701.700000003</v>
      </c>
      <c r="O9" s="191"/>
      <c r="P9" s="201" t="e">
        <f>VLOOKUP(G:G,list!B:D,2,FALSE)</f>
        <v>#N/A</v>
      </c>
    </row>
    <row r="10" spans="2:16" ht="18" customHeight="1">
      <c r="B10" s="341">
        <v>6</v>
      </c>
      <c r="C10" s="341" t="s">
        <v>238</v>
      </c>
      <c r="D10" s="341" t="s">
        <v>78</v>
      </c>
      <c r="E10" s="342" t="s">
        <v>9</v>
      </c>
      <c r="F10" s="341" t="s">
        <v>242</v>
      </c>
      <c r="G10" s="342" t="s">
        <v>136</v>
      </c>
      <c r="H10" s="343">
        <v>44240</v>
      </c>
      <c r="I10" s="341" t="s">
        <v>281</v>
      </c>
      <c r="J10" s="348">
        <v>2628345</v>
      </c>
      <c r="K10" s="345">
        <v>0.6</v>
      </c>
      <c r="L10" s="346">
        <v>1577007</v>
      </c>
      <c r="M10" s="274">
        <f>L10*10%</f>
        <v>157700.70000000001</v>
      </c>
      <c r="N10" s="274">
        <f t="shared" si="0"/>
        <v>1419306.3</v>
      </c>
      <c r="O10" s="193"/>
      <c r="P10" s="201" t="e">
        <f>VLOOKUP(G:G,list!B:D,2,FALSE)</f>
        <v>#N/A</v>
      </c>
    </row>
    <row r="11" spans="2:16" ht="18" customHeight="1">
      <c r="B11" s="341">
        <v>7</v>
      </c>
      <c r="C11" s="341" t="s">
        <v>238</v>
      </c>
      <c r="D11" s="341" t="s">
        <v>78</v>
      </c>
      <c r="E11" s="342" t="s">
        <v>9</v>
      </c>
      <c r="F11" s="341" t="s">
        <v>242</v>
      </c>
      <c r="G11" s="342" t="s">
        <v>17</v>
      </c>
      <c r="H11" s="343">
        <v>44391</v>
      </c>
      <c r="I11" s="341" t="s">
        <v>281</v>
      </c>
      <c r="J11" s="349">
        <v>51542637</v>
      </c>
      <c r="K11" s="350">
        <v>0.6</v>
      </c>
      <c r="L11" s="346">
        <v>30925582</v>
      </c>
      <c r="M11" s="194">
        <f>L11*12%</f>
        <v>3711069.84</v>
      </c>
      <c r="N11" s="274">
        <f t="shared" si="0"/>
        <v>27214512.16</v>
      </c>
      <c r="O11" s="191"/>
      <c r="P11" s="201" t="e">
        <f>VLOOKUP(G:G,list!B:D,2,FALSE)</f>
        <v>#N/A</v>
      </c>
    </row>
    <row r="12" spans="2:16" ht="18" customHeight="1">
      <c r="B12" s="341">
        <v>8</v>
      </c>
      <c r="C12" s="341" t="s">
        <v>238</v>
      </c>
      <c r="D12" s="341" t="s">
        <v>78</v>
      </c>
      <c r="E12" s="342" t="s">
        <v>115</v>
      </c>
      <c r="F12" s="341" t="s">
        <v>242</v>
      </c>
      <c r="G12" s="342" t="s">
        <v>204</v>
      </c>
      <c r="H12" s="343">
        <v>44428</v>
      </c>
      <c r="I12" s="341" t="s">
        <v>281</v>
      </c>
      <c r="J12" s="351">
        <v>858396</v>
      </c>
      <c r="K12" s="352">
        <v>0.7</v>
      </c>
      <c r="L12" s="346">
        <v>600877</v>
      </c>
      <c r="M12" s="194">
        <f>L12*10%</f>
        <v>60087.700000000004</v>
      </c>
      <c r="N12" s="274">
        <f t="shared" si="0"/>
        <v>540789.30000000005</v>
      </c>
      <c r="O12" s="193"/>
      <c r="P12" s="201" t="e">
        <f>VLOOKUP(G:G,list!B:D,2,FALSE)</f>
        <v>#N/A</v>
      </c>
    </row>
    <row r="13" spans="2:16" ht="18" customHeight="1">
      <c r="B13" s="341">
        <v>9</v>
      </c>
      <c r="C13" s="341"/>
      <c r="D13" s="341" t="s">
        <v>78</v>
      </c>
      <c r="E13" s="342" t="s">
        <v>115</v>
      </c>
      <c r="F13" s="341" t="s">
        <v>242</v>
      </c>
      <c r="G13" s="342" t="s">
        <v>202</v>
      </c>
      <c r="H13" s="343">
        <v>44525</v>
      </c>
      <c r="I13" s="341" t="s">
        <v>281</v>
      </c>
      <c r="J13" s="348">
        <v>76768</v>
      </c>
      <c r="K13" s="345">
        <v>0.7</v>
      </c>
      <c r="L13" s="346">
        <v>53738</v>
      </c>
      <c r="M13" s="274">
        <v>0</v>
      </c>
      <c r="N13" s="274">
        <f t="shared" si="0"/>
        <v>53738</v>
      </c>
      <c r="O13" s="193"/>
      <c r="P13" s="201" t="e">
        <f>VLOOKUP(G:G,list!B:D,2,FALSE)</f>
        <v>#N/A</v>
      </c>
    </row>
    <row r="14" spans="2:16" ht="18" customHeight="1">
      <c r="B14" s="341">
        <v>10</v>
      </c>
      <c r="C14" s="341"/>
      <c r="D14" s="341" t="s">
        <v>78</v>
      </c>
      <c r="E14" s="342" t="s">
        <v>115</v>
      </c>
      <c r="F14" s="341" t="s">
        <v>245</v>
      </c>
      <c r="G14" s="342" t="s">
        <v>202</v>
      </c>
      <c r="H14" s="353">
        <v>44441</v>
      </c>
      <c r="I14" s="341" t="s">
        <v>281</v>
      </c>
      <c r="J14" s="348">
        <v>0</v>
      </c>
      <c r="K14" s="345" t="s">
        <v>203</v>
      </c>
      <c r="L14" s="346">
        <v>104200</v>
      </c>
      <c r="M14" s="274">
        <v>0</v>
      </c>
      <c r="N14" s="274">
        <f t="shared" si="0"/>
        <v>104200</v>
      </c>
      <c r="O14" s="193"/>
      <c r="P14" s="201" t="e">
        <f>VLOOKUP(G:G,list!B:D,2,FALSE)</f>
        <v>#N/A</v>
      </c>
    </row>
    <row r="15" spans="2:16" ht="18" customHeight="1">
      <c r="B15" s="341">
        <v>11</v>
      </c>
      <c r="C15" s="341"/>
      <c r="D15" s="341" t="s">
        <v>78</v>
      </c>
      <c r="E15" s="342" t="s">
        <v>9</v>
      </c>
      <c r="F15" s="341" t="s">
        <v>272</v>
      </c>
      <c r="G15" s="342" t="s">
        <v>273</v>
      </c>
      <c r="H15" s="353">
        <v>44513</v>
      </c>
      <c r="I15" s="354" t="s">
        <v>267</v>
      </c>
      <c r="J15" s="348">
        <v>162050</v>
      </c>
      <c r="K15" s="345">
        <v>0.5</v>
      </c>
      <c r="L15" s="346">
        <v>81025</v>
      </c>
      <c r="M15" s="274">
        <v>0</v>
      </c>
      <c r="N15" s="274">
        <f t="shared" si="0"/>
        <v>81025</v>
      </c>
      <c r="O15" s="355"/>
      <c r="P15" s="201" t="e">
        <f>VLOOKUP(G:G,list!B:D,2,FALSE)</f>
        <v>#N/A</v>
      </c>
    </row>
    <row r="16" spans="2:16" ht="18" customHeight="1">
      <c r="B16" s="341">
        <v>12</v>
      </c>
      <c r="C16" s="341"/>
      <c r="D16" s="341" t="s">
        <v>78</v>
      </c>
      <c r="E16" s="342" t="s">
        <v>115</v>
      </c>
      <c r="F16" s="341" t="s">
        <v>201</v>
      </c>
      <c r="G16" s="342" t="s">
        <v>202</v>
      </c>
      <c r="H16" s="343">
        <v>44300</v>
      </c>
      <c r="I16" s="341" t="s">
        <v>267</v>
      </c>
      <c r="J16" s="349">
        <v>755700</v>
      </c>
      <c r="K16" s="345">
        <v>0.7</v>
      </c>
      <c r="L16" s="346">
        <v>528990</v>
      </c>
      <c r="M16" s="274">
        <v>0</v>
      </c>
      <c r="N16" s="274">
        <f t="shared" si="0"/>
        <v>528990</v>
      </c>
      <c r="O16" s="193"/>
      <c r="P16" s="201" t="e">
        <f>VLOOKUP(G:G,list!B:D,2,FALSE)</f>
        <v>#N/A</v>
      </c>
    </row>
    <row r="17" spans="2:16" ht="18" customHeight="1">
      <c r="B17" s="341">
        <v>13</v>
      </c>
      <c r="C17" s="341" t="s">
        <v>238</v>
      </c>
      <c r="D17" s="341" t="s">
        <v>78</v>
      </c>
      <c r="E17" s="341" t="s">
        <v>198</v>
      </c>
      <c r="F17" s="341" t="s">
        <v>200</v>
      </c>
      <c r="G17" s="341" t="s">
        <v>151</v>
      </c>
      <c r="H17" s="343">
        <v>44469</v>
      </c>
      <c r="I17" s="341" t="s">
        <v>267</v>
      </c>
      <c r="J17" s="349">
        <v>10959000</v>
      </c>
      <c r="K17" s="345">
        <v>0.1</v>
      </c>
      <c r="L17" s="346">
        <v>1095900</v>
      </c>
      <c r="M17" s="274">
        <f>ROUND(L17*10%,0)</f>
        <v>109590</v>
      </c>
      <c r="N17" s="274">
        <f t="shared" si="0"/>
        <v>986310</v>
      </c>
      <c r="O17" s="193"/>
      <c r="P17" s="201" t="str">
        <f>VLOOKUP(G:G,list!B:D,2,FALSE)</f>
        <v>원작료</v>
      </c>
    </row>
    <row r="18" spans="2:16" ht="18" customHeight="1">
      <c r="B18" s="341">
        <v>14</v>
      </c>
      <c r="C18" s="341"/>
      <c r="D18" s="341" t="s">
        <v>78</v>
      </c>
      <c r="E18" s="342" t="s">
        <v>9</v>
      </c>
      <c r="F18" s="341" t="s">
        <v>246</v>
      </c>
      <c r="G18" s="342" t="s">
        <v>36</v>
      </c>
      <c r="H18" s="343">
        <v>43810</v>
      </c>
      <c r="I18" s="341" t="s">
        <v>281</v>
      </c>
      <c r="J18" s="349">
        <v>4666140</v>
      </c>
      <c r="K18" s="345" t="s">
        <v>165</v>
      </c>
      <c r="L18" s="346">
        <v>1886895</v>
      </c>
      <c r="M18" s="274">
        <v>0</v>
      </c>
      <c r="N18" s="274">
        <f t="shared" si="0"/>
        <v>1886895</v>
      </c>
      <c r="O18" s="193"/>
      <c r="P18" s="201" t="str">
        <f>VLOOKUP(G:G,list!B:D,2,FALSE)</f>
        <v>작가기획</v>
      </c>
    </row>
    <row r="19" spans="2:16" ht="18" customHeight="1">
      <c r="B19" s="341">
        <v>15</v>
      </c>
      <c r="C19" s="341"/>
      <c r="D19" s="341" t="s">
        <v>78</v>
      </c>
      <c r="E19" s="342" t="s">
        <v>9</v>
      </c>
      <c r="F19" s="341" t="s">
        <v>246</v>
      </c>
      <c r="G19" s="342" t="s">
        <v>139</v>
      </c>
      <c r="H19" s="343">
        <v>43852</v>
      </c>
      <c r="I19" s="341" t="s">
        <v>281</v>
      </c>
      <c r="J19" s="349">
        <v>255960</v>
      </c>
      <c r="K19" s="345" t="s">
        <v>165</v>
      </c>
      <c r="L19" s="346">
        <v>98874</v>
      </c>
      <c r="M19" s="274">
        <v>0</v>
      </c>
      <c r="N19" s="274">
        <f t="shared" si="0"/>
        <v>98874</v>
      </c>
      <c r="O19" s="193"/>
      <c r="P19" s="201" t="str">
        <f>VLOOKUP(G:G,list!B:D,2,FALSE)</f>
        <v>작가기획</v>
      </c>
    </row>
    <row r="20" spans="2:16" ht="18" customHeight="1">
      <c r="B20" s="341">
        <v>16</v>
      </c>
      <c r="C20" s="341"/>
      <c r="D20" s="341" t="s">
        <v>78</v>
      </c>
      <c r="E20" s="342" t="s">
        <v>115</v>
      </c>
      <c r="F20" s="341" t="s">
        <v>246</v>
      </c>
      <c r="G20" s="342" t="s">
        <v>19</v>
      </c>
      <c r="H20" s="343">
        <v>44328</v>
      </c>
      <c r="I20" s="341" t="s">
        <v>281</v>
      </c>
      <c r="J20" s="349">
        <v>387900</v>
      </c>
      <c r="K20" s="345" t="s">
        <v>120</v>
      </c>
      <c r="L20" s="346">
        <v>186613.2</v>
      </c>
      <c r="M20" s="274">
        <v>0</v>
      </c>
      <c r="N20" s="274">
        <f t="shared" si="0"/>
        <v>186613.2</v>
      </c>
      <c r="O20" s="191"/>
      <c r="P20" s="201" t="e">
        <f>VLOOKUP(G:G,list!B:D,2,FALSE)</f>
        <v>#N/A</v>
      </c>
    </row>
    <row r="21" spans="2:16" ht="18" customHeight="1">
      <c r="B21" s="341">
        <v>17</v>
      </c>
      <c r="C21" s="341"/>
      <c r="D21" s="341" t="s">
        <v>78</v>
      </c>
      <c r="E21" s="342" t="s">
        <v>115</v>
      </c>
      <c r="F21" s="341" t="s">
        <v>197</v>
      </c>
      <c r="G21" s="342" t="s">
        <v>202</v>
      </c>
      <c r="H21" s="356">
        <v>44328</v>
      </c>
      <c r="I21" s="341" t="s">
        <v>281</v>
      </c>
      <c r="J21" s="357">
        <v>36900</v>
      </c>
      <c r="K21" s="345">
        <v>0.7</v>
      </c>
      <c r="L21" s="346">
        <v>25830</v>
      </c>
      <c r="M21" s="274">
        <v>0</v>
      </c>
      <c r="N21" s="274">
        <f t="shared" si="0"/>
        <v>25830</v>
      </c>
      <c r="O21" s="347"/>
      <c r="P21" s="201" t="e">
        <f>VLOOKUP(G:G,list!B:D,2,FALSE)</f>
        <v>#N/A</v>
      </c>
    </row>
    <row r="22" spans="2:16" ht="18" customHeight="1">
      <c r="B22" s="341">
        <v>18</v>
      </c>
      <c r="C22" s="341" t="s">
        <v>238</v>
      </c>
      <c r="D22" s="341" t="s">
        <v>78</v>
      </c>
      <c r="E22" s="358" t="s">
        <v>9</v>
      </c>
      <c r="F22" s="341" t="s">
        <v>209</v>
      </c>
      <c r="G22" s="358" t="s">
        <v>28</v>
      </c>
      <c r="H22" s="359">
        <v>44409</v>
      </c>
      <c r="I22" s="341" t="s">
        <v>281</v>
      </c>
      <c r="J22" s="357">
        <v>2060331</v>
      </c>
      <c r="K22" s="345">
        <v>0.55000030549787249</v>
      </c>
      <c r="L22" s="346">
        <v>1133182</v>
      </c>
      <c r="M22" s="194">
        <f>L22*12%</f>
        <v>135981.84</v>
      </c>
      <c r="N22" s="274">
        <f t="shared" si="0"/>
        <v>997200.16</v>
      </c>
      <c r="O22" s="191"/>
      <c r="P22" s="201" t="e">
        <f>VLOOKUP(G:G,list!B:D,2,FALSE)</f>
        <v>#N/A</v>
      </c>
    </row>
    <row r="23" spans="2:16" ht="18" customHeight="1">
      <c r="B23" s="341">
        <v>19</v>
      </c>
      <c r="C23" s="341"/>
      <c r="D23" s="341" t="s">
        <v>78</v>
      </c>
      <c r="E23" s="358" t="s">
        <v>9</v>
      </c>
      <c r="F23" s="341" t="s">
        <v>209</v>
      </c>
      <c r="G23" s="358" t="s">
        <v>42</v>
      </c>
      <c r="H23" s="359">
        <v>44409</v>
      </c>
      <c r="I23" s="341" t="s">
        <v>281</v>
      </c>
      <c r="J23" s="357">
        <v>10620390</v>
      </c>
      <c r="K23" s="345">
        <v>0.55000005938954677</v>
      </c>
      <c r="L23" s="346">
        <v>5841216</v>
      </c>
      <c r="M23" s="194">
        <f>L23*10%</f>
        <v>584121.59999999998</v>
      </c>
      <c r="N23" s="274">
        <f t="shared" si="0"/>
        <v>5257094.4000000004</v>
      </c>
      <c r="O23" s="195" t="s">
        <v>144</v>
      </c>
      <c r="P23" s="201" t="e">
        <f>VLOOKUP(G:G,list!B:D,2,FALSE)</f>
        <v>#N/A</v>
      </c>
    </row>
    <row r="24" spans="2:16" ht="18" customHeight="1">
      <c r="B24" s="341">
        <v>20</v>
      </c>
      <c r="C24" s="341" t="s">
        <v>238</v>
      </c>
      <c r="D24" s="341" t="s">
        <v>78</v>
      </c>
      <c r="E24" s="358" t="s">
        <v>9</v>
      </c>
      <c r="F24" s="341" t="s">
        <v>209</v>
      </c>
      <c r="G24" s="358" t="s">
        <v>54</v>
      </c>
      <c r="H24" s="359">
        <v>44409</v>
      </c>
      <c r="I24" s="341" t="s">
        <v>281</v>
      </c>
      <c r="J24" s="357">
        <v>375008</v>
      </c>
      <c r="K24" s="345">
        <v>0.55000086238120693</v>
      </c>
      <c r="L24" s="346">
        <v>206254</v>
      </c>
      <c r="M24" s="274">
        <f>L24*10%</f>
        <v>20625.400000000001</v>
      </c>
      <c r="N24" s="274">
        <f t="shared" si="0"/>
        <v>185628.6</v>
      </c>
      <c r="O24" s="191"/>
      <c r="P24" s="201" t="e">
        <f>VLOOKUP(G:G,list!B:D,2,FALSE)</f>
        <v>#N/A</v>
      </c>
    </row>
    <row r="25" spans="2:16" ht="18" customHeight="1">
      <c r="B25" s="341">
        <v>21</v>
      </c>
      <c r="C25" s="341" t="s">
        <v>238</v>
      </c>
      <c r="D25" s="341" t="s">
        <v>78</v>
      </c>
      <c r="E25" s="358" t="s">
        <v>9</v>
      </c>
      <c r="F25" s="341" t="s">
        <v>209</v>
      </c>
      <c r="G25" s="358" t="s">
        <v>46</v>
      </c>
      <c r="H25" s="359">
        <v>44409</v>
      </c>
      <c r="I25" s="341" t="s">
        <v>281</v>
      </c>
      <c r="J25" s="357">
        <v>1573395</v>
      </c>
      <c r="K25" s="345">
        <v>0.55000030235412922</v>
      </c>
      <c r="L25" s="346">
        <v>865367</v>
      </c>
      <c r="M25" s="194">
        <f>L25*10%</f>
        <v>86536.700000000012</v>
      </c>
      <c r="N25" s="274">
        <f t="shared" si="0"/>
        <v>778830.3</v>
      </c>
      <c r="O25" s="347"/>
      <c r="P25" s="201" t="e">
        <f>VLOOKUP(G:G,list!B:D,2,FALSE)</f>
        <v>#N/A</v>
      </c>
    </row>
    <row r="26" spans="2:16" ht="18" customHeight="1">
      <c r="B26" s="341">
        <v>22</v>
      </c>
      <c r="C26" s="341" t="s">
        <v>238</v>
      </c>
      <c r="D26" s="341" t="s">
        <v>78</v>
      </c>
      <c r="E26" s="358" t="s">
        <v>9</v>
      </c>
      <c r="F26" s="341" t="s">
        <v>209</v>
      </c>
      <c r="G26" s="358" t="s">
        <v>30</v>
      </c>
      <c r="H26" s="359">
        <v>44409</v>
      </c>
      <c r="I26" s="341" t="s">
        <v>281</v>
      </c>
      <c r="J26" s="357">
        <v>3737120</v>
      </c>
      <c r="K26" s="345">
        <v>0.55000024483664012</v>
      </c>
      <c r="L26" s="346">
        <v>2055418</v>
      </c>
      <c r="M26" s="274">
        <f>L26*10%</f>
        <v>205541.80000000002</v>
      </c>
      <c r="N26" s="274">
        <f t="shared" si="0"/>
        <v>1849876.2</v>
      </c>
      <c r="O26" s="191"/>
      <c r="P26" s="201" t="str">
        <f>VLOOKUP(G:G,list!B:D,2,FALSE)</f>
        <v>원작료</v>
      </c>
    </row>
    <row r="27" spans="2:16" ht="18" customHeight="1">
      <c r="B27" s="341">
        <v>23</v>
      </c>
      <c r="C27" s="341"/>
      <c r="D27" s="341" t="s">
        <v>78</v>
      </c>
      <c r="E27" s="358" t="s">
        <v>9</v>
      </c>
      <c r="F27" s="341" t="s">
        <v>209</v>
      </c>
      <c r="G27" s="358" t="s">
        <v>53</v>
      </c>
      <c r="H27" s="359">
        <v>44409</v>
      </c>
      <c r="I27" s="341" t="s">
        <v>281</v>
      </c>
      <c r="J27" s="357">
        <v>2045634</v>
      </c>
      <c r="K27" s="345">
        <v>0.55000033990713737</v>
      </c>
      <c r="L27" s="346">
        <v>1125099</v>
      </c>
      <c r="M27" s="274">
        <v>0</v>
      </c>
      <c r="N27" s="274">
        <f t="shared" si="0"/>
        <v>1125099</v>
      </c>
      <c r="O27" s="347"/>
      <c r="P27" s="201" t="e">
        <f>VLOOKUP(G:G,list!B:D,2,FALSE)</f>
        <v>#N/A</v>
      </c>
    </row>
    <row r="28" spans="2:16" ht="18" customHeight="1">
      <c r="B28" s="341">
        <v>24</v>
      </c>
      <c r="C28" s="341" t="s">
        <v>238</v>
      </c>
      <c r="D28" s="341" t="s">
        <v>78</v>
      </c>
      <c r="E28" s="358" t="s">
        <v>9</v>
      </c>
      <c r="F28" s="341" t="s">
        <v>209</v>
      </c>
      <c r="G28" s="358" t="s">
        <v>43</v>
      </c>
      <c r="H28" s="359">
        <v>44465</v>
      </c>
      <c r="I28" s="341" t="s">
        <v>281</v>
      </c>
      <c r="J28" s="357">
        <v>10092946</v>
      </c>
      <c r="K28" s="345">
        <v>0.5500000916758343</v>
      </c>
      <c r="L28" s="346">
        <v>5551121</v>
      </c>
      <c r="M28" s="194">
        <f>L28*10%</f>
        <v>555112.1</v>
      </c>
      <c r="N28" s="274">
        <f t="shared" si="0"/>
        <v>4996008.9000000004</v>
      </c>
      <c r="O28" s="191"/>
      <c r="P28" s="201" t="e">
        <f>VLOOKUP(G:G,list!B:D,2,FALSE)</f>
        <v>#N/A</v>
      </c>
    </row>
    <row r="29" spans="2:16" ht="18" customHeight="1">
      <c r="B29" s="341">
        <v>25</v>
      </c>
      <c r="C29" s="341" t="s">
        <v>238</v>
      </c>
      <c r="D29" s="341" t="s">
        <v>78</v>
      </c>
      <c r="E29" s="358" t="s">
        <v>9</v>
      </c>
      <c r="F29" s="341" t="s">
        <v>209</v>
      </c>
      <c r="G29" s="358" t="s">
        <v>225</v>
      </c>
      <c r="H29" s="359">
        <v>44484</v>
      </c>
      <c r="I29" s="341" t="s">
        <v>281</v>
      </c>
      <c r="J29" s="357">
        <v>730530</v>
      </c>
      <c r="K29" s="345">
        <v>0.55000056541116071</v>
      </c>
      <c r="L29" s="346">
        <v>401792</v>
      </c>
      <c r="M29" s="274">
        <f>L29*10%</f>
        <v>40179.200000000004</v>
      </c>
      <c r="N29" s="274">
        <f t="shared" si="0"/>
        <v>361612.79999999999</v>
      </c>
      <c r="O29" s="191"/>
      <c r="P29" s="201" t="e">
        <f>VLOOKUP(G:G,list!B:D,2,FALSE)</f>
        <v>#N/A</v>
      </c>
    </row>
    <row r="30" spans="2:16" ht="18" customHeight="1">
      <c r="B30" s="341">
        <v>26</v>
      </c>
      <c r="C30" s="341" t="s">
        <v>238</v>
      </c>
      <c r="D30" s="341" t="s">
        <v>78</v>
      </c>
      <c r="E30" s="358" t="s">
        <v>9</v>
      </c>
      <c r="F30" s="341" t="s">
        <v>209</v>
      </c>
      <c r="G30" s="358" t="s">
        <v>29</v>
      </c>
      <c r="H30" s="359">
        <v>44510</v>
      </c>
      <c r="I30" s="341" t="s">
        <v>281</v>
      </c>
      <c r="J30" s="357">
        <v>1472295</v>
      </c>
      <c r="K30" s="345">
        <v>0.55000024262484026</v>
      </c>
      <c r="L30" s="346">
        <v>809762</v>
      </c>
      <c r="M30" s="274">
        <f>L30*10%</f>
        <v>80976.200000000012</v>
      </c>
      <c r="N30" s="274">
        <f t="shared" si="0"/>
        <v>728785.8</v>
      </c>
      <c r="O30" s="191"/>
      <c r="P30" s="201" t="e">
        <f>VLOOKUP(G:G,list!B:D,2,FALSE)</f>
        <v>#N/A</v>
      </c>
    </row>
    <row r="31" spans="2:16" ht="18" customHeight="1">
      <c r="B31" s="341">
        <v>27</v>
      </c>
      <c r="C31" s="341"/>
      <c r="D31" s="341" t="s">
        <v>78</v>
      </c>
      <c r="E31" s="360" t="s">
        <v>250</v>
      </c>
      <c r="F31" s="341" t="s">
        <v>126</v>
      </c>
      <c r="G31" s="360" t="s">
        <v>53</v>
      </c>
      <c r="H31" s="356">
        <v>44224</v>
      </c>
      <c r="I31" s="341" t="s">
        <v>281</v>
      </c>
      <c r="J31" s="357">
        <v>6704915</v>
      </c>
      <c r="K31" s="345" t="s">
        <v>206</v>
      </c>
      <c r="L31" s="346">
        <v>3687705</v>
      </c>
      <c r="M31" s="194">
        <v>0</v>
      </c>
      <c r="N31" s="274">
        <f t="shared" si="0"/>
        <v>3687705</v>
      </c>
      <c r="O31" s="191"/>
      <c r="P31" s="201" t="e">
        <f>VLOOKUP(G:G,list!B:D,2,FALSE)</f>
        <v>#N/A</v>
      </c>
    </row>
    <row r="32" spans="2:16" ht="18" customHeight="1">
      <c r="B32" s="341">
        <v>28</v>
      </c>
      <c r="C32" s="341" t="s">
        <v>238</v>
      </c>
      <c r="D32" s="341" t="s">
        <v>78</v>
      </c>
      <c r="E32" s="360" t="s">
        <v>250</v>
      </c>
      <c r="F32" s="341" t="s">
        <v>126</v>
      </c>
      <c r="G32" s="360" t="s">
        <v>30</v>
      </c>
      <c r="H32" s="356">
        <v>44199</v>
      </c>
      <c r="I32" s="341" t="s">
        <v>281</v>
      </c>
      <c r="J32" s="357">
        <v>27038354</v>
      </c>
      <c r="K32" s="345" t="s">
        <v>206</v>
      </c>
      <c r="L32" s="346">
        <v>14871095</v>
      </c>
      <c r="M32" s="274">
        <f>(L32-4000000)*10%</f>
        <v>1087109.5</v>
      </c>
      <c r="N32" s="274">
        <f t="shared" si="0"/>
        <v>13783985.5</v>
      </c>
      <c r="O32" s="191" t="s">
        <v>263</v>
      </c>
      <c r="P32" s="201" t="str">
        <f>VLOOKUP(G:G,list!B:D,2,FALSE)</f>
        <v>원작료</v>
      </c>
    </row>
    <row r="33" spans="2:16" ht="18" customHeight="1">
      <c r="B33" s="341">
        <v>29</v>
      </c>
      <c r="C33" s="341" t="s">
        <v>238</v>
      </c>
      <c r="D33" s="341" t="s">
        <v>78</v>
      </c>
      <c r="E33" s="360" t="s">
        <v>250</v>
      </c>
      <c r="F33" s="341" t="s">
        <v>126</v>
      </c>
      <c r="G33" s="360" t="s">
        <v>29</v>
      </c>
      <c r="H33" s="356">
        <v>44040</v>
      </c>
      <c r="I33" s="341" t="s">
        <v>281</v>
      </c>
      <c r="J33" s="357">
        <v>4331930</v>
      </c>
      <c r="K33" s="345" t="s">
        <v>206</v>
      </c>
      <c r="L33" s="346">
        <v>2382563</v>
      </c>
      <c r="M33" s="274">
        <f>L33*10%</f>
        <v>238256.30000000002</v>
      </c>
      <c r="N33" s="274">
        <f t="shared" si="0"/>
        <v>2144306.7000000002</v>
      </c>
      <c r="O33" s="347"/>
      <c r="P33" s="201" t="e">
        <f>VLOOKUP(G:G,list!B:D,2,FALSE)</f>
        <v>#N/A</v>
      </c>
    </row>
    <row r="34" spans="2:16" ht="18" customHeight="1">
      <c r="B34" s="341">
        <v>30</v>
      </c>
      <c r="C34" s="341" t="s">
        <v>238</v>
      </c>
      <c r="D34" s="341" t="s">
        <v>78</v>
      </c>
      <c r="E34" s="360" t="s">
        <v>250</v>
      </c>
      <c r="F34" s="341" t="s">
        <v>126</v>
      </c>
      <c r="G34" s="360" t="s">
        <v>28</v>
      </c>
      <c r="H34" s="356">
        <v>43994</v>
      </c>
      <c r="I34" s="341" t="s">
        <v>281</v>
      </c>
      <c r="J34" s="357">
        <v>11865545.588399999</v>
      </c>
      <c r="K34" s="345" t="s">
        <v>206</v>
      </c>
      <c r="L34" s="346">
        <v>6526051</v>
      </c>
      <c r="M34" s="194">
        <f>(L34-3000000)*12%</f>
        <v>423126.12</v>
      </c>
      <c r="N34" s="274">
        <f t="shared" si="0"/>
        <v>6102924.8799999999</v>
      </c>
      <c r="O34" s="191" t="s">
        <v>106</v>
      </c>
      <c r="P34" s="201" t="e">
        <f>VLOOKUP(G:G,list!B:D,2,FALSE)</f>
        <v>#N/A</v>
      </c>
    </row>
    <row r="35" spans="2:16" ht="18" customHeight="1">
      <c r="B35" s="341">
        <v>31</v>
      </c>
      <c r="C35" s="341" t="s">
        <v>238</v>
      </c>
      <c r="D35" s="341" t="s">
        <v>78</v>
      </c>
      <c r="E35" s="360" t="s">
        <v>250</v>
      </c>
      <c r="F35" s="341" t="s">
        <v>126</v>
      </c>
      <c r="G35" s="360" t="s">
        <v>54</v>
      </c>
      <c r="H35" s="356">
        <v>44098</v>
      </c>
      <c r="I35" s="341" t="s">
        <v>281</v>
      </c>
      <c r="J35" s="357">
        <v>2171247</v>
      </c>
      <c r="K35" s="345" t="s">
        <v>206</v>
      </c>
      <c r="L35" s="346">
        <v>1194187</v>
      </c>
      <c r="M35" s="274">
        <f t="shared" ref="M35:M41" si="1">L35*10%</f>
        <v>119418.70000000001</v>
      </c>
      <c r="N35" s="274">
        <f t="shared" si="0"/>
        <v>1074768.3</v>
      </c>
      <c r="O35" s="191"/>
      <c r="P35" s="201" t="e">
        <f>VLOOKUP(G:G,list!B:D,2,FALSE)</f>
        <v>#N/A</v>
      </c>
    </row>
    <row r="36" spans="2:16" ht="18" customHeight="1">
      <c r="B36" s="341">
        <v>32</v>
      </c>
      <c r="C36" s="341" t="s">
        <v>238</v>
      </c>
      <c r="D36" s="341" t="s">
        <v>78</v>
      </c>
      <c r="E36" s="360" t="s">
        <v>250</v>
      </c>
      <c r="F36" s="341" t="s">
        <v>126</v>
      </c>
      <c r="G36" s="360" t="s">
        <v>55</v>
      </c>
      <c r="H36" s="356">
        <v>44320</v>
      </c>
      <c r="I36" s="341" t="s">
        <v>281</v>
      </c>
      <c r="J36" s="357">
        <v>591630</v>
      </c>
      <c r="K36" s="345" t="s">
        <v>206</v>
      </c>
      <c r="L36" s="346">
        <v>325397</v>
      </c>
      <c r="M36" s="274">
        <f t="shared" si="1"/>
        <v>32539.7</v>
      </c>
      <c r="N36" s="274">
        <f t="shared" si="0"/>
        <v>292857.3</v>
      </c>
      <c r="O36" s="191"/>
      <c r="P36" s="201" t="e">
        <f>VLOOKUP(G:G,list!B:D,2,FALSE)</f>
        <v>#N/A</v>
      </c>
    </row>
    <row r="37" spans="2:16" ht="18" customHeight="1">
      <c r="B37" s="341">
        <v>33</v>
      </c>
      <c r="C37" s="341"/>
      <c r="D37" s="341" t="s">
        <v>78</v>
      </c>
      <c r="E37" s="360" t="s">
        <v>250</v>
      </c>
      <c r="F37" s="341" t="s">
        <v>126</v>
      </c>
      <c r="G37" s="360" t="s">
        <v>42</v>
      </c>
      <c r="H37" s="356">
        <v>44074</v>
      </c>
      <c r="I37" s="341" t="s">
        <v>281</v>
      </c>
      <c r="J37" s="357">
        <v>66837920</v>
      </c>
      <c r="K37" s="345" t="s">
        <v>206</v>
      </c>
      <c r="L37" s="346">
        <v>36760856</v>
      </c>
      <c r="M37" s="194">
        <f t="shared" si="1"/>
        <v>3676085.6</v>
      </c>
      <c r="N37" s="274">
        <f t="shared" ref="N37:N56" si="2">L37-M37</f>
        <v>33084770.399999999</v>
      </c>
      <c r="O37" s="195" t="s">
        <v>144</v>
      </c>
      <c r="P37" s="201" t="e">
        <f>VLOOKUP(G:G,list!B:D,2,FALSE)</f>
        <v>#N/A</v>
      </c>
    </row>
    <row r="38" spans="2:16" ht="18" customHeight="1">
      <c r="B38" s="341">
        <v>34</v>
      </c>
      <c r="C38" s="341" t="s">
        <v>238</v>
      </c>
      <c r="D38" s="341" t="s">
        <v>78</v>
      </c>
      <c r="E38" s="360" t="s">
        <v>250</v>
      </c>
      <c r="F38" s="341" t="s">
        <v>126</v>
      </c>
      <c r="G38" s="360" t="s">
        <v>191</v>
      </c>
      <c r="H38" s="356">
        <v>44372</v>
      </c>
      <c r="I38" s="341" t="s">
        <v>281</v>
      </c>
      <c r="J38" s="357">
        <v>3087050</v>
      </c>
      <c r="K38" s="345" t="s">
        <v>207</v>
      </c>
      <c r="L38" s="346">
        <v>1852230</v>
      </c>
      <c r="M38" s="194">
        <f t="shared" si="1"/>
        <v>185223</v>
      </c>
      <c r="N38" s="274">
        <f t="shared" si="2"/>
        <v>1667007</v>
      </c>
      <c r="O38" s="191"/>
      <c r="P38" s="201" t="e">
        <f>VLOOKUP(G:G,list!B:D,2,FALSE)</f>
        <v>#N/A</v>
      </c>
    </row>
    <row r="39" spans="2:16" ht="18" customHeight="1">
      <c r="B39" s="341">
        <v>35</v>
      </c>
      <c r="C39" s="341" t="s">
        <v>238</v>
      </c>
      <c r="D39" s="341" t="s">
        <v>78</v>
      </c>
      <c r="E39" s="360" t="s">
        <v>250</v>
      </c>
      <c r="F39" s="341" t="s">
        <v>126</v>
      </c>
      <c r="G39" s="360" t="s">
        <v>57</v>
      </c>
      <c r="H39" s="356">
        <v>44331</v>
      </c>
      <c r="I39" s="341" t="s">
        <v>281</v>
      </c>
      <c r="J39" s="357">
        <v>2856710</v>
      </c>
      <c r="K39" s="345" t="s">
        <v>206</v>
      </c>
      <c r="L39" s="346">
        <v>1571192</v>
      </c>
      <c r="M39" s="274">
        <f t="shared" si="1"/>
        <v>157119.20000000001</v>
      </c>
      <c r="N39" s="274">
        <f t="shared" si="2"/>
        <v>1414072.8</v>
      </c>
      <c r="O39" s="191"/>
      <c r="P39" s="201" t="e">
        <f>VLOOKUP(G:G,list!B:D,2,FALSE)</f>
        <v>#N/A</v>
      </c>
    </row>
    <row r="40" spans="2:16" ht="18" customHeight="1">
      <c r="B40" s="341">
        <v>36</v>
      </c>
      <c r="C40" s="341" t="s">
        <v>238</v>
      </c>
      <c r="D40" s="341" t="s">
        <v>78</v>
      </c>
      <c r="E40" s="360" t="s">
        <v>250</v>
      </c>
      <c r="F40" s="341" t="s">
        <v>126</v>
      </c>
      <c r="G40" s="360" t="s">
        <v>59</v>
      </c>
      <c r="H40" s="356">
        <v>44392</v>
      </c>
      <c r="I40" s="341" t="s">
        <v>281</v>
      </c>
      <c r="J40" s="357">
        <v>19915196.590399999</v>
      </c>
      <c r="K40" s="345" t="s">
        <v>206</v>
      </c>
      <c r="L40" s="346">
        <v>10953359</v>
      </c>
      <c r="M40" s="274">
        <f t="shared" si="1"/>
        <v>1095335.9000000001</v>
      </c>
      <c r="N40" s="274">
        <f t="shared" si="2"/>
        <v>9858023.0999999996</v>
      </c>
      <c r="O40" s="191"/>
      <c r="P40" s="201" t="e">
        <f>VLOOKUP(G:G,list!B:D,2,FALSE)</f>
        <v>#N/A</v>
      </c>
    </row>
    <row r="41" spans="2:16" ht="18" customHeight="1">
      <c r="B41" s="341">
        <v>37</v>
      </c>
      <c r="C41" s="341" t="s">
        <v>238</v>
      </c>
      <c r="D41" s="341" t="s">
        <v>78</v>
      </c>
      <c r="E41" s="360" t="s">
        <v>250</v>
      </c>
      <c r="F41" s="341" t="s">
        <v>126</v>
      </c>
      <c r="G41" s="360" t="s">
        <v>173</v>
      </c>
      <c r="H41" s="356">
        <v>44457</v>
      </c>
      <c r="I41" s="341" t="s">
        <v>281</v>
      </c>
      <c r="J41" s="357">
        <v>13900734</v>
      </c>
      <c r="K41" s="345" t="s">
        <v>207</v>
      </c>
      <c r="L41" s="346">
        <v>8340440</v>
      </c>
      <c r="M41" s="194">
        <f t="shared" si="1"/>
        <v>834044</v>
      </c>
      <c r="N41" s="274">
        <f t="shared" si="2"/>
        <v>7506396</v>
      </c>
      <c r="O41" s="191"/>
      <c r="P41" s="201" t="e">
        <f>VLOOKUP(G:G,list!B:D,2,FALSE)</f>
        <v>#N/A</v>
      </c>
    </row>
    <row r="42" spans="2:16" ht="18" customHeight="1">
      <c r="B42" s="341">
        <v>38</v>
      </c>
      <c r="C42" s="341"/>
      <c r="D42" s="341" t="s">
        <v>78</v>
      </c>
      <c r="E42" s="360" t="s">
        <v>250</v>
      </c>
      <c r="F42" s="341" t="s">
        <v>126</v>
      </c>
      <c r="G42" s="360" t="s">
        <v>174</v>
      </c>
      <c r="H42" s="356">
        <v>44469</v>
      </c>
      <c r="I42" s="341" t="s">
        <v>281</v>
      </c>
      <c r="J42" s="357">
        <v>6786415</v>
      </c>
      <c r="K42" s="345" t="s">
        <v>206</v>
      </c>
      <c r="L42" s="346">
        <v>3732529</v>
      </c>
      <c r="M42" s="194">
        <v>0</v>
      </c>
      <c r="N42" s="274">
        <f t="shared" si="2"/>
        <v>3732529</v>
      </c>
      <c r="O42" s="191"/>
      <c r="P42" s="201" t="e">
        <f>VLOOKUP(G:G,list!B:D,2,FALSE)</f>
        <v>#N/A</v>
      </c>
    </row>
    <row r="43" spans="2:16" ht="18" customHeight="1">
      <c r="B43" s="341">
        <v>39</v>
      </c>
      <c r="C43" s="341"/>
      <c r="D43" s="341" t="s">
        <v>78</v>
      </c>
      <c r="E43" s="360" t="s">
        <v>249</v>
      </c>
      <c r="F43" s="341" t="s">
        <v>126</v>
      </c>
      <c r="G43" s="360" t="s">
        <v>58</v>
      </c>
      <c r="H43" s="356">
        <v>44328</v>
      </c>
      <c r="I43" s="341" t="s">
        <v>281</v>
      </c>
      <c r="J43" s="357">
        <v>279080</v>
      </c>
      <c r="K43" s="345" t="s">
        <v>207</v>
      </c>
      <c r="L43" s="346">
        <v>194798</v>
      </c>
      <c r="M43" s="194">
        <v>0</v>
      </c>
      <c r="N43" s="274">
        <f t="shared" si="2"/>
        <v>194798</v>
      </c>
      <c r="O43" s="347"/>
      <c r="P43" s="201" t="e">
        <f>VLOOKUP(G:G,list!B:D,2,FALSE)</f>
        <v>#N/A</v>
      </c>
    </row>
    <row r="44" spans="2:16" ht="18" customHeight="1">
      <c r="B44" s="341">
        <v>40</v>
      </c>
      <c r="C44" s="341" t="s">
        <v>238</v>
      </c>
      <c r="D44" s="341" t="s">
        <v>78</v>
      </c>
      <c r="E44" s="360" t="s">
        <v>249</v>
      </c>
      <c r="F44" s="341" t="s">
        <v>248</v>
      </c>
      <c r="G44" s="360" t="s">
        <v>39</v>
      </c>
      <c r="H44" s="356">
        <v>44327</v>
      </c>
      <c r="I44" s="341" t="s">
        <v>281</v>
      </c>
      <c r="J44" s="357">
        <v>1567585</v>
      </c>
      <c r="K44" s="345" t="s">
        <v>124</v>
      </c>
      <c r="L44" s="346">
        <v>1089836</v>
      </c>
      <c r="M44" s="194">
        <f t="shared" ref="M44:M53" si="3">L44*10%</f>
        <v>108983.6</v>
      </c>
      <c r="N44" s="274">
        <f t="shared" si="2"/>
        <v>980852.4</v>
      </c>
      <c r="O44" s="191"/>
      <c r="P44" s="201" t="e">
        <f>VLOOKUP(G:G,list!B:D,2,FALSE)</f>
        <v>#N/A</v>
      </c>
    </row>
    <row r="45" spans="2:16" ht="18" customHeight="1">
      <c r="B45" s="341">
        <v>41</v>
      </c>
      <c r="C45" s="341" t="s">
        <v>238</v>
      </c>
      <c r="D45" s="341" t="s">
        <v>78</v>
      </c>
      <c r="E45" s="360" t="s">
        <v>249</v>
      </c>
      <c r="F45" s="341" t="s">
        <v>248</v>
      </c>
      <c r="G45" s="360" t="s">
        <v>40</v>
      </c>
      <c r="H45" s="356">
        <v>44328</v>
      </c>
      <c r="I45" s="341" t="s">
        <v>281</v>
      </c>
      <c r="J45" s="357">
        <v>1908265</v>
      </c>
      <c r="K45" s="345" t="s">
        <v>124</v>
      </c>
      <c r="L45" s="346">
        <v>1326124</v>
      </c>
      <c r="M45" s="194">
        <f t="shared" si="3"/>
        <v>132612.4</v>
      </c>
      <c r="N45" s="274">
        <f t="shared" si="2"/>
        <v>1193511.6000000001</v>
      </c>
      <c r="O45" s="191"/>
      <c r="P45" s="201" t="e">
        <f>VLOOKUP(G:G,list!B:D,2,FALSE)</f>
        <v>#N/A</v>
      </c>
    </row>
    <row r="46" spans="2:16" ht="18" customHeight="1">
      <c r="B46" s="341">
        <v>42</v>
      </c>
      <c r="C46" s="341" t="s">
        <v>238</v>
      </c>
      <c r="D46" s="341" t="s">
        <v>78</v>
      </c>
      <c r="E46" s="360" t="s">
        <v>249</v>
      </c>
      <c r="F46" s="341" t="s">
        <v>248</v>
      </c>
      <c r="G46" s="360" t="s">
        <v>38</v>
      </c>
      <c r="H46" s="356">
        <v>44329</v>
      </c>
      <c r="I46" s="341" t="s">
        <v>281</v>
      </c>
      <c r="J46" s="357">
        <v>947900</v>
      </c>
      <c r="K46" s="345" t="s">
        <v>124</v>
      </c>
      <c r="L46" s="346">
        <v>658180</v>
      </c>
      <c r="M46" s="194">
        <f t="shared" si="3"/>
        <v>65818</v>
      </c>
      <c r="N46" s="274">
        <f t="shared" si="2"/>
        <v>592362</v>
      </c>
      <c r="O46" s="191"/>
      <c r="P46" s="201" t="e">
        <f>VLOOKUP(G:G,list!B:D,2,FALSE)</f>
        <v>#N/A</v>
      </c>
    </row>
    <row r="47" spans="2:16" ht="18" customHeight="1">
      <c r="B47" s="341">
        <v>43</v>
      </c>
      <c r="C47" s="341" t="s">
        <v>238</v>
      </c>
      <c r="D47" s="341" t="s">
        <v>78</v>
      </c>
      <c r="E47" s="360" t="s">
        <v>250</v>
      </c>
      <c r="F47" s="341" t="s">
        <v>248</v>
      </c>
      <c r="G47" s="360" t="s">
        <v>46</v>
      </c>
      <c r="H47" s="356">
        <v>44246</v>
      </c>
      <c r="I47" s="341" t="s">
        <v>281</v>
      </c>
      <c r="J47" s="357">
        <v>1612681</v>
      </c>
      <c r="K47" s="345" t="s">
        <v>206</v>
      </c>
      <c r="L47" s="346">
        <v>886975</v>
      </c>
      <c r="M47" s="194">
        <f t="shared" si="3"/>
        <v>88697.5</v>
      </c>
      <c r="N47" s="274">
        <f t="shared" si="2"/>
        <v>798277.5</v>
      </c>
      <c r="O47" s="191"/>
      <c r="P47" s="201" t="e">
        <f>VLOOKUP(G:G,list!B:D,2,FALSE)</f>
        <v>#N/A</v>
      </c>
    </row>
    <row r="48" spans="2:16" ht="18" customHeight="1">
      <c r="B48" s="341">
        <v>44</v>
      </c>
      <c r="C48" s="341" t="s">
        <v>238</v>
      </c>
      <c r="D48" s="341" t="s">
        <v>78</v>
      </c>
      <c r="E48" s="360" t="s">
        <v>250</v>
      </c>
      <c r="F48" s="341" t="s">
        <v>248</v>
      </c>
      <c r="G48" s="360" t="s">
        <v>47</v>
      </c>
      <c r="H48" s="356">
        <v>44152</v>
      </c>
      <c r="I48" s="341" t="s">
        <v>281</v>
      </c>
      <c r="J48" s="357">
        <v>763280</v>
      </c>
      <c r="K48" s="345" t="s">
        <v>206</v>
      </c>
      <c r="L48" s="346">
        <v>419804</v>
      </c>
      <c r="M48" s="194">
        <f t="shared" si="3"/>
        <v>41980.4</v>
      </c>
      <c r="N48" s="274">
        <f t="shared" si="2"/>
        <v>377823.6</v>
      </c>
      <c r="O48" s="347"/>
      <c r="P48" s="201" t="e">
        <f>VLOOKUP(G:G,list!B:D,2,FALSE)</f>
        <v>#N/A</v>
      </c>
    </row>
    <row r="49" spans="2:16" ht="18" customHeight="1">
      <c r="B49" s="341">
        <v>45</v>
      </c>
      <c r="C49" s="341" t="s">
        <v>238</v>
      </c>
      <c r="D49" s="341" t="s">
        <v>78</v>
      </c>
      <c r="E49" s="341" t="s">
        <v>9</v>
      </c>
      <c r="F49" s="341" t="s">
        <v>175</v>
      </c>
      <c r="G49" s="341" t="s">
        <v>212</v>
      </c>
      <c r="H49" s="353">
        <v>44268</v>
      </c>
      <c r="I49" s="341" t="s">
        <v>281</v>
      </c>
      <c r="J49" s="357">
        <v>42904115</v>
      </c>
      <c r="K49" s="345" t="s">
        <v>206</v>
      </c>
      <c r="L49" s="346">
        <v>23597264</v>
      </c>
      <c r="M49" s="194">
        <f t="shared" si="3"/>
        <v>2359726.4</v>
      </c>
      <c r="N49" s="274">
        <f t="shared" si="2"/>
        <v>21237537.600000001</v>
      </c>
      <c r="O49" s="191"/>
      <c r="P49" s="201" t="e">
        <f>VLOOKUP(G:G,list!B:D,2,FALSE)</f>
        <v>#N/A</v>
      </c>
    </row>
    <row r="50" spans="2:16" ht="18" customHeight="1">
      <c r="B50" s="341">
        <v>46</v>
      </c>
      <c r="C50" s="341" t="s">
        <v>238</v>
      </c>
      <c r="D50" s="341" t="s">
        <v>78</v>
      </c>
      <c r="E50" s="360" t="s">
        <v>249</v>
      </c>
      <c r="F50" s="341" t="s">
        <v>172</v>
      </c>
      <c r="G50" s="360" t="s">
        <v>40</v>
      </c>
      <c r="H50" s="356">
        <v>44379</v>
      </c>
      <c r="I50" s="341" t="s">
        <v>281</v>
      </c>
      <c r="J50" s="357">
        <v>107960</v>
      </c>
      <c r="K50" s="345">
        <v>0.6</v>
      </c>
      <c r="L50" s="346">
        <v>64776</v>
      </c>
      <c r="M50" s="194">
        <f t="shared" si="3"/>
        <v>6477.6</v>
      </c>
      <c r="N50" s="274">
        <f t="shared" si="2"/>
        <v>58298.400000000001</v>
      </c>
      <c r="O50" s="191"/>
      <c r="P50" s="201" t="e">
        <f>VLOOKUP(G:G,list!B:D,2,FALSE)</f>
        <v>#N/A</v>
      </c>
    </row>
    <row r="51" spans="2:16" ht="18" customHeight="1">
      <c r="B51" s="341">
        <v>47</v>
      </c>
      <c r="C51" s="341" t="s">
        <v>238</v>
      </c>
      <c r="D51" s="341" t="s">
        <v>78</v>
      </c>
      <c r="E51" s="360" t="s">
        <v>249</v>
      </c>
      <c r="F51" s="341" t="s">
        <v>172</v>
      </c>
      <c r="G51" s="360" t="s">
        <v>39</v>
      </c>
      <c r="H51" s="356">
        <v>44385</v>
      </c>
      <c r="I51" s="341" t="s">
        <v>281</v>
      </c>
      <c r="J51" s="357">
        <v>36540</v>
      </c>
      <c r="K51" s="345">
        <v>0.6</v>
      </c>
      <c r="L51" s="346">
        <v>21924</v>
      </c>
      <c r="M51" s="194">
        <f t="shared" si="3"/>
        <v>2192.4</v>
      </c>
      <c r="N51" s="274">
        <f t="shared" si="2"/>
        <v>19731.599999999999</v>
      </c>
      <c r="O51" s="191"/>
      <c r="P51" s="201" t="e">
        <f>VLOOKUP(G:G,list!B:D,2,FALSE)</f>
        <v>#N/A</v>
      </c>
    </row>
    <row r="52" spans="2:16" ht="18" customHeight="1">
      <c r="B52" s="341">
        <v>48</v>
      </c>
      <c r="C52" s="341" t="s">
        <v>238</v>
      </c>
      <c r="D52" s="341" t="s">
        <v>78</v>
      </c>
      <c r="E52" s="360" t="s">
        <v>249</v>
      </c>
      <c r="F52" s="341" t="s">
        <v>172</v>
      </c>
      <c r="G52" s="360" t="s">
        <v>38</v>
      </c>
      <c r="H52" s="356">
        <v>44362</v>
      </c>
      <c r="I52" s="341" t="s">
        <v>281</v>
      </c>
      <c r="J52" s="361">
        <v>391310</v>
      </c>
      <c r="K52" s="345">
        <v>0.6</v>
      </c>
      <c r="L52" s="346">
        <v>234786</v>
      </c>
      <c r="M52" s="274">
        <f t="shared" si="3"/>
        <v>23478.600000000002</v>
      </c>
      <c r="N52" s="274">
        <f t="shared" si="2"/>
        <v>211307.4</v>
      </c>
      <c r="O52" s="347"/>
      <c r="P52" s="201" t="e">
        <f>VLOOKUP(G:G,list!B:D,2,FALSE)</f>
        <v>#N/A</v>
      </c>
    </row>
    <row r="53" spans="2:16" ht="18" customHeight="1">
      <c r="B53" s="341">
        <v>49</v>
      </c>
      <c r="C53" s="341" t="s">
        <v>238</v>
      </c>
      <c r="D53" s="341" t="s">
        <v>78</v>
      </c>
      <c r="E53" s="341" t="s">
        <v>115</v>
      </c>
      <c r="F53" s="341" t="s">
        <v>269</v>
      </c>
      <c r="G53" s="341" t="s">
        <v>40</v>
      </c>
      <c r="H53" s="353">
        <v>44554</v>
      </c>
      <c r="I53" s="341" t="s">
        <v>281</v>
      </c>
      <c r="J53" s="357">
        <v>5100</v>
      </c>
      <c r="K53" s="345">
        <v>0.7</v>
      </c>
      <c r="L53" s="346">
        <v>3570</v>
      </c>
      <c r="M53" s="194">
        <f t="shared" si="3"/>
        <v>357</v>
      </c>
      <c r="N53" s="274">
        <f t="shared" si="2"/>
        <v>3213</v>
      </c>
      <c r="O53" s="370"/>
      <c r="P53" s="201" t="e">
        <f>VLOOKUP(G:G,list!B:D,2,FALSE)</f>
        <v>#N/A</v>
      </c>
    </row>
    <row r="54" spans="2:16" ht="18" customHeight="1">
      <c r="B54" s="341">
        <v>50</v>
      </c>
      <c r="C54" s="341"/>
      <c r="D54" s="341" t="s">
        <v>78</v>
      </c>
      <c r="E54" s="341" t="s">
        <v>9</v>
      </c>
      <c r="F54" s="341" t="s">
        <v>131</v>
      </c>
      <c r="G54" s="341" t="s">
        <v>210</v>
      </c>
      <c r="H54" s="353">
        <v>44333</v>
      </c>
      <c r="I54" s="341" t="s">
        <v>281</v>
      </c>
      <c r="J54" s="357">
        <v>319788</v>
      </c>
      <c r="K54" s="345">
        <v>0.5</v>
      </c>
      <c r="L54" s="346">
        <v>159894</v>
      </c>
      <c r="M54" s="274">
        <v>0</v>
      </c>
      <c r="N54" s="274">
        <f t="shared" si="2"/>
        <v>159894</v>
      </c>
      <c r="O54" s="191"/>
      <c r="P54" s="201" t="str">
        <f>VLOOKUP(G:G,list!B:D,2,FALSE)</f>
        <v>작가기획</v>
      </c>
    </row>
    <row r="55" spans="2:16" ht="18" customHeight="1">
      <c r="B55" s="341">
        <v>51</v>
      </c>
      <c r="C55" s="341" t="s">
        <v>238</v>
      </c>
      <c r="D55" s="366" t="s">
        <v>253</v>
      </c>
      <c r="E55" s="366" t="s">
        <v>9</v>
      </c>
      <c r="F55" s="341" t="s">
        <v>184</v>
      </c>
      <c r="G55" s="366" t="s">
        <v>218</v>
      </c>
      <c r="H55" s="365">
        <v>44356</v>
      </c>
      <c r="I55" s="341" t="s">
        <v>281</v>
      </c>
      <c r="J55" s="367">
        <v>6098263.333333334</v>
      </c>
      <c r="K55" s="368">
        <v>0.3</v>
      </c>
      <c r="L55" s="346">
        <v>1829479</v>
      </c>
      <c r="M55" s="194">
        <f>L55*10%</f>
        <v>182947.90000000002</v>
      </c>
      <c r="N55" s="274">
        <f t="shared" si="2"/>
        <v>1646531.1</v>
      </c>
      <c r="O55" s="364" t="s">
        <v>221</v>
      </c>
      <c r="P55" s="201" t="e">
        <f>VLOOKUP(G:G,list!B:D,2,FALSE)</f>
        <v>#N/A</v>
      </c>
    </row>
    <row r="56" spans="2:16" ht="18" customHeight="1">
      <c r="B56" s="341">
        <v>52</v>
      </c>
      <c r="C56" s="341"/>
      <c r="D56" s="341" t="s">
        <v>177</v>
      </c>
      <c r="E56" s="342" t="s">
        <v>9</v>
      </c>
      <c r="F56" s="341" t="s">
        <v>246</v>
      </c>
      <c r="G56" s="342" t="s">
        <v>36</v>
      </c>
      <c r="H56" s="343">
        <v>44505</v>
      </c>
      <c r="I56" s="341" t="s">
        <v>288</v>
      </c>
      <c r="J56" s="349">
        <v>373415</v>
      </c>
      <c r="K56" s="345">
        <v>0.4</v>
      </c>
      <c r="L56" s="346">
        <v>149366</v>
      </c>
      <c r="M56" s="274">
        <v>0</v>
      </c>
      <c r="N56" s="274">
        <f t="shared" si="2"/>
        <v>149366</v>
      </c>
      <c r="O56" s="191" t="s">
        <v>287</v>
      </c>
      <c r="P56" s="201" t="str">
        <f>VLOOKUP(G:G,list!B:D,2,FALSE)</f>
        <v>작가기획</v>
      </c>
    </row>
    <row r="57" spans="2:16" ht="18" customHeight="1">
      <c r="B57" s="341">
        <v>53</v>
      </c>
      <c r="C57" s="341"/>
      <c r="D57" s="362" t="s">
        <v>177</v>
      </c>
      <c r="E57" s="362" t="s">
        <v>9</v>
      </c>
      <c r="F57" s="369" t="s">
        <v>257</v>
      </c>
      <c r="G57" s="362" t="s">
        <v>42</v>
      </c>
      <c r="H57" s="363">
        <v>44419</v>
      </c>
      <c r="I57" s="341" t="s">
        <v>281</v>
      </c>
      <c r="J57" s="361">
        <v>7540216</v>
      </c>
      <c r="K57" s="371">
        <v>0.28000008425415068</v>
      </c>
      <c r="L57" s="346">
        <v>2111260</v>
      </c>
      <c r="M57" s="194">
        <f>L57*10%</f>
        <v>211126</v>
      </c>
      <c r="N57" s="274">
        <f t="shared" ref="N57:N89" si="4">L57-M57</f>
        <v>1900134</v>
      </c>
      <c r="O57" s="195" t="s">
        <v>85</v>
      </c>
      <c r="P57" s="201" t="e">
        <f>VLOOKUP(G:G,list!B:D,2,FALSE)</f>
        <v>#N/A</v>
      </c>
    </row>
    <row r="58" spans="2:16" ht="18" customHeight="1">
      <c r="B58" s="341">
        <v>54</v>
      </c>
      <c r="C58" s="341" t="s">
        <v>238</v>
      </c>
      <c r="D58" s="362" t="s">
        <v>177</v>
      </c>
      <c r="E58" s="362" t="s">
        <v>9</v>
      </c>
      <c r="F58" s="369" t="s">
        <v>257</v>
      </c>
      <c r="G58" s="362" t="s">
        <v>212</v>
      </c>
      <c r="H58" s="363">
        <v>44477</v>
      </c>
      <c r="I58" s="341" t="s">
        <v>281</v>
      </c>
      <c r="J58" s="361">
        <v>1511915</v>
      </c>
      <c r="K58" s="371">
        <v>0.24500002911191202</v>
      </c>
      <c r="L58" s="346">
        <v>370420</v>
      </c>
      <c r="M58" s="194">
        <f>L58*10%</f>
        <v>37042</v>
      </c>
      <c r="N58" s="274">
        <f t="shared" si="4"/>
        <v>333378</v>
      </c>
      <c r="O58" s="197"/>
      <c r="P58" s="201" t="e">
        <f>VLOOKUP(G:G,list!B:D,2,FALSE)</f>
        <v>#N/A</v>
      </c>
    </row>
    <row r="59" spans="2:16" ht="18" customHeight="1">
      <c r="B59" s="341">
        <v>55</v>
      </c>
      <c r="C59" s="341" t="s">
        <v>238</v>
      </c>
      <c r="D59" s="366" t="s">
        <v>255</v>
      </c>
      <c r="E59" s="366" t="s">
        <v>9</v>
      </c>
      <c r="F59" s="341" t="s">
        <v>184</v>
      </c>
      <c r="G59" s="366" t="s">
        <v>218</v>
      </c>
      <c r="H59" s="365">
        <v>44456</v>
      </c>
      <c r="I59" s="341" t="s">
        <v>281</v>
      </c>
      <c r="J59" s="367">
        <v>783756.66666666674</v>
      </c>
      <c r="K59" s="368">
        <v>0.3</v>
      </c>
      <c r="L59" s="346">
        <v>235127</v>
      </c>
      <c r="M59" s="194">
        <f>L59*10%</f>
        <v>23512.7</v>
      </c>
      <c r="N59" s="274">
        <f t="shared" si="4"/>
        <v>211614.3</v>
      </c>
      <c r="O59" s="364" t="s">
        <v>221</v>
      </c>
      <c r="P59" s="201" t="e">
        <f>VLOOKUP(G:G,list!B:D,2,FALSE)</f>
        <v>#N/A</v>
      </c>
    </row>
    <row r="60" spans="2:16" ht="18" customHeight="1">
      <c r="B60" s="341">
        <v>56</v>
      </c>
      <c r="C60" s="341" t="s">
        <v>238</v>
      </c>
      <c r="D60" s="369" t="s">
        <v>66</v>
      </c>
      <c r="E60" s="341" t="s">
        <v>64</v>
      </c>
      <c r="F60" s="369" t="s">
        <v>65</v>
      </c>
      <c r="G60" s="342" t="s">
        <v>152</v>
      </c>
      <c r="H60" s="343">
        <v>44235</v>
      </c>
      <c r="I60" s="341" t="s">
        <v>281</v>
      </c>
      <c r="J60" s="361">
        <v>770475</v>
      </c>
      <c r="K60" s="368">
        <v>0.4</v>
      </c>
      <c r="L60" s="346">
        <v>308190</v>
      </c>
      <c r="M60" s="194">
        <f>L60*12%</f>
        <v>36982.799999999996</v>
      </c>
      <c r="N60" s="274">
        <f t="shared" si="4"/>
        <v>271207.2</v>
      </c>
      <c r="O60" s="191"/>
      <c r="P60" s="201" t="e">
        <f>VLOOKUP(G:G,list!B:D,2,FALSE)</f>
        <v>#N/A</v>
      </c>
    </row>
    <row r="61" spans="2:16" ht="18" customHeight="1">
      <c r="B61" s="341">
        <v>57</v>
      </c>
      <c r="C61" s="341"/>
      <c r="D61" s="369" t="s">
        <v>66</v>
      </c>
      <c r="E61" s="341" t="s">
        <v>64</v>
      </c>
      <c r="F61" s="369" t="s">
        <v>65</v>
      </c>
      <c r="G61" s="342" t="s">
        <v>179</v>
      </c>
      <c r="H61" s="343">
        <v>44198</v>
      </c>
      <c r="I61" s="341" t="s">
        <v>281</v>
      </c>
      <c r="J61" s="361">
        <v>1087963</v>
      </c>
      <c r="K61" s="368">
        <v>0.4</v>
      </c>
      <c r="L61" s="346">
        <v>435185</v>
      </c>
      <c r="M61" s="194">
        <f>L61*10%</f>
        <v>43518.5</v>
      </c>
      <c r="N61" s="274">
        <f t="shared" si="4"/>
        <v>391666.5</v>
      </c>
      <c r="O61" s="195" t="s">
        <v>85</v>
      </c>
      <c r="P61" s="201" t="e">
        <f>VLOOKUP(G:G,list!B:D,2,FALSE)</f>
        <v>#N/A</v>
      </c>
    </row>
    <row r="62" spans="2:16" ht="18" customHeight="1">
      <c r="B62" s="341">
        <v>58</v>
      </c>
      <c r="C62" s="341"/>
      <c r="D62" s="369" t="s">
        <v>66</v>
      </c>
      <c r="E62" s="341" t="s">
        <v>64</v>
      </c>
      <c r="F62" s="369" t="s">
        <v>65</v>
      </c>
      <c r="G62" s="342" t="s">
        <v>147</v>
      </c>
      <c r="H62" s="343">
        <v>44288</v>
      </c>
      <c r="I62" s="341" t="s">
        <v>281</v>
      </c>
      <c r="J62" s="361">
        <v>386305</v>
      </c>
      <c r="K62" s="368">
        <v>0.4</v>
      </c>
      <c r="L62" s="346">
        <v>154522</v>
      </c>
      <c r="M62" s="194">
        <v>0</v>
      </c>
      <c r="N62" s="274">
        <f t="shared" si="4"/>
        <v>154522</v>
      </c>
      <c r="O62" s="191"/>
      <c r="P62" s="201" t="e">
        <f>VLOOKUP(G:G,list!B:D,2,FALSE)</f>
        <v>#N/A</v>
      </c>
    </row>
    <row r="63" spans="2:16" ht="18" customHeight="1">
      <c r="B63" s="341">
        <v>59</v>
      </c>
      <c r="C63" s="341"/>
      <c r="D63" s="369" t="s">
        <v>66</v>
      </c>
      <c r="E63" s="341" t="s">
        <v>64</v>
      </c>
      <c r="F63" s="369" t="s">
        <v>65</v>
      </c>
      <c r="G63" s="342" t="s">
        <v>187</v>
      </c>
      <c r="H63" s="343">
        <v>44289</v>
      </c>
      <c r="I63" s="341" t="s">
        <v>281</v>
      </c>
      <c r="J63" s="361">
        <v>1887325</v>
      </c>
      <c r="K63" s="368">
        <v>0.4</v>
      </c>
      <c r="L63" s="346">
        <v>754930</v>
      </c>
      <c r="M63" s="194">
        <v>0</v>
      </c>
      <c r="N63" s="274">
        <f t="shared" si="4"/>
        <v>754930</v>
      </c>
      <c r="O63" s="347"/>
      <c r="P63" s="201" t="e">
        <f>VLOOKUP(G:G,list!B:D,2,FALSE)</f>
        <v>#N/A</v>
      </c>
    </row>
    <row r="64" spans="2:16" ht="18" customHeight="1">
      <c r="B64" s="341">
        <v>60</v>
      </c>
      <c r="C64" s="341" t="s">
        <v>238</v>
      </c>
      <c r="D64" s="369" t="s">
        <v>66</v>
      </c>
      <c r="E64" s="341" t="s">
        <v>64</v>
      </c>
      <c r="F64" s="369" t="s">
        <v>65</v>
      </c>
      <c r="G64" s="342" t="s">
        <v>74</v>
      </c>
      <c r="H64" s="343">
        <v>44246</v>
      </c>
      <c r="I64" s="341" t="s">
        <v>281</v>
      </c>
      <c r="J64" s="361">
        <v>274785</v>
      </c>
      <c r="K64" s="368">
        <v>0.4</v>
      </c>
      <c r="L64" s="346">
        <v>109914</v>
      </c>
      <c r="M64" s="274">
        <f>L64*10%</f>
        <v>10991.400000000001</v>
      </c>
      <c r="N64" s="274">
        <f t="shared" si="4"/>
        <v>98922.6</v>
      </c>
      <c r="O64" s="191"/>
      <c r="P64" s="201" t="e">
        <f>VLOOKUP(G:G,list!B:D,2,FALSE)</f>
        <v>#N/A</v>
      </c>
    </row>
    <row r="65" spans="2:16" ht="18" customHeight="1">
      <c r="B65" s="341">
        <v>61</v>
      </c>
      <c r="C65" s="341"/>
      <c r="D65" s="369" t="s">
        <v>66</v>
      </c>
      <c r="E65" s="341" t="s">
        <v>64</v>
      </c>
      <c r="F65" s="369" t="s">
        <v>65</v>
      </c>
      <c r="G65" s="342" t="s">
        <v>188</v>
      </c>
      <c r="H65" s="343">
        <v>44415</v>
      </c>
      <c r="I65" s="341" t="s">
        <v>281</v>
      </c>
      <c r="J65" s="361">
        <v>1423130</v>
      </c>
      <c r="K65" s="368">
        <v>0.4</v>
      </c>
      <c r="L65" s="346">
        <v>569252</v>
      </c>
      <c r="M65" s="194">
        <v>0</v>
      </c>
      <c r="N65" s="274">
        <f t="shared" si="4"/>
        <v>569252</v>
      </c>
      <c r="O65" s="191"/>
      <c r="P65" s="201" t="e">
        <f>VLOOKUP(G:G,list!B:D,2,FALSE)</f>
        <v>#N/A</v>
      </c>
    </row>
    <row r="66" spans="2:16" ht="18" customHeight="1">
      <c r="B66" s="341">
        <v>62</v>
      </c>
      <c r="C66" s="341" t="s">
        <v>238</v>
      </c>
      <c r="D66" s="369" t="s">
        <v>66</v>
      </c>
      <c r="E66" s="341" t="s">
        <v>64</v>
      </c>
      <c r="F66" s="369" t="s">
        <v>65</v>
      </c>
      <c r="G66" s="342" t="s">
        <v>30</v>
      </c>
      <c r="H66" s="343">
        <v>44586</v>
      </c>
      <c r="I66" s="341" t="s">
        <v>281</v>
      </c>
      <c r="J66" s="361">
        <v>611003</v>
      </c>
      <c r="K66" s="368">
        <v>0.4</v>
      </c>
      <c r="L66" s="346">
        <v>244401</v>
      </c>
      <c r="M66" s="274">
        <f>L66*10%</f>
        <v>24440.100000000002</v>
      </c>
      <c r="N66" s="274">
        <f t="shared" si="4"/>
        <v>219960.9</v>
      </c>
      <c r="O66" s="191" t="s">
        <v>287</v>
      </c>
      <c r="P66" s="201" t="str">
        <f>VLOOKUP(G:G,list!B:D,2,FALSE)</f>
        <v>원작료</v>
      </c>
    </row>
    <row r="67" spans="2:16" ht="18" customHeight="1">
      <c r="B67" s="341">
        <v>63</v>
      </c>
      <c r="C67" s="341" t="s">
        <v>238</v>
      </c>
      <c r="D67" s="366" t="s">
        <v>215</v>
      </c>
      <c r="E67" s="366" t="s">
        <v>9</v>
      </c>
      <c r="F67" s="341" t="s">
        <v>184</v>
      </c>
      <c r="G67" s="366" t="s">
        <v>219</v>
      </c>
      <c r="H67" s="365">
        <v>44486</v>
      </c>
      <c r="I67" s="341" t="s">
        <v>267</v>
      </c>
      <c r="J67" s="361">
        <v>1055850</v>
      </c>
      <c r="K67" s="368">
        <v>0.3</v>
      </c>
      <c r="L67" s="346">
        <v>316755</v>
      </c>
      <c r="M67" s="194">
        <f>L67*12%</f>
        <v>38010.6</v>
      </c>
      <c r="N67" s="274">
        <f t="shared" si="4"/>
        <v>278744.40000000002</v>
      </c>
      <c r="O67" s="364" t="s">
        <v>283</v>
      </c>
      <c r="P67" s="201" t="e">
        <f>VLOOKUP(G:G,list!B:D,2,FALSE)</f>
        <v>#N/A</v>
      </c>
    </row>
    <row r="68" spans="2:16" ht="18" customHeight="1">
      <c r="B68" s="341">
        <v>64</v>
      </c>
      <c r="C68" s="341" t="s">
        <v>238</v>
      </c>
      <c r="D68" s="366" t="s">
        <v>215</v>
      </c>
      <c r="E68" s="366" t="s">
        <v>9</v>
      </c>
      <c r="F68" s="341" t="s">
        <v>184</v>
      </c>
      <c r="G68" s="366" t="s">
        <v>218</v>
      </c>
      <c r="H68" s="365">
        <v>44395</v>
      </c>
      <c r="I68" s="341" t="s">
        <v>281</v>
      </c>
      <c r="J68" s="361">
        <v>25341440</v>
      </c>
      <c r="K68" s="368">
        <v>0.3</v>
      </c>
      <c r="L68" s="346">
        <v>7602432</v>
      </c>
      <c r="M68" s="194">
        <f>L68*10%</f>
        <v>760243.20000000007</v>
      </c>
      <c r="N68" s="274">
        <f t="shared" si="4"/>
        <v>6842188.7999999998</v>
      </c>
      <c r="O68" s="364" t="s">
        <v>221</v>
      </c>
      <c r="P68" s="201" t="e">
        <f>VLOOKUP(G:G,list!B:D,2,FALSE)</f>
        <v>#N/A</v>
      </c>
    </row>
    <row r="69" spans="2:16" ht="18" customHeight="1">
      <c r="B69" s="341">
        <v>65</v>
      </c>
      <c r="C69" s="341" t="s">
        <v>238</v>
      </c>
      <c r="D69" s="366" t="s">
        <v>215</v>
      </c>
      <c r="E69" s="366" t="s">
        <v>9</v>
      </c>
      <c r="F69" s="341" t="s">
        <v>184</v>
      </c>
      <c r="G69" s="366" t="s">
        <v>12</v>
      </c>
      <c r="H69" s="365">
        <v>44544</v>
      </c>
      <c r="I69" s="341" t="s">
        <v>267</v>
      </c>
      <c r="J69" s="361">
        <v>593280</v>
      </c>
      <c r="K69" s="368">
        <v>0.3</v>
      </c>
      <c r="L69" s="346">
        <v>177984</v>
      </c>
      <c r="M69" s="274">
        <f>L69*10%</f>
        <v>17798.400000000001</v>
      </c>
      <c r="N69" s="274">
        <f t="shared" si="4"/>
        <v>160185.60000000001</v>
      </c>
      <c r="O69" s="364" t="s">
        <v>285</v>
      </c>
      <c r="P69" s="201" t="e">
        <f>VLOOKUP(G:G,list!B:D,2,FALSE)</f>
        <v>#N/A</v>
      </c>
    </row>
    <row r="70" spans="2:16" ht="18" customHeight="1">
      <c r="B70" s="341">
        <v>66</v>
      </c>
      <c r="C70" s="341"/>
      <c r="D70" s="366" t="s">
        <v>215</v>
      </c>
      <c r="E70" s="366" t="s">
        <v>9</v>
      </c>
      <c r="F70" s="341" t="s">
        <v>184</v>
      </c>
      <c r="G70" s="366" t="s">
        <v>135</v>
      </c>
      <c r="H70" s="365">
        <v>44420</v>
      </c>
      <c r="I70" s="341" t="s">
        <v>281</v>
      </c>
      <c r="J70" s="361">
        <v>3240880</v>
      </c>
      <c r="K70" s="368">
        <v>0.3</v>
      </c>
      <c r="L70" s="346">
        <v>972264</v>
      </c>
      <c r="M70" s="194">
        <v>0</v>
      </c>
      <c r="N70" s="274">
        <f t="shared" si="4"/>
        <v>972264</v>
      </c>
      <c r="O70" s="364" t="s">
        <v>221</v>
      </c>
      <c r="P70" s="201" t="e">
        <f>VLOOKUP(G:G,list!B:D,2,FALSE)</f>
        <v>#N/A</v>
      </c>
    </row>
    <row r="71" spans="2:16" ht="18" customHeight="1">
      <c r="B71" s="341">
        <v>67</v>
      </c>
      <c r="C71" s="341" t="s">
        <v>238</v>
      </c>
      <c r="D71" s="366" t="s">
        <v>215</v>
      </c>
      <c r="E71" s="366" t="s">
        <v>9</v>
      </c>
      <c r="F71" s="341" t="s">
        <v>184</v>
      </c>
      <c r="G71" s="366" t="s">
        <v>219</v>
      </c>
      <c r="H71" s="365">
        <v>44486</v>
      </c>
      <c r="I71" s="341" t="s">
        <v>281</v>
      </c>
      <c r="J71" s="367">
        <v>31548980</v>
      </c>
      <c r="K71" s="368">
        <v>0.3</v>
      </c>
      <c r="L71" s="346">
        <v>9464694</v>
      </c>
      <c r="M71" s="194">
        <f>L71*12%</f>
        <v>1135763.28</v>
      </c>
      <c r="N71" s="274">
        <f t="shared" si="4"/>
        <v>8328930.7199999997</v>
      </c>
      <c r="O71" s="364" t="s">
        <v>221</v>
      </c>
      <c r="P71" s="201" t="e">
        <f>VLOOKUP(G:G,list!B:D,2,FALSE)</f>
        <v>#N/A</v>
      </c>
    </row>
    <row r="72" spans="2:16" ht="18" customHeight="1">
      <c r="B72" s="341">
        <v>68</v>
      </c>
      <c r="C72" s="341" t="s">
        <v>238</v>
      </c>
      <c r="D72" s="369" t="s">
        <v>229</v>
      </c>
      <c r="E72" s="389" t="s">
        <v>9</v>
      </c>
      <c r="F72" s="369" t="s">
        <v>230</v>
      </c>
      <c r="G72" s="341" t="s">
        <v>212</v>
      </c>
      <c r="H72" s="388">
        <v>44408</v>
      </c>
      <c r="I72" s="341" t="s">
        <v>195</v>
      </c>
      <c r="J72" s="361">
        <v>20298078</v>
      </c>
      <c r="K72" s="377">
        <v>0.245</v>
      </c>
      <c r="L72" s="346">
        <v>4475726</v>
      </c>
      <c r="M72" s="194">
        <f>L72*10%</f>
        <v>447572.60000000003</v>
      </c>
      <c r="N72" s="274">
        <f t="shared" si="4"/>
        <v>4028153.4</v>
      </c>
      <c r="O72" s="194"/>
      <c r="P72" s="201" t="e">
        <f>VLOOKUP(G:G,list!B:D,2,FALSE)</f>
        <v>#N/A</v>
      </c>
    </row>
    <row r="73" spans="2:16" ht="18" customHeight="1">
      <c r="B73" s="341">
        <v>69</v>
      </c>
      <c r="C73" s="341" t="s">
        <v>238</v>
      </c>
      <c r="D73" s="369" t="s">
        <v>229</v>
      </c>
      <c r="E73" s="389" t="s">
        <v>9</v>
      </c>
      <c r="F73" s="369" t="s">
        <v>230</v>
      </c>
      <c r="G73" s="341" t="s">
        <v>212</v>
      </c>
      <c r="H73" s="388">
        <v>44408</v>
      </c>
      <c r="I73" s="341" t="s">
        <v>244</v>
      </c>
      <c r="J73" s="361">
        <v>21394405</v>
      </c>
      <c r="K73" s="377">
        <v>0.245</v>
      </c>
      <c r="L73" s="346">
        <v>4717466</v>
      </c>
      <c r="M73" s="194">
        <f>L73*10%</f>
        <v>471746.60000000003</v>
      </c>
      <c r="N73" s="274">
        <f t="shared" si="4"/>
        <v>4245719.4000000004</v>
      </c>
      <c r="O73" s="194"/>
      <c r="P73" s="201" t="e">
        <f>VLOOKUP(G:G,list!B:D,2,FALSE)</f>
        <v>#N/A</v>
      </c>
    </row>
    <row r="74" spans="2:16" ht="18" customHeight="1">
      <c r="B74" s="341">
        <v>70</v>
      </c>
      <c r="C74" s="341" t="s">
        <v>238</v>
      </c>
      <c r="D74" s="369" t="s">
        <v>229</v>
      </c>
      <c r="E74" s="389" t="s">
        <v>9</v>
      </c>
      <c r="F74" s="369" t="s">
        <v>230</v>
      </c>
      <c r="G74" s="341" t="s">
        <v>212</v>
      </c>
      <c r="H74" s="388">
        <v>44408</v>
      </c>
      <c r="I74" s="341" t="s">
        <v>296</v>
      </c>
      <c r="J74" s="361">
        <v>23714837</v>
      </c>
      <c r="K74" s="377">
        <v>0.245</v>
      </c>
      <c r="L74" s="346">
        <v>5229121</v>
      </c>
      <c r="M74" s="194">
        <f>L74*10%</f>
        <v>522912.10000000003</v>
      </c>
      <c r="N74" s="274">
        <f t="shared" si="4"/>
        <v>4706208.9000000004</v>
      </c>
      <c r="O74" s="194"/>
      <c r="P74" s="201" t="e">
        <f>VLOOKUP(G:G,list!B:D,2,FALSE)</f>
        <v>#N/A</v>
      </c>
    </row>
    <row r="75" spans="2:16" ht="18" customHeight="1">
      <c r="B75" s="341">
        <v>71</v>
      </c>
      <c r="C75" s="341"/>
      <c r="D75" s="369" t="s">
        <v>69</v>
      </c>
      <c r="E75" s="369" t="s">
        <v>68</v>
      </c>
      <c r="F75" s="372" t="s">
        <v>70</v>
      </c>
      <c r="G75" s="362" t="s">
        <v>42</v>
      </c>
      <c r="H75" s="363">
        <v>44293</v>
      </c>
      <c r="I75" s="341" t="s">
        <v>267</v>
      </c>
      <c r="J75" s="361">
        <v>97475</v>
      </c>
      <c r="K75" s="371">
        <v>0.5</v>
      </c>
      <c r="L75" s="346">
        <v>48738</v>
      </c>
      <c r="M75" s="194">
        <f>L75*10%</f>
        <v>4873.8</v>
      </c>
      <c r="N75" s="274">
        <f t="shared" si="4"/>
        <v>43864.2</v>
      </c>
      <c r="O75" s="195" t="s">
        <v>85</v>
      </c>
      <c r="P75" s="201" t="e">
        <f>VLOOKUP(G:G,list!B:D,2,FALSE)</f>
        <v>#N/A</v>
      </c>
    </row>
    <row r="76" spans="2:16" ht="18" customHeight="1">
      <c r="B76" s="341">
        <v>72</v>
      </c>
      <c r="C76" s="341" t="s">
        <v>238</v>
      </c>
      <c r="D76" s="369" t="s">
        <v>69</v>
      </c>
      <c r="E76" s="369" t="s">
        <v>68</v>
      </c>
      <c r="F76" s="372" t="s">
        <v>70</v>
      </c>
      <c r="G76" s="362" t="s">
        <v>224</v>
      </c>
      <c r="H76" s="363">
        <v>44341</v>
      </c>
      <c r="I76" s="341" t="s">
        <v>267</v>
      </c>
      <c r="J76" s="361">
        <v>66388</v>
      </c>
      <c r="K76" s="371">
        <v>0.5</v>
      </c>
      <c r="L76" s="346">
        <v>33194</v>
      </c>
      <c r="M76" s="274">
        <f>L76*10%</f>
        <v>3319.4</v>
      </c>
      <c r="N76" s="274">
        <f t="shared" si="4"/>
        <v>29874.6</v>
      </c>
      <c r="O76" s="197"/>
      <c r="P76" s="201" t="e">
        <f>VLOOKUP(G:G,list!B:D,2,FALSE)</f>
        <v>#N/A</v>
      </c>
    </row>
    <row r="77" spans="2:16" ht="18" customHeight="1">
      <c r="B77" s="341">
        <v>73</v>
      </c>
      <c r="C77" s="341" t="s">
        <v>238</v>
      </c>
      <c r="D77" s="369" t="s">
        <v>69</v>
      </c>
      <c r="E77" s="369" t="s">
        <v>68</v>
      </c>
      <c r="F77" s="372" t="s">
        <v>70</v>
      </c>
      <c r="G77" s="362" t="s">
        <v>28</v>
      </c>
      <c r="H77" s="363">
        <v>44291</v>
      </c>
      <c r="I77" s="341" t="s">
        <v>267</v>
      </c>
      <c r="J77" s="361">
        <v>132852</v>
      </c>
      <c r="K77" s="371">
        <v>0.5</v>
      </c>
      <c r="L77" s="346">
        <v>66426</v>
      </c>
      <c r="M77" s="194">
        <f>L77*12%</f>
        <v>7971.12</v>
      </c>
      <c r="N77" s="274">
        <f t="shared" si="4"/>
        <v>58454.879999999997</v>
      </c>
      <c r="O77" s="197"/>
      <c r="P77" s="201" t="e">
        <f>VLOOKUP(G:G,list!B:D,2,FALSE)</f>
        <v>#N/A</v>
      </c>
    </row>
    <row r="78" spans="2:16" ht="18" customHeight="1">
      <c r="B78" s="341">
        <v>74</v>
      </c>
      <c r="C78" s="341" t="s">
        <v>238</v>
      </c>
      <c r="D78" s="369" t="s">
        <v>69</v>
      </c>
      <c r="E78" s="369" t="s">
        <v>68</v>
      </c>
      <c r="F78" s="372" t="s">
        <v>70</v>
      </c>
      <c r="G78" s="362" t="s">
        <v>29</v>
      </c>
      <c r="H78" s="363">
        <v>44410</v>
      </c>
      <c r="I78" s="341" t="s">
        <v>267</v>
      </c>
      <c r="J78" s="361">
        <v>185090</v>
      </c>
      <c r="K78" s="371">
        <v>0.5</v>
      </c>
      <c r="L78" s="346">
        <v>92545</v>
      </c>
      <c r="M78" s="274">
        <f>L78*10%</f>
        <v>9254.5</v>
      </c>
      <c r="N78" s="274">
        <f t="shared" si="4"/>
        <v>83290.5</v>
      </c>
      <c r="O78" s="194"/>
      <c r="P78" s="201" t="e">
        <f>VLOOKUP(G:G,list!B:D,2,FALSE)</f>
        <v>#N/A</v>
      </c>
    </row>
    <row r="79" spans="2:16" ht="18" customHeight="1">
      <c r="B79" s="341">
        <v>75</v>
      </c>
      <c r="C79" s="341" t="s">
        <v>238</v>
      </c>
      <c r="D79" s="369" t="s">
        <v>69</v>
      </c>
      <c r="E79" s="369" t="s">
        <v>68</v>
      </c>
      <c r="F79" s="372" t="s">
        <v>70</v>
      </c>
      <c r="G79" s="362" t="s">
        <v>151</v>
      </c>
      <c r="H79" s="363">
        <v>44524</v>
      </c>
      <c r="I79" s="341" t="s">
        <v>267</v>
      </c>
      <c r="J79" s="361">
        <v>115916</v>
      </c>
      <c r="K79" s="371">
        <v>0.5</v>
      </c>
      <c r="L79" s="346">
        <v>57958</v>
      </c>
      <c r="M79" s="274">
        <f>L79*10%</f>
        <v>5795.8</v>
      </c>
      <c r="N79" s="274">
        <f t="shared" si="4"/>
        <v>52162.2</v>
      </c>
      <c r="O79" s="370"/>
      <c r="P79" s="201" t="str">
        <f>VLOOKUP(G:G,list!B:D,2,FALSE)</f>
        <v>원작료</v>
      </c>
    </row>
    <row r="80" spans="2:16" ht="18" customHeight="1">
      <c r="B80" s="341">
        <v>76</v>
      </c>
      <c r="C80" s="341"/>
      <c r="D80" s="369" t="s">
        <v>69</v>
      </c>
      <c r="E80" s="369" t="s">
        <v>68</v>
      </c>
      <c r="F80" s="372" t="s">
        <v>70</v>
      </c>
      <c r="G80" s="362" t="s">
        <v>42</v>
      </c>
      <c r="H80" s="363">
        <v>44293</v>
      </c>
      <c r="I80" s="341" t="s">
        <v>244</v>
      </c>
      <c r="J80" s="361">
        <v>55526</v>
      </c>
      <c r="K80" s="371">
        <v>0.5</v>
      </c>
      <c r="L80" s="346">
        <v>27763</v>
      </c>
      <c r="M80" s="194">
        <f>L80*10%</f>
        <v>2776.3</v>
      </c>
      <c r="N80" s="274">
        <f t="shared" si="4"/>
        <v>24986.7</v>
      </c>
      <c r="O80" s="195" t="s">
        <v>85</v>
      </c>
      <c r="P80" s="201" t="e">
        <f>VLOOKUP(G:G,list!B:D,2,FALSE)</f>
        <v>#N/A</v>
      </c>
    </row>
    <row r="81" spans="2:16" ht="18" customHeight="1">
      <c r="B81" s="341">
        <v>77</v>
      </c>
      <c r="C81" s="341" t="s">
        <v>238</v>
      </c>
      <c r="D81" s="369" t="s">
        <v>69</v>
      </c>
      <c r="E81" s="369" t="s">
        <v>68</v>
      </c>
      <c r="F81" s="372" t="s">
        <v>70</v>
      </c>
      <c r="G81" s="362" t="s">
        <v>224</v>
      </c>
      <c r="H81" s="363">
        <v>44341</v>
      </c>
      <c r="I81" s="341" t="s">
        <v>244</v>
      </c>
      <c r="J81" s="361">
        <v>31525</v>
      </c>
      <c r="K81" s="371">
        <v>0.5</v>
      </c>
      <c r="L81" s="346">
        <v>15762</v>
      </c>
      <c r="M81" s="274">
        <f>L81*10%</f>
        <v>1576.2</v>
      </c>
      <c r="N81" s="274">
        <f t="shared" si="4"/>
        <v>14185.8</v>
      </c>
      <c r="O81" s="197"/>
      <c r="P81" s="201" t="e">
        <f>VLOOKUP(G:G,list!B:D,2,FALSE)</f>
        <v>#N/A</v>
      </c>
    </row>
    <row r="82" spans="2:16" ht="18" customHeight="1">
      <c r="B82" s="341">
        <v>78</v>
      </c>
      <c r="C82" s="341" t="s">
        <v>238</v>
      </c>
      <c r="D82" s="369" t="s">
        <v>69</v>
      </c>
      <c r="E82" s="369" t="s">
        <v>68</v>
      </c>
      <c r="F82" s="372" t="s">
        <v>70</v>
      </c>
      <c r="G82" s="362" t="s">
        <v>28</v>
      </c>
      <c r="H82" s="363">
        <v>44291</v>
      </c>
      <c r="I82" s="341" t="s">
        <v>244</v>
      </c>
      <c r="J82" s="361">
        <v>51839</v>
      </c>
      <c r="K82" s="371">
        <v>0.5</v>
      </c>
      <c r="L82" s="346">
        <v>25920</v>
      </c>
      <c r="M82" s="194">
        <f>L82*12%</f>
        <v>3110.4</v>
      </c>
      <c r="N82" s="274">
        <f t="shared" si="4"/>
        <v>22809.599999999999</v>
      </c>
      <c r="O82" s="197"/>
      <c r="P82" s="201" t="e">
        <f>VLOOKUP(G:G,list!B:D,2,FALSE)</f>
        <v>#N/A</v>
      </c>
    </row>
    <row r="83" spans="2:16" ht="18" customHeight="1">
      <c r="B83" s="341">
        <v>79</v>
      </c>
      <c r="C83" s="341" t="s">
        <v>238</v>
      </c>
      <c r="D83" s="369" t="s">
        <v>69</v>
      </c>
      <c r="E83" s="369" t="s">
        <v>68</v>
      </c>
      <c r="F83" s="372" t="s">
        <v>70</v>
      </c>
      <c r="G83" s="362" t="s">
        <v>29</v>
      </c>
      <c r="H83" s="363">
        <v>44410</v>
      </c>
      <c r="I83" s="341" t="s">
        <v>244</v>
      </c>
      <c r="J83" s="361">
        <v>17004</v>
      </c>
      <c r="K83" s="371">
        <v>0.5</v>
      </c>
      <c r="L83" s="346">
        <v>8502</v>
      </c>
      <c r="M83" s="274">
        <f>L83*10%</f>
        <v>850.2</v>
      </c>
      <c r="N83" s="274">
        <f t="shared" si="4"/>
        <v>7651.8</v>
      </c>
      <c r="O83" s="194"/>
      <c r="P83" s="201" t="e">
        <f>VLOOKUP(G:G,list!B:D,2,FALSE)</f>
        <v>#N/A</v>
      </c>
    </row>
    <row r="84" spans="2:16" ht="18" customHeight="1">
      <c r="B84" s="341">
        <v>80</v>
      </c>
      <c r="C84" s="341" t="s">
        <v>238</v>
      </c>
      <c r="D84" s="369" t="s">
        <v>69</v>
      </c>
      <c r="E84" s="369" t="s">
        <v>68</v>
      </c>
      <c r="F84" s="372" t="s">
        <v>70</v>
      </c>
      <c r="G84" s="362" t="s">
        <v>151</v>
      </c>
      <c r="H84" s="363">
        <v>44524</v>
      </c>
      <c r="I84" s="341" t="s">
        <v>244</v>
      </c>
      <c r="J84" s="361">
        <v>2182</v>
      </c>
      <c r="K84" s="371">
        <v>0.5</v>
      </c>
      <c r="L84" s="346">
        <v>1091</v>
      </c>
      <c r="M84" s="274">
        <f>L84*10%</f>
        <v>109.10000000000001</v>
      </c>
      <c r="N84" s="274">
        <f t="shared" si="4"/>
        <v>981.9</v>
      </c>
      <c r="O84" s="370"/>
      <c r="P84" s="201" t="str">
        <f>VLOOKUP(G:G,list!B:D,2,FALSE)</f>
        <v>원작료</v>
      </c>
    </row>
    <row r="85" spans="2:16" ht="18" customHeight="1">
      <c r="B85" s="341">
        <v>81</v>
      </c>
      <c r="C85" s="341"/>
      <c r="D85" s="369" t="s">
        <v>182</v>
      </c>
      <c r="E85" s="369" t="s">
        <v>115</v>
      </c>
      <c r="F85" s="372" t="s">
        <v>290</v>
      </c>
      <c r="G85" s="374" t="s">
        <v>19</v>
      </c>
      <c r="H85" s="378">
        <v>44307</v>
      </c>
      <c r="I85" s="341" t="s">
        <v>291</v>
      </c>
      <c r="J85" s="361">
        <v>113556.68999999999</v>
      </c>
      <c r="K85" s="371">
        <v>0.5</v>
      </c>
      <c r="L85" s="346">
        <v>56778</v>
      </c>
      <c r="M85" s="194">
        <v>0</v>
      </c>
      <c r="N85" s="274">
        <f t="shared" si="4"/>
        <v>56778</v>
      </c>
      <c r="O85" s="370" t="s">
        <v>287</v>
      </c>
      <c r="P85" s="201" t="e">
        <f>VLOOKUP(G:G,list!B:D,2,FALSE)</f>
        <v>#N/A</v>
      </c>
    </row>
    <row r="86" spans="2:16" ht="18" customHeight="1">
      <c r="B86" s="341">
        <v>82</v>
      </c>
      <c r="C86" s="341"/>
      <c r="D86" s="369" t="s">
        <v>182</v>
      </c>
      <c r="E86" s="369" t="s">
        <v>115</v>
      </c>
      <c r="F86" s="372" t="s">
        <v>290</v>
      </c>
      <c r="G86" s="374" t="s">
        <v>19</v>
      </c>
      <c r="H86" s="378">
        <v>44307</v>
      </c>
      <c r="I86" s="341" t="s">
        <v>292</v>
      </c>
      <c r="J86" s="361">
        <v>162399.6</v>
      </c>
      <c r="K86" s="371">
        <v>0.5</v>
      </c>
      <c r="L86" s="346">
        <v>81200</v>
      </c>
      <c r="M86" s="194">
        <v>0</v>
      </c>
      <c r="N86" s="274">
        <f t="shared" si="4"/>
        <v>81200</v>
      </c>
      <c r="O86" s="370" t="s">
        <v>287</v>
      </c>
      <c r="P86" s="201" t="e">
        <f>VLOOKUP(G:G,list!B:D,2,FALSE)</f>
        <v>#N/A</v>
      </c>
    </row>
    <row r="87" spans="2:16" ht="18" customHeight="1">
      <c r="B87" s="341">
        <v>83</v>
      </c>
      <c r="C87" s="341"/>
      <c r="D87" s="369" t="s">
        <v>182</v>
      </c>
      <c r="E87" s="369" t="s">
        <v>115</v>
      </c>
      <c r="F87" s="372" t="s">
        <v>290</v>
      </c>
      <c r="G87" s="374" t="s">
        <v>19</v>
      </c>
      <c r="H87" s="378">
        <v>44307</v>
      </c>
      <c r="I87" s="341" t="s">
        <v>293</v>
      </c>
      <c r="J87" s="361">
        <v>163829.52000000002</v>
      </c>
      <c r="K87" s="371">
        <v>0.5</v>
      </c>
      <c r="L87" s="346">
        <v>81915</v>
      </c>
      <c r="M87" s="194">
        <v>0</v>
      </c>
      <c r="N87" s="274">
        <f t="shared" si="4"/>
        <v>81915</v>
      </c>
      <c r="O87" s="370" t="s">
        <v>287</v>
      </c>
      <c r="P87" s="201" t="e">
        <f>VLOOKUP(G:G,list!B:D,2,FALSE)</f>
        <v>#N/A</v>
      </c>
    </row>
    <row r="88" spans="2:16" ht="18" customHeight="1">
      <c r="B88" s="341">
        <v>84</v>
      </c>
      <c r="C88" s="341"/>
      <c r="D88" s="369" t="s">
        <v>182</v>
      </c>
      <c r="E88" s="369" t="s">
        <v>115</v>
      </c>
      <c r="F88" s="372" t="s">
        <v>290</v>
      </c>
      <c r="G88" s="374" t="s">
        <v>19</v>
      </c>
      <c r="H88" s="378">
        <v>44307</v>
      </c>
      <c r="I88" s="341" t="s">
        <v>294</v>
      </c>
      <c r="J88" s="361">
        <v>146997.72</v>
      </c>
      <c r="K88" s="371">
        <v>0.5</v>
      </c>
      <c r="L88" s="346">
        <v>73499</v>
      </c>
      <c r="M88" s="194">
        <v>0</v>
      </c>
      <c r="N88" s="274">
        <f t="shared" si="4"/>
        <v>73499</v>
      </c>
      <c r="O88" s="370" t="s">
        <v>287</v>
      </c>
      <c r="P88" s="201" t="e">
        <f>VLOOKUP(G:G,list!B:D,2,FALSE)</f>
        <v>#N/A</v>
      </c>
    </row>
    <row r="89" spans="2:16" ht="18" customHeight="1">
      <c r="B89" s="341">
        <v>85</v>
      </c>
      <c r="C89" s="341"/>
      <c r="D89" s="369" t="s">
        <v>182</v>
      </c>
      <c r="E89" s="369" t="s">
        <v>115</v>
      </c>
      <c r="F89" s="372" t="s">
        <v>290</v>
      </c>
      <c r="G89" s="374" t="s">
        <v>19</v>
      </c>
      <c r="H89" s="378">
        <v>44307</v>
      </c>
      <c r="I89" s="341" t="s">
        <v>295</v>
      </c>
      <c r="J89" s="361">
        <v>133407.6</v>
      </c>
      <c r="K89" s="371">
        <v>0.5</v>
      </c>
      <c r="L89" s="346">
        <v>66704</v>
      </c>
      <c r="M89" s="194">
        <v>0</v>
      </c>
      <c r="N89" s="274">
        <f t="shared" si="4"/>
        <v>66704</v>
      </c>
      <c r="O89" s="370" t="s">
        <v>287</v>
      </c>
      <c r="P89" s="201" t="e">
        <f>VLOOKUP(G:G,list!B:D,2,FALSE)</f>
        <v>#N/A</v>
      </c>
    </row>
    <row r="90" spans="2:16" ht="18" customHeight="1">
      <c r="B90" s="341">
        <v>86</v>
      </c>
      <c r="C90" s="341" t="s">
        <v>238</v>
      </c>
      <c r="D90" s="369" t="s">
        <v>182</v>
      </c>
      <c r="E90" s="369" t="s">
        <v>64</v>
      </c>
      <c r="F90" s="372" t="s">
        <v>290</v>
      </c>
      <c r="G90" s="374" t="s">
        <v>59</v>
      </c>
      <c r="H90" s="310">
        <v>44391</v>
      </c>
      <c r="I90" s="341" t="s">
        <v>293</v>
      </c>
      <c r="J90" s="361">
        <v>7212548.8399999999</v>
      </c>
      <c r="K90" s="371">
        <v>0.5</v>
      </c>
      <c r="L90" s="346">
        <v>3606274</v>
      </c>
      <c r="M90" s="274">
        <f>L90*10%</f>
        <v>360627.4</v>
      </c>
      <c r="N90" s="274">
        <f t="shared" ref="N90:N121" si="5">L90-M90</f>
        <v>3245646.6</v>
      </c>
      <c r="O90" s="370" t="s">
        <v>287</v>
      </c>
      <c r="P90" s="201" t="e">
        <f>VLOOKUP(G:G,list!B:D,2,FALSE)</f>
        <v>#N/A</v>
      </c>
    </row>
    <row r="91" spans="2:16" ht="18" customHeight="1">
      <c r="B91" s="341">
        <v>87</v>
      </c>
      <c r="C91" s="341" t="s">
        <v>238</v>
      </c>
      <c r="D91" s="369" t="s">
        <v>182</v>
      </c>
      <c r="E91" s="369" t="s">
        <v>64</v>
      </c>
      <c r="F91" s="372" t="s">
        <v>290</v>
      </c>
      <c r="G91" s="374" t="s">
        <v>59</v>
      </c>
      <c r="H91" s="310">
        <v>44391</v>
      </c>
      <c r="I91" s="341" t="s">
        <v>294</v>
      </c>
      <c r="J91" s="361">
        <v>2347890.48</v>
      </c>
      <c r="K91" s="371">
        <v>0.5</v>
      </c>
      <c r="L91" s="346">
        <v>1173945</v>
      </c>
      <c r="M91" s="274">
        <f>L91*10%</f>
        <v>117394.5</v>
      </c>
      <c r="N91" s="274">
        <f t="shared" si="5"/>
        <v>1056550.5</v>
      </c>
      <c r="O91" s="370" t="s">
        <v>287</v>
      </c>
      <c r="P91" s="201" t="e">
        <f>VLOOKUP(G:G,list!B:D,2,FALSE)</f>
        <v>#N/A</v>
      </c>
    </row>
    <row r="92" spans="2:16" ht="18" customHeight="1">
      <c r="B92" s="341">
        <v>88</v>
      </c>
      <c r="C92" s="341" t="s">
        <v>238</v>
      </c>
      <c r="D92" s="369" t="s">
        <v>182</v>
      </c>
      <c r="E92" s="369" t="s">
        <v>64</v>
      </c>
      <c r="F92" s="372" t="s">
        <v>290</v>
      </c>
      <c r="G92" s="374" t="s">
        <v>59</v>
      </c>
      <c r="H92" s="310">
        <v>44391</v>
      </c>
      <c r="I92" s="341" t="s">
        <v>295</v>
      </c>
      <c r="J92" s="361">
        <v>1437365.72</v>
      </c>
      <c r="K92" s="371">
        <v>0.5</v>
      </c>
      <c r="L92" s="346">
        <v>718683</v>
      </c>
      <c r="M92" s="274">
        <f>L92*10%</f>
        <v>71868.3</v>
      </c>
      <c r="N92" s="274">
        <f t="shared" si="5"/>
        <v>646814.69999999995</v>
      </c>
      <c r="O92" s="370" t="s">
        <v>287</v>
      </c>
      <c r="P92" s="201" t="e">
        <f>VLOOKUP(G:G,list!B:D,2,FALSE)</f>
        <v>#N/A</v>
      </c>
    </row>
    <row r="93" spans="2:16" ht="18" customHeight="1">
      <c r="B93" s="341">
        <v>89</v>
      </c>
      <c r="C93" s="341"/>
      <c r="D93" s="369" t="s">
        <v>182</v>
      </c>
      <c r="E93" s="369" t="s">
        <v>9</v>
      </c>
      <c r="F93" s="372" t="s">
        <v>228</v>
      </c>
      <c r="G93" s="374" t="s">
        <v>179</v>
      </c>
      <c r="H93" s="353">
        <v>44180</v>
      </c>
      <c r="I93" s="341" t="s">
        <v>267</v>
      </c>
      <c r="J93" s="361">
        <v>598152</v>
      </c>
      <c r="K93" s="371">
        <v>0.5</v>
      </c>
      <c r="L93" s="346">
        <v>299076</v>
      </c>
      <c r="M93" s="194">
        <f>L93*10%</f>
        <v>29907.600000000002</v>
      </c>
      <c r="N93" s="274">
        <f t="shared" si="5"/>
        <v>269168.40000000002</v>
      </c>
      <c r="O93" s="195" t="s">
        <v>85</v>
      </c>
      <c r="P93" s="201" t="e">
        <f>VLOOKUP(G:G,list!B:D,2,FALSE)</f>
        <v>#N/A</v>
      </c>
    </row>
    <row r="94" spans="2:16" ht="18" customHeight="1">
      <c r="B94" s="341">
        <v>90</v>
      </c>
      <c r="C94" s="341" t="s">
        <v>238</v>
      </c>
      <c r="D94" s="369" t="s">
        <v>182</v>
      </c>
      <c r="E94" s="369" t="s">
        <v>9</v>
      </c>
      <c r="F94" s="372" t="s">
        <v>228</v>
      </c>
      <c r="G94" s="374" t="s">
        <v>152</v>
      </c>
      <c r="H94" s="353">
        <v>44180</v>
      </c>
      <c r="I94" s="341" t="s">
        <v>267</v>
      </c>
      <c r="J94" s="361">
        <v>376374</v>
      </c>
      <c r="K94" s="371">
        <v>0.5</v>
      </c>
      <c r="L94" s="346">
        <v>188187</v>
      </c>
      <c r="M94" s="194">
        <f>L94*12%</f>
        <v>22582.44</v>
      </c>
      <c r="N94" s="274">
        <f t="shared" si="5"/>
        <v>165604.56</v>
      </c>
      <c r="O94" s="194"/>
      <c r="P94" s="201" t="e">
        <f>VLOOKUP(G:G,list!B:D,2,FALSE)</f>
        <v>#N/A</v>
      </c>
    </row>
    <row r="95" spans="2:16" ht="18" customHeight="1">
      <c r="B95" s="341">
        <v>91</v>
      </c>
      <c r="C95" s="341" t="s">
        <v>238</v>
      </c>
      <c r="D95" s="369" t="s">
        <v>182</v>
      </c>
      <c r="E95" s="369" t="s">
        <v>9</v>
      </c>
      <c r="F95" s="372" t="s">
        <v>228</v>
      </c>
      <c r="G95" s="374" t="s">
        <v>153</v>
      </c>
      <c r="H95" s="353">
        <v>44180</v>
      </c>
      <c r="I95" s="341" t="s">
        <v>267</v>
      </c>
      <c r="J95" s="361">
        <v>372786</v>
      </c>
      <c r="K95" s="371">
        <v>0.5</v>
      </c>
      <c r="L95" s="346">
        <v>186393</v>
      </c>
      <c r="M95" s="274">
        <f>L95*10%</f>
        <v>18639.3</v>
      </c>
      <c r="N95" s="274">
        <f t="shared" si="5"/>
        <v>167753.70000000001</v>
      </c>
      <c r="O95" s="194"/>
      <c r="P95" s="201" t="e">
        <f>VLOOKUP(G:G,list!B:D,2,FALSE)</f>
        <v>#N/A</v>
      </c>
    </row>
    <row r="96" spans="2:16" ht="18" customHeight="1">
      <c r="B96" s="341">
        <v>92</v>
      </c>
      <c r="C96" s="341" t="s">
        <v>238</v>
      </c>
      <c r="D96" s="369" t="s">
        <v>182</v>
      </c>
      <c r="E96" s="369" t="s">
        <v>9</v>
      </c>
      <c r="F96" s="372" t="s">
        <v>228</v>
      </c>
      <c r="G96" s="374" t="s">
        <v>74</v>
      </c>
      <c r="H96" s="353">
        <v>44180</v>
      </c>
      <c r="I96" s="341" t="s">
        <v>267</v>
      </c>
      <c r="J96" s="361">
        <v>19558</v>
      </c>
      <c r="K96" s="371">
        <v>0.5</v>
      </c>
      <c r="L96" s="346">
        <v>9779</v>
      </c>
      <c r="M96" s="274">
        <f>L96*10%</f>
        <v>977.90000000000009</v>
      </c>
      <c r="N96" s="274">
        <f t="shared" si="5"/>
        <v>8801.1</v>
      </c>
      <c r="O96" s="194"/>
      <c r="P96" s="201" t="e">
        <f>VLOOKUP(G:G,list!B:D,2,FALSE)</f>
        <v>#N/A</v>
      </c>
    </row>
    <row r="97" spans="2:16" ht="18" customHeight="1">
      <c r="B97" s="341">
        <v>93</v>
      </c>
      <c r="C97" s="341"/>
      <c r="D97" s="369" t="s">
        <v>182</v>
      </c>
      <c r="E97" s="369" t="s">
        <v>9</v>
      </c>
      <c r="F97" s="372" t="s">
        <v>228</v>
      </c>
      <c r="G97" s="374" t="s">
        <v>180</v>
      </c>
      <c r="H97" s="353">
        <v>44180</v>
      </c>
      <c r="I97" s="341" t="s">
        <v>267</v>
      </c>
      <c r="J97" s="361">
        <v>937406</v>
      </c>
      <c r="K97" s="371">
        <v>0.5</v>
      </c>
      <c r="L97" s="346">
        <v>468703</v>
      </c>
      <c r="M97" s="274">
        <v>0</v>
      </c>
      <c r="N97" s="274">
        <f t="shared" si="5"/>
        <v>468703</v>
      </c>
      <c r="O97" s="194"/>
      <c r="P97" s="201" t="str">
        <f>VLOOKUP(G:G,list!B:D,2,FALSE)</f>
        <v>작가기획</v>
      </c>
    </row>
    <row r="98" spans="2:16" ht="18" customHeight="1">
      <c r="B98" s="341">
        <v>94</v>
      </c>
      <c r="C98" s="341"/>
      <c r="D98" s="369" t="s">
        <v>182</v>
      </c>
      <c r="E98" s="369" t="s">
        <v>9</v>
      </c>
      <c r="F98" s="372" t="s">
        <v>228</v>
      </c>
      <c r="G98" s="374" t="s">
        <v>139</v>
      </c>
      <c r="H98" s="353">
        <v>44180</v>
      </c>
      <c r="I98" s="341" t="s">
        <v>267</v>
      </c>
      <c r="J98" s="361">
        <v>71958</v>
      </c>
      <c r="K98" s="371">
        <v>0.5</v>
      </c>
      <c r="L98" s="346">
        <v>35979</v>
      </c>
      <c r="M98" s="194">
        <v>0</v>
      </c>
      <c r="N98" s="274">
        <f t="shared" si="5"/>
        <v>35979</v>
      </c>
      <c r="O98" s="194"/>
      <c r="P98" s="201" t="str">
        <f>VLOOKUP(G:G,list!B:D,2,FALSE)</f>
        <v>작가기획</v>
      </c>
    </row>
    <row r="99" spans="2:16" ht="18" customHeight="1">
      <c r="B99" s="341">
        <v>95</v>
      </c>
      <c r="C99" s="341"/>
      <c r="D99" s="369" t="s">
        <v>182</v>
      </c>
      <c r="E99" s="369" t="s">
        <v>115</v>
      </c>
      <c r="F99" s="372" t="s">
        <v>228</v>
      </c>
      <c r="G99" s="375" t="s">
        <v>231</v>
      </c>
      <c r="H99" s="353">
        <v>44180</v>
      </c>
      <c r="I99" s="341" t="s">
        <v>267</v>
      </c>
      <c r="J99" s="361">
        <v>96518</v>
      </c>
      <c r="K99" s="371">
        <v>0.5</v>
      </c>
      <c r="L99" s="346">
        <v>48259</v>
      </c>
      <c r="M99" s="194">
        <v>0</v>
      </c>
      <c r="N99" s="274">
        <f t="shared" si="5"/>
        <v>48259</v>
      </c>
      <c r="O99" s="194"/>
      <c r="P99" s="201" t="e">
        <f>VLOOKUP(G:G,list!B:D,2,FALSE)</f>
        <v>#N/A</v>
      </c>
    </row>
    <row r="100" spans="2:16" ht="18" customHeight="1">
      <c r="B100" s="341">
        <v>96</v>
      </c>
      <c r="C100" s="341" t="s">
        <v>238</v>
      </c>
      <c r="D100" s="369" t="s">
        <v>182</v>
      </c>
      <c r="E100" s="369" t="s">
        <v>9</v>
      </c>
      <c r="F100" s="372" t="s">
        <v>228</v>
      </c>
      <c r="G100" s="374" t="s">
        <v>151</v>
      </c>
      <c r="H100" s="353">
        <v>44207</v>
      </c>
      <c r="I100" s="341" t="s">
        <v>267</v>
      </c>
      <c r="J100" s="361">
        <v>148418</v>
      </c>
      <c r="K100" s="371">
        <v>0.5</v>
      </c>
      <c r="L100" s="346">
        <v>74209</v>
      </c>
      <c r="M100" s="274">
        <f t="shared" ref="M100:M106" si="6">L100*10%</f>
        <v>7420.9000000000005</v>
      </c>
      <c r="N100" s="274">
        <f t="shared" si="5"/>
        <v>66788.100000000006</v>
      </c>
      <c r="O100" s="194"/>
      <c r="P100" s="201" t="str">
        <f>VLOOKUP(G:G,list!B:D,2,FALSE)</f>
        <v>원작료</v>
      </c>
    </row>
    <row r="101" spans="2:16" ht="18" customHeight="1">
      <c r="B101" s="341">
        <v>97</v>
      </c>
      <c r="C101" s="341" t="s">
        <v>238</v>
      </c>
      <c r="D101" s="369" t="s">
        <v>182</v>
      </c>
      <c r="E101" s="369" t="s">
        <v>9</v>
      </c>
      <c r="F101" s="372" t="s">
        <v>228</v>
      </c>
      <c r="G101" s="374" t="s">
        <v>225</v>
      </c>
      <c r="H101" s="353">
        <v>44357</v>
      </c>
      <c r="I101" s="341" t="s">
        <v>267</v>
      </c>
      <c r="J101" s="361">
        <v>104003</v>
      </c>
      <c r="K101" s="371">
        <v>0.5</v>
      </c>
      <c r="L101" s="346">
        <v>52001.5</v>
      </c>
      <c r="M101" s="274">
        <f t="shared" si="6"/>
        <v>5200.1500000000005</v>
      </c>
      <c r="N101" s="274">
        <f t="shared" si="5"/>
        <v>46801.35</v>
      </c>
      <c r="O101" s="347"/>
      <c r="P101" s="201" t="e">
        <f>VLOOKUP(G:G,list!B:D,2,FALSE)</f>
        <v>#N/A</v>
      </c>
    </row>
    <row r="102" spans="2:16" ht="18" customHeight="1">
      <c r="B102" s="341">
        <v>98</v>
      </c>
      <c r="C102" s="341" t="s">
        <v>238</v>
      </c>
      <c r="D102" s="369" t="s">
        <v>182</v>
      </c>
      <c r="E102" s="369" t="s">
        <v>9</v>
      </c>
      <c r="F102" s="372" t="s">
        <v>228</v>
      </c>
      <c r="G102" s="374" t="s">
        <v>151</v>
      </c>
      <c r="H102" s="353">
        <v>44207</v>
      </c>
      <c r="I102" s="341" t="s">
        <v>289</v>
      </c>
      <c r="J102" s="361">
        <v>21958</v>
      </c>
      <c r="K102" s="371">
        <v>0.5</v>
      </c>
      <c r="L102" s="346">
        <v>10979</v>
      </c>
      <c r="M102" s="274">
        <f t="shared" si="6"/>
        <v>1097.9000000000001</v>
      </c>
      <c r="N102" s="274">
        <f t="shared" si="5"/>
        <v>9881.1</v>
      </c>
      <c r="O102" s="194"/>
      <c r="P102" s="201" t="str">
        <f>VLOOKUP(G:G,list!B:D,2,FALSE)</f>
        <v>원작료</v>
      </c>
    </row>
    <row r="103" spans="2:16" ht="18" customHeight="1">
      <c r="B103" s="341">
        <v>99</v>
      </c>
      <c r="C103" s="341" t="s">
        <v>238</v>
      </c>
      <c r="D103" s="369" t="s">
        <v>182</v>
      </c>
      <c r="E103" s="369" t="s">
        <v>115</v>
      </c>
      <c r="F103" s="372" t="s">
        <v>228</v>
      </c>
      <c r="G103" s="374" t="s">
        <v>204</v>
      </c>
      <c r="H103" s="353">
        <v>44365</v>
      </c>
      <c r="I103" s="341" t="s">
        <v>267</v>
      </c>
      <c r="J103" s="361">
        <v>302421</v>
      </c>
      <c r="K103" s="371">
        <v>0.5</v>
      </c>
      <c r="L103" s="346">
        <v>151210.5</v>
      </c>
      <c r="M103" s="194">
        <f t="shared" si="6"/>
        <v>15121.050000000001</v>
      </c>
      <c r="N103" s="274">
        <f t="shared" si="5"/>
        <v>136089.45000000001</v>
      </c>
      <c r="O103" s="194"/>
      <c r="P103" s="201" t="e">
        <f>VLOOKUP(G:G,list!B:D,2,FALSE)</f>
        <v>#N/A</v>
      </c>
    </row>
    <row r="104" spans="2:16" ht="18" customHeight="1">
      <c r="B104" s="341">
        <v>101</v>
      </c>
      <c r="C104" s="341" t="s">
        <v>238</v>
      </c>
      <c r="D104" s="369" t="s">
        <v>182</v>
      </c>
      <c r="E104" s="369" t="s">
        <v>9</v>
      </c>
      <c r="F104" s="372" t="s">
        <v>228</v>
      </c>
      <c r="G104" s="374" t="s">
        <v>191</v>
      </c>
      <c r="H104" s="353">
        <v>44372</v>
      </c>
      <c r="I104" s="341" t="s">
        <v>267</v>
      </c>
      <c r="J104" s="361">
        <v>1661912</v>
      </c>
      <c r="K104" s="371">
        <v>0.5</v>
      </c>
      <c r="L104" s="346">
        <v>830956</v>
      </c>
      <c r="M104" s="194">
        <f t="shared" si="6"/>
        <v>83095.600000000006</v>
      </c>
      <c r="N104" s="274">
        <f t="shared" si="5"/>
        <v>747860.4</v>
      </c>
      <c r="O104" s="194"/>
      <c r="P104" s="201" t="e">
        <f>VLOOKUP(G:G,list!B:D,2,FALSE)</f>
        <v>#N/A</v>
      </c>
    </row>
    <row r="105" spans="2:16" ht="18" customHeight="1">
      <c r="B105" s="341">
        <v>102</v>
      </c>
      <c r="C105" s="341" t="s">
        <v>238</v>
      </c>
      <c r="D105" s="369" t="s">
        <v>182</v>
      </c>
      <c r="E105" s="369" t="s">
        <v>9</v>
      </c>
      <c r="F105" s="372" t="s">
        <v>228</v>
      </c>
      <c r="G105" s="360" t="s">
        <v>59</v>
      </c>
      <c r="H105" s="310">
        <v>44392</v>
      </c>
      <c r="I105" s="341" t="s">
        <v>267</v>
      </c>
      <c r="J105" s="361">
        <v>3334612</v>
      </c>
      <c r="K105" s="371">
        <v>0.5</v>
      </c>
      <c r="L105" s="346">
        <v>1667306</v>
      </c>
      <c r="M105" s="274">
        <f t="shared" si="6"/>
        <v>166730.6</v>
      </c>
      <c r="N105" s="274">
        <f t="shared" si="5"/>
        <v>1500575.4</v>
      </c>
      <c r="O105" s="194"/>
      <c r="P105" s="201" t="e">
        <f>VLOOKUP(G:G,list!B:D,2,FALSE)</f>
        <v>#N/A</v>
      </c>
    </row>
    <row r="106" spans="2:16" ht="18" customHeight="1">
      <c r="B106" s="341">
        <v>103</v>
      </c>
      <c r="C106" s="341" t="s">
        <v>238</v>
      </c>
      <c r="D106" s="369" t="s">
        <v>182</v>
      </c>
      <c r="E106" s="362" t="s">
        <v>9</v>
      </c>
      <c r="F106" s="372" t="s">
        <v>228</v>
      </c>
      <c r="G106" s="374" t="s">
        <v>227</v>
      </c>
      <c r="H106" s="353">
        <v>44439</v>
      </c>
      <c r="I106" s="341" t="s">
        <v>267</v>
      </c>
      <c r="J106" s="361">
        <v>796</v>
      </c>
      <c r="K106" s="371">
        <v>0.5</v>
      </c>
      <c r="L106" s="346">
        <v>398</v>
      </c>
      <c r="M106" s="194">
        <f t="shared" si="6"/>
        <v>39.800000000000004</v>
      </c>
      <c r="N106" s="274">
        <f t="shared" si="5"/>
        <v>358.2</v>
      </c>
      <c r="O106" s="194"/>
      <c r="P106" s="201" t="e">
        <f>VLOOKUP(G:G,list!B:D,2,FALSE)</f>
        <v>#N/A</v>
      </c>
    </row>
    <row r="107" spans="2:16" ht="18" customHeight="1">
      <c r="B107" s="341">
        <v>104</v>
      </c>
      <c r="C107" s="341"/>
      <c r="D107" s="369" t="s">
        <v>182</v>
      </c>
      <c r="E107" s="362" t="s">
        <v>115</v>
      </c>
      <c r="F107" s="372" t="s">
        <v>228</v>
      </c>
      <c r="G107" s="374" t="s">
        <v>202</v>
      </c>
      <c r="H107" s="310">
        <v>44463</v>
      </c>
      <c r="I107" s="341" t="s">
        <v>267</v>
      </c>
      <c r="J107" s="361">
        <v>21958</v>
      </c>
      <c r="K107" s="371">
        <v>0.5</v>
      </c>
      <c r="L107" s="346">
        <v>10979</v>
      </c>
      <c r="M107" s="194">
        <v>0</v>
      </c>
      <c r="N107" s="274">
        <f t="shared" si="5"/>
        <v>10979</v>
      </c>
      <c r="O107" s="194"/>
      <c r="P107" s="201" t="e">
        <f>VLOOKUP(G:G,list!B:D,2,FALSE)</f>
        <v>#N/A</v>
      </c>
    </row>
    <row r="108" spans="2:16" ht="18" customHeight="1">
      <c r="B108" s="341">
        <v>105</v>
      </c>
      <c r="C108" s="341" t="s">
        <v>238</v>
      </c>
      <c r="D108" s="369" t="s">
        <v>182</v>
      </c>
      <c r="E108" s="369" t="s">
        <v>9</v>
      </c>
      <c r="F108" s="372" t="s">
        <v>228</v>
      </c>
      <c r="G108" s="376" t="s">
        <v>38</v>
      </c>
      <c r="H108" s="310">
        <v>44491</v>
      </c>
      <c r="I108" s="341" t="s">
        <v>267</v>
      </c>
      <c r="J108" s="361">
        <v>118476</v>
      </c>
      <c r="K108" s="371">
        <v>0.5</v>
      </c>
      <c r="L108" s="346">
        <v>59238</v>
      </c>
      <c r="M108" s="274">
        <f>L108*10%</f>
        <v>5923.8</v>
      </c>
      <c r="N108" s="274">
        <f t="shared" si="5"/>
        <v>53314.2</v>
      </c>
      <c r="O108" s="347"/>
      <c r="P108" s="201" t="e">
        <f>VLOOKUP(G:G,list!B:D,2,FALSE)</f>
        <v>#N/A</v>
      </c>
    </row>
    <row r="109" spans="2:16" ht="18" customHeight="1">
      <c r="B109" s="341">
        <v>106</v>
      </c>
      <c r="C109" s="341" t="s">
        <v>238</v>
      </c>
      <c r="D109" s="369" t="s">
        <v>182</v>
      </c>
      <c r="E109" s="369" t="s">
        <v>9</v>
      </c>
      <c r="F109" s="372" t="s">
        <v>259</v>
      </c>
      <c r="G109" s="374" t="s">
        <v>54</v>
      </c>
      <c r="H109" s="310">
        <v>44271</v>
      </c>
      <c r="I109" s="341" t="s">
        <v>267</v>
      </c>
      <c r="J109" s="361">
        <v>357480</v>
      </c>
      <c r="K109" s="371">
        <v>0.5</v>
      </c>
      <c r="L109" s="346">
        <v>178740</v>
      </c>
      <c r="M109" s="274">
        <f>L109*10%</f>
        <v>17874</v>
      </c>
      <c r="N109" s="274">
        <f t="shared" si="5"/>
        <v>160866</v>
      </c>
      <c r="O109" s="194"/>
      <c r="P109" s="201" t="e">
        <f>VLOOKUP(G:G,list!B:D,2,FALSE)</f>
        <v>#N/A</v>
      </c>
    </row>
    <row r="110" spans="2:16" ht="18" customHeight="1">
      <c r="B110" s="341">
        <v>107</v>
      </c>
      <c r="C110" s="341" t="s">
        <v>238</v>
      </c>
      <c r="D110" s="369" t="s">
        <v>182</v>
      </c>
      <c r="E110" s="369" t="s">
        <v>9</v>
      </c>
      <c r="F110" s="372" t="s">
        <v>259</v>
      </c>
      <c r="G110" s="374" t="s">
        <v>29</v>
      </c>
      <c r="H110" s="310">
        <v>44273</v>
      </c>
      <c r="I110" s="341" t="s">
        <v>267</v>
      </c>
      <c r="J110" s="361">
        <v>1101060</v>
      </c>
      <c r="K110" s="371">
        <v>0.5</v>
      </c>
      <c r="L110" s="346">
        <v>550530</v>
      </c>
      <c r="M110" s="274">
        <f>L110*10%</f>
        <v>55053</v>
      </c>
      <c r="N110" s="274">
        <f t="shared" si="5"/>
        <v>495477</v>
      </c>
      <c r="O110" s="194"/>
      <c r="P110" s="201" t="e">
        <f>VLOOKUP(G:G,list!B:D,2,FALSE)</f>
        <v>#N/A</v>
      </c>
    </row>
    <row r="111" spans="2:16" ht="18" customHeight="1">
      <c r="B111" s="341">
        <v>108</v>
      </c>
      <c r="C111" s="341" t="s">
        <v>238</v>
      </c>
      <c r="D111" s="369" t="s">
        <v>182</v>
      </c>
      <c r="E111" s="369" t="s">
        <v>9</v>
      </c>
      <c r="F111" s="372" t="s">
        <v>259</v>
      </c>
      <c r="G111" s="374" t="s">
        <v>28</v>
      </c>
      <c r="H111" s="310">
        <v>44280</v>
      </c>
      <c r="I111" s="341" t="s">
        <v>267</v>
      </c>
      <c r="J111" s="361">
        <v>1571400</v>
      </c>
      <c r="K111" s="371">
        <v>0.5</v>
      </c>
      <c r="L111" s="346">
        <v>785700</v>
      </c>
      <c r="M111" s="194">
        <f>L111*12%</f>
        <v>94284</v>
      </c>
      <c r="N111" s="274">
        <f t="shared" si="5"/>
        <v>691416</v>
      </c>
      <c r="O111" s="194"/>
      <c r="P111" s="201" t="e">
        <f>VLOOKUP(G:G,list!B:D,2,FALSE)</f>
        <v>#N/A</v>
      </c>
    </row>
    <row r="112" spans="2:16" ht="18" customHeight="1">
      <c r="B112" s="341">
        <v>109</v>
      </c>
      <c r="C112" s="341"/>
      <c r="D112" s="369" t="s">
        <v>182</v>
      </c>
      <c r="E112" s="369" t="s">
        <v>9</v>
      </c>
      <c r="F112" s="372" t="s">
        <v>259</v>
      </c>
      <c r="G112" s="374" t="s">
        <v>42</v>
      </c>
      <c r="H112" s="310">
        <v>44287</v>
      </c>
      <c r="I112" s="341" t="s">
        <v>267</v>
      </c>
      <c r="J112" s="361">
        <v>5684220</v>
      </c>
      <c r="K112" s="371">
        <v>0.5</v>
      </c>
      <c r="L112" s="346">
        <v>2842110</v>
      </c>
      <c r="M112" s="194">
        <f>L112*10%</f>
        <v>284211</v>
      </c>
      <c r="N112" s="274">
        <f t="shared" si="5"/>
        <v>2557899</v>
      </c>
      <c r="O112" s="195" t="s">
        <v>85</v>
      </c>
      <c r="P112" s="201" t="e">
        <f>VLOOKUP(G:G,list!B:D,2,FALSE)</f>
        <v>#N/A</v>
      </c>
    </row>
    <row r="113" spans="2:16" ht="18" customHeight="1">
      <c r="B113" s="341">
        <v>110</v>
      </c>
      <c r="C113" s="341" t="s">
        <v>238</v>
      </c>
      <c r="D113" s="369" t="s">
        <v>182</v>
      </c>
      <c r="E113" s="369" t="s">
        <v>9</v>
      </c>
      <c r="F113" s="372" t="s">
        <v>259</v>
      </c>
      <c r="G113" s="374" t="s">
        <v>30</v>
      </c>
      <c r="H113" s="310">
        <v>44357</v>
      </c>
      <c r="I113" s="341" t="s">
        <v>267</v>
      </c>
      <c r="J113" s="361">
        <v>1612440</v>
      </c>
      <c r="K113" s="371">
        <v>0.5</v>
      </c>
      <c r="L113" s="346">
        <v>806220</v>
      </c>
      <c r="M113" s="274">
        <f>L113*10%</f>
        <v>80622</v>
      </c>
      <c r="N113" s="274">
        <f t="shared" si="5"/>
        <v>725598</v>
      </c>
      <c r="O113" s="194"/>
      <c r="P113" s="201" t="str">
        <f>VLOOKUP(G:G,list!B:D,2,FALSE)</f>
        <v>원작료</v>
      </c>
    </row>
    <row r="114" spans="2:16" ht="18" customHeight="1">
      <c r="B114" s="341">
        <v>111</v>
      </c>
      <c r="C114" s="341"/>
      <c r="D114" s="369" t="s">
        <v>182</v>
      </c>
      <c r="E114" s="369" t="s">
        <v>115</v>
      </c>
      <c r="F114" s="372" t="s">
        <v>259</v>
      </c>
      <c r="G114" s="374" t="s">
        <v>147</v>
      </c>
      <c r="H114" s="310">
        <v>44271</v>
      </c>
      <c r="I114" s="341" t="s">
        <v>267</v>
      </c>
      <c r="J114" s="361">
        <v>3330720</v>
      </c>
      <c r="K114" s="371">
        <v>0.5</v>
      </c>
      <c r="L114" s="346">
        <v>1665360</v>
      </c>
      <c r="M114" s="194">
        <v>0</v>
      </c>
      <c r="N114" s="274">
        <f t="shared" si="5"/>
        <v>1665360</v>
      </c>
      <c r="O114" s="194"/>
      <c r="P114" s="201" t="e">
        <f>VLOOKUP(G:G,list!B:D,2,FALSE)</f>
        <v>#N/A</v>
      </c>
    </row>
    <row r="115" spans="2:16" ht="18" customHeight="1">
      <c r="B115" s="341">
        <v>112</v>
      </c>
      <c r="C115" s="341" t="s">
        <v>238</v>
      </c>
      <c r="D115" s="369" t="s">
        <v>182</v>
      </c>
      <c r="E115" s="369" t="s">
        <v>9</v>
      </c>
      <c r="F115" s="372" t="s">
        <v>259</v>
      </c>
      <c r="G115" s="374" t="s">
        <v>225</v>
      </c>
      <c r="H115" s="310">
        <v>44358</v>
      </c>
      <c r="I115" s="341" t="s">
        <v>267</v>
      </c>
      <c r="J115" s="361">
        <v>725760</v>
      </c>
      <c r="K115" s="371">
        <v>0.5</v>
      </c>
      <c r="L115" s="346">
        <v>362880</v>
      </c>
      <c r="M115" s="274">
        <f>L115*10%</f>
        <v>36288</v>
      </c>
      <c r="N115" s="274">
        <f t="shared" si="5"/>
        <v>326592</v>
      </c>
      <c r="O115" s="194"/>
      <c r="P115" s="201" t="e">
        <f>VLOOKUP(G:G,list!B:D,2,FALSE)</f>
        <v>#N/A</v>
      </c>
    </row>
    <row r="116" spans="2:16" ht="18" customHeight="1">
      <c r="B116" s="341">
        <v>113</v>
      </c>
      <c r="C116" s="341" t="s">
        <v>238</v>
      </c>
      <c r="D116" s="369" t="s">
        <v>182</v>
      </c>
      <c r="E116" s="369" t="s">
        <v>9</v>
      </c>
      <c r="F116" s="372" t="s">
        <v>259</v>
      </c>
      <c r="G116" s="374" t="s">
        <v>191</v>
      </c>
      <c r="H116" s="310">
        <v>44392</v>
      </c>
      <c r="I116" s="341" t="s">
        <v>267</v>
      </c>
      <c r="J116" s="361">
        <v>5899860</v>
      </c>
      <c r="K116" s="371">
        <v>0.5</v>
      </c>
      <c r="L116" s="346">
        <v>2949930</v>
      </c>
      <c r="M116" s="194">
        <f>L116*10%</f>
        <v>294993</v>
      </c>
      <c r="N116" s="274">
        <f t="shared" si="5"/>
        <v>2654937</v>
      </c>
      <c r="O116" s="194"/>
      <c r="P116" s="201" t="e">
        <f>VLOOKUP(G:G,list!B:D,2,FALSE)</f>
        <v>#N/A</v>
      </c>
    </row>
    <row r="117" spans="2:16" ht="18" customHeight="1">
      <c r="B117" s="341">
        <v>114</v>
      </c>
      <c r="C117" s="341"/>
      <c r="D117" s="341" t="s">
        <v>189</v>
      </c>
      <c r="E117" s="362" t="s">
        <v>9</v>
      </c>
      <c r="F117" s="341" t="s">
        <v>41</v>
      </c>
      <c r="G117" s="362" t="s">
        <v>179</v>
      </c>
      <c r="H117" s="363">
        <v>44114</v>
      </c>
      <c r="I117" s="341" t="s">
        <v>267</v>
      </c>
      <c r="J117" s="357">
        <v>273195</v>
      </c>
      <c r="K117" s="345">
        <v>0.8</v>
      </c>
      <c r="L117" s="346">
        <v>218556</v>
      </c>
      <c r="M117" s="194">
        <f>L117*10%</f>
        <v>21855.600000000002</v>
      </c>
      <c r="N117" s="274">
        <f t="shared" si="5"/>
        <v>196700.4</v>
      </c>
      <c r="O117" s="195" t="s">
        <v>85</v>
      </c>
      <c r="P117" s="201" t="e">
        <f>VLOOKUP(G:G,list!B:D,2,FALSE)</f>
        <v>#N/A</v>
      </c>
    </row>
    <row r="118" spans="2:16" ht="18" customHeight="1">
      <c r="B118" s="341">
        <v>115</v>
      </c>
      <c r="C118" s="341" t="s">
        <v>238</v>
      </c>
      <c r="D118" s="341" t="s">
        <v>189</v>
      </c>
      <c r="E118" s="362" t="s">
        <v>9</v>
      </c>
      <c r="F118" s="341" t="s">
        <v>41</v>
      </c>
      <c r="G118" s="362" t="s">
        <v>153</v>
      </c>
      <c r="H118" s="363">
        <v>44122</v>
      </c>
      <c r="I118" s="341" t="s">
        <v>267</v>
      </c>
      <c r="J118" s="357">
        <v>159330</v>
      </c>
      <c r="K118" s="345">
        <v>0.8</v>
      </c>
      <c r="L118" s="346">
        <v>127464</v>
      </c>
      <c r="M118" s="274">
        <f>L118*10%</f>
        <v>12746.400000000001</v>
      </c>
      <c r="N118" s="274">
        <f t="shared" si="5"/>
        <v>114717.6</v>
      </c>
      <c r="O118" s="191"/>
      <c r="P118" s="201" t="e">
        <f>VLOOKUP(G:G,list!B:D,2,FALSE)</f>
        <v>#N/A</v>
      </c>
    </row>
    <row r="119" spans="2:16" ht="18" customHeight="1">
      <c r="B119" s="341">
        <v>116</v>
      </c>
      <c r="C119" s="341" t="s">
        <v>238</v>
      </c>
      <c r="D119" s="341" t="s">
        <v>189</v>
      </c>
      <c r="E119" s="362" t="s">
        <v>9</v>
      </c>
      <c r="F119" s="341" t="s">
        <v>41</v>
      </c>
      <c r="G119" s="362" t="s">
        <v>152</v>
      </c>
      <c r="H119" s="363">
        <v>44250</v>
      </c>
      <c r="I119" s="341" t="s">
        <v>267</v>
      </c>
      <c r="J119" s="357">
        <v>104184</v>
      </c>
      <c r="K119" s="345">
        <v>0.8</v>
      </c>
      <c r="L119" s="346">
        <v>83347</v>
      </c>
      <c r="M119" s="194">
        <f>L119*12%</f>
        <v>10001.64</v>
      </c>
      <c r="N119" s="274">
        <f t="shared" si="5"/>
        <v>73345.36</v>
      </c>
      <c r="O119" s="191"/>
      <c r="P119" s="201" t="e">
        <f>VLOOKUP(G:G,list!B:D,2,FALSE)</f>
        <v>#N/A</v>
      </c>
    </row>
    <row r="120" spans="2:16" ht="18" customHeight="1">
      <c r="B120" s="341">
        <v>117</v>
      </c>
      <c r="C120" s="341" t="s">
        <v>238</v>
      </c>
      <c r="D120" s="341" t="s">
        <v>189</v>
      </c>
      <c r="E120" s="362" t="s">
        <v>9</v>
      </c>
      <c r="F120" s="341" t="s">
        <v>41</v>
      </c>
      <c r="G120" s="362" t="s">
        <v>151</v>
      </c>
      <c r="H120" s="363">
        <v>44265</v>
      </c>
      <c r="I120" s="341" t="s">
        <v>267</v>
      </c>
      <c r="J120" s="357">
        <v>85862</v>
      </c>
      <c r="K120" s="345">
        <v>0.8</v>
      </c>
      <c r="L120" s="346">
        <v>68689</v>
      </c>
      <c r="M120" s="274">
        <f>L120*10%</f>
        <v>6868.9000000000005</v>
      </c>
      <c r="N120" s="274">
        <f t="shared" si="5"/>
        <v>61820.1</v>
      </c>
      <c r="O120" s="364"/>
      <c r="P120" s="201" t="str">
        <f>VLOOKUP(G:G,list!B:D,2,FALSE)</f>
        <v>원작료</v>
      </c>
    </row>
    <row r="121" spans="2:16" ht="18" customHeight="1">
      <c r="B121" s="341">
        <v>118</v>
      </c>
      <c r="C121" s="341" t="s">
        <v>238</v>
      </c>
      <c r="D121" s="366" t="s">
        <v>217</v>
      </c>
      <c r="E121" s="366" t="s">
        <v>9</v>
      </c>
      <c r="F121" s="341" t="s">
        <v>184</v>
      </c>
      <c r="G121" s="366" t="s">
        <v>218</v>
      </c>
      <c r="H121" s="365">
        <v>44366</v>
      </c>
      <c r="I121" s="341" t="s">
        <v>281</v>
      </c>
      <c r="J121" s="367">
        <v>14717650</v>
      </c>
      <c r="K121" s="368">
        <v>0.3</v>
      </c>
      <c r="L121" s="346">
        <v>4415295</v>
      </c>
      <c r="M121" s="194">
        <f>L121*10%</f>
        <v>441529.5</v>
      </c>
      <c r="N121" s="274">
        <f t="shared" si="5"/>
        <v>3973765.5</v>
      </c>
      <c r="O121" s="364" t="s">
        <v>221</v>
      </c>
      <c r="P121" s="201" t="e">
        <f>VLOOKUP(G:G,list!B:D,2,FALSE)</f>
        <v>#N/A</v>
      </c>
    </row>
    <row r="122" spans="2:16" ht="18" customHeight="1">
      <c r="B122" s="341">
        <v>119</v>
      </c>
      <c r="C122" s="341" t="s">
        <v>238</v>
      </c>
      <c r="D122" s="366" t="s">
        <v>217</v>
      </c>
      <c r="E122" s="366" t="s">
        <v>9</v>
      </c>
      <c r="F122" s="341" t="s">
        <v>184</v>
      </c>
      <c r="G122" s="366" t="s">
        <v>219</v>
      </c>
      <c r="H122" s="365">
        <v>44466</v>
      </c>
      <c r="I122" s="341" t="s">
        <v>281</v>
      </c>
      <c r="J122" s="367">
        <v>6943216.666666667</v>
      </c>
      <c r="K122" s="368">
        <v>0.3</v>
      </c>
      <c r="L122" s="346">
        <v>2082965</v>
      </c>
      <c r="M122" s="194">
        <f>L122*12%</f>
        <v>249955.8</v>
      </c>
      <c r="N122" s="274">
        <f t="shared" ref="N122:N153" si="7">L122-M122</f>
        <v>1833009.2</v>
      </c>
      <c r="O122" s="364" t="s">
        <v>221</v>
      </c>
      <c r="P122" s="201" t="e">
        <f>VLOOKUP(G:G,list!B:D,2,FALSE)</f>
        <v>#N/A</v>
      </c>
    </row>
    <row r="123" spans="2:16" ht="18" customHeight="1">
      <c r="B123" s="341">
        <v>120</v>
      </c>
      <c r="C123" s="341" t="s">
        <v>238</v>
      </c>
      <c r="D123" s="341" t="s">
        <v>251</v>
      </c>
      <c r="E123" s="341" t="s">
        <v>9</v>
      </c>
      <c r="F123" s="341" t="s">
        <v>41</v>
      </c>
      <c r="G123" s="341" t="s">
        <v>212</v>
      </c>
      <c r="H123" s="365">
        <v>44327</v>
      </c>
      <c r="I123" s="341" t="s">
        <v>267</v>
      </c>
      <c r="J123" s="357">
        <v>908251</v>
      </c>
      <c r="K123" s="345">
        <v>0.8</v>
      </c>
      <c r="L123" s="346">
        <v>726600</v>
      </c>
      <c r="M123" s="194">
        <f>L123*10%</f>
        <v>72660</v>
      </c>
      <c r="N123" s="274">
        <f t="shared" si="7"/>
        <v>653940</v>
      </c>
      <c r="O123" s="364"/>
      <c r="P123" s="201" t="e">
        <f>VLOOKUP(G:G,list!B:D,2,FALSE)</f>
        <v>#N/A</v>
      </c>
    </row>
    <row r="124" spans="2:16" ht="18" customHeight="1">
      <c r="B124" s="341">
        <v>121</v>
      </c>
      <c r="C124" s="341" t="s">
        <v>238</v>
      </c>
      <c r="D124" s="366" t="s">
        <v>252</v>
      </c>
      <c r="E124" s="366" t="s">
        <v>9</v>
      </c>
      <c r="F124" s="341" t="s">
        <v>184</v>
      </c>
      <c r="G124" s="366" t="s">
        <v>218</v>
      </c>
      <c r="H124" s="365">
        <v>44466</v>
      </c>
      <c r="I124" s="341" t="s">
        <v>267</v>
      </c>
      <c r="J124" s="357">
        <v>155901483.33333334</v>
      </c>
      <c r="K124" s="345">
        <v>0.3</v>
      </c>
      <c r="L124" s="346">
        <v>46770445</v>
      </c>
      <c r="M124" s="194">
        <f>L124*10%</f>
        <v>4677044.5</v>
      </c>
      <c r="N124" s="274">
        <f t="shared" si="7"/>
        <v>42093400.5</v>
      </c>
      <c r="O124" s="364" t="s">
        <v>282</v>
      </c>
      <c r="P124" s="201" t="e">
        <f>VLOOKUP(G:G,list!B:D,2,FALSE)</f>
        <v>#N/A</v>
      </c>
    </row>
    <row r="125" spans="2:16" ht="18" customHeight="1">
      <c r="B125" s="341">
        <v>122</v>
      </c>
      <c r="C125" s="341"/>
      <c r="D125" s="366" t="s">
        <v>252</v>
      </c>
      <c r="E125" s="366" t="s">
        <v>9</v>
      </c>
      <c r="F125" s="341" t="s">
        <v>184</v>
      </c>
      <c r="G125" s="366" t="s">
        <v>135</v>
      </c>
      <c r="H125" s="365">
        <v>44468</v>
      </c>
      <c r="I125" s="341" t="s">
        <v>267</v>
      </c>
      <c r="J125" s="357">
        <v>100910</v>
      </c>
      <c r="K125" s="345">
        <v>0.3</v>
      </c>
      <c r="L125" s="346">
        <v>30273</v>
      </c>
      <c r="M125" s="194">
        <v>0</v>
      </c>
      <c r="N125" s="274">
        <f t="shared" si="7"/>
        <v>30273</v>
      </c>
      <c r="O125" s="364" t="s">
        <v>282</v>
      </c>
      <c r="P125" s="201" t="e">
        <f>VLOOKUP(G:G,list!B:D,2,FALSE)</f>
        <v>#N/A</v>
      </c>
    </row>
    <row r="126" spans="2:16" ht="18" customHeight="1">
      <c r="B126" s="341">
        <v>123</v>
      </c>
      <c r="C126" s="341" t="s">
        <v>238</v>
      </c>
      <c r="D126" s="366" t="s">
        <v>252</v>
      </c>
      <c r="E126" s="366" t="s">
        <v>9</v>
      </c>
      <c r="F126" s="341" t="s">
        <v>184</v>
      </c>
      <c r="G126" s="366" t="s">
        <v>219</v>
      </c>
      <c r="H126" s="365">
        <v>44498</v>
      </c>
      <c r="I126" s="341" t="s">
        <v>267</v>
      </c>
      <c r="J126" s="367">
        <v>33971563.333333336</v>
      </c>
      <c r="K126" s="345">
        <v>0.3</v>
      </c>
      <c r="L126" s="346">
        <v>10191469</v>
      </c>
      <c r="M126" s="194">
        <f>L126*12%</f>
        <v>1222976.28</v>
      </c>
      <c r="N126" s="274">
        <f t="shared" si="7"/>
        <v>8968492.7200000007</v>
      </c>
      <c r="O126" s="364" t="s">
        <v>282</v>
      </c>
      <c r="P126" s="201" t="e">
        <f>VLOOKUP(G:G,list!B:D,2,FALSE)</f>
        <v>#N/A</v>
      </c>
    </row>
    <row r="127" spans="2:16" ht="18" customHeight="1">
      <c r="B127" s="341">
        <v>124</v>
      </c>
      <c r="C127" s="341" t="s">
        <v>238</v>
      </c>
      <c r="D127" s="366" t="s">
        <v>252</v>
      </c>
      <c r="E127" s="366" t="s">
        <v>9</v>
      </c>
      <c r="F127" s="341" t="s">
        <v>184</v>
      </c>
      <c r="G127" s="366" t="s">
        <v>12</v>
      </c>
      <c r="H127" s="365">
        <v>44552</v>
      </c>
      <c r="I127" s="341" t="s">
        <v>267</v>
      </c>
      <c r="J127" s="367">
        <v>736910</v>
      </c>
      <c r="K127" s="345">
        <v>0.3</v>
      </c>
      <c r="L127" s="346">
        <v>221073</v>
      </c>
      <c r="M127" s="274">
        <f>L127*10%</f>
        <v>22107.300000000003</v>
      </c>
      <c r="N127" s="274">
        <f t="shared" si="7"/>
        <v>198965.7</v>
      </c>
      <c r="O127" s="364" t="s">
        <v>284</v>
      </c>
      <c r="P127" s="201" t="e">
        <f>VLOOKUP(G:G,list!B:D,2,FALSE)</f>
        <v>#N/A</v>
      </c>
    </row>
    <row r="128" spans="2:16" ht="18" customHeight="1">
      <c r="B128" s="341">
        <v>125</v>
      </c>
      <c r="C128" s="341"/>
      <c r="D128" s="369" t="s">
        <v>252</v>
      </c>
      <c r="E128" s="362" t="s">
        <v>9</v>
      </c>
      <c r="F128" s="369" t="s">
        <v>73</v>
      </c>
      <c r="G128" s="362" t="s">
        <v>179</v>
      </c>
      <c r="H128" s="363">
        <v>44198</v>
      </c>
      <c r="I128" s="341" t="s">
        <v>267</v>
      </c>
      <c r="J128" s="361">
        <v>84209125</v>
      </c>
      <c r="K128" s="368">
        <v>0.224</v>
      </c>
      <c r="L128" s="346">
        <v>16976569</v>
      </c>
      <c r="M128" s="194">
        <f>L128*10%</f>
        <v>1697656.9000000001</v>
      </c>
      <c r="N128" s="274">
        <f t="shared" si="7"/>
        <v>15278912.1</v>
      </c>
      <c r="O128" s="195" t="s">
        <v>85</v>
      </c>
      <c r="P128" s="201" t="e">
        <f>VLOOKUP(G:G,list!B:D,2,FALSE)</f>
        <v>#N/A</v>
      </c>
    </row>
    <row r="129" spans="2:16" ht="18" customHeight="1">
      <c r="B129" s="341">
        <v>126</v>
      </c>
      <c r="C129" s="341" t="s">
        <v>238</v>
      </c>
      <c r="D129" s="369" t="s">
        <v>252</v>
      </c>
      <c r="E129" s="362" t="s">
        <v>9</v>
      </c>
      <c r="F129" s="369" t="s">
        <v>73</v>
      </c>
      <c r="G129" s="362" t="s">
        <v>28</v>
      </c>
      <c r="H129" s="363">
        <v>44228</v>
      </c>
      <c r="I129" s="341" t="s">
        <v>267</v>
      </c>
      <c r="J129" s="361">
        <v>10557242</v>
      </c>
      <c r="K129" s="387">
        <v>0.224</v>
      </c>
      <c r="L129" s="346">
        <v>2128344</v>
      </c>
      <c r="M129" s="194">
        <f>L129*12%</f>
        <v>255401.28</v>
      </c>
      <c r="N129" s="274">
        <f t="shared" si="7"/>
        <v>1872942.72</v>
      </c>
      <c r="O129" s="194"/>
      <c r="P129" s="201" t="e">
        <f>VLOOKUP(G:G,list!B:D,2,FALSE)</f>
        <v>#N/A</v>
      </c>
    </row>
    <row r="130" spans="2:16" ht="18" customHeight="1">
      <c r="B130" s="341">
        <v>127</v>
      </c>
      <c r="C130" s="341" t="s">
        <v>238</v>
      </c>
      <c r="D130" s="369" t="s">
        <v>252</v>
      </c>
      <c r="E130" s="362" t="s">
        <v>9</v>
      </c>
      <c r="F130" s="369" t="s">
        <v>73</v>
      </c>
      <c r="G130" s="362" t="s">
        <v>54</v>
      </c>
      <c r="H130" s="363">
        <v>44265</v>
      </c>
      <c r="I130" s="341" t="s">
        <v>267</v>
      </c>
      <c r="J130" s="361">
        <v>1960879</v>
      </c>
      <c r="K130" s="368">
        <v>0.224</v>
      </c>
      <c r="L130" s="346">
        <v>395317</v>
      </c>
      <c r="M130" s="274">
        <f>L130*10%</f>
        <v>39531.700000000004</v>
      </c>
      <c r="N130" s="274">
        <f t="shared" si="7"/>
        <v>355785.3</v>
      </c>
      <c r="O130" s="194"/>
      <c r="P130" s="201" t="e">
        <f>VLOOKUP(G:G,list!B:D,2,FALSE)</f>
        <v>#N/A</v>
      </c>
    </row>
    <row r="131" spans="2:16" ht="18" customHeight="1">
      <c r="B131" s="341">
        <v>128</v>
      </c>
      <c r="C131" s="341" t="s">
        <v>238</v>
      </c>
      <c r="D131" s="369" t="s">
        <v>252</v>
      </c>
      <c r="E131" s="362" t="s">
        <v>9</v>
      </c>
      <c r="F131" s="369" t="s">
        <v>73</v>
      </c>
      <c r="G131" s="362" t="s">
        <v>29</v>
      </c>
      <c r="H131" s="363">
        <v>44315</v>
      </c>
      <c r="I131" s="341" t="s">
        <v>267</v>
      </c>
      <c r="J131" s="361">
        <v>6889997</v>
      </c>
      <c r="K131" s="368">
        <v>0.224</v>
      </c>
      <c r="L131" s="346">
        <v>1389033</v>
      </c>
      <c r="M131" s="274">
        <f>L131*10%</f>
        <v>138903.30000000002</v>
      </c>
      <c r="N131" s="274">
        <f t="shared" si="7"/>
        <v>1250129.7</v>
      </c>
      <c r="O131" s="347"/>
      <c r="P131" s="201" t="e">
        <f>VLOOKUP(G:G,list!B:D,2,FALSE)</f>
        <v>#N/A</v>
      </c>
    </row>
    <row r="132" spans="2:16" ht="18" customHeight="1">
      <c r="B132" s="341">
        <v>129</v>
      </c>
      <c r="C132" s="341" t="s">
        <v>238</v>
      </c>
      <c r="D132" s="369" t="s">
        <v>252</v>
      </c>
      <c r="E132" s="362" t="s">
        <v>9</v>
      </c>
      <c r="F132" s="369" t="s">
        <v>73</v>
      </c>
      <c r="G132" s="362" t="s">
        <v>30</v>
      </c>
      <c r="H132" s="363">
        <v>44359</v>
      </c>
      <c r="I132" s="341" t="s">
        <v>267</v>
      </c>
      <c r="J132" s="361">
        <v>15333136</v>
      </c>
      <c r="K132" s="368">
        <v>0.224</v>
      </c>
      <c r="L132" s="346">
        <v>3091168</v>
      </c>
      <c r="M132" s="274">
        <f>L132*10%</f>
        <v>309116.79999999999</v>
      </c>
      <c r="N132" s="274">
        <f t="shared" si="7"/>
        <v>2782051.2</v>
      </c>
      <c r="O132" s="194"/>
      <c r="P132" s="201" t="str">
        <f>VLOOKUP(G:G,list!B:D,2,FALSE)</f>
        <v>원작료</v>
      </c>
    </row>
    <row r="133" spans="2:16" ht="18" customHeight="1">
      <c r="B133" s="341">
        <v>130</v>
      </c>
      <c r="C133" s="341" t="s">
        <v>238</v>
      </c>
      <c r="D133" s="369" t="s">
        <v>252</v>
      </c>
      <c r="E133" s="362" t="s">
        <v>9</v>
      </c>
      <c r="F133" s="369" t="s">
        <v>73</v>
      </c>
      <c r="G133" s="362" t="s">
        <v>212</v>
      </c>
      <c r="H133" s="363">
        <v>44378</v>
      </c>
      <c r="I133" s="341" t="s">
        <v>267</v>
      </c>
      <c r="J133" s="361">
        <v>51316034</v>
      </c>
      <c r="K133" s="368">
        <v>0.24</v>
      </c>
      <c r="L133" s="346">
        <v>11084268</v>
      </c>
      <c r="M133" s="194">
        <f>L133*10%</f>
        <v>1108426.8</v>
      </c>
      <c r="N133" s="274">
        <f t="shared" si="7"/>
        <v>9975841.1999999993</v>
      </c>
      <c r="O133" s="194"/>
      <c r="P133" s="201" t="e">
        <f>VLOOKUP(G:G,list!B:D,2,FALSE)</f>
        <v>#N/A</v>
      </c>
    </row>
    <row r="134" spans="2:16" ht="18" customHeight="1">
      <c r="B134" s="341">
        <v>131</v>
      </c>
      <c r="C134" s="341"/>
      <c r="D134" s="369" t="s">
        <v>252</v>
      </c>
      <c r="E134" s="362" t="s">
        <v>9</v>
      </c>
      <c r="F134" s="369" t="s">
        <v>73</v>
      </c>
      <c r="G134" s="362" t="s">
        <v>147</v>
      </c>
      <c r="H134" s="363">
        <v>44435</v>
      </c>
      <c r="I134" s="341" t="s">
        <v>267</v>
      </c>
      <c r="J134" s="361">
        <v>6938115</v>
      </c>
      <c r="K134" s="368">
        <v>0.224</v>
      </c>
      <c r="L134" s="346">
        <v>1398731</v>
      </c>
      <c r="M134" s="194">
        <v>0</v>
      </c>
      <c r="N134" s="274">
        <f t="shared" si="7"/>
        <v>1398731</v>
      </c>
      <c r="O134" s="194"/>
      <c r="P134" s="201" t="e">
        <f>VLOOKUP(G:G,list!B:D,2,FALSE)</f>
        <v>#N/A</v>
      </c>
    </row>
    <row r="135" spans="2:16" ht="18" customHeight="1">
      <c r="B135" s="341">
        <v>132</v>
      </c>
      <c r="C135" s="341" t="s">
        <v>238</v>
      </c>
      <c r="D135" s="369" t="s">
        <v>252</v>
      </c>
      <c r="E135" s="362" t="s">
        <v>9</v>
      </c>
      <c r="F135" s="369" t="s">
        <v>73</v>
      </c>
      <c r="G135" s="362" t="s">
        <v>225</v>
      </c>
      <c r="H135" s="363">
        <v>44479</v>
      </c>
      <c r="I135" s="341" t="s">
        <v>267</v>
      </c>
      <c r="J135" s="361">
        <v>2070412</v>
      </c>
      <c r="K135" s="368">
        <v>0.224</v>
      </c>
      <c r="L135" s="346">
        <v>417399</v>
      </c>
      <c r="M135" s="274">
        <f>L135*10%</f>
        <v>41739.9</v>
      </c>
      <c r="N135" s="274">
        <f t="shared" si="7"/>
        <v>375659.1</v>
      </c>
      <c r="O135" s="194"/>
      <c r="P135" s="201" t="e">
        <f>VLOOKUP(G:G,list!B:D,2,FALSE)</f>
        <v>#N/A</v>
      </c>
    </row>
    <row r="136" spans="2:16" ht="18" customHeight="1">
      <c r="B136" s="341">
        <v>133</v>
      </c>
      <c r="C136" s="341" t="s">
        <v>238</v>
      </c>
      <c r="D136" s="369" t="s">
        <v>252</v>
      </c>
      <c r="E136" s="362" t="s">
        <v>9</v>
      </c>
      <c r="F136" s="369" t="s">
        <v>298</v>
      </c>
      <c r="G136" s="362" t="s">
        <v>40</v>
      </c>
      <c r="H136" s="363">
        <v>44505</v>
      </c>
      <c r="I136" s="341" t="s">
        <v>244</v>
      </c>
      <c r="J136" s="361">
        <v>3791960</v>
      </c>
      <c r="K136" s="368">
        <v>0.8</v>
      </c>
      <c r="L136" s="346">
        <v>3033568</v>
      </c>
      <c r="M136" s="194">
        <f>L136*10%</f>
        <v>303356.79999999999</v>
      </c>
      <c r="N136" s="274">
        <f t="shared" si="7"/>
        <v>2730211.2</v>
      </c>
      <c r="O136" s="370" t="s">
        <v>287</v>
      </c>
      <c r="P136" s="201" t="e">
        <f>VLOOKUP(G:G,list!B:D,2,FALSE)</f>
        <v>#N/A</v>
      </c>
    </row>
    <row r="137" spans="2:16" ht="18" customHeight="1">
      <c r="B137" s="341">
        <v>134</v>
      </c>
      <c r="C137" s="341" t="s">
        <v>238</v>
      </c>
      <c r="D137" s="369" t="s">
        <v>252</v>
      </c>
      <c r="E137" s="362" t="s">
        <v>9</v>
      </c>
      <c r="F137" s="369" t="s">
        <v>298</v>
      </c>
      <c r="G137" s="362" t="s">
        <v>40</v>
      </c>
      <c r="H137" s="363">
        <v>44505</v>
      </c>
      <c r="I137" s="341" t="s">
        <v>296</v>
      </c>
      <c r="J137" s="361">
        <v>1260668</v>
      </c>
      <c r="K137" s="368">
        <v>0.8</v>
      </c>
      <c r="L137" s="346">
        <v>1008534</v>
      </c>
      <c r="M137" s="194">
        <f>L137*10%</f>
        <v>100853.40000000001</v>
      </c>
      <c r="N137" s="274">
        <f t="shared" si="7"/>
        <v>907680.6</v>
      </c>
      <c r="O137" s="370" t="s">
        <v>287</v>
      </c>
      <c r="P137" s="201" t="e">
        <f>VLOOKUP(G:G,list!B:D,2,FALSE)</f>
        <v>#N/A</v>
      </c>
    </row>
    <row r="138" spans="2:16" ht="18" customHeight="1">
      <c r="B138" s="341">
        <v>135</v>
      </c>
      <c r="C138" s="341" t="s">
        <v>238</v>
      </c>
      <c r="D138" s="369" t="s">
        <v>252</v>
      </c>
      <c r="E138" s="362" t="s">
        <v>9</v>
      </c>
      <c r="F138" s="369" t="s">
        <v>298</v>
      </c>
      <c r="G138" s="362" t="s">
        <v>39</v>
      </c>
      <c r="H138" s="363">
        <v>44526</v>
      </c>
      <c r="I138" s="341" t="s">
        <v>244</v>
      </c>
      <c r="J138" s="361">
        <v>1434510</v>
      </c>
      <c r="K138" s="368">
        <v>0.8</v>
      </c>
      <c r="L138" s="346">
        <v>1147608</v>
      </c>
      <c r="M138" s="194">
        <f>L138*10%</f>
        <v>114760.8</v>
      </c>
      <c r="N138" s="274">
        <f t="shared" si="7"/>
        <v>1032847.2</v>
      </c>
      <c r="O138" s="370" t="s">
        <v>287</v>
      </c>
      <c r="P138" s="201" t="e">
        <f>VLOOKUP(G:G,list!B:D,2,FALSE)</f>
        <v>#N/A</v>
      </c>
    </row>
    <row r="139" spans="2:16" ht="18" customHeight="1">
      <c r="B139" s="341">
        <v>136</v>
      </c>
      <c r="C139" s="341" t="s">
        <v>238</v>
      </c>
      <c r="D139" s="366" t="s">
        <v>214</v>
      </c>
      <c r="E139" s="366" t="s">
        <v>9</v>
      </c>
      <c r="F139" s="341" t="s">
        <v>184</v>
      </c>
      <c r="G139" s="366" t="s">
        <v>218</v>
      </c>
      <c r="H139" s="365">
        <v>44356</v>
      </c>
      <c r="I139" s="341" t="s">
        <v>281</v>
      </c>
      <c r="J139" s="361">
        <v>987613.33333333337</v>
      </c>
      <c r="K139" s="368">
        <v>0.3</v>
      </c>
      <c r="L139" s="346">
        <v>296284</v>
      </c>
      <c r="M139" s="194">
        <f>L139*10%</f>
        <v>29628.400000000001</v>
      </c>
      <c r="N139" s="274">
        <f t="shared" si="7"/>
        <v>266655.59999999998</v>
      </c>
      <c r="O139" s="364" t="s">
        <v>220</v>
      </c>
      <c r="P139" s="201" t="e">
        <f>VLOOKUP(G:G,list!B:D,2,FALSE)</f>
        <v>#N/A</v>
      </c>
    </row>
    <row r="140" spans="2:16" ht="18" customHeight="1">
      <c r="B140" s="341">
        <v>137</v>
      </c>
      <c r="C140" s="341"/>
      <c r="D140" s="366" t="s">
        <v>214</v>
      </c>
      <c r="E140" s="366" t="s">
        <v>9</v>
      </c>
      <c r="F140" s="341" t="s">
        <v>184</v>
      </c>
      <c r="G140" s="366" t="s">
        <v>135</v>
      </c>
      <c r="H140" s="365">
        <v>44381</v>
      </c>
      <c r="I140" s="341" t="s">
        <v>281</v>
      </c>
      <c r="J140" s="361">
        <v>106290</v>
      </c>
      <c r="K140" s="368">
        <v>0.3</v>
      </c>
      <c r="L140" s="346">
        <v>31887</v>
      </c>
      <c r="M140" s="194">
        <v>0</v>
      </c>
      <c r="N140" s="274">
        <f t="shared" si="7"/>
        <v>31887</v>
      </c>
      <c r="O140" s="364" t="s">
        <v>220</v>
      </c>
      <c r="P140" s="201" t="e">
        <f>VLOOKUP(G:G,list!B:D,2,FALSE)</f>
        <v>#N/A</v>
      </c>
    </row>
    <row r="141" spans="2:16" ht="18" customHeight="1">
      <c r="B141" s="341">
        <v>138</v>
      </c>
      <c r="C141" s="341" t="s">
        <v>238</v>
      </c>
      <c r="D141" s="366" t="s">
        <v>214</v>
      </c>
      <c r="E141" s="366" t="s">
        <v>9</v>
      </c>
      <c r="F141" s="341" t="s">
        <v>184</v>
      </c>
      <c r="G141" s="366" t="s">
        <v>136</v>
      </c>
      <c r="H141" s="365">
        <v>44364</v>
      </c>
      <c r="I141" s="341" t="s">
        <v>281</v>
      </c>
      <c r="J141" s="367">
        <v>8633.3333333333339</v>
      </c>
      <c r="K141" s="368">
        <v>0.3</v>
      </c>
      <c r="L141" s="346">
        <v>2590</v>
      </c>
      <c r="M141" s="274">
        <f>L141*10%</f>
        <v>259</v>
      </c>
      <c r="N141" s="274">
        <f t="shared" si="7"/>
        <v>2331</v>
      </c>
      <c r="O141" s="364" t="s">
        <v>220</v>
      </c>
      <c r="P141" s="201" t="e">
        <f>VLOOKUP(G:G,list!B:D,2,FALSE)</f>
        <v>#N/A</v>
      </c>
    </row>
    <row r="142" spans="2:16" ht="18" customHeight="1">
      <c r="B142" s="341">
        <v>139</v>
      </c>
      <c r="C142" s="341" t="s">
        <v>238</v>
      </c>
      <c r="D142" s="366" t="s">
        <v>214</v>
      </c>
      <c r="E142" s="366" t="s">
        <v>9</v>
      </c>
      <c r="F142" s="341" t="s">
        <v>184</v>
      </c>
      <c r="G142" s="366" t="s">
        <v>219</v>
      </c>
      <c r="H142" s="365">
        <v>44477</v>
      </c>
      <c r="I142" s="341" t="s">
        <v>281</v>
      </c>
      <c r="J142" s="367">
        <v>189583.33333333334</v>
      </c>
      <c r="K142" s="368">
        <v>0.3</v>
      </c>
      <c r="L142" s="346">
        <v>56875</v>
      </c>
      <c r="M142" s="194">
        <f>L142*12%</f>
        <v>6825</v>
      </c>
      <c r="N142" s="274">
        <f t="shared" si="7"/>
        <v>50050</v>
      </c>
      <c r="O142" s="364" t="s">
        <v>220</v>
      </c>
      <c r="P142" s="201" t="e">
        <f>VLOOKUP(G:G,list!B:D,2,FALSE)</f>
        <v>#N/A</v>
      </c>
    </row>
    <row r="143" spans="2:16" ht="18" customHeight="1">
      <c r="B143" s="341">
        <v>140</v>
      </c>
      <c r="C143" s="341" t="s">
        <v>238</v>
      </c>
      <c r="D143" s="369" t="s">
        <v>214</v>
      </c>
      <c r="E143" s="362" t="s">
        <v>9</v>
      </c>
      <c r="F143" s="369" t="s">
        <v>260</v>
      </c>
      <c r="G143" s="341" t="s">
        <v>258</v>
      </c>
      <c r="H143" s="310">
        <v>44492</v>
      </c>
      <c r="I143" s="341" t="s">
        <v>267</v>
      </c>
      <c r="J143" s="361">
        <v>211828</v>
      </c>
      <c r="K143" s="368">
        <v>0.5</v>
      </c>
      <c r="L143" s="346">
        <v>89207</v>
      </c>
      <c r="M143" s="274">
        <f>L143*10%</f>
        <v>8920.7000000000007</v>
      </c>
      <c r="N143" s="274">
        <f t="shared" si="7"/>
        <v>80286.3</v>
      </c>
      <c r="O143" s="197"/>
      <c r="P143" s="201" t="e">
        <f>VLOOKUP(G:G,list!B:D,2,FALSE)</f>
        <v>#N/A</v>
      </c>
    </row>
    <row r="144" spans="2:16" ht="18" customHeight="1">
      <c r="B144" s="341">
        <v>141</v>
      </c>
      <c r="C144" s="341" t="s">
        <v>238</v>
      </c>
      <c r="D144" s="341" t="s">
        <v>79</v>
      </c>
      <c r="E144" s="341" t="s">
        <v>9</v>
      </c>
      <c r="F144" s="341" t="s">
        <v>297</v>
      </c>
      <c r="G144" s="341" t="s">
        <v>173</v>
      </c>
      <c r="H144" s="353">
        <v>44531</v>
      </c>
      <c r="I144" s="341" t="s">
        <v>296</v>
      </c>
      <c r="J144" s="357">
        <v>2987369</v>
      </c>
      <c r="K144" s="345">
        <v>0.28000000000000003</v>
      </c>
      <c r="L144" s="346">
        <v>713646</v>
      </c>
      <c r="M144" s="194">
        <f>L144*10%</f>
        <v>71364.600000000006</v>
      </c>
      <c r="N144" s="274">
        <f t="shared" si="7"/>
        <v>642281.4</v>
      </c>
      <c r="O144" s="191" t="s">
        <v>287</v>
      </c>
      <c r="P144" s="201" t="e">
        <f>VLOOKUP(G:G,list!B:D,2,FALSE)</f>
        <v>#N/A</v>
      </c>
    </row>
    <row r="145" spans="2:16" ht="18" customHeight="1">
      <c r="B145" s="341">
        <v>142</v>
      </c>
      <c r="C145" s="341" t="s">
        <v>238</v>
      </c>
      <c r="D145" s="341" t="s">
        <v>79</v>
      </c>
      <c r="E145" s="341" t="s">
        <v>9</v>
      </c>
      <c r="F145" s="341" t="s">
        <v>297</v>
      </c>
      <c r="G145" s="341" t="s">
        <v>43</v>
      </c>
      <c r="H145" s="353">
        <v>44534</v>
      </c>
      <c r="I145" s="341" t="s">
        <v>296</v>
      </c>
      <c r="J145" s="357">
        <v>8372236</v>
      </c>
      <c r="K145" s="345">
        <v>0.245</v>
      </c>
      <c r="L145" s="346">
        <v>1723205</v>
      </c>
      <c r="M145" s="194">
        <f>L145*10%</f>
        <v>172320.5</v>
      </c>
      <c r="N145" s="274">
        <f t="shared" si="7"/>
        <v>1550884.5</v>
      </c>
      <c r="O145" s="191" t="s">
        <v>287</v>
      </c>
      <c r="P145" s="201" t="e">
        <f>VLOOKUP(G:G,list!B:D,2,FALSE)</f>
        <v>#N/A</v>
      </c>
    </row>
    <row r="146" spans="2:16" ht="18" customHeight="1">
      <c r="B146" s="341">
        <v>143</v>
      </c>
      <c r="C146" s="341" t="s">
        <v>238</v>
      </c>
      <c r="D146" s="341" t="s">
        <v>79</v>
      </c>
      <c r="E146" s="341" t="s">
        <v>9</v>
      </c>
      <c r="F146" s="341" t="s">
        <v>297</v>
      </c>
      <c r="G146" s="341" t="s">
        <v>57</v>
      </c>
      <c r="H146" s="353">
        <v>44552</v>
      </c>
      <c r="I146" s="341" t="s">
        <v>296</v>
      </c>
      <c r="J146" s="357">
        <v>467496</v>
      </c>
      <c r="K146" s="345">
        <v>0.28000000000000003</v>
      </c>
      <c r="L146" s="346">
        <v>109967</v>
      </c>
      <c r="M146" s="274">
        <f>L146*10%</f>
        <v>10996.7</v>
      </c>
      <c r="N146" s="274">
        <f t="shared" si="7"/>
        <v>98970.3</v>
      </c>
      <c r="O146" s="191" t="s">
        <v>287</v>
      </c>
      <c r="P146" s="201" t="e">
        <f>VLOOKUP(G:G,list!B:D,2,FALSE)</f>
        <v>#N/A</v>
      </c>
    </row>
    <row r="147" spans="2:16" ht="18" customHeight="1">
      <c r="B147" s="341">
        <v>144</v>
      </c>
      <c r="C147" s="341" t="s">
        <v>238</v>
      </c>
      <c r="D147" s="366" t="s">
        <v>216</v>
      </c>
      <c r="E147" s="366" t="s">
        <v>9</v>
      </c>
      <c r="F147" s="341" t="s">
        <v>184</v>
      </c>
      <c r="G147" s="366" t="s">
        <v>218</v>
      </c>
      <c r="H147" s="365">
        <v>44396</v>
      </c>
      <c r="I147" s="341" t="s">
        <v>281</v>
      </c>
      <c r="J147" s="361">
        <v>10085213.333333334</v>
      </c>
      <c r="K147" s="368">
        <v>0.3</v>
      </c>
      <c r="L147" s="346">
        <v>3025564</v>
      </c>
      <c r="M147" s="194">
        <f>L147*10%</f>
        <v>302556.40000000002</v>
      </c>
      <c r="N147" s="274">
        <f t="shared" si="7"/>
        <v>2723007.6</v>
      </c>
      <c r="O147" s="364" t="s">
        <v>221</v>
      </c>
      <c r="P147" s="201" t="e">
        <f>VLOOKUP(G:G,list!B:D,2,FALSE)</f>
        <v>#N/A</v>
      </c>
    </row>
    <row r="148" spans="2:16" ht="18" customHeight="1">
      <c r="B148" s="341">
        <v>145</v>
      </c>
      <c r="C148" s="341"/>
      <c r="D148" s="366" t="s">
        <v>216</v>
      </c>
      <c r="E148" s="366" t="s">
        <v>9</v>
      </c>
      <c r="F148" s="341" t="s">
        <v>184</v>
      </c>
      <c r="G148" s="366" t="s">
        <v>135</v>
      </c>
      <c r="H148" s="365">
        <v>44370</v>
      </c>
      <c r="I148" s="341" t="s">
        <v>281</v>
      </c>
      <c r="J148" s="367">
        <v>324683.33333333337</v>
      </c>
      <c r="K148" s="368">
        <v>0.3</v>
      </c>
      <c r="L148" s="346">
        <v>97405</v>
      </c>
      <c r="M148" s="194">
        <v>0</v>
      </c>
      <c r="N148" s="274">
        <f t="shared" si="7"/>
        <v>97405</v>
      </c>
      <c r="O148" s="364" t="s">
        <v>221</v>
      </c>
      <c r="P148" s="201" t="e">
        <f>VLOOKUP(G:G,list!B:D,2,FALSE)</f>
        <v>#N/A</v>
      </c>
    </row>
    <row r="149" spans="2:16" ht="18" customHeight="1">
      <c r="B149" s="341">
        <v>146</v>
      </c>
      <c r="C149" s="341" t="s">
        <v>238</v>
      </c>
      <c r="D149" s="366" t="s">
        <v>216</v>
      </c>
      <c r="E149" s="366" t="s">
        <v>9</v>
      </c>
      <c r="F149" s="341" t="s">
        <v>184</v>
      </c>
      <c r="G149" s="366" t="s">
        <v>219</v>
      </c>
      <c r="H149" s="365">
        <v>44497</v>
      </c>
      <c r="I149" s="341" t="s">
        <v>281</v>
      </c>
      <c r="J149" s="367">
        <v>6711893.333333334</v>
      </c>
      <c r="K149" s="368">
        <v>0.3</v>
      </c>
      <c r="L149" s="346">
        <v>2013568</v>
      </c>
      <c r="M149" s="194">
        <f>L149*12%</f>
        <v>241628.16</v>
      </c>
      <c r="N149" s="274">
        <f t="shared" si="7"/>
        <v>1771939.8400000001</v>
      </c>
      <c r="O149" s="364" t="s">
        <v>221</v>
      </c>
      <c r="P149" s="201" t="e">
        <f>VLOOKUP(G:G,list!B:D,2,FALSE)</f>
        <v>#N/A</v>
      </c>
    </row>
    <row r="150" spans="2:16" ht="18" customHeight="1">
      <c r="B150" s="341">
        <v>147</v>
      </c>
      <c r="C150" s="341" t="s">
        <v>238</v>
      </c>
      <c r="D150" s="369" t="s">
        <v>216</v>
      </c>
      <c r="E150" s="342" t="s">
        <v>115</v>
      </c>
      <c r="F150" s="369" t="s">
        <v>31</v>
      </c>
      <c r="G150" s="342" t="s">
        <v>28</v>
      </c>
      <c r="H150" s="343">
        <v>44096</v>
      </c>
      <c r="I150" s="341" t="s">
        <v>267</v>
      </c>
      <c r="J150" s="361">
        <v>344113</v>
      </c>
      <c r="K150" s="368">
        <v>0.4</v>
      </c>
      <c r="L150" s="346">
        <v>130765</v>
      </c>
      <c r="M150" s="194">
        <f>L150*12%</f>
        <v>15691.8</v>
      </c>
      <c r="N150" s="274">
        <f t="shared" si="7"/>
        <v>115073.2</v>
      </c>
      <c r="O150" s="191"/>
      <c r="P150" s="201" t="e">
        <f>VLOOKUP(G:G,list!B:D,2,FALSE)</f>
        <v>#N/A</v>
      </c>
    </row>
    <row r="151" spans="2:16" ht="18" customHeight="1">
      <c r="B151" s="341">
        <v>148</v>
      </c>
      <c r="C151" s="341" t="s">
        <v>238</v>
      </c>
      <c r="D151" s="369" t="s">
        <v>216</v>
      </c>
      <c r="E151" s="342" t="s">
        <v>115</v>
      </c>
      <c r="F151" s="369" t="s">
        <v>31</v>
      </c>
      <c r="G151" s="342" t="s">
        <v>29</v>
      </c>
      <c r="H151" s="343">
        <v>44137</v>
      </c>
      <c r="I151" s="341" t="s">
        <v>267</v>
      </c>
      <c r="J151" s="361">
        <v>418887</v>
      </c>
      <c r="K151" s="368">
        <v>0.4</v>
      </c>
      <c r="L151" s="346">
        <v>159174</v>
      </c>
      <c r="M151" s="274">
        <f t="shared" ref="M151:M157" si="8">L151*10%</f>
        <v>15917.400000000001</v>
      </c>
      <c r="N151" s="274">
        <f t="shared" si="7"/>
        <v>143256.6</v>
      </c>
      <c r="O151" s="191"/>
      <c r="P151" s="201" t="e">
        <f>VLOOKUP(G:G,list!B:D,2,FALSE)</f>
        <v>#N/A</v>
      </c>
    </row>
    <row r="152" spans="2:16" ht="18" customHeight="1">
      <c r="B152" s="341">
        <v>149</v>
      </c>
      <c r="C152" s="341" t="s">
        <v>238</v>
      </c>
      <c r="D152" s="369" t="s">
        <v>216</v>
      </c>
      <c r="E152" s="342" t="s">
        <v>115</v>
      </c>
      <c r="F152" s="369" t="s">
        <v>31</v>
      </c>
      <c r="G152" s="342" t="s">
        <v>151</v>
      </c>
      <c r="H152" s="343">
        <v>44239</v>
      </c>
      <c r="I152" s="341" t="s">
        <v>267</v>
      </c>
      <c r="J152" s="361">
        <v>848760</v>
      </c>
      <c r="K152" s="368">
        <v>0.4</v>
      </c>
      <c r="L152" s="346">
        <v>322527</v>
      </c>
      <c r="M152" s="274">
        <f t="shared" si="8"/>
        <v>32252.7</v>
      </c>
      <c r="N152" s="274">
        <f t="shared" si="7"/>
        <v>290274.3</v>
      </c>
      <c r="O152" s="347"/>
      <c r="P152" s="201" t="str">
        <f>VLOOKUP(G:G,list!B:D,2,FALSE)</f>
        <v>원작료</v>
      </c>
    </row>
    <row r="153" spans="2:16" ht="18" customHeight="1">
      <c r="B153" s="341">
        <v>150</v>
      </c>
      <c r="C153" s="341" t="s">
        <v>238</v>
      </c>
      <c r="D153" s="369" t="s">
        <v>216</v>
      </c>
      <c r="E153" s="342" t="s">
        <v>115</v>
      </c>
      <c r="F153" s="369" t="s">
        <v>31</v>
      </c>
      <c r="G153" s="342" t="s">
        <v>256</v>
      </c>
      <c r="H153" s="343">
        <v>44487</v>
      </c>
      <c r="I153" s="341" t="s">
        <v>267</v>
      </c>
      <c r="J153" s="361">
        <v>80858</v>
      </c>
      <c r="K153" s="368">
        <v>0.4</v>
      </c>
      <c r="L153" s="346">
        <v>30717</v>
      </c>
      <c r="M153" s="194">
        <f t="shared" si="8"/>
        <v>3071.7000000000003</v>
      </c>
      <c r="N153" s="274">
        <f t="shared" si="7"/>
        <v>27645.3</v>
      </c>
      <c r="O153" s="194"/>
      <c r="P153" s="201" t="e">
        <f>VLOOKUP(G:G,list!B:D,2,FALSE)</f>
        <v>#N/A</v>
      </c>
    </row>
    <row r="154" spans="2:16" ht="18" customHeight="1">
      <c r="B154" s="341">
        <v>151</v>
      </c>
      <c r="C154" s="341" t="s">
        <v>238</v>
      </c>
      <c r="D154" s="369" t="s">
        <v>216</v>
      </c>
      <c r="E154" s="342" t="s">
        <v>115</v>
      </c>
      <c r="F154" s="369" t="s">
        <v>31</v>
      </c>
      <c r="G154" s="342" t="s">
        <v>204</v>
      </c>
      <c r="H154" s="343">
        <v>44453</v>
      </c>
      <c r="I154" s="341" t="s">
        <v>267</v>
      </c>
      <c r="J154" s="361">
        <v>180928</v>
      </c>
      <c r="K154" s="368">
        <v>0.4</v>
      </c>
      <c r="L154" s="346">
        <v>68749</v>
      </c>
      <c r="M154" s="194">
        <f t="shared" si="8"/>
        <v>6874.9000000000005</v>
      </c>
      <c r="N154" s="274">
        <f t="shared" ref="N154:N173" si="9">L154-M154</f>
        <v>61874.1</v>
      </c>
      <c r="O154" s="197"/>
      <c r="P154" s="201" t="e">
        <f>VLOOKUP(G:G,list!B:D,2,FALSE)</f>
        <v>#N/A</v>
      </c>
    </row>
    <row r="155" spans="2:16" ht="18" customHeight="1">
      <c r="B155" s="341">
        <v>152</v>
      </c>
      <c r="C155" s="341" t="s">
        <v>238</v>
      </c>
      <c r="D155" s="369" t="s">
        <v>216</v>
      </c>
      <c r="E155" s="342" t="s">
        <v>115</v>
      </c>
      <c r="F155" s="369" t="s">
        <v>31</v>
      </c>
      <c r="G155" s="342" t="s">
        <v>38</v>
      </c>
      <c r="H155" s="343">
        <v>44470</v>
      </c>
      <c r="I155" s="341" t="s">
        <v>267</v>
      </c>
      <c r="J155" s="361">
        <v>372178</v>
      </c>
      <c r="K155" s="368">
        <v>0.4</v>
      </c>
      <c r="L155" s="346">
        <v>141428</v>
      </c>
      <c r="M155" s="274">
        <f t="shared" si="8"/>
        <v>14142.800000000001</v>
      </c>
      <c r="N155" s="274">
        <f t="shared" si="9"/>
        <v>127285.2</v>
      </c>
      <c r="O155" s="370"/>
      <c r="P155" s="201" t="e">
        <f>VLOOKUP(G:G,list!B:D,2,FALSE)</f>
        <v>#N/A</v>
      </c>
    </row>
    <row r="156" spans="2:16" ht="18" customHeight="1">
      <c r="B156" s="341">
        <v>153</v>
      </c>
      <c r="C156" s="341"/>
      <c r="D156" s="362" t="s">
        <v>32</v>
      </c>
      <c r="E156" s="362" t="s">
        <v>9</v>
      </c>
      <c r="F156" s="369" t="s">
        <v>257</v>
      </c>
      <c r="G156" s="362" t="s">
        <v>42</v>
      </c>
      <c r="H156" s="386">
        <v>44354</v>
      </c>
      <c r="I156" s="341" t="s">
        <v>281</v>
      </c>
      <c r="J156" s="361">
        <v>15086346</v>
      </c>
      <c r="K156" s="371">
        <v>0.27999995826320889</v>
      </c>
      <c r="L156" s="346">
        <v>4224177</v>
      </c>
      <c r="M156" s="194">
        <f t="shared" si="8"/>
        <v>422417.7</v>
      </c>
      <c r="N156" s="274">
        <f t="shared" si="9"/>
        <v>3801759.3</v>
      </c>
      <c r="O156" s="195" t="s">
        <v>85</v>
      </c>
      <c r="P156" s="201" t="e">
        <f>VLOOKUP(G:G,list!B:D,2,FALSE)</f>
        <v>#N/A</v>
      </c>
    </row>
    <row r="157" spans="2:16" ht="18" customHeight="1">
      <c r="B157" s="341">
        <v>154</v>
      </c>
      <c r="C157" s="341" t="s">
        <v>238</v>
      </c>
      <c r="D157" s="362" t="s">
        <v>32</v>
      </c>
      <c r="E157" s="362" t="s">
        <v>9</v>
      </c>
      <c r="F157" s="369" t="s">
        <v>257</v>
      </c>
      <c r="G157" s="362" t="s">
        <v>212</v>
      </c>
      <c r="H157" s="385">
        <v>44507</v>
      </c>
      <c r="I157" s="341" t="s">
        <v>281</v>
      </c>
      <c r="J157" s="361">
        <v>22002284</v>
      </c>
      <c r="K157" s="371">
        <v>0.24499999976453651</v>
      </c>
      <c r="L157" s="346">
        <v>5390560</v>
      </c>
      <c r="M157" s="194">
        <f t="shared" si="8"/>
        <v>539056</v>
      </c>
      <c r="N157" s="274">
        <f t="shared" si="9"/>
        <v>4851504</v>
      </c>
      <c r="O157" s="197"/>
      <c r="P157" s="201" t="e">
        <f>VLOOKUP(G:G,list!B:D,2,FALSE)</f>
        <v>#N/A</v>
      </c>
    </row>
    <row r="158" spans="2:16" ht="18" customHeight="1">
      <c r="B158" s="341">
        <v>155</v>
      </c>
      <c r="C158" s="341"/>
      <c r="D158" s="369" t="s">
        <v>216</v>
      </c>
      <c r="E158" s="362" t="s">
        <v>9</v>
      </c>
      <c r="F158" s="372" t="s">
        <v>154</v>
      </c>
      <c r="G158" s="362" t="s">
        <v>36</v>
      </c>
      <c r="H158" s="385">
        <v>44106</v>
      </c>
      <c r="I158" s="341" t="s">
        <v>267</v>
      </c>
      <c r="J158" s="361">
        <v>2172021</v>
      </c>
      <c r="K158" s="373">
        <v>0.4</v>
      </c>
      <c r="L158" s="346">
        <v>825368</v>
      </c>
      <c r="M158" s="274">
        <v>0</v>
      </c>
      <c r="N158" s="274">
        <f t="shared" si="9"/>
        <v>825368</v>
      </c>
      <c r="O158" s="197"/>
      <c r="P158" s="201" t="str">
        <f>VLOOKUP(G:G,list!B:D,2,FALSE)</f>
        <v>작가기획</v>
      </c>
    </row>
    <row r="159" spans="2:16" ht="18" customHeight="1">
      <c r="B159" s="341">
        <v>156</v>
      </c>
      <c r="C159" s="341"/>
      <c r="D159" s="369" t="s">
        <v>216</v>
      </c>
      <c r="E159" s="362" t="s">
        <v>9</v>
      </c>
      <c r="F159" s="372" t="s">
        <v>154</v>
      </c>
      <c r="G159" s="362" t="s">
        <v>37</v>
      </c>
      <c r="H159" s="385">
        <v>44113</v>
      </c>
      <c r="I159" s="341" t="s">
        <v>267</v>
      </c>
      <c r="J159" s="361">
        <v>42007</v>
      </c>
      <c r="K159" s="373">
        <v>0.4</v>
      </c>
      <c r="L159" s="346">
        <v>15962</v>
      </c>
      <c r="M159" s="274">
        <v>0</v>
      </c>
      <c r="N159" s="274">
        <f t="shared" si="9"/>
        <v>15962</v>
      </c>
      <c r="O159" s="197"/>
      <c r="P159" s="201" t="str">
        <f>VLOOKUP(G:G,list!B:D,2,FALSE)</f>
        <v>작가기획</v>
      </c>
    </row>
    <row r="160" spans="2:16" ht="18" customHeight="1">
      <c r="B160" s="341">
        <v>157</v>
      </c>
      <c r="C160" s="341" t="s">
        <v>238</v>
      </c>
      <c r="D160" s="369" t="s">
        <v>216</v>
      </c>
      <c r="E160" s="362" t="s">
        <v>115</v>
      </c>
      <c r="F160" s="372" t="s">
        <v>154</v>
      </c>
      <c r="G160" s="362" t="s">
        <v>258</v>
      </c>
      <c r="H160" s="385">
        <v>44386</v>
      </c>
      <c r="I160" s="341" t="s">
        <v>267</v>
      </c>
      <c r="J160" s="361">
        <v>886080</v>
      </c>
      <c r="K160" s="373">
        <v>0.4</v>
      </c>
      <c r="L160" s="346">
        <v>336710</v>
      </c>
      <c r="M160" s="274">
        <f>L160*10%</f>
        <v>33671</v>
      </c>
      <c r="N160" s="274">
        <f t="shared" si="9"/>
        <v>303039</v>
      </c>
      <c r="O160" s="197"/>
      <c r="P160" s="201" t="e">
        <f>VLOOKUP(G:G,list!B:D,2,FALSE)</f>
        <v>#N/A</v>
      </c>
    </row>
    <row r="161" spans="2:16" ht="18" customHeight="1">
      <c r="B161" s="341">
        <v>158</v>
      </c>
      <c r="C161" s="341" t="s">
        <v>238</v>
      </c>
      <c r="D161" s="366" t="s">
        <v>254</v>
      </c>
      <c r="E161" s="366" t="s">
        <v>9</v>
      </c>
      <c r="F161" s="341" t="s">
        <v>184</v>
      </c>
      <c r="G161" s="366" t="s">
        <v>218</v>
      </c>
      <c r="H161" s="384">
        <v>44516</v>
      </c>
      <c r="I161" s="341" t="s">
        <v>281</v>
      </c>
      <c r="J161" s="367">
        <v>3289050</v>
      </c>
      <c r="K161" s="368">
        <v>0.3</v>
      </c>
      <c r="L161" s="346">
        <v>986715</v>
      </c>
      <c r="M161" s="194">
        <f>L161*10%</f>
        <v>98671.5</v>
      </c>
      <c r="N161" s="274">
        <f t="shared" si="9"/>
        <v>888043.5</v>
      </c>
      <c r="O161" s="364" t="s">
        <v>221</v>
      </c>
      <c r="P161" s="201" t="e">
        <f>VLOOKUP(G:G,list!B:D,2,FALSE)</f>
        <v>#N/A</v>
      </c>
    </row>
    <row r="162" spans="2:16" ht="18" customHeight="1">
      <c r="B162" s="341">
        <v>159</v>
      </c>
      <c r="C162" s="341" t="s">
        <v>238</v>
      </c>
      <c r="D162" s="366" t="s">
        <v>67</v>
      </c>
      <c r="E162" s="366" t="s">
        <v>9</v>
      </c>
      <c r="F162" s="341" t="s">
        <v>184</v>
      </c>
      <c r="G162" s="366" t="s">
        <v>191</v>
      </c>
      <c r="H162" s="383">
        <v>44581</v>
      </c>
      <c r="I162" s="341" t="s">
        <v>281</v>
      </c>
      <c r="J162" s="367">
        <v>8490376.6666666679</v>
      </c>
      <c r="K162" s="368">
        <v>0.3</v>
      </c>
      <c r="L162" s="346">
        <v>2547113</v>
      </c>
      <c r="M162" s="194">
        <f>L162*10%</f>
        <v>254711.30000000002</v>
      </c>
      <c r="N162" s="274">
        <f t="shared" si="9"/>
        <v>2292401.7000000002</v>
      </c>
      <c r="O162" s="364" t="s">
        <v>286</v>
      </c>
      <c r="P162" s="201" t="e">
        <f>VLOOKUP(G:G,list!B:D,2,FALSE)</f>
        <v>#N/A</v>
      </c>
    </row>
    <row r="163" spans="2:16" ht="18" customHeight="1">
      <c r="B163" s="341">
        <v>160</v>
      </c>
      <c r="C163" s="341" t="s">
        <v>238</v>
      </c>
      <c r="D163" s="366" t="s">
        <v>67</v>
      </c>
      <c r="E163" s="366" t="s">
        <v>9</v>
      </c>
      <c r="F163" s="341" t="s">
        <v>184</v>
      </c>
      <c r="G163" s="366" t="s">
        <v>59</v>
      </c>
      <c r="H163" s="383">
        <v>44582</v>
      </c>
      <c r="I163" s="341" t="s">
        <v>281</v>
      </c>
      <c r="J163" s="367">
        <v>8442986.6666666679</v>
      </c>
      <c r="K163" s="368">
        <v>0.3</v>
      </c>
      <c r="L163" s="346">
        <v>2532896</v>
      </c>
      <c r="M163" s="274">
        <f>L163*10%</f>
        <v>253289.60000000001</v>
      </c>
      <c r="N163" s="274">
        <f t="shared" si="9"/>
        <v>2279606.4</v>
      </c>
      <c r="O163" s="364" t="s">
        <v>286</v>
      </c>
      <c r="P163" s="201" t="e">
        <f>VLOOKUP(G:G,list!B:D,2,FALSE)</f>
        <v>#N/A</v>
      </c>
    </row>
    <row r="164" spans="2:16" ht="18" customHeight="1">
      <c r="B164" s="341">
        <v>161</v>
      </c>
      <c r="C164" s="341" t="s">
        <v>238</v>
      </c>
      <c r="D164" s="369" t="s">
        <v>254</v>
      </c>
      <c r="E164" s="342" t="s">
        <v>9</v>
      </c>
      <c r="F164" s="369" t="s">
        <v>65</v>
      </c>
      <c r="G164" s="342" t="s">
        <v>152</v>
      </c>
      <c r="H164" s="382">
        <v>44105</v>
      </c>
      <c r="I164" s="341" t="s">
        <v>281</v>
      </c>
      <c r="J164" s="361">
        <v>1093178</v>
      </c>
      <c r="K164" s="368">
        <v>0.4</v>
      </c>
      <c r="L164" s="346">
        <v>437271</v>
      </c>
      <c r="M164" s="194">
        <f>L164*12%</f>
        <v>52472.52</v>
      </c>
      <c r="N164" s="274">
        <f t="shared" si="9"/>
        <v>384798.48</v>
      </c>
      <c r="O164" s="191"/>
      <c r="P164" s="201" t="e">
        <f>VLOOKUP(G:G,list!B:D,2,FALSE)</f>
        <v>#N/A</v>
      </c>
    </row>
    <row r="165" spans="2:16" ht="18" customHeight="1">
      <c r="B165" s="341">
        <v>162</v>
      </c>
      <c r="C165" s="381" t="s">
        <v>238</v>
      </c>
      <c r="D165" s="369" t="s">
        <v>254</v>
      </c>
      <c r="E165" s="342" t="s">
        <v>9</v>
      </c>
      <c r="F165" s="369" t="s">
        <v>65</v>
      </c>
      <c r="G165" s="342" t="s">
        <v>153</v>
      </c>
      <c r="H165" s="343">
        <v>44111</v>
      </c>
      <c r="I165" s="341" t="s">
        <v>281</v>
      </c>
      <c r="J165" s="361">
        <v>1071065</v>
      </c>
      <c r="K165" s="368">
        <v>0.4</v>
      </c>
      <c r="L165" s="346">
        <v>428426</v>
      </c>
      <c r="M165" s="274">
        <f>L165*10%</f>
        <v>42842.600000000006</v>
      </c>
      <c r="N165" s="274">
        <f t="shared" si="9"/>
        <v>385583.4</v>
      </c>
      <c r="O165" s="191"/>
      <c r="P165" s="201" t="e">
        <f>VLOOKUP(G:G,list!B:D,2,FALSE)</f>
        <v>#N/A</v>
      </c>
    </row>
    <row r="166" spans="2:16" ht="18" customHeight="1">
      <c r="B166" s="341">
        <v>163</v>
      </c>
      <c r="C166" s="381"/>
      <c r="D166" s="369" t="s">
        <v>254</v>
      </c>
      <c r="E166" s="342" t="s">
        <v>9</v>
      </c>
      <c r="F166" s="369" t="s">
        <v>65</v>
      </c>
      <c r="G166" s="342" t="s">
        <v>139</v>
      </c>
      <c r="H166" s="343">
        <v>43921</v>
      </c>
      <c r="I166" s="341" t="s">
        <v>281</v>
      </c>
      <c r="J166" s="361">
        <v>99023</v>
      </c>
      <c r="K166" s="368">
        <v>0.4</v>
      </c>
      <c r="L166" s="346">
        <v>39609</v>
      </c>
      <c r="M166" s="194">
        <v>0</v>
      </c>
      <c r="N166" s="274">
        <f t="shared" si="9"/>
        <v>39609</v>
      </c>
      <c r="O166" s="347"/>
      <c r="P166" s="201" t="str">
        <f>VLOOKUP(G:G,list!B:D,2,FALSE)</f>
        <v>작가기획</v>
      </c>
    </row>
    <row r="167" spans="2:16" ht="18" customHeight="1">
      <c r="B167" s="341">
        <v>164</v>
      </c>
      <c r="C167" s="381"/>
      <c r="D167" s="369" t="s">
        <v>254</v>
      </c>
      <c r="E167" s="342" t="s">
        <v>9</v>
      </c>
      <c r="F167" s="369" t="s">
        <v>65</v>
      </c>
      <c r="G167" s="342" t="s">
        <v>180</v>
      </c>
      <c r="H167" s="343">
        <v>43941</v>
      </c>
      <c r="I167" s="341" t="s">
        <v>281</v>
      </c>
      <c r="J167" s="361">
        <v>1387470</v>
      </c>
      <c r="K167" s="368">
        <v>0.4</v>
      </c>
      <c r="L167" s="346">
        <v>554988</v>
      </c>
      <c r="M167" s="194">
        <v>0</v>
      </c>
      <c r="N167" s="274">
        <f t="shared" si="9"/>
        <v>554988</v>
      </c>
      <c r="O167" s="347"/>
      <c r="P167" s="201" t="str">
        <f>VLOOKUP(G:G,list!B:D,2,FALSE)</f>
        <v>작가기획</v>
      </c>
    </row>
    <row r="168" spans="2:16" ht="18" customHeight="1">
      <c r="B168" s="341">
        <v>165</v>
      </c>
      <c r="C168" s="341" t="s">
        <v>238</v>
      </c>
      <c r="D168" s="369" t="s">
        <v>254</v>
      </c>
      <c r="E168" s="341" t="s">
        <v>64</v>
      </c>
      <c r="F168" s="369" t="s">
        <v>65</v>
      </c>
      <c r="G168" s="342" t="s">
        <v>151</v>
      </c>
      <c r="H168" s="343">
        <v>44258</v>
      </c>
      <c r="I168" s="341" t="s">
        <v>281</v>
      </c>
      <c r="J168" s="361">
        <v>1600553</v>
      </c>
      <c r="K168" s="368">
        <v>0.4</v>
      </c>
      <c r="L168" s="346">
        <v>640221</v>
      </c>
      <c r="M168" s="274">
        <f>L168*10%</f>
        <v>64022.100000000006</v>
      </c>
      <c r="N168" s="274">
        <f t="shared" si="9"/>
        <v>576198.9</v>
      </c>
      <c r="O168" s="191"/>
      <c r="P168" s="201" t="str">
        <f>VLOOKUP(G:G,list!B:D,2,FALSE)</f>
        <v>원작료</v>
      </c>
    </row>
    <row r="169" spans="2:16" ht="18" customHeight="1">
      <c r="B169" s="341">
        <v>166</v>
      </c>
      <c r="C169" s="341"/>
      <c r="D169" s="369" t="s">
        <v>254</v>
      </c>
      <c r="E169" s="341" t="s">
        <v>64</v>
      </c>
      <c r="F169" s="369" t="s">
        <v>65</v>
      </c>
      <c r="G169" s="342" t="s">
        <v>179</v>
      </c>
      <c r="H169" s="343">
        <v>44233</v>
      </c>
      <c r="I169" s="341" t="s">
        <v>281</v>
      </c>
      <c r="J169" s="361">
        <v>6258988</v>
      </c>
      <c r="K169" s="368">
        <v>0.4</v>
      </c>
      <c r="L169" s="346">
        <v>2503595</v>
      </c>
      <c r="M169" s="194">
        <f>L169*10%</f>
        <v>250359.5</v>
      </c>
      <c r="N169" s="274">
        <f t="shared" si="9"/>
        <v>2253235.5</v>
      </c>
      <c r="O169" s="195" t="s">
        <v>85</v>
      </c>
      <c r="P169" s="201" t="e">
        <f>VLOOKUP(G:G,list!B:D,2,FALSE)</f>
        <v>#N/A</v>
      </c>
    </row>
    <row r="170" spans="2:16" ht="18" customHeight="1">
      <c r="B170" s="341">
        <v>167</v>
      </c>
      <c r="C170" s="341" t="s">
        <v>238</v>
      </c>
      <c r="D170" s="369" t="s">
        <v>254</v>
      </c>
      <c r="E170" s="341" t="s">
        <v>64</v>
      </c>
      <c r="F170" s="369" t="s">
        <v>65</v>
      </c>
      <c r="G170" s="342" t="s">
        <v>54</v>
      </c>
      <c r="H170" s="343">
        <v>44254</v>
      </c>
      <c r="I170" s="341" t="s">
        <v>281</v>
      </c>
      <c r="J170" s="361">
        <v>496163</v>
      </c>
      <c r="K170" s="368">
        <v>0.4</v>
      </c>
      <c r="L170" s="346">
        <v>198465</v>
      </c>
      <c r="M170" s="274">
        <f>L170*10%</f>
        <v>19846.5</v>
      </c>
      <c r="N170" s="274">
        <f t="shared" si="9"/>
        <v>178618.5</v>
      </c>
      <c r="O170" s="191"/>
      <c r="P170" s="201" t="e">
        <f>VLOOKUP(G:G,list!B:D,2,FALSE)</f>
        <v>#N/A</v>
      </c>
    </row>
    <row r="171" spans="2:16" ht="18" customHeight="1">
      <c r="B171" s="341">
        <v>168</v>
      </c>
      <c r="C171" s="341"/>
      <c r="D171" s="369" t="s">
        <v>254</v>
      </c>
      <c r="E171" s="341" t="s">
        <v>64</v>
      </c>
      <c r="F171" s="369" t="s">
        <v>65</v>
      </c>
      <c r="G171" s="342" t="s">
        <v>147</v>
      </c>
      <c r="H171" s="343">
        <v>44260</v>
      </c>
      <c r="I171" s="341" t="s">
        <v>281</v>
      </c>
      <c r="J171" s="361">
        <v>692650</v>
      </c>
      <c r="K171" s="368">
        <v>0.4</v>
      </c>
      <c r="L171" s="346">
        <v>277060</v>
      </c>
      <c r="M171" s="194">
        <v>0</v>
      </c>
      <c r="N171" s="274">
        <f t="shared" si="9"/>
        <v>277060</v>
      </c>
      <c r="O171" s="191"/>
      <c r="P171" s="201" t="e">
        <f>VLOOKUP(G:G,list!B:D,2,FALSE)</f>
        <v>#N/A</v>
      </c>
    </row>
    <row r="172" spans="2:16" ht="18" customHeight="1">
      <c r="B172" s="341">
        <v>169</v>
      </c>
      <c r="C172" s="341"/>
      <c r="D172" s="369" t="s">
        <v>254</v>
      </c>
      <c r="E172" s="341" t="s">
        <v>64</v>
      </c>
      <c r="F172" s="369" t="s">
        <v>65</v>
      </c>
      <c r="G172" s="342" t="s">
        <v>187</v>
      </c>
      <c r="H172" s="343">
        <v>44289</v>
      </c>
      <c r="I172" s="341" t="s">
        <v>281</v>
      </c>
      <c r="J172" s="361">
        <v>945018</v>
      </c>
      <c r="K172" s="368">
        <v>0.4</v>
      </c>
      <c r="L172" s="346">
        <v>378007</v>
      </c>
      <c r="M172" s="194">
        <v>0</v>
      </c>
      <c r="N172" s="274">
        <f t="shared" si="9"/>
        <v>378007</v>
      </c>
      <c r="O172" s="191"/>
      <c r="P172" s="201" t="e">
        <f>VLOOKUP(G:G,list!B:D,2,FALSE)</f>
        <v>#N/A</v>
      </c>
    </row>
    <row r="173" spans="2:16" ht="18" customHeight="1">
      <c r="B173" s="341">
        <v>170</v>
      </c>
      <c r="C173" s="341"/>
      <c r="D173" s="369" t="s">
        <v>254</v>
      </c>
      <c r="E173" s="341" t="s">
        <v>64</v>
      </c>
      <c r="F173" s="369" t="s">
        <v>65</v>
      </c>
      <c r="G173" s="342" t="s">
        <v>121</v>
      </c>
      <c r="H173" s="343">
        <v>44449</v>
      </c>
      <c r="I173" s="341" t="s">
        <v>281</v>
      </c>
      <c r="J173" s="361">
        <v>5917115</v>
      </c>
      <c r="K173" s="368">
        <v>0.4</v>
      </c>
      <c r="L173" s="346">
        <v>2366846</v>
      </c>
      <c r="M173" s="194">
        <v>0</v>
      </c>
      <c r="N173" s="274">
        <f t="shared" si="9"/>
        <v>2366846</v>
      </c>
      <c r="O173" s="347"/>
      <c r="P173" s="201" t="e">
        <f>VLOOKUP(G:G,list!B:D,2,FALSE)</f>
        <v>#N/A</v>
      </c>
    </row>
    <row r="175" spans="2:16">
      <c r="B175" s="380" t="s">
        <v>299</v>
      </c>
    </row>
    <row r="176" spans="2:16">
      <c r="B176" s="380" t="s">
        <v>300</v>
      </c>
    </row>
    <row r="177" spans="2:2">
      <c r="B177" s="380" t="s">
        <v>301</v>
      </c>
    </row>
    <row r="178" spans="2:2">
      <c r="B178" s="380" t="s">
        <v>302</v>
      </c>
    </row>
    <row r="179" spans="2:2">
      <c r="B179" s="379" t="s">
        <v>303</v>
      </c>
    </row>
  </sheetData>
  <autoFilter ref="B4:P173" xr:uid="{7109A4C9-37C5-44BE-946D-3F22D802E4ED}"/>
  <mergeCells count="1">
    <mergeCell ref="O2:P2"/>
  </mergeCells>
  <phoneticPr fontId="1" type="noConversion"/>
  <pageMargins left="0.7" right="0.7" top="0.75" bottom="0.75" header="0.3" footer="0.3"/>
  <pageSetup paperSize="9" orientation="portrait" r:id="rId1"/>
  <ignoredErrors>
    <ignoredError sqref="M34" formula="1"/>
  </ignoredErrors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D794-DFF8-4158-B42B-460298F82F93}">
  <dimension ref="B1:P153"/>
  <sheetViews>
    <sheetView showGridLines="0" zoomScaleNormal="100" workbookViewId="0">
      <pane xSplit="7" ySplit="4" topLeftCell="H28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7.69921875" style="7" customWidth="1"/>
    <col min="4" max="4" width="9.69921875" style="7" customWidth="1"/>
    <col min="5" max="5" width="8.59765625" style="186" customWidth="1"/>
    <col min="6" max="6" width="16.8984375" style="7" customWidth="1"/>
    <col min="7" max="7" width="28" style="7" customWidth="1"/>
    <col min="8" max="8" width="14.59765625" customWidth="1"/>
    <col min="9" max="9" width="13.59765625" customWidth="1"/>
    <col min="10" max="10" width="11.59765625" hidden="1" customWidth="1"/>
    <col min="11" max="11" width="11.19921875" style="7" hidden="1" customWidth="1"/>
    <col min="12" max="12" width="13.59765625" style="335" customWidth="1"/>
    <col min="13" max="13" width="13.59765625" customWidth="1"/>
    <col min="14" max="14" width="13.59765625" style="333" customWidth="1"/>
    <col min="15" max="15" width="37.59765625" style="18" customWidth="1"/>
    <col min="16" max="16" width="43" style="184" customWidth="1"/>
    <col min="17" max="17" width="28.19921875" customWidth="1"/>
  </cols>
  <sheetData>
    <row r="1" spans="2:16" ht="16.5" customHeight="1"/>
    <row r="2" spans="2:16" ht="30" customHeight="1" thickBot="1">
      <c r="B2" s="4" t="s">
        <v>266</v>
      </c>
      <c r="C2" s="4"/>
      <c r="D2" s="4"/>
      <c r="E2" s="187"/>
      <c r="F2" s="4"/>
      <c r="J2" s="200" t="s">
        <v>88</v>
      </c>
      <c r="K2"/>
      <c r="L2" s="336" t="s">
        <v>196</v>
      </c>
      <c r="O2" s="685" t="s">
        <v>262</v>
      </c>
      <c r="P2" s="686"/>
    </row>
    <row r="3" spans="2:16" s="6" customFormat="1" ht="18.600000000000001" thickTop="1" thickBot="1">
      <c r="B3" s="8"/>
      <c r="C3" s="8"/>
      <c r="D3" s="8"/>
      <c r="E3" s="188"/>
      <c r="F3" s="8"/>
      <c r="G3" s="8"/>
      <c r="K3" s="8"/>
      <c r="L3" s="337">
        <f>SUBTOTAL(109,L5:L1048576)</f>
        <v>396124990.19999999</v>
      </c>
      <c r="M3" s="340">
        <f>SUBTOTAL(109,M5:M1048576)</f>
        <v>37867270.369999997</v>
      </c>
      <c r="N3" s="309">
        <f>SUBTOTAL(109,N5:N1048576)</f>
        <v>358257719.82999998</v>
      </c>
      <c r="O3" s="19"/>
      <c r="P3" s="185"/>
    </row>
    <row r="4" spans="2:16" s="9" customFormat="1" ht="24" customHeight="1">
      <c r="B4" s="275" t="s">
        <v>7</v>
      </c>
      <c r="C4" s="276" t="s">
        <v>237</v>
      </c>
      <c r="D4" s="277" t="s">
        <v>76</v>
      </c>
      <c r="E4" s="278" t="s">
        <v>3</v>
      </c>
      <c r="F4" s="277" t="s">
        <v>0</v>
      </c>
      <c r="G4" s="279" t="s">
        <v>4</v>
      </c>
      <c r="H4" s="278" t="s">
        <v>5</v>
      </c>
      <c r="I4" s="278" t="s">
        <v>6</v>
      </c>
      <c r="J4" s="278" t="s">
        <v>2</v>
      </c>
      <c r="K4" s="280" t="s">
        <v>1</v>
      </c>
      <c r="L4" s="338" t="s">
        <v>88</v>
      </c>
      <c r="M4" s="281" t="s">
        <v>232</v>
      </c>
      <c r="N4" s="334" t="s">
        <v>233</v>
      </c>
      <c r="O4" s="281" t="s">
        <v>82</v>
      </c>
      <c r="P4" s="281" t="s">
        <v>274</v>
      </c>
    </row>
    <row r="5" spans="2:16" ht="18" customHeight="1">
      <c r="B5" s="341">
        <v>1</v>
      </c>
      <c r="C5" s="341"/>
      <c r="D5" s="341" t="s">
        <v>78</v>
      </c>
      <c r="E5" s="342" t="s">
        <v>9</v>
      </c>
      <c r="F5" s="341" t="s">
        <v>242</v>
      </c>
      <c r="G5" s="342" t="s">
        <v>11</v>
      </c>
      <c r="H5" s="343">
        <v>44308</v>
      </c>
      <c r="I5" s="341" t="s">
        <v>267</v>
      </c>
      <c r="J5" s="344">
        <v>7246917</v>
      </c>
      <c r="K5" s="345">
        <v>0.6</v>
      </c>
      <c r="L5" s="346">
        <v>4348150</v>
      </c>
      <c r="M5" s="274">
        <v>0</v>
      </c>
      <c r="N5" s="274">
        <f t="shared" ref="N5:N69" si="0">L5-M5</f>
        <v>4348150</v>
      </c>
      <c r="O5" s="347"/>
      <c r="P5" s="201" t="e">
        <f>VLOOKUP(G:G,list!B:D,2,FALSE)</f>
        <v>#N/A</v>
      </c>
    </row>
    <row r="6" spans="2:16" ht="18" customHeight="1">
      <c r="B6" s="341">
        <v>2</v>
      </c>
      <c r="C6" s="341" t="s">
        <v>238</v>
      </c>
      <c r="D6" s="341" t="s">
        <v>78</v>
      </c>
      <c r="E6" s="342" t="s">
        <v>9</v>
      </c>
      <c r="F6" s="341" t="s">
        <v>242</v>
      </c>
      <c r="G6" s="342" t="s">
        <v>10</v>
      </c>
      <c r="H6" s="343">
        <v>44309</v>
      </c>
      <c r="I6" s="341" t="s">
        <v>267</v>
      </c>
      <c r="J6" s="344">
        <v>97810158</v>
      </c>
      <c r="K6" s="345">
        <v>0.6</v>
      </c>
      <c r="L6" s="346">
        <v>58686095</v>
      </c>
      <c r="M6" s="274">
        <f>L6*10%</f>
        <v>5868609.5</v>
      </c>
      <c r="N6" s="274">
        <f t="shared" si="0"/>
        <v>52817485.5</v>
      </c>
      <c r="O6" s="191"/>
      <c r="P6" s="201" t="e">
        <f>VLOOKUP(G:G,list!B:D,2,FALSE)</f>
        <v>#N/A</v>
      </c>
    </row>
    <row r="7" spans="2:16" ht="18" customHeight="1">
      <c r="B7" s="341">
        <v>3</v>
      </c>
      <c r="C7" s="341" t="s">
        <v>238</v>
      </c>
      <c r="D7" s="341" t="s">
        <v>78</v>
      </c>
      <c r="E7" s="342" t="s">
        <v>9</v>
      </c>
      <c r="F7" s="341" t="s">
        <v>242</v>
      </c>
      <c r="G7" s="342" t="s">
        <v>136</v>
      </c>
      <c r="H7" s="343">
        <v>44240</v>
      </c>
      <c r="I7" s="341" t="s">
        <v>267</v>
      </c>
      <c r="J7" s="348">
        <v>651755</v>
      </c>
      <c r="K7" s="345">
        <v>0.6</v>
      </c>
      <c r="L7" s="346">
        <v>391053</v>
      </c>
      <c r="M7" s="274">
        <f>L7*10%</f>
        <v>39105.300000000003</v>
      </c>
      <c r="N7" s="274">
        <f t="shared" si="0"/>
        <v>351947.7</v>
      </c>
      <c r="O7" s="193"/>
      <c r="P7" s="201" t="e">
        <f>VLOOKUP(G:G,list!B:D,2,FALSE)</f>
        <v>#N/A</v>
      </c>
    </row>
    <row r="8" spans="2:16" ht="18" customHeight="1">
      <c r="B8" s="341">
        <v>4</v>
      </c>
      <c r="C8" s="341" t="s">
        <v>238</v>
      </c>
      <c r="D8" s="341" t="s">
        <v>78</v>
      </c>
      <c r="E8" s="342" t="s">
        <v>9</v>
      </c>
      <c r="F8" s="341" t="s">
        <v>242</v>
      </c>
      <c r="G8" s="342" t="s">
        <v>17</v>
      </c>
      <c r="H8" s="343">
        <v>44391</v>
      </c>
      <c r="I8" s="341" t="s">
        <v>267</v>
      </c>
      <c r="J8" s="349">
        <v>41268535</v>
      </c>
      <c r="K8" s="350">
        <v>0.6</v>
      </c>
      <c r="L8" s="346">
        <v>24761121</v>
      </c>
      <c r="M8" s="194">
        <f>L8*12%</f>
        <v>2971334.52</v>
      </c>
      <c r="N8" s="274">
        <f t="shared" si="0"/>
        <v>21789786.48</v>
      </c>
      <c r="O8" s="191"/>
      <c r="P8" s="201" t="e">
        <f>VLOOKUP(G:G,list!B:D,2,FALSE)</f>
        <v>#N/A</v>
      </c>
    </row>
    <row r="9" spans="2:16" ht="18" customHeight="1">
      <c r="B9" s="341">
        <v>5</v>
      </c>
      <c r="C9" s="341" t="s">
        <v>238</v>
      </c>
      <c r="D9" s="341" t="s">
        <v>78</v>
      </c>
      <c r="E9" s="342" t="s">
        <v>115</v>
      </c>
      <c r="F9" s="341" t="s">
        <v>242</v>
      </c>
      <c r="G9" s="342" t="s">
        <v>204</v>
      </c>
      <c r="H9" s="343">
        <v>44428</v>
      </c>
      <c r="I9" s="341" t="s">
        <v>267</v>
      </c>
      <c r="J9" s="351">
        <v>1782717</v>
      </c>
      <c r="K9" s="352">
        <v>0.7</v>
      </c>
      <c r="L9" s="346">
        <v>1247902</v>
      </c>
      <c r="M9" s="194">
        <f>L9*10%</f>
        <v>124790.20000000001</v>
      </c>
      <c r="N9" s="274">
        <f t="shared" si="0"/>
        <v>1123111.8</v>
      </c>
      <c r="O9" s="193"/>
      <c r="P9" s="201" t="e">
        <f>VLOOKUP(G:G,list!B:D,2,FALSE)</f>
        <v>#N/A</v>
      </c>
    </row>
    <row r="10" spans="2:16" ht="18" customHeight="1">
      <c r="B10" s="341">
        <v>6</v>
      </c>
      <c r="C10" s="341"/>
      <c r="D10" s="341" t="s">
        <v>78</v>
      </c>
      <c r="E10" s="342" t="s">
        <v>115</v>
      </c>
      <c r="F10" s="341" t="s">
        <v>242</v>
      </c>
      <c r="G10" s="342" t="s">
        <v>202</v>
      </c>
      <c r="H10" s="343">
        <v>44525</v>
      </c>
      <c r="I10" s="341" t="s">
        <v>267</v>
      </c>
      <c r="J10" s="348">
        <v>120804</v>
      </c>
      <c r="K10" s="345">
        <v>0.7</v>
      </c>
      <c r="L10" s="346">
        <v>84563</v>
      </c>
      <c r="M10" s="274">
        <v>0</v>
      </c>
      <c r="N10" s="274">
        <f t="shared" si="0"/>
        <v>84563</v>
      </c>
      <c r="O10" s="193"/>
      <c r="P10" s="201" t="e">
        <f>VLOOKUP(G:G,list!B:D,2,FALSE)</f>
        <v>#N/A</v>
      </c>
    </row>
    <row r="11" spans="2:16" ht="18" customHeight="1">
      <c r="B11" s="341">
        <v>7</v>
      </c>
      <c r="C11" s="341"/>
      <c r="D11" s="341" t="s">
        <v>78</v>
      </c>
      <c r="E11" s="342" t="s">
        <v>115</v>
      </c>
      <c r="F11" s="341" t="s">
        <v>245</v>
      </c>
      <c r="G11" s="342" t="s">
        <v>202</v>
      </c>
      <c r="H11" s="353">
        <v>44441</v>
      </c>
      <c r="I11" s="341" t="s">
        <v>267</v>
      </c>
      <c r="J11" s="348">
        <v>0</v>
      </c>
      <c r="K11" s="345" t="s">
        <v>203</v>
      </c>
      <c r="L11" s="346">
        <v>116600</v>
      </c>
      <c r="M11" s="274">
        <v>0</v>
      </c>
      <c r="N11" s="274">
        <f>L11-M11</f>
        <v>116600</v>
      </c>
      <c r="O11" s="193"/>
      <c r="P11" s="201" t="e">
        <f>VLOOKUP(G:G,list!B:D,2,FALSE)</f>
        <v>#N/A</v>
      </c>
    </row>
    <row r="12" spans="2:16" ht="18" customHeight="1">
      <c r="B12" s="341">
        <v>8</v>
      </c>
      <c r="C12" s="341"/>
      <c r="D12" s="341" t="s">
        <v>78</v>
      </c>
      <c r="E12" s="342" t="s">
        <v>9</v>
      </c>
      <c r="F12" s="341" t="s">
        <v>272</v>
      </c>
      <c r="G12" s="342" t="s">
        <v>273</v>
      </c>
      <c r="H12" s="353">
        <v>44513</v>
      </c>
      <c r="I12" s="354" t="s">
        <v>244</v>
      </c>
      <c r="J12" s="348">
        <v>351470</v>
      </c>
      <c r="K12" s="345">
        <v>0.5</v>
      </c>
      <c r="L12" s="346">
        <v>175735</v>
      </c>
      <c r="M12" s="274">
        <v>0</v>
      </c>
      <c r="N12" s="274">
        <f t="shared" si="0"/>
        <v>175735</v>
      </c>
      <c r="O12" s="355" t="s">
        <v>270</v>
      </c>
      <c r="P12" s="201" t="e">
        <f>VLOOKUP(G:G,list!B:D,2,FALSE)</f>
        <v>#N/A</v>
      </c>
    </row>
    <row r="13" spans="2:16" ht="18" customHeight="1">
      <c r="B13" s="341">
        <v>9</v>
      </c>
      <c r="C13" s="341"/>
      <c r="D13" s="341" t="s">
        <v>78</v>
      </c>
      <c r="E13" s="342" t="s">
        <v>115</v>
      </c>
      <c r="F13" s="341" t="s">
        <v>201</v>
      </c>
      <c r="G13" s="342" t="s">
        <v>202</v>
      </c>
      <c r="H13" s="343">
        <v>44300</v>
      </c>
      <c r="I13" s="341" t="s">
        <v>243</v>
      </c>
      <c r="J13" s="349">
        <v>905954.89</v>
      </c>
      <c r="K13" s="345">
        <v>0.7</v>
      </c>
      <c r="L13" s="346">
        <v>635471</v>
      </c>
      <c r="M13" s="274">
        <v>0</v>
      </c>
      <c r="N13" s="274">
        <f t="shared" si="0"/>
        <v>635471</v>
      </c>
      <c r="O13" s="193"/>
      <c r="P13" s="201" t="e">
        <f>VLOOKUP(G:G,list!B:D,2,FALSE)</f>
        <v>#N/A</v>
      </c>
    </row>
    <row r="14" spans="2:16" ht="18" customHeight="1">
      <c r="B14" s="341">
        <v>10</v>
      </c>
      <c r="C14" s="341" t="s">
        <v>238</v>
      </c>
      <c r="D14" s="341" t="s">
        <v>78</v>
      </c>
      <c r="E14" s="341" t="s">
        <v>198</v>
      </c>
      <c r="F14" s="341" t="s">
        <v>200</v>
      </c>
      <c r="G14" s="341" t="s">
        <v>151</v>
      </c>
      <c r="H14" s="343">
        <v>44469</v>
      </c>
      <c r="I14" s="341" t="s">
        <v>243</v>
      </c>
      <c r="J14" s="349">
        <v>763000</v>
      </c>
      <c r="K14" s="345">
        <v>0.1</v>
      </c>
      <c r="L14" s="346">
        <v>76300</v>
      </c>
      <c r="M14" s="274">
        <f>ROUND(L14*10%,0)</f>
        <v>7630</v>
      </c>
      <c r="N14" s="274">
        <f t="shared" si="0"/>
        <v>68670</v>
      </c>
      <c r="O14" s="193"/>
      <c r="P14" s="201" t="str">
        <f>VLOOKUP(G:G,list!B:D,2,FALSE)</f>
        <v>원작료</v>
      </c>
    </row>
    <row r="15" spans="2:16" ht="18" customHeight="1">
      <c r="B15" s="341">
        <v>11</v>
      </c>
      <c r="C15" s="341"/>
      <c r="D15" s="341" t="s">
        <v>78</v>
      </c>
      <c r="E15" s="342" t="s">
        <v>9</v>
      </c>
      <c r="F15" s="341" t="s">
        <v>246</v>
      </c>
      <c r="G15" s="342" t="s">
        <v>36</v>
      </c>
      <c r="H15" s="343">
        <v>43810</v>
      </c>
      <c r="I15" s="341" t="s">
        <v>267</v>
      </c>
      <c r="J15" s="349">
        <v>3499200</v>
      </c>
      <c r="K15" s="345" t="s">
        <v>165</v>
      </c>
      <c r="L15" s="346">
        <v>1404810</v>
      </c>
      <c r="M15" s="274">
        <v>0</v>
      </c>
      <c r="N15" s="274">
        <f t="shared" si="0"/>
        <v>1404810</v>
      </c>
      <c r="O15" s="193"/>
      <c r="P15" s="201" t="str">
        <f>VLOOKUP(G:G,list!B:D,2,FALSE)</f>
        <v>작가기획</v>
      </c>
    </row>
    <row r="16" spans="2:16" ht="18" customHeight="1">
      <c r="B16" s="341">
        <v>12</v>
      </c>
      <c r="C16" s="341"/>
      <c r="D16" s="341" t="s">
        <v>78</v>
      </c>
      <c r="E16" s="342" t="s">
        <v>9</v>
      </c>
      <c r="F16" s="341" t="s">
        <v>246</v>
      </c>
      <c r="G16" s="342" t="s">
        <v>139</v>
      </c>
      <c r="H16" s="343">
        <v>43852</v>
      </c>
      <c r="I16" s="341" t="s">
        <v>267</v>
      </c>
      <c r="J16" s="349">
        <v>183060</v>
      </c>
      <c r="K16" s="345" t="s">
        <v>165</v>
      </c>
      <c r="L16" s="346">
        <v>72549</v>
      </c>
      <c r="M16" s="274">
        <v>0</v>
      </c>
      <c r="N16" s="274">
        <f t="shared" si="0"/>
        <v>72549</v>
      </c>
      <c r="O16" s="193"/>
      <c r="P16" s="201" t="str">
        <f>VLOOKUP(G:G,list!B:D,2,FALSE)</f>
        <v>작가기획</v>
      </c>
    </row>
    <row r="17" spans="2:16" ht="18" customHeight="1">
      <c r="B17" s="341">
        <v>13</v>
      </c>
      <c r="C17" s="341"/>
      <c r="D17" s="341" t="s">
        <v>78</v>
      </c>
      <c r="E17" s="342" t="s">
        <v>115</v>
      </c>
      <c r="F17" s="341" t="s">
        <v>246</v>
      </c>
      <c r="G17" s="342" t="s">
        <v>19</v>
      </c>
      <c r="H17" s="343">
        <v>44328</v>
      </c>
      <c r="I17" s="341" t="s">
        <v>267</v>
      </c>
      <c r="J17" s="349">
        <v>628560</v>
      </c>
      <c r="K17" s="345" t="s">
        <v>120</v>
      </c>
      <c r="L17" s="346">
        <v>304279.2</v>
      </c>
      <c r="M17" s="274">
        <v>0</v>
      </c>
      <c r="N17" s="274">
        <f t="shared" si="0"/>
        <v>304279.2</v>
      </c>
      <c r="O17" s="191"/>
      <c r="P17" s="201" t="e">
        <f>VLOOKUP(G:G,list!B:D,2,FALSE)</f>
        <v>#N/A</v>
      </c>
    </row>
    <row r="18" spans="2:16" ht="18" customHeight="1">
      <c r="B18" s="341">
        <v>14</v>
      </c>
      <c r="C18" s="341"/>
      <c r="D18" s="341" t="s">
        <v>78</v>
      </c>
      <c r="E18" s="342" t="s">
        <v>115</v>
      </c>
      <c r="F18" s="341" t="s">
        <v>197</v>
      </c>
      <c r="G18" s="342" t="s">
        <v>202</v>
      </c>
      <c r="H18" s="356">
        <v>44328</v>
      </c>
      <c r="I18" s="341" t="s">
        <v>267</v>
      </c>
      <c r="J18" s="357">
        <v>22800</v>
      </c>
      <c r="K18" s="345">
        <v>0.7</v>
      </c>
      <c r="L18" s="346">
        <v>15960</v>
      </c>
      <c r="M18" s="274">
        <v>0</v>
      </c>
      <c r="N18" s="274">
        <f t="shared" si="0"/>
        <v>15960</v>
      </c>
      <c r="O18" s="347"/>
      <c r="P18" s="201" t="e">
        <f>VLOOKUP(G:G,list!B:D,2,FALSE)</f>
        <v>#N/A</v>
      </c>
    </row>
    <row r="19" spans="2:16" ht="18" customHeight="1">
      <c r="B19" s="341">
        <v>15</v>
      </c>
      <c r="C19" s="341" t="s">
        <v>238</v>
      </c>
      <c r="D19" s="341" t="s">
        <v>78</v>
      </c>
      <c r="E19" s="358" t="s">
        <v>9</v>
      </c>
      <c r="F19" s="341" t="s">
        <v>209</v>
      </c>
      <c r="G19" s="358" t="s">
        <v>28</v>
      </c>
      <c r="H19" s="359">
        <v>44409</v>
      </c>
      <c r="I19" s="341" t="s">
        <v>267</v>
      </c>
      <c r="J19" s="357">
        <v>1612146</v>
      </c>
      <c r="K19" s="345">
        <v>0.55000030549787249</v>
      </c>
      <c r="L19" s="346">
        <v>886680</v>
      </c>
      <c r="M19" s="194">
        <f>L19*12%</f>
        <v>106401.59999999999</v>
      </c>
      <c r="N19" s="274">
        <f t="shared" si="0"/>
        <v>780278.4</v>
      </c>
      <c r="O19" s="191"/>
      <c r="P19" s="201" t="e">
        <f>VLOOKUP(G:G,list!B:D,2,FALSE)</f>
        <v>#N/A</v>
      </c>
    </row>
    <row r="20" spans="2:16" ht="18" customHeight="1">
      <c r="B20" s="341">
        <v>16</v>
      </c>
      <c r="C20" s="341"/>
      <c r="D20" s="341" t="s">
        <v>78</v>
      </c>
      <c r="E20" s="358" t="s">
        <v>9</v>
      </c>
      <c r="F20" s="341" t="s">
        <v>209</v>
      </c>
      <c r="G20" s="358" t="s">
        <v>42</v>
      </c>
      <c r="H20" s="359">
        <v>44409</v>
      </c>
      <c r="I20" s="341" t="s">
        <v>267</v>
      </c>
      <c r="J20" s="357">
        <v>12192440</v>
      </c>
      <c r="K20" s="345">
        <v>0.55000005938954677</v>
      </c>
      <c r="L20" s="346">
        <v>6705843</v>
      </c>
      <c r="M20" s="194">
        <f>L20*10%</f>
        <v>670584.30000000005</v>
      </c>
      <c r="N20" s="274">
        <f t="shared" si="0"/>
        <v>6035258.7000000002</v>
      </c>
      <c r="O20" s="195" t="s">
        <v>144</v>
      </c>
      <c r="P20" s="201" t="e">
        <f>VLOOKUP(G:G,list!B:D,2,FALSE)</f>
        <v>#N/A</v>
      </c>
    </row>
    <row r="21" spans="2:16" ht="18" customHeight="1">
      <c r="B21" s="341">
        <v>17</v>
      </c>
      <c r="C21" s="341" t="s">
        <v>238</v>
      </c>
      <c r="D21" s="341" t="s">
        <v>78</v>
      </c>
      <c r="E21" s="358" t="s">
        <v>9</v>
      </c>
      <c r="F21" s="341" t="s">
        <v>209</v>
      </c>
      <c r="G21" s="358" t="s">
        <v>54</v>
      </c>
      <c r="H21" s="359">
        <v>44409</v>
      </c>
      <c r="I21" s="341" t="s">
        <v>267</v>
      </c>
      <c r="J21" s="357">
        <v>410384</v>
      </c>
      <c r="K21" s="345">
        <v>0.55000086238120693</v>
      </c>
      <c r="L21" s="346">
        <v>225711</v>
      </c>
      <c r="M21" s="274">
        <f>L21*10%</f>
        <v>22571.100000000002</v>
      </c>
      <c r="N21" s="274">
        <f t="shared" si="0"/>
        <v>203139.9</v>
      </c>
      <c r="O21" s="191"/>
      <c r="P21" s="201" t="e">
        <f>VLOOKUP(G:G,list!B:D,2,FALSE)</f>
        <v>#N/A</v>
      </c>
    </row>
    <row r="22" spans="2:16" ht="18" customHeight="1">
      <c r="B22" s="341">
        <v>18</v>
      </c>
      <c r="C22" s="341" t="s">
        <v>238</v>
      </c>
      <c r="D22" s="341" t="s">
        <v>78</v>
      </c>
      <c r="E22" s="358" t="s">
        <v>9</v>
      </c>
      <c r="F22" s="341" t="s">
        <v>209</v>
      </c>
      <c r="G22" s="358" t="s">
        <v>46</v>
      </c>
      <c r="H22" s="359">
        <v>44409</v>
      </c>
      <c r="I22" s="341" t="s">
        <v>267</v>
      </c>
      <c r="J22" s="357">
        <v>1586979</v>
      </c>
      <c r="K22" s="345">
        <v>0.55000030235412922</v>
      </c>
      <c r="L22" s="346">
        <v>872838</v>
      </c>
      <c r="M22" s="194">
        <f>L22*10%</f>
        <v>87283.8</v>
      </c>
      <c r="N22" s="274">
        <f t="shared" si="0"/>
        <v>785554.2</v>
      </c>
      <c r="O22" s="347"/>
      <c r="P22" s="201" t="e">
        <f>VLOOKUP(G:G,list!B:D,2,FALSE)</f>
        <v>#N/A</v>
      </c>
    </row>
    <row r="23" spans="2:16" ht="18" customHeight="1">
      <c r="B23" s="341">
        <v>19</v>
      </c>
      <c r="C23" s="341" t="s">
        <v>238</v>
      </c>
      <c r="D23" s="341" t="s">
        <v>78</v>
      </c>
      <c r="E23" s="358" t="s">
        <v>9</v>
      </c>
      <c r="F23" s="341" t="s">
        <v>209</v>
      </c>
      <c r="G23" s="358" t="s">
        <v>30</v>
      </c>
      <c r="H23" s="359">
        <v>44409</v>
      </c>
      <c r="I23" s="341" t="s">
        <v>267</v>
      </c>
      <c r="J23" s="357">
        <v>985871</v>
      </c>
      <c r="K23" s="345">
        <v>0.55000024483664012</v>
      </c>
      <c r="L23" s="346">
        <v>542229</v>
      </c>
      <c r="M23" s="274">
        <f>L23*10%</f>
        <v>54222.9</v>
      </c>
      <c r="N23" s="274">
        <f t="shared" si="0"/>
        <v>488006.1</v>
      </c>
      <c r="O23" s="191"/>
      <c r="P23" s="201" t="str">
        <f>VLOOKUP(G:G,list!B:D,2,FALSE)</f>
        <v>원작료</v>
      </c>
    </row>
    <row r="24" spans="2:16" ht="18" customHeight="1">
      <c r="B24" s="341">
        <v>20</v>
      </c>
      <c r="C24" s="341"/>
      <c r="D24" s="341" t="s">
        <v>78</v>
      </c>
      <c r="E24" s="358" t="s">
        <v>9</v>
      </c>
      <c r="F24" s="341" t="s">
        <v>209</v>
      </c>
      <c r="G24" s="358" t="s">
        <v>53</v>
      </c>
      <c r="H24" s="359">
        <v>44409</v>
      </c>
      <c r="I24" s="341" t="s">
        <v>267</v>
      </c>
      <c r="J24" s="357">
        <v>2297047</v>
      </c>
      <c r="K24" s="345">
        <v>0.55000033990713737</v>
      </c>
      <c r="L24" s="346">
        <v>1263375</v>
      </c>
      <c r="M24" s="274">
        <v>0</v>
      </c>
      <c r="N24" s="274">
        <f t="shared" si="0"/>
        <v>1263375</v>
      </c>
      <c r="O24" s="347"/>
      <c r="P24" s="201" t="e">
        <f>VLOOKUP(G:G,list!B:D,2,FALSE)</f>
        <v>#N/A</v>
      </c>
    </row>
    <row r="25" spans="2:16" ht="18" customHeight="1">
      <c r="B25" s="341">
        <v>21</v>
      </c>
      <c r="C25" s="341" t="s">
        <v>238</v>
      </c>
      <c r="D25" s="341" t="s">
        <v>78</v>
      </c>
      <c r="E25" s="358" t="s">
        <v>9</v>
      </c>
      <c r="F25" s="341" t="s">
        <v>209</v>
      </c>
      <c r="G25" s="358" t="s">
        <v>43</v>
      </c>
      <c r="H25" s="359">
        <v>44465</v>
      </c>
      <c r="I25" s="341" t="s">
        <v>267</v>
      </c>
      <c r="J25" s="357">
        <v>10426206</v>
      </c>
      <c r="K25" s="345">
        <v>0.5500000916758343</v>
      </c>
      <c r="L25" s="346">
        <v>5734414</v>
      </c>
      <c r="M25" s="194">
        <f t="shared" ref="M25:M33" si="1">L25*10%</f>
        <v>573441.4</v>
      </c>
      <c r="N25" s="274">
        <f t="shared" si="0"/>
        <v>5160972.5999999996</v>
      </c>
      <c r="O25" s="191"/>
      <c r="P25" s="201" t="e">
        <f>VLOOKUP(G:G,list!B:D,2,FALSE)</f>
        <v>#N/A</v>
      </c>
    </row>
    <row r="26" spans="2:16" ht="18" customHeight="1">
      <c r="B26" s="341">
        <v>22</v>
      </c>
      <c r="C26" s="341" t="s">
        <v>238</v>
      </c>
      <c r="D26" s="341" t="s">
        <v>78</v>
      </c>
      <c r="E26" s="358" t="s">
        <v>9</v>
      </c>
      <c r="F26" s="341" t="s">
        <v>209</v>
      </c>
      <c r="G26" s="358" t="s">
        <v>225</v>
      </c>
      <c r="H26" s="359">
        <v>44484</v>
      </c>
      <c r="I26" s="341" t="s">
        <v>267</v>
      </c>
      <c r="J26" s="357">
        <v>782045</v>
      </c>
      <c r="K26" s="345">
        <v>0.55000056541116071</v>
      </c>
      <c r="L26" s="346">
        <v>430125</v>
      </c>
      <c r="M26" s="274">
        <f t="shared" si="1"/>
        <v>43012.5</v>
      </c>
      <c r="N26" s="274">
        <f t="shared" si="0"/>
        <v>387112.5</v>
      </c>
      <c r="O26" s="191"/>
      <c r="P26" s="201" t="e">
        <f>VLOOKUP(G:G,list!B:D,2,FALSE)</f>
        <v>#N/A</v>
      </c>
    </row>
    <row r="27" spans="2:16" ht="18" customHeight="1">
      <c r="B27" s="341">
        <v>23</v>
      </c>
      <c r="C27" s="341" t="s">
        <v>238</v>
      </c>
      <c r="D27" s="341" t="s">
        <v>78</v>
      </c>
      <c r="E27" s="358" t="s">
        <v>9</v>
      </c>
      <c r="F27" s="341" t="s">
        <v>209</v>
      </c>
      <c r="G27" s="358" t="s">
        <v>29</v>
      </c>
      <c r="H27" s="359">
        <v>44510</v>
      </c>
      <c r="I27" s="341" t="s">
        <v>267</v>
      </c>
      <c r="J27" s="357">
        <v>1834431</v>
      </c>
      <c r="K27" s="345">
        <v>0.55000024262484026</v>
      </c>
      <c r="L27" s="346">
        <v>1008937</v>
      </c>
      <c r="M27" s="274">
        <f t="shared" si="1"/>
        <v>100893.70000000001</v>
      </c>
      <c r="N27" s="274">
        <f t="shared" si="0"/>
        <v>908043.3</v>
      </c>
      <c r="O27" s="191"/>
      <c r="P27" s="201" t="e">
        <f>VLOOKUP(G:G,list!B:D,2,FALSE)</f>
        <v>#N/A</v>
      </c>
    </row>
    <row r="28" spans="2:16" ht="18" customHeight="1">
      <c r="B28" s="341">
        <v>24</v>
      </c>
      <c r="C28" s="341" t="s">
        <v>238</v>
      </c>
      <c r="D28" s="341" t="s">
        <v>78</v>
      </c>
      <c r="E28" s="360" t="s">
        <v>249</v>
      </c>
      <c r="F28" s="341" t="s">
        <v>248</v>
      </c>
      <c r="G28" s="360" t="s">
        <v>39</v>
      </c>
      <c r="H28" s="356">
        <v>44327</v>
      </c>
      <c r="I28" s="341" t="s">
        <v>267</v>
      </c>
      <c r="J28" s="357">
        <v>1929605</v>
      </c>
      <c r="K28" s="345" t="s">
        <v>124</v>
      </c>
      <c r="L28" s="346">
        <v>1339553</v>
      </c>
      <c r="M28" s="194">
        <f t="shared" si="1"/>
        <v>133955.30000000002</v>
      </c>
      <c r="N28" s="274">
        <f t="shared" si="0"/>
        <v>1205597.7</v>
      </c>
      <c r="O28" s="191"/>
      <c r="P28" s="201" t="e">
        <f>VLOOKUP(G:G,list!B:D,2,FALSE)</f>
        <v>#N/A</v>
      </c>
    </row>
    <row r="29" spans="2:16" ht="18" customHeight="1">
      <c r="B29" s="341">
        <v>25</v>
      </c>
      <c r="C29" s="341" t="s">
        <v>238</v>
      </c>
      <c r="D29" s="341" t="s">
        <v>78</v>
      </c>
      <c r="E29" s="360" t="s">
        <v>249</v>
      </c>
      <c r="F29" s="341" t="s">
        <v>248</v>
      </c>
      <c r="G29" s="360" t="s">
        <v>40</v>
      </c>
      <c r="H29" s="356">
        <v>44328</v>
      </c>
      <c r="I29" s="341" t="s">
        <v>267</v>
      </c>
      <c r="J29" s="357">
        <v>3015670</v>
      </c>
      <c r="K29" s="345" t="s">
        <v>124</v>
      </c>
      <c r="L29" s="346">
        <v>2088857</v>
      </c>
      <c r="M29" s="194">
        <f t="shared" si="1"/>
        <v>208885.7</v>
      </c>
      <c r="N29" s="274">
        <f t="shared" si="0"/>
        <v>1879971.3</v>
      </c>
      <c r="O29" s="191"/>
      <c r="P29" s="201" t="e">
        <f>VLOOKUP(G:G,list!B:D,2,FALSE)</f>
        <v>#N/A</v>
      </c>
    </row>
    <row r="30" spans="2:16" ht="18" customHeight="1">
      <c r="B30" s="341">
        <v>26</v>
      </c>
      <c r="C30" s="341" t="s">
        <v>238</v>
      </c>
      <c r="D30" s="341" t="s">
        <v>78</v>
      </c>
      <c r="E30" s="360" t="s">
        <v>249</v>
      </c>
      <c r="F30" s="341" t="s">
        <v>248</v>
      </c>
      <c r="G30" s="360" t="s">
        <v>38</v>
      </c>
      <c r="H30" s="356">
        <v>44329</v>
      </c>
      <c r="I30" s="341" t="s">
        <v>267</v>
      </c>
      <c r="J30" s="357">
        <v>1165690</v>
      </c>
      <c r="K30" s="345" t="s">
        <v>124</v>
      </c>
      <c r="L30" s="346">
        <v>811134</v>
      </c>
      <c r="M30" s="194">
        <f t="shared" si="1"/>
        <v>81113.400000000009</v>
      </c>
      <c r="N30" s="274">
        <f t="shared" si="0"/>
        <v>730020.6</v>
      </c>
      <c r="O30" s="191"/>
      <c r="P30" s="201" t="e">
        <f>VLOOKUP(G:G,list!B:D,2,FALSE)</f>
        <v>#N/A</v>
      </c>
    </row>
    <row r="31" spans="2:16" ht="18" customHeight="1">
      <c r="B31" s="341">
        <v>27</v>
      </c>
      <c r="C31" s="341" t="s">
        <v>238</v>
      </c>
      <c r="D31" s="341" t="s">
        <v>78</v>
      </c>
      <c r="E31" s="360" t="s">
        <v>250</v>
      </c>
      <c r="F31" s="341" t="s">
        <v>248</v>
      </c>
      <c r="G31" s="360" t="s">
        <v>46</v>
      </c>
      <c r="H31" s="356">
        <v>44246</v>
      </c>
      <c r="I31" s="341" t="s">
        <v>267</v>
      </c>
      <c r="J31" s="357">
        <v>2951020</v>
      </c>
      <c r="K31" s="345" t="s">
        <v>206</v>
      </c>
      <c r="L31" s="346">
        <v>1623061</v>
      </c>
      <c r="M31" s="194">
        <f t="shared" si="1"/>
        <v>162306.1</v>
      </c>
      <c r="N31" s="274">
        <f t="shared" si="0"/>
        <v>1460754.9</v>
      </c>
      <c r="O31" s="191"/>
      <c r="P31" s="201" t="e">
        <f>VLOOKUP(G:G,list!B:D,2,FALSE)</f>
        <v>#N/A</v>
      </c>
    </row>
    <row r="32" spans="2:16" ht="18" customHeight="1">
      <c r="B32" s="341">
        <v>28</v>
      </c>
      <c r="C32" s="341" t="s">
        <v>238</v>
      </c>
      <c r="D32" s="341" t="s">
        <v>78</v>
      </c>
      <c r="E32" s="360" t="s">
        <v>250</v>
      </c>
      <c r="F32" s="341" t="s">
        <v>248</v>
      </c>
      <c r="G32" s="360" t="s">
        <v>47</v>
      </c>
      <c r="H32" s="356">
        <v>44152</v>
      </c>
      <c r="I32" s="341" t="s">
        <v>267</v>
      </c>
      <c r="J32" s="357">
        <v>696070</v>
      </c>
      <c r="K32" s="345" t="s">
        <v>206</v>
      </c>
      <c r="L32" s="346">
        <v>382839</v>
      </c>
      <c r="M32" s="194">
        <f t="shared" si="1"/>
        <v>38283.9</v>
      </c>
      <c r="N32" s="274">
        <f t="shared" si="0"/>
        <v>344555.1</v>
      </c>
      <c r="O32" s="347"/>
      <c r="P32" s="201" t="e">
        <f>VLOOKUP(G:G,list!B:D,2,FALSE)</f>
        <v>#N/A</v>
      </c>
    </row>
    <row r="33" spans="2:16" ht="18" customHeight="1">
      <c r="B33" s="341">
        <v>29</v>
      </c>
      <c r="C33" s="341" t="s">
        <v>238</v>
      </c>
      <c r="D33" s="341" t="s">
        <v>78</v>
      </c>
      <c r="E33" s="341" t="s">
        <v>9</v>
      </c>
      <c r="F33" s="341" t="s">
        <v>175</v>
      </c>
      <c r="G33" s="341" t="s">
        <v>212</v>
      </c>
      <c r="H33" s="353">
        <v>44268</v>
      </c>
      <c r="I33" s="341" t="s">
        <v>267</v>
      </c>
      <c r="J33" s="357">
        <v>41232864.211599998</v>
      </c>
      <c r="K33" s="345" t="s">
        <v>206</v>
      </c>
      <c r="L33" s="346">
        <v>22678074</v>
      </c>
      <c r="M33" s="194">
        <f t="shared" si="1"/>
        <v>2267807.4</v>
      </c>
      <c r="N33" s="274">
        <f t="shared" si="0"/>
        <v>20410266.600000001</v>
      </c>
      <c r="O33" s="191"/>
      <c r="P33" s="201" t="e">
        <f>VLOOKUP(G:G,list!B:D,2,FALSE)</f>
        <v>#N/A</v>
      </c>
    </row>
    <row r="34" spans="2:16" ht="18" customHeight="1">
      <c r="B34" s="341">
        <v>30</v>
      </c>
      <c r="C34" s="341"/>
      <c r="D34" s="341" t="s">
        <v>78</v>
      </c>
      <c r="E34" s="360" t="s">
        <v>250</v>
      </c>
      <c r="F34" s="341" t="s">
        <v>126</v>
      </c>
      <c r="G34" s="360" t="s">
        <v>53</v>
      </c>
      <c r="H34" s="356">
        <v>44224</v>
      </c>
      <c r="I34" s="341" t="s">
        <v>267</v>
      </c>
      <c r="J34" s="357">
        <v>4154320</v>
      </c>
      <c r="K34" s="345" t="s">
        <v>206</v>
      </c>
      <c r="L34" s="346">
        <v>2284878</v>
      </c>
      <c r="M34" s="194">
        <v>0</v>
      </c>
      <c r="N34" s="274">
        <f t="shared" si="0"/>
        <v>2284878</v>
      </c>
      <c r="O34" s="191"/>
      <c r="P34" s="201" t="e">
        <f>VLOOKUP(G:G,list!B:D,2,FALSE)</f>
        <v>#N/A</v>
      </c>
    </row>
    <row r="35" spans="2:16" ht="18" customHeight="1">
      <c r="B35" s="341">
        <v>31</v>
      </c>
      <c r="C35" s="341" t="s">
        <v>238</v>
      </c>
      <c r="D35" s="341" t="s">
        <v>78</v>
      </c>
      <c r="E35" s="360" t="s">
        <v>250</v>
      </c>
      <c r="F35" s="341" t="s">
        <v>126</v>
      </c>
      <c r="G35" s="360" t="s">
        <v>30</v>
      </c>
      <c r="H35" s="356">
        <v>44199</v>
      </c>
      <c r="I35" s="341" t="s">
        <v>267</v>
      </c>
      <c r="J35" s="357">
        <v>3665484</v>
      </c>
      <c r="K35" s="345" t="s">
        <v>206</v>
      </c>
      <c r="L35" s="346">
        <v>2016017</v>
      </c>
      <c r="M35" s="274">
        <f>ROUND(L35*10%,0)</f>
        <v>201602</v>
      </c>
      <c r="N35" s="274">
        <f t="shared" si="0"/>
        <v>1814415</v>
      </c>
      <c r="O35" s="191" t="s">
        <v>263</v>
      </c>
      <c r="P35" s="201" t="str">
        <f>VLOOKUP(G:G,list!B:D,2,FALSE)</f>
        <v>원작료</v>
      </c>
    </row>
    <row r="36" spans="2:16" ht="18" customHeight="1">
      <c r="B36" s="341">
        <v>32</v>
      </c>
      <c r="C36" s="341" t="s">
        <v>238</v>
      </c>
      <c r="D36" s="341" t="s">
        <v>78</v>
      </c>
      <c r="E36" s="360" t="s">
        <v>250</v>
      </c>
      <c r="F36" s="341" t="s">
        <v>126</v>
      </c>
      <c r="G36" s="360" t="s">
        <v>29</v>
      </c>
      <c r="H36" s="356">
        <v>44040</v>
      </c>
      <c r="I36" s="341" t="s">
        <v>267</v>
      </c>
      <c r="J36" s="357">
        <v>3556645</v>
      </c>
      <c r="K36" s="345" t="s">
        <v>206</v>
      </c>
      <c r="L36" s="346">
        <v>1956156</v>
      </c>
      <c r="M36" s="274">
        <f>L36*10%</f>
        <v>195615.6</v>
      </c>
      <c r="N36" s="274">
        <f t="shared" si="0"/>
        <v>1760540.4</v>
      </c>
      <c r="O36" s="347"/>
      <c r="P36" s="201" t="e">
        <f>VLOOKUP(G:G,list!B:D,2,FALSE)</f>
        <v>#N/A</v>
      </c>
    </row>
    <row r="37" spans="2:16" ht="18" customHeight="1">
      <c r="B37" s="341">
        <v>33</v>
      </c>
      <c r="C37" s="341" t="s">
        <v>238</v>
      </c>
      <c r="D37" s="341" t="s">
        <v>78</v>
      </c>
      <c r="E37" s="360" t="s">
        <v>250</v>
      </c>
      <c r="F37" s="341" t="s">
        <v>126</v>
      </c>
      <c r="G37" s="360" t="s">
        <v>28</v>
      </c>
      <c r="H37" s="356">
        <v>43994</v>
      </c>
      <c r="I37" s="341" t="s">
        <v>267</v>
      </c>
      <c r="J37" s="357">
        <v>17921636</v>
      </c>
      <c r="K37" s="345" t="s">
        <v>206</v>
      </c>
      <c r="L37" s="346">
        <v>9856902</v>
      </c>
      <c r="M37" s="194">
        <f>ROUND((L37-4000000)*12%,0)</f>
        <v>702828</v>
      </c>
      <c r="N37" s="274">
        <f t="shared" si="0"/>
        <v>9154074</v>
      </c>
      <c r="O37" s="191" t="s">
        <v>106</v>
      </c>
      <c r="P37" s="201" t="e">
        <f>VLOOKUP(G:G,list!B:D,2,FALSE)</f>
        <v>#N/A</v>
      </c>
    </row>
    <row r="38" spans="2:16" ht="18" customHeight="1">
      <c r="B38" s="341">
        <v>34</v>
      </c>
      <c r="C38" s="341" t="s">
        <v>238</v>
      </c>
      <c r="D38" s="341" t="s">
        <v>78</v>
      </c>
      <c r="E38" s="360" t="s">
        <v>250</v>
      </c>
      <c r="F38" s="341" t="s">
        <v>126</v>
      </c>
      <c r="G38" s="360" t="s">
        <v>54</v>
      </c>
      <c r="H38" s="356">
        <v>44098</v>
      </c>
      <c r="I38" s="341" t="s">
        <v>267</v>
      </c>
      <c r="J38" s="357">
        <v>2087072</v>
      </c>
      <c r="K38" s="345" t="s">
        <v>206</v>
      </c>
      <c r="L38" s="346">
        <v>1147891</v>
      </c>
      <c r="M38" s="274">
        <f t="shared" ref="M38:M44" si="2">L38*10%</f>
        <v>114789.1</v>
      </c>
      <c r="N38" s="274">
        <f t="shared" si="0"/>
        <v>1033101.9</v>
      </c>
      <c r="O38" s="191"/>
      <c r="P38" s="201" t="e">
        <f>VLOOKUP(G:G,list!B:D,2,FALSE)</f>
        <v>#N/A</v>
      </c>
    </row>
    <row r="39" spans="2:16" ht="18" customHeight="1">
      <c r="B39" s="341">
        <v>35</v>
      </c>
      <c r="C39" s="341" t="s">
        <v>238</v>
      </c>
      <c r="D39" s="341" t="s">
        <v>78</v>
      </c>
      <c r="E39" s="360" t="s">
        <v>250</v>
      </c>
      <c r="F39" s="341" t="s">
        <v>126</v>
      </c>
      <c r="G39" s="360" t="s">
        <v>55</v>
      </c>
      <c r="H39" s="356">
        <v>44320</v>
      </c>
      <c r="I39" s="341" t="s">
        <v>267</v>
      </c>
      <c r="J39" s="357">
        <v>176280</v>
      </c>
      <c r="K39" s="345" t="s">
        <v>206</v>
      </c>
      <c r="L39" s="346">
        <v>96954</v>
      </c>
      <c r="M39" s="274">
        <f t="shared" si="2"/>
        <v>9695.4</v>
      </c>
      <c r="N39" s="274">
        <f t="shared" si="0"/>
        <v>87258.6</v>
      </c>
      <c r="O39" s="191"/>
      <c r="P39" s="201" t="e">
        <f>VLOOKUP(G:G,list!B:D,2,FALSE)</f>
        <v>#N/A</v>
      </c>
    </row>
    <row r="40" spans="2:16" ht="18" customHeight="1">
      <c r="B40" s="341">
        <v>36</v>
      </c>
      <c r="C40" s="341"/>
      <c r="D40" s="341" t="s">
        <v>78</v>
      </c>
      <c r="E40" s="360" t="s">
        <v>250</v>
      </c>
      <c r="F40" s="341" t="s">
        <v>126</v>
      </c>
      <c r="G40" s="360" t="s">
        <v>42</v>
      </c>
      <c r="H40" s="356">
        <v>44074</v>
      </c>
      <c r="I40" s="341" t="s">
        <v>267</v>
      </c>
      <c r="J40" s="357">
        <v>84046992.186399996</v>
      </c>
      <c r="K40" s="345" t="s">
        <v>206</v>
      </c>
      <c r="L40" s="346">
        <v>46225847</v>
      </c>
      <c r="M40" s="194">
        <f t="shared" si="2"/>
        <v>4622584.7</v>
      </c>
      <c r="N40" s="274">
        <f t="shared" si="0"/>
        <v>41603262.299999997</v>
      </c>
      <c r="O40" s="195" t="s">
        <v>144</v>
      </c>
      <c r="P40" s="201" t="e">
        <f>VLOOKUP(G:G,list!B:D,2,FALSE)</f>
        <v>#N/A</v>
      </c>
    </row>
    <row r="41" spans="2:16" ht="18" customHeight="1">
      <c r="B41" s="341">
        <v>37</v>
      </c>
      <c r="C41" s="341" t="s">
        <v>238</v>
      </c>
      <c r="D41" s="341" t="s">
        <v>78</v>
      </c>
      <c r="E41" s="360" t="s">
        <v>250</v>
      </c>
      <c r="F41" s="341" t="s">
        <v>126</v>
      </c>
      <c r="G41" s="360" t="s">
        <v>191</v>
      </c>
      <c r="H41" s="356">
        <v>44372</v>
      </c>
      <c r="I41" s="341" t="s">
        <v>267</v>
      </c>
      <c r="J41" s="357">
        <v>6579963</v>
      </c>
      <c r="K41" s="345" t="s">
        <v>207</v>
      </c>
      <c r="L41" s="346">
        <v>3947978</v>
      </c>
      <c r="M41" s="194">
        <f t="shared" si="2"/>
        <v>394797.80000000005</v>
      </c>
      <c r="N41" s="274">
        <f t="shared" si="0"/>
        <v>3553180.2</v>
      </c>
      <c r="O41" s="191"/>
      <c r="P41" s="201" t="e">
        <f>VLOOKUP(G:G,list!B:D,2,FALSE)</f>
        <v>#N/A</v>
      </c>
    </row>
    <row r="42" spans="2:16" ht="18" customHeight="1">
      <c r="B42" s="341">
        <v>38</v>
      </c>
      <c r="C42" s="341" t="s">
        <v>238</v>
      </c>
      <c r="D42" s="341" t="s">
        <v>78</v>
      </c>
      <c r="E42" s="360" t="s">
        <v>250</v>
      </c>
      <c r="F42" s="341" t="s">
        <v>126</v>
      </c>
      <c r="G42" s="360" t="s">
        <v>57</v>
      </c>
      <c r="H42" s="356">
        <v>44331</v>
      </c>
      <c r="I42" s="341" t="s">
        <v>267</v>
      </c>
      <c r="J42" s="357">
        <v>2942405</v>
      </c>
      <c r="K42" s="345" t="s">
        <v>206</v>
      </c>
      <c r="L42" s="346">
        <v>1618323</v>
      </c>
      <c r="M42" s="274">
        <f t="shared" si="2"/>
        <v>161832.30000000002</v>
      </c>
      <c r="N42" s="274">
        <f t="shared" si="0"/>
        <v>1456490.7</v>
      </c>
      <c r="O42" s="191"/>
      <c r="P42" s="201" t="e">
        <f>VLOOKUP(G:G,list!B:D,2,FALSE)</f>
        <v>#N/A</v>
      </c>
    </row>
    <row r="43" spans="2:16" ht="18" customHeight="1">
      <c r="B43" s="341">
        <v>39</v>
      </c>
      <c r="C43" s="341" t="s">
        <v>238</v>
      </c>
      <c r="D43" s="341" t="s">
        <v>78</v>
      </c>
      <c r="E43" s="360" t="s">
        <v>250</v>
      </c>
      <c r="F43" s="341" t="s">
        <v>126</v>
      </c>
      <c r="G43" s="360" t="s">
        <v>59</v>
      </c>
      <c r="H43" s="356">
        <v>44392</v>
      </c>
      <c r="I43" s="341" t="s">
        <v>267</v>
      </c>
      <c r="J43" s="357">
        <v>19348571.419399999</v>
      </c>
      <c r="K43" s="345" t="s">
        <v>206</v>
      </c>
      <c r="L43" s="346">
        <v>10641715</v>
      </c>
      <c r="M43" s="274">
        <f t="shared" si="2"/>
        <v>1064171.5</v>
      </c>
      <c r="N43" s="274">
        <f t="shared" si="0"/>
        <v>9577543.5</v>
      </c>
      <c r="O43" s="191"/>
      <c r="P43" s="201" t="e">
        <f>VLOOKUP(G:G,list!B:D,2,FALSE)</f>
        <v>#N/A</v>
      </c>
    </row>
    <row r="44" spans="2:16" ht="18" customHeight="1">
      <c r="B44" s="341">
        <v>40</v>
      </c>
      <c r="C44" s="341" t="s">
        <v>238</v>
      </c>
      <c r="D44" s="341" t="s">
        <v>78</v>
      </c>
      <c r="E44" s="360" t="s">
        <v>250</v>
      </c>
      <c r="F44" s="341" t="s">
        <v>126</v>
      </c>
      <c r="G44" s="360" t="s">
        <v>173</v>
      </c>
      <c r="H44" s="356">
        <v>44457</v>
      </c>
      <c r="I44" s="341" t="s">
        <v>267</v>
      </c>
      <c r="J44" s="357">
        <v>13580052</v>
      </c>
      <c r="K44" s="345" t="s">
        <v>207</v>
      </c>
      <c r="L44" s="346">
        <v>8148031</v>
      </c>
      <c r="M44" s="194">
        <f t="shared" si="2"/>
        <v>814803.10000000009</v>
      </c>
      <c r="N44" s="274">
        <f t="shared" si="0"/>
        <v>7333227.9000000004</v>
      </c>
      <c r="O44" s="191"/>
      <c r="P44" s="201" t="e">
        <f>VLOOKUP(G:G,list!B:D,2,FALSE)</f>
        <v>#N/A</v>
      </c>
    </row>
    <row r="45" spans="2:16" ht="18" customHeight="1">
      <c r="B45" s="341">
        <v>41</v>
      </c>
      <c r="C45" s="341"/>
      <c r="D45" s="341" t="s">
        <v>78</v>
      </c>
      <c r="E45" s="360" t="s">
        <v>250</v>
      </c>
      <c r="F45" s="341" t="s">
        <v>126</v>
      </c>
      <c r="G45" s="360" t="s">
        <v>174</v>
      </c>
      <c r="H45" s="356">
        <v>44469</v>
      </c>
      <c r="I45" s="341" t="s">
        <v>267</v>
      </c>
      <c r="J45" s="357">
        <v>6079010</v>
      </c>
      <c r="K45" s="345" t="s">
        <v>206</v>
      </c>
      <c r="L45" s="346">
        <v>3343458</v>
      </c>
      <c r="M45" s="194">
        <v>0</v>
      </c>
      <c r="N45" s="274">
        <f t="shared" si="0"/>
        <v>3343458</v>
      </c>
      <c r="O45" s="191"/>
      <c r="P45" s="201" t="e">
        <f>VLOOKUP(G:G,list!B:D,2,FALSE)</f>
        <v>#N/A</v>
      </c>
    </row>
    <row r="46" spans="2:16" ht="18" customHeight="1">
      <c r="B46" s="341">
        <v>42</v>
      </c>
      <c r="C46" s="341"/>
      <c r="D46" s="341" t="s">
        <v>78</v>
      </c>
      <c r="E46" s="360" t="s">
        <v>249</v>
      </c>
      <c r="F46" s="341" t="s">
        <v>126</v>
      </c>
      <c r="G46" s="360" t="s">
        <v>58</v>
      </c>
      <c r="H46" s="356">
        <v>44328</v>
      </c>
      <c r="I46" s="341" t="s">
        <v>267</v>
      </c>
      <c r="J46" s="357">
        <v>243380</v>
      </c>
      <c r="K46" s="345" t="s">
        <v>207</v>
      </c>
      <c r="L46" s="346">
        <v>168768</v>
      </c>
      <c r="M46" s="194">
        <v>0</v>
      </c>
      <c r="N46" s="274">
        <f t="shared" si="0"/>
        <v>168768</v>
      </c>
      <c r="O46" s="347"/>
      <c r="P46" s="201" t="e">
        <f>VLOOKUP(G:G,list!B:D,2,FALSE)</f>
        <v>#N/A</v>
      </c>
    </row>
    <row r="47" spans="2:16" ht="18" customHeight="1">
      <c r="B47" s="341">
        <v>43</v>
      </c>
      <c r="C47" s="341" t="s">
        <v>238</v>
      </c>
      <c r="D47" s="341" t="s">
        <v>78</v>
      </c>
      <c r="E47" s="360" t="s">
        <v>249</v>
      </c>
      <c r="F47" s="341" t="s">
        <v>172</v>
      </c>
      <c r="G47" s="360" t="s">
        <v>40</v>
      </c>
      <c r="H47" s="356">
        <v>44379</v>
      </c>
      <c r="I47" s="341" t="s">
        <v>267</v>
      </c>
      <c r="J47" s="357">
        <v>784340</v>
      </c>
      <c r="K47" s="345">
        <v>0.6</v>
      </c>
      <c r="L47" s="346">
        <v>470604</v>
      </c>
      <c r="M47" s="194">
        <f>L47*10%</f>
        <v>47060.4</v>
      </c>
      <c r="N47" s="274">
        <f t="shared" si="0"/>
        <v>423543.6</v>
      </c>
      <c r="O47" s="191"/>
      <c r="P47" s="201" t="e">
        <f>VLOOKUP(G:G,list!B:D,2,FALSE)</f>
        <v>#N/A</v>
      </c>
    </row>
    <row r="48" spans="2:16" ht="18" customHeight="1">
      <c r="B48" s="341">
        <v>44</v>
      </c>
      <c r="C48" s="341" t="s">
        <v>238</v>
      </c>
      <c r="D48" s="341" t="s">
        <v>78</v>
      </c>
      <c r="E48" s="360" t="s">
        <v>249</v>
      </c>
      <c r="F48" s="341" t="s">
        <v>172</v>
      </c>
      <c r="G48" s="360" t="s">
        <v>39</v>
      </c>
      <c r="H48" s="356">
        <v>44385</v>
      </c>
      <c r="I48" s="341" t="s">
        <v>267</v>
      </c>
      <c r="J48" s="357">
        <v>33295</v>
      </c>
      <c r="K48" s="345">
        <v>0.6</v>
      </c>
      <c r="L48" s="346">
        <v>19977</v>
      </c>
      <c r="M48" s="194">
        <f>L48*10%</f>
        <v>1997.7</v>
      </c>
      <c r="N48" s="274">
        <f t="shared" si="0"/>
        <v>17979.3</v>
      </c>
      <c r="O48" s="191"/>
      <c r="P48" s="201" t="e">
        <f>VLOOKUP(G:G,list!B:D,2,FALSE)</f>
        <v>#N/A</v>
      </c>
    </row>
    <row r="49" spans="2:16" ht="18" customHeight="1">
      <c r="B49" s="341">
        <v>45</v>
      </c>
      <c r="C49" s="341" t="s">
        <v>238</v>
      </c>
      <c r="D49" s="341" t="s">
        <v>78</v>
      </c>
      <c r="E49" s="360" t="s">
        <v>249</v>
      </c>
      <c r="F49" s="341" t="s">
        <v>172</v>
      </c>
      <c r="G49" s="360" t="s">
        <v>38</v>
      </c>
      <c r="H49" s="356">
        <v>44362</v>
      </c>
      <c r="I49" s="341" t="s">
        <v>267</v>
      </c>
      <c r="J49" s="361">
        <v>369510</v>
      </c>
      <c r="K49" s="345">
        <v>0.6</v>
      </c>
      <c r="L49" s="346">
        <v>221706</v>
      </c>
      <c r="M49" s="274">
        <f>L49*10%</f>
        <v>22170.600000000002</v>
      </c>
      <c r="N49" s="274">
        <f t="shared" si="0"/>
        <v>199535.4</v>
      </c>
      <c r="O49" s="347"/>
      <c r="P49" s="201" t="e">
        <f>VLOOKUP(G:G,list!B:D,2,FALSE)</f>
        <v>#N/A</v>
      </c>
    </row>
    <row r="50" spans="2:16" ht="18" customHeight="1">
      <c r="B50" s="341">
        <v>46</v>
      </c>
      <c r="C50" s="341"/>
      <c r="D50" s="341" t="s">
        <v>78</v>
      </c>
      <c r="E50" s="341" t="s">
        <v>9</v>
      </c>
      <c r="F50" s="341" t="s">
        <v>131</v>
      </c>
      <c r="G50" s="341" t="s">
        <v>210</v>
      </c>
      <c r="H50" s="353">
        <v>44333</v>
      </c>
      <c r="I50" s="341" t="s">
        <v>267</v>
      </c>
      <c r="J50" s="357">
        <v>407712</v>
      </c>
      <c r="K50" s="345">
        <v>0.5</v>
      </c>
      <c r="L50" s="346">
        <v>203856</v>
      </c>
      <c r="M50" s="274">
        <v>0</v>
      </c>
      <c r="N50" s="274">
        <f t="shared" si="0"/>
        <v>203856</v>
      </c>
      <c r="O50" s="191"/>
      <c r="P50" s="201" t="str">
        <f>VLOOKUP(G:G,list!B:D,2,FALSE)</f>
        <v>작가기획</v>
      </c>
    </row>
    <row r="51" spans="2:16" ht="18" customHeight="1">
      <c r="B51" s="341">
        <v>47</v>
      </c>
      <c r="C51" s="341"/>
      <c r="D51" s="341" t="s">
        <v>189</v>
      </c>
      <c r="E51" s="362" t="s">
        <v>9</v>
      </c>
      <c r="F51" s="341" t="s">
        <v>41</v>
      </c>
      <c r="G51" s="362" t="s">
        <v>179</v>
      </c>
      <c r="H51" s="363">
        <v>44114</v>
      </c>
      <c r="I51" s="341" t="s">
        <v>243</v>
      </c>
      <c r="J51" s="357">
        <v>398934</v>
      </c>
      <c r="K51" s="345">
        <v>0.8</v>
      </c>
      <c r="L51" s="346">
        <v>319147</v>
      </c>
      <c r="M51" s="194">
        <f>L51*10%</f>
        <v>31914.7</v>
      </c>
      <c r="N51" s="274">
        <f t="shared" si="0"/>
        <v>287232.3</v>
      </c>
      <c r="O51" s="195" t="s">
        <v>85</v>
      </c>
      <c r="P51" s="201" t="e">
        <f>VLOOKUP(G:G,list!B:D,2,FALSE)</f>
        <v>#N/A</v>
      </c>
    </row>
    <row r="52" spans="2:16" ht="18" customHeight="1">
      <c r="B52" s="341">
        <v>48</v>
      </c>
      <c r="C52" s="341" t="s">
        <v>238</v>
      </c>
      <c r="D52" s="341" t="s">
        <v>189</v>
      </c>
      <c r="E52" s="362" t="s">
        <v>9</v>
      </c>
      <c r="F52" s="341" t="s">
        <v>41</v>
      </c>
      <c r="G52" s="362" t="s">
        <v>153</v>
      </c>
      <c r="H52" s="363">
        <v>44122</v>
      </c>
      <c r="I52" s="341" t="s">
        <v>243</v>
      </c>
      <c r="J52" s="357">
        <v>143691</v>
      </c>
      <c r="K52" s="345">
        <v>0.8</v>
      </c>
      <c r="L52" s="346">
        <v>114952</v>
      </c>
      <c r="M52" s="274">
        <f>L52*10%</f>
        <v>11495.2</v>
      </c>
      <c r="N52" s="274">
        <f t="shared" si="0"/>
        <v>103456.8</v>
      </c>
      <c r="O52" s="191"/>
      <c r="P52" s="201" t="e">
        <f>VLOOKUP(G:G,list!B:D,2,FALSE)</f>
        <v>#N/A</v>
      </c>
    </row>
    <row r="53" spans="2:16" ht="18" customHeight="1">
      <c r="B53" s="341">
        <v>49</v>
      </c>
      <c r="C53" s="341" t="s">
        <v>238</v>
      </c>
      <c r="D53" s="341" t="s">
        <v>189</v>
      </c>
      <c r="E53" s="362" t="s">
        <v>9</v>
      </c>
      <c r="F53" s="341" t="s">
        <v>41</v>
      </c>
      <c r="G53" s="362" t="s">
        <v>152</v>
      </c>
      <c r="H53" s="363">
        <v>44250</v>
      </c>
      <c r="I53" s="341" t="s">
        <v>243</v>
      </c>
      <c r="J53" s="357">
        <v>90006</v>
      </c>
      <c r="K53" s="345">
        <v>0.8</v>
      </c>
      <c r="L53" s="346">
        <v>72004</v>
      </c>
      <c r="M53" s="194">
        <f>L53*12%</f>
        <v>8640.48</v>
      </c>
      <c r="N53" s="274">
        <f t="shared" si="0"/>
        <v>63363.520000000004</v>
      </c>
      <c r="O53" s="191"/>
      <c r="P53" s="201" t="e">
        <f>VLOOKUP(G:G,list!B:D,2,FALSE)</f>
        <v>#N/A</v>
      </c>
    </row>
    <row r="54" spans="2:16" ht="18" customHeight="1">
      <c r="B54" s="341">
        <v>50</v>
      </c>
      <c r="C54" s="341" t="s">
        <v>238</v>
      </c>
      <c r="D54" s="341" t="s">
        <v>189</v>
      </c>
      <c r="E54" s="362" t="s">
        <v>9</v>
      </c>
      <c r="F54" s="341" t="s">
        <v>41</v>
      </c>
      <c r="G54" s="362" t="s">
        <v>151</v>
      </c>
      <c r="H54" s="363">
        <v>44265</v>
      </c>
      <c r="I54" s="341" t="s">
        <v>243</v>
      </c>
      <c r="J54" s="357">
        <v>155646</v>
      </c>
      <c r="K54" s="345">
        <v>0.8</v>
      </c>
      <c r="L54" s="346">
        <v>124516</v>
      </c>
      <c r="M54" s="274">
        <f>L54*10%</f>
        <v>12451.6</v>
      </c>
      <c r="N54" s="274">
        <f t="shared" si="0"/>
        <v>112064.4</v>
      </c>
      <c r="O54" s="364"/>
      <c r="P54" s="201" t="str">
        <f>VLOOKUP(G:G,list!B:D,2,FALSE)</f>
        <v>원작료</v>
      </c>
    </row>
    <row r="55" spans="2:16" ht="18" customHeight="1">
      <c r="B55" s="341">
        <v>51</v>
      </c>
      <c r="C55" s="341" t="s">
        <v>238</v>
      </c>
      <c r="D55" s="341" t="s">
        <v>251</v>
      </c>
      <c r="E55" s="341" t="s">
        <v>9</v>
      </c>
      <c r="F55" s="341" t="s">
        <v>41</v>
      </c>
      <c r="G55" s="341" t="s">
        <v>212</v>
      </c>
      <c r="H55" s="365">
        <v>44327</v>
      </c>
      <c r="I55" s="341" t="s">
        <v>243</v>
      </c>
      <c r="J55" s="357">
        <v>757230</v>
      </c>
      <c r="K55" s="345">
        <v>0.8</v>
      </c>
      <c r="L55" s="346">
        <v>605784</v>
      </c>
      <c r="M55" s="194">
        <f>L55*10%</f>
        <v>60578.400000000001</v>
      </c>
      <c r="N55" s="274">
        <f t="shared" si="0"/>
        <v>545205.6</v>
      </c>
      <c r="O55" s="364"/>
      <c r="P55" s="201" t="e">
        <f>VLOOKUP(G:G,list!B:D,2,FALSE)</f>
        <v>#N/A</v>
      </c>
    </row>
    <row r="56" spans="2:16" ht="18" customHeight="1">
      <c r="B56" s="341">
        <v>52</v>
      </c>
      <c r="C56" s="341" t="s">
        <v>238</v>
      </c>
      <c r="D56" s="366" t="s">
        <v>252</v>
      </c>
      <c r="E56" s="366" t="s">
        <v>9</v>
      </c>
      <c r="F56" s="341" t="s">
        <v>184</v>
      </c>
      <c r="G56" s="366" t="s">
        <v>218</v>
      </c>
      <c r="H56" s="365">
        <v>44466</v>
      </c>
      <c r="I56" s="341" t="s">
        <v>243</v>
      </c>
      <c r="J56" s="357">
        <v>63169036.666666672</v>
      </c>
      <c r="K56" s="345">
        <v>0.3</v>
      </c>
      <c r="L56" s="346">
        <v>18950711</v>
      </c>
      <c r="M56" s="194">
        <f>L56*10%</f>
        <v>1895071.1</v>
      </c>
      <c r="N56" s="274">
        <f t="shared" si="0"/>
        <v>17055639.899999999</v>
      </c>
      <c r="O56" s="364"/>
      <c r="P56" s="201" t="e">
        <f>VLOOKUP(G:G,list!B:D,2,FALSE)</f>
        <v>#N/A</v>
      </c>
    </row>
    <row r="57" spans="2:16" ht="18" customHeight="1">
      <c r="B57" s="341">
        <v>53</v>
      </c>
      <c r="C57" s="341"/>
      <c r="D57" s="366" t="s">
        <v>252</v>
      </c>
      <c r="E57" s="366" t="s">
        <v>9</v>
      </c>
      <c r="F57" s="341" t="s">
        <v>184</v>
      </c>
      <c r="G57" s="366" t="s">
        <v>135</v>
      </c>
      <c r="H57" s="365">
        <v>44468</v>
      </c>
      <c r="I57" s="341" t="s">
        <v>243</v>
      </c>
      <c r="J57" s="357">
        <v>82736.666666666672</v>
      </c>
      <c r="K57" s="345">
        <v>0.3</v>
      </c>
      <c r="L57" s="346">
        <v>24821</v>
      </c>
      <c r="M57" s="194">
        <v>0</v>
      </c>
      <c r="N57" s="274">
        <f t="shared" si="0"/>
        <v>24821</v>
      </c>
      <c r="O57" s="364"/>
      <c r="P57" s="201" t="e">
        <f>VLOOKUP(G:G,list!B:D,2,FALSE)</f>
        <v>#N/A</v>
      </c>
    </row>
    <row r="58" spans="2:16" ht="18" customHeight="1">
      <c r="B58" s="341">
        <v>54</v>
      </c>
      <c r="C58" s="341" t="s">
        <v>238</v>
      </c>
      <c r="D58" s="366" t="s">
        <v>252</v>
      </c>
      <c r="E58" s="366" t="s">
        <v>9</v>
      </c>
      <c r="F58" s="341" t="s">
        <v>184</v>
      </c>
      <c r="G58" s="366" t="s">
        <v>219</v>
      </c>
      <c r="H58" s="365">
        <v>44498</v>
      </c>
      <c r="I58" s="341" t="s">
        <v>243</v>
      </c>
      <c r="J58" s="367">
        <v>29787906.666666668</v>
      </c>
      <c r="K58" s="345">
        <v>0.3</v>
      </c>
      <c r="L58" s="346">
        <v>8936372</v>
      </c>
      <c r="M58" s="194">
        <f>L58*12%</f>
        <v>1072364.6399999999</v>
      </c>
      <c r="N58" s="274">
        <f t="shared" si="0"/>
        <v>7864007.3600000003</v>
      </c>
      <c r="O58" s="364"/>
      <c r="P58" s="201" t="e">
        <f>VLOOKUP(G:G,list!B:D,2,FALSE)</f>
        <v>#N/A</v>
      </c>
    </row>
    <row r="59" spans="2:16" ht="18" customHeight="1">
      <c r="B59" s="341">
        <v>55</v>
      </c>
      <c r="C59" s="341" t="s">
        <v>238</v>
      </c>
      <c r="D59" s="366" t="s">
        <v>215</v>
      </c>
      <c r="E59" s="366" t="s">
        <v>9</v>
      </c>
      <c r="F59" s="341" t="s">
        <v>184</v>
      </c>
      <c r="G59" s="366" t="s">
        <v>219</v>
      </c>
      <c r="H59" s="365">
        <v>44486</v>
      </c>
      <c r="I59" s="341" t="s">
        <v>243</v>
      </c>
      <c r="J59" s="361">
        <v>1111220</v>
      </c>
      <c r="K59" s="368">
        <v>0.3</v>
      </c>
      <c r="L59" s="346">
        <v>333366</v>
      </c>
      <c r="M59" s="194">
        <f>L59*12%</f>
        <v>40003.919999999998</v>
      </c>
      <c r="N59" s="274">
        <f t="shared" si="0"/>
        <v>293362.08</v>
      </c>
      <c r="O59" s="364"/>
      <c r="P59" s="201" t="e">
        <f>VLOOKUP(G:G,list!B:D,2,FALSE)</f>
        <v>#N/A</v>
      </c>
    </row>
    <row r="60" spans="2:16" ht="18" customHeight="1">
      <c r="B60" s="341">
        <v>56</v>
      </c>
      <c r="C60" s="341" t="s">
        <v>238</v>
      </c>
      <c r="D60" s="366" t="s">
        <v>214</v>
      </c>
      <c r="E60" s="366" t="s">
        <v>9</v>
      </c>
      <c r="F60" s="341" t="s">
        <v>184</v>
      </c>
      <c r="G60" s="366" t="s">
        <v>218</v>
      </c>
      <c r="H60" s="365">
        <v>44356</v>
      </c>
      <c r="I60" s="341" t="s">
        <v>267</v>
      </c>
      <c r="J60" s="361">
        <v>1065383.3333333335</v>
      </c>
      <c r="K60" s="368">
        <v>0.3</v>
      </c>
      <c r="L60" s="346">
        <v>319615</v>
      </c>
      <c r="M60" s="194">
        <f t="shared" ref="M60:M66" si="3">L60*10%</f>
        <v>31961.5</v>
      </c>
      <c r="N60" s="274">
        <f t="shared" si="0"/>
        <v>287653.5</v>
      </c>
      <c r="O60" s="364" t="s">
        <v>220</v>
      </c>
      <c r="P60" s="201" t="e">
        <f>VLOOKUP(G:G,list!B:D,2,FALSE)</f>
        <v>#N/A</v>
      </c>
    </row>
    <row r="61" spans="2:16" ht="18" customHeight="1">
      <c r="B61" s="341">
        <v>57</v>
      </c>
      <c r="C61" s="341" t="s">
        <v>238</v>
      </c>
      <c r="D61" s="366" t="s">
        <v>215</v>
      </c>
      <c r="E61" s="366" t="s">
        <v>9</v>
      </c>
      <c r="F61" s="341" t="s">
        <v>184</v>
      </c>
      <c r="G61" s="366" t="s">
        <v>218</v>
      </c>
      <c r="H61" s="365">
        <v>44395</v>
      </c>
      <c r="I61" s="341" t="s">
        <v>267</v>
      </c>
      <c r="J61" s="361">
        <v>21963210</v>
      </c>
      <c r="K61" s="368">
        <v>0.3</v>
      </c>
      <c r="L61" s="346">
        <v>6588963</v>
      </c>
      <c r="M61" s="194">
        <f t="shared" si="3"/>
        <v>658896.30000000005</v>
      </c>
      <c r="N61" s="274">
        <f t="shared" si="0"/>
        <v>5930066.7000000002</v>
      </c>
      <c r="O61" s="364" t="s">
        <v>221</v>
      </c>
      <c r="P61" s="201" t="e">
        <f>VLOOKUP(G:G,list!B:D,2,FALSE)</f>
        <v>#N/A</v>
      </c>
    </row>
    <row r="62" spans="2:16" ht="18" customHeight="1">
      <c r="B62" s="341">
        <v>58</v>
      </c>
      <c r="C62" s="341" t="s">
        <v>238</v>
      </c>
      <c r="D62" s="366" t="s">
        <v>216</v>
      </c>
      <c r="E62" s="366" t="s">
        <v>9</v>
      </c>
      <c r="F62" s="341" t="s">
        <v>184</v>
      </c>
      <c r="G62" s="366" t="s">
        <v>218</v>
      </c>
      <c r="H62" s="365">
        <v>44396</v>
      </c>
      <c r="I62" s="341" t="s">
        <v>267</v>
      </c>
      <c r="J62" s="361">
        <v>8299496.666666667</v>
      </c>
      <c r="K62" s="368">
        <v>0.3</v>
      </c>
      <c r="L62" s="346">
        <v>2489849</v>
      </c>
      <c r="M62" s="194">
        <f t="shared" si="3"/>
        <v>248984.90000000002</v>
      </c>
      <c r="N62" s="274">
        <f t="shared" si="0"/>
        <v>2240864.1</v>
      </c>
      <c r="O62" s="364" t="s">
        <v>221</v>
      </c>
      <c r="P62" s="201" t="e">
        <f>VLOOKUP(G:G,list!B:D,2,FALSE)</f>
        <v>#N/A</v>
      </c>
    </row>
    <row r="63" spans="2:16" ht="18" customHeight="1">
      <c r="B63" s="341">
        <v>59</v>
      </c>
      <c r="C63" s="341" t="s">
        <v>238</v>
      </c>
      <c r="D63" s="366" t="s">
        <v>253</v>
      </c>
      <c r="E63" s="366" t="s">
        <v>9</v>
      </c>
      <c r="F63" s="341" t="s">
        <v>184</v>
      </c>
      <c r="G63" s="366" t="s">
        <v>218</v>
      </c>
      <c r="H63" s="365">
        <v>44356</v>
      </c>
      <c r="I63" s="341" t="s">
        <v>267</v>
      </c>
      <c r="J63" s="367">
        <v>8929666.6666666679</v>
      </c>
      <c r="K63" s="368">
        <v>0.3</v>
      </c>
      <c r="L63" s="346">
        <v>2678900</v>
      </c>
      <c r="M63" s="194">
        <f t="shared" si="3"/>
        <v>267890</v>
      </c>
      <c r="N63" s="274">
        <f t="shared" si="0"/>
        <v>2411010</v>
      </c>
      <c r="O63" s="364" t="s">
        <v>221</v>
      </c>
      <c r="P63" s="201" t="e">
        <f>VLOOKUP(G:G,list!B:D,2,FALSE)</f>
        <v>#N/A</v>
      </c>
    </row>
    <row r="64" spans="2:16" ht="18" customHeight="1">
      <c r="B64" s="341">
        <v>60</v>
      </c>
      <c r="C64" s="341" t="s">
        <v>238</v>
      </c>
      <c r="D64" s="366" t="s">
        <v>217</v>
      </c>
      <c r="E64" s="366" t="s">
        <v>9</v>
      </c>
      <c r="F64" s="341" t="s">
        <v>184</v>
      </c>
      <c r="G64" s="366" t="s">
        <v>218</v>
      </c>
      <c r="H64" s="365">
        <v>44366</v>
      </c>
      <c r="I64" s="341" t="s">
        <v>267</v>
      </c>
      <c r="J64" s="367">
        <v>14177243.333333334</v>
      </c>
      <c r="K64" s="368">
        <v>0.3</v>
      </c>
      <c r="L64" s="346">
        <v>4253173</v>
      </c>
      <c r="M64" s="194">
        <f t="shared" si="3"/>
        <v>425317.30000000005</v>
      </c>
      <c r="N64" s="274">
        <f t="shared" si="0"/>
        <v>3827855.7</v>
      </c>
      <c r="O64" s="364" t="s">
        <v>221</v>
      </c>
      <c r="P64" s="201" t="e">
        <f>VLOOKUP(G:G,list!B:D,2,FALSE)</f>
        <v>#N/A</v>
      </c>
    </row>
    <row r="65" spans="2:16" ht="18" customHeight="1">
      <c r="B65" s="341">
        <v>61</v>
      </c>
      <c r="C65" s="341" t="s">
        <v>238</v>
      </c>
      <c r="D65" s="366" t="s">
        <v>254</v>
      </c>
      <c r="E65" s="366" t="s">
        <v>9</v>
      </c>
      <c r="F65" s="341" t="s">
        <v>184</v>
      </c>
      <c r="G65" s="366" t="s">
        <v>218</v>
      </c>
      <c r="H65" s="365">
        <v>44516</v>
      </c>
      <c r="I65" s="341" t="s">
        <v>267</v>
      </c>
      <c r="J65" s="367">
        <v>3369500</v>
      </c>
      <c r="K65" s="368">
        <v>0.3</v>
      </c>
      <c r="L65" s="346">
        <v>1010850</v>
      </c>
      <c r="M65" s="194">
        <f t="shared" si="3"/>
        <v>101085</v>
      </c>
      <c r="N65" s="274">
        <f t="shared" si="0"/>
        <v>909765</v>
      </c>
      <c r="O65" s="364" t="s">
        <v>221</v>
      </c>
      <c r="P65" s="201" t="e">
        <f>VLOOKUP(G:G,list!B:D,2,FALSE)</f>
        <v>#N/A</v>
      </c>
    </row>
    <row r="66" spans="2:16" ht="18" customHeight="1">
      <c r="B66" s="341">
        <v>62</v>
      </c>
      <c r="C66" s="341" t="s">
        <v>238</v>
      </c>
      <c r="D66" s="366" t="s">
        <v>255</v>
      </c>
      <c r="E66" s="366" t="s">
        <v>9</v>
      </c>
      <c r="F66" s="341" t="s">
        <v>184</v>
      </c>
      <c r="G66" s="366" t="s">
        <v>218</v>
      </c>
      <c r="H66" s="365">
        <v>44456</v>
      </c>
      <c r="I66" s="341" t="s">
        <v>267</v>
      </c>
      <c r="J66" s="367">
        <v>250913.33333333334</v>
      </c>
      <c r="K66" s="368">
        <v>0.3</v>
      </c>
      <c r="L66" s="346">
        <v>75274</v>
      </c>
      <c r="M66" s="194">
        <f t="shared" si="3"/>
        <v>7527.4000000000005</v>
      </c>
      <c r="N66" s="274">
        <f t="shared" si="0"/>
        <v>67746.600000000006</v>
      </c>
      <c r="O66" s="364" t="s">
        <v>221</v>
      </c>
      <c r="P66" s="201" t="e">
        <f>VLOOKUP(G:G,list!B:D,2,FALSE)</f>
        <v>#N/A</v>
      </c>
    </row>
    <row r="67" spans="2:16" ht="18" customHeight="1">
      <c r="B67" s="341">
        <v>63</v>
      </c>
      <c r="C67" s="341"/>
      <c r="D67" s="366" t="s">
        <v>214</v>
      </c>
      <c r="E67" s="366" t="s">
        <v>9</v>
      </c>
      <c r="F67" s="341" t="s">
        <v>184</v>
      </c>
      <c r="G67" s="366" t="s">
        <v>135</v>
      </c>
      <c r="H67" s="365">
        <v>44381</v>
      </c>
      <c r="I67" s="341" t="s">
        <v>267</v>
      </c>
      <c r="J67" s="361">
        <v>127070</v>
      </c>
      <c r="K67" s="368">
        <v>0.3</v>
      </c>
      <c r="L67" s="346">
        <v>38121</v>
      </c>
      <c r="M67" s="194">
        <v>0</v>
      </c>
      <c r="N67" s="274">
        <f t="shared" si="0"/>
        <v>38121</v>
      </c>
      <c r="O67" s="364" t="s">
        <v>220</v>
      </c>
      <c r="P67" s="201" t="e">
        <f>VLOOKUP(G:G,list!B:D,2,FALSE)</f>
        <v>#N/A</v>
      </c>
    </row>
    <row r="68" spans="2:16" ht="18" customHeight="1">
      <c r="B68" s="341">
        <v>64</v>
      </c>
      <c r="C68" s="341"/>
      <c r="D68" s="366" t="s">
        <v>215</v>
      </c>
      <c r="E68" s="366" t="s">
        <v>9</v>
      </c>
      <c r="F68" s="341" t="s">
        <v>184</v>
      </c>
      <c r="G68" s="366" t="s">
        <v>135</v>
      </c>
      <c r="H68" s="365">
        <v>44420</v>
      </c>
      <c r="I68" s="341" t="s">
        <v>267</v>
      </c>
      <c r="J68" s="361">
        <v>3425916.666666667</v>
      </c>
      <c r="K68" s="368">
        <v>0.3</v>
      </c>
      <c r="L68" s="346">
        <v>1027775</v>
      </c>
      <c r="M68" s="194">
        <v>0</v>
      </c>
      <c r="N68" s="274">
        <f t="shared" si="0"/>
        <v>1027775</v>
      </c>
      <c r="O68" s="364" t="s">
        <v>221</v>
      </c>
      <c r="P68" s="201" t="e">
        <f>VLOOKUP(G:G,list!B:D,2,FALSE)</f>
        <v>#N/A</v>
      </c>
    </row>
    <row r="69" spans="2:16" ht="18" customHeight="1">
      <c r="B69" s="341">
        <v>65</v>
      </c>
      <c r="C69" s="341"/>
      <c r="D69" s="366" t="s">
        <v>216</v>
      </c>
      <c r="E69" s="366" t="s">
        <v>9</v>
      </c>
      <c r="F69" s="341" t="s">
        <v>184</v>
      </c>
      <c r="G69" s="366" t="s">
        <v>135</v>
      </c>
      <c r="H69" s="365">
        <v>44370</v>
      </c>
      <c r="I69" s="341" t="s">
        <v>267</v>
      </c>
      <c r="J69" s="367">
        <v>394830</v>
      </c>
      <c r="K69" s="368">
        <v>0.3</v>
      </c>
      <c r="L69" s="346">
        <v>118449</v>
      </c>
      <c r="M69" s="194">
        <v>0</v>
      </c>
      <c r="N69" s="274">
        <f t="shared" si="0"/>
        <v>118449</v>
      </c>
      <c r="O69" s="364" t="s">
        <v>221</v>
      </c>
      <c r="P69" s="201" t="e">
        <f>VLOOKUP(G:G,list!B:D,2,FALSE)</f>
        <v>#N/A</v>
      </c>
    </row>
    <row r="70" spans="2:16" ht="18" customHeight="1">
      <c r="B70" s="341">
        <v>66</v>
      </c>
      <c r="C70" s="341" t="s">
        <v>238</v>
      </c>
      <c r="D70" s="366" t="s">
        <v>214</v>
      </c>
      <c r="E70" s="366" t="s">
        <v>9</v>
      </c>
      <c r="F70" s="341" t="s">
        <v>184</v>
      </c>
      <c r="G70" s="366" t="s">
        <v>136</v>
      </c>
      <c r="H70" s="365">
        <v>44364</v>
      </c>
      <c r="I70" s="341" t="s">
        <v>267</v>
      </c>
      <c r="J70" s="367">
        <v>8096.666666666667</v>
      </c>
      <c r="K70" s="368">
        <v>0.3</v>
      </c>
      <c r="L70" s="346">
        <v>2429</v>
      </c>
      <c r="M70" s="274">
        <f>L70*10%</f>
        <v>242.9</v>
      </c>
      <c r="N70" s="274">
        <f t="shared" ref="N70:N136" si="4">L70-M70</f>
        <v>2186.1</v>
      </c>
      <c r="O70" s="364" t="s">
        <v>220</v>
      </c>
      <c r="P70" s="201" t="e">
        <f>VLOOKUP(G:G,list!B:D,2,FALSE)</f>
        <v>#N/A</v>
      </c>
    </row>
    <row r="71" spans="2:16" ht="18" customHeight="1">
      <c r="B71" s="341">
        <v>67</v>
      </c>
      <c r="C71" s="341" t="s">
        <v>238</v>
      </c>
      <c r="D71" s="366" t="s">
        <v>214</v>
      </c>
      <c r="E71" s="366" t="s">
        <v>9</v>
      </c>
      <c r="F71" s="341" t="s">
        <v>184</v>
      </c>
      <c r="G71" s="366" t="s">
        <v>219</v>
      </c>
      <c r="H71" s="365">
        <v>44477</v>
      </c>
      <c r="I71" s="341" t="s">
        <v>267</v>
      </c>
      <c r="J71" s="367">
        <v>195913.33333333334</v>
      </c>
      <c r="K71" s="368">
        <v>0.3</v>
      </c>
      <c r="L71" s="346">
        <v>58774</v>
      </c>
      <c r="M71" s="194">
        <f>L71*12%</f>
        <v>7052.88</v>
      </c>
      <c r="N71" s="274">
        <f t="shared" si="4"/>
        <v>51721.120000000003</v>
      </c>
      <c r="O71" s="364" t="s">
        <v>220</v>
      </c>
      <c r="P71" s="201" t="e">
        <f>VLOOKUP(G:G,list!B:D,2,FALSE)</f>
        <v>#N/A</v>
      </c>
    </row>
    <row r="72" spans="2:16" ht="18" customHeight="1">
      <c r="B72" s="341">
        <v>68</v>
      </c>
      <c r="C72" s="341" t="s">
        <v>238</v>
      </c>
      <c r="D72" s="366" t="s">
        <v>215</v>
      </c>
      <c r="E72" s="366" t="s">
        <v>9</v>
      </c>
      <c r="F72" s="341" t="s">
        <v>184</v>
      </c>
      <c r="G72" s="366" t="s">
        <v>219</v>
      </c>
      <c r="H72" s="365">
        <v>44486</v>
      </c>
      <c r="I72" s="341" t="s">
        <v>267</v>
      </c>
      <c r="J72" s="367">
        <v>29839783.333333336</v>
      </c>
      <c r="K72" s="368">
        <v>0.3</v>
      </c>
      <c r="L72" s="346">
        <v>8951935</v>
      </c>
      <c r="M72" s="194">
        <f>L72*12%</f>
        <v>1074232.2</v>
      </c>
      <c r="N72" s="274">
        <f t="shared" si="4"/>
        <v>7877702.7999999998</v>
      </c>
      <c r="O72" s="364" t="s">
        <v>221</v>
      </c>
      <c r="P72" s="201" t="e">
        <f>VLOOKUP(G:G,list!B:D,2,FALSE)</f>
        <v>#N/A</v>
      </c>
    </row>
    <row r="73" spans="2:16" ht="18" customHeight="1">
      <c r="B73" s="341">
        <v>69</v>
      </c>
      <c r="C73" s="341" t="s">
        <v>238</v>
      </c>
      <c r="D73" s="366" t="s">
        <v>216</v>
      </c>
      <c r="E73" s="366" t="s">
        <v>9</v>
      </c>
      <c r="F73" s="341" t="s">
        <v>184</v>
      </c>
      <c r="G73" s="366" t="s">
        <v>219</v>
      </c>
      <c r="H73" s="365">
        <v>44497</v>
      </c>
      <c r="I73" s="341" t="s">
        <v>267</v>
      </c>
      <c r="J73" s="367">
        <v>10805876.666666668</v>
      </c>
      <c r="K73" s="368">
        <v>0.3</v>
      </c>
      <c r="L73" s="346">
        <v>3241763</v>
      </c>
      <c r="M73" s="194">
        <f>L73*12%</f>
        <v>389011.56</v>
      </c>
      <c r="N73" s="274">
        <f t="shared" si="4"/>
        <v>2852751.44</v>
      </c>
      <c r="O73" s="364" t="s">
        <v>221</v>
      </c>
      <c r="P73" s="201" t="e">
        <f>VLOOKUP(G:G,list!B:D,2,FALSE)</f>
        <v>#N/A</v>
      </c>
    </row>
    <row r="74" spans="2:16" ht="18" customHeight="1">
      <c r="B74" s="341">
        <v>70</v>
      </c>
      <c r="C74" s="341" t="s">
        <v>238</v>
      </c>
      <c r="D74" s="366" t="s">
        <v>217</v>
      </c>
      <c r="E74" s="366" t="s">
        <v>9</v>
      </c>
      <c r="F74" s="341" t="s">
        <v>184</v>
      </c>
      <c r="G74" s="366" t="s">
        <v>219</v>
      </c>
      <c r="H74" s="365">
        <v>44466</v>
      </c>
      <c r="I74" s="341" t="s">
        <v>267</v>
      </c>
      <c r="J74" s="367">
        <v>7448883.333333334</v>
      </c>
      <c r="K74" s="368">
        <v>0.3</v>
      </c>
      <c r="L74" s="346">
        <v>2234665</v>
      </c>
      <c r="M74" s="194">
        <f>L74*12%</f>
        <v>268159.8</v>
      </c>
      <c r="N74" s="274">
        <f t="shared" si="4"/>
        <v>1966505.2</v>
      </c>
      <c r="O74" s="364" t="s">
        <v>221</v>
      </c>
      <c r="P74" s="201" t="e">
        <f>VLOOKUP(G:G,list!B:D,2,FALSE)</f>
        <v>#N/A</v>
      </c>
    </row>
    <row r="75" spans="2:16" ht="18" customHeight="1">
      <c r="B75" s="341">
        <v>71</v>
      </c>
      <c r="C75" s="341" t="s">
        <v>238</v>
      </c>
      <c r="D75" s="369" t="s">
        <v>66</v>
      </c>
      <c r="E75" s="341" t="s">
        <v>64</v>
      </c>
      <c r="F75" s="369" t="s">
        <v>65</v>
      </c>
      <c r="G75" s="342" t="s">
        <v>152</v>
      </c>
      <c r="H75" s="343">
        <v>44235</v>
      </c>
      <c r="I75" s="341" t="s">
        <v>267</v>
      </c>
      <c r="J75" s="361">
        <v>682503</v>
      </c>
      <c r="K75" s="368">
        <v>0.4</v>
      </c>
      <c r="L75" s="346">
        <v>273001</v>
      </c>
      <c r="M75" s="194">
        <f>L75*12%</f>
        <v>32760.12</v>
      </c>
      <c r="N75" s="274">
        <f t="shared" si="4"/>
        <v>240240.88</v>
      </c>
      <c r="O75" s="191"/>
      <c r="P75" s="201" t="e">
        <f>VLOOKUP(G:G,list!B:D,2,FALSE)</f>
        <v>#N/A</v>
      </c>
    </row>
    <row r="76" spans="2:16" ht="18" customHeight="1">
      <c r="B76" s="341">
        <v>72</v>
      </c>
      <c r="C76" s="341"/>
      <c r="D76" s="369" t="s">
        <v>66</v>
      </c>
      <c r="E76" s="341" t="s">
        <v>64</v>
      </c>
      <c r="F76" s="369" t="s">
        <v>65</v>
      </c>
      <c r="G76" s="342" t="s">
        <v>179</v>
      </c>
      <c r="H76" s="343">
        <v>44198</v>
      </c>
      <c r="I76" s="341" t="s">
        <v>267</v>
      </c>
      <c r="J76" s="361">
        <v>904625</v>
      </c>
      <c r="K76" s="368">
        <v>0.4</v>
      </c>
      <c r="L76" s="346">
        <v>361850</v>
      </c>
      <c r="M76" s="194">
        <f>L76*10%</f>
        <v>36185</v>
      </c>
      <c r="N76" s="274">
        <f t="shared" si="4"/>
        <v>325665</v>
      </c>
      <c r="O76" s="195" t="s">
        <v>85</v>
      </c>
      <c r="P76" s="201" t="e">
        <f>VLOOKUP(G:G,list!B:D,2,FALSE)</f>
        <v>#N/A</v>
      </c>
    </row>
    <row r="77" spans="2:16" ht="18" customHeight="1">
      <c r="B77" s="341">
        <v>73</v>
      </c>
      <c r="C77" s="341"/>
      <c r="D77" s="369" t="s">
        <v>66</v>
      </c>
      <c r="E77" s="341" t="s">
        <v>64</v>
      </c>
      <c r="F77" s="369" t="s">
        <v>65</v>
      </c>
      <c r="G77" s="342" t="s">
        <v>147</v>
      </c>
      <c r="H77" s="343">
        <v>44288</v>
      </c>
      <c r="I77" s="341" t="s">
        <v>267</v>
      </c>
      <c r="J77" s="361">
        <v>208545</v>
      </c>
      <c r="K77" s="368">
        <v>0.4</v>
      </c>
      <c r="L77" s="346">
        <v>83418</v>
      </c>
      <c r="M77" s="194">
        <v>0</v>
      </c>
      <c r="N77" s="274">
        <f t="shared" si="4"/>
        <v>83418</v>
      </c>
      <c r="O77" s="191"/>
      <c r="P77" s="201" t="e">
        <f>VLOOKUP(G:G,list!B:D,2,FALSE)</f>
        <v>#N/A</v>
      </c>
    </row>
    <row r="78" spans="2:16" ht="18" customHeight="1">
      <c r="B78" s="341">
        <v>74</v>
      </c>
      <c r="C78" s="341"/>
      <c r="D78" s="369" t="s">
        <v>66</v>
      </c>
      <c r="E78" s="341" t="s">
        <v>64</v>
      </c>
      <c r="F78" s="369" t="s">
        <v>65</v>
      </c>
      <c r="G78" s="342" t="s">
        <v>187</v>
      </c>
      <c r="H78" s="343">
        <v>44289</v>
      </c>
      <c r="I78" s="341" t="s">
        <v>267</v>
      </c>
      <c r="J78" s="361">
        <v>1546528</v>
      </c>
      <c r="K78" s="368">
        <v>0.4</v>
      </c>
      <c r="L78" s="346">
        <v>618611</v>
      </c>
      <c r="M78" s="194">
        <v>0</v>
      </c>
      <c r="N78" s="274">
        <f t="shared" si="4"/>
        <v>618611</v>
      </c>
      <c r="O78" s="347"/>
      <c r="P78" s="201" t="e">
        <f>VLOOKUP(G:G,list!B:D,2,FALSE)</f>
        <v>#N/A</v>
      </c>
    </row>
    <row r="79" spans="2:16" ht="18" customHeight="1">
      <c r="B79" s="341">
        <v>75</v>
      </c>
      <c r="C79" s="341" t="s">
        <v>238</v>
      </c>
      <c r="D79" s="369" t="s">
        <v>66</v>
      </c>
      <c r="E79" s="341" t="s">
        <v>64</v>
      </c>
      <c r="F79" s="369" t="s">
        <v>65</v>
      </c>
      <c r="G79" s="342" t="s">
        <v>74</v>
      </c>
      <c r="H79" s="343">
        <v>44246</v>
      </c>
      <c r="I79" s="341" t="s">
        <v>267</v>
      </c>
      <c r="J79" s="361">
        <v>568395</v>
      </c>
      <c r="K79" s="368">
        <v>0.4</v>
      </c>
      <c r="L79" s="346">
        <v>227358</v>
      </c>
      <c r="M79" s="274">
        <f>L79*10%</f>
        <v>22735.800000000003</v>
      </c>
      <c r="N79" s="274">
        <f t="shared" si="4"/>
        <v>204622.2</v>
      </c>
      <c r="O79" s="191"/>
      <c r="P79" s="201" t="e">
        <f>VLOOKUP(G:G,list!B:D,2,FALSE)</f>
        <v>#N/A</v>
      </c>
    </row>
    <row r="80" spans="2:16" ht="18" customHeight="1">
      <c r="B80" s="341">
        <v>76</v>
      </c>
      <c r="C80" s="341"/>
      <c r="D80" s="369" t="s">
        <v>66</v>
      </c>
      <c r="E80" s="341" t="s">
        <v>64</v>
      </c>
      <c r="F80" s="369" t="s">
        <v>65</v>
      </c>
      <c r="G80" s="342" t="s">
        <v>188</v>
      </c>
      <c r="H80" s="343">
        <v>44415</v>
      </c>
      <c r="I80" s="341" t="s">
        <v>267</v>
      </c>
      <c r="J80" s="361">
        <v>1226768</v>
      </c>
      <c r="K80" s="368">
        <v>0.4</v>
      </c>
      <c r="L80" s="346">
        <v>490707</v>
      </c>
      <c r="M80" s="194">
        <v>0</v>
      </c>
      <c r="N80" s="274">
        <f t="shared" si="4"/>
        <v>490707</v>
      </c>
      <c r="O80" s="191"/>
      <c r="P80" s="201" t="e">
        <f>VLOOKUP(G:G,list!B:D,2,FALSE)</f>
        <v>#N/A</v>
      </c>
    </row>
    <row r="81" spans="2:16" ht="18" customHeight="1">
      <c r="B81" s="341">
        <v>77</v>
      </c>
      <c r="C81" s="341" t="s">
        <v>238</v>
      </c>
      <c r="D81" s="369" t="s">
        <v>254</v>
      </c>
      <c r="E81" s="342" t="s">
        <v>9</v>
      </c>
      <c r="F81" s="369" t="s">
        <v>65</v>
      </c>
      <c r="G81" s="342" t="s">
        <v>152</v>
      </c>
      <c r="H81" s="343">
        <v>44105</v>
      </c>
      <c r="I81" s="341" t="s">
        <v>267</v>
      </c>
      <c r="J81" s="361">
        <v>1305688</v>
      </c>
      <c r="K81" s="368">
        <v>0.4</v>
      </c>
      <c r="L81" s="346">
        <v>522275</v>
      </c>
      <c r="M81" s="194">
        <f>L81*12%</f>
        <v>62673</v>
      </c>
      <c r="N81" s="274">
        <f t="shared" si="4"/>
        <v>459602</v>
      </c>
      <c r="O81" s="191"/>
      <c r="P81" s="201" t="e">
        <f>VLOOKUP(G:G,list!B:D,2,FALSE)</f>
        <v>#N/A</v>
      </c>
    </row>
    <row r="82" spans="2:16" ht="18" customHeight="1">
      <c r="B82" s="341">
        <v>78</v>
      </c>
      <c r="C82" s="341" t="s">
        <v>238</v>
      </c>
      <c r="D82" s="369" t="s">
        <v>254</v>
      </c>
      <c r="E82" s="342" t="s">
        <v>9</v>
      </c>
      <c r="F82" s="369" t="s">
        <v>65</v>
      </c>
      <c r="G82" s="342" t="s">
        <v>153</v>
      </c>
      <c r="H82" s="343">
        <v>44111</v>
      </c>
      <c r="I82" s="341" t="s">
        <v>267</v>
      </c>
      <c r="J82" s="361">
        <v>1799755</v>
      </c>
      <c r="K82" s="368">
        <v>0.4</v>
      </c>
      <c r="L82" s="346">
        <v>719902</v>
      </c>
      <c r="M82" s="274">
        <f>L82*10%</f>
        <v>71990.2</v>
      </c>
      <c r="N82" s="274">
        <f t="shared" si="4"/>
        <v>647911.80000000005</v>
      </c>
      <c r="O82" s="191"/>
      <c r="P82" s="201" t="e">
        <f>VLOOKUP(G:G,list!B:D,2,FALSE)</f>
        <v>#N/A</v>
      </c>
    </row>
    <row r="83" spans="2:16" ht="18" customHeight="1">
      <c r="B83" s="341">
        <v>79</v>
      </c>
      <c r="C83" s="341"/>
      <c r="D83" s="369" t="s">
        <v>254</v>
      </c>
      <c r="E83" s="342" t="s">
        <v>9</v>
      </c>
      <c r="F83" s="369" t="s">
        <v>65</v>
      </c>
      <c r="G83" s="342" t="s">
        <v>139</v>
      </c>
      <c r="H83" s="343">
        <v>43921</v>
      </c>
      <c r="I83" s="341" t="s">
        <v>267</v>
      </c>
      <c r="J83" s="361">
        <v>227500</v>
      </c>
      <c r="K83" s="368">
        <v>0.4</v>
      </c>
      <c r="L83" s="346">
        <v>91000</v>
      </c>
      <c r="M83" s="194">
        <v>0</v>
      </c>
      <c r="N83" s="274">
        <f t="shared" si="4"/>
        <v>91000</v>
      </c>
      <c r="O83" s="347"/>
      <c r="P83" s="201" t="str">
        <f>VLOOKUP(G:G,list!B:D,2,FALSE)</f>
        <v>작가기획</v>
      </c>
    </row>
    <row r="84" spans="2:16" ht="18" customHeight="1">
      <c r="B84" s="341">
        <v>80</v>
      </c>
      <c r="C84" s="341"/>
      <c r="D84" s="369" t="s">
        <v>254</v>
      </c>
      <c r="E84" s="342" t="s">
        <v>9</v>
      </c>
      <c r="F84" s="369" t="s">
        <v>65</v>
      </c>
      <c r="G84" s="342" t="s">
        <v>180</v>
      </c>
      <c r="H84" s="343">
        <v>43941</v>
      </c>
      <c r="I84" s="341" t="s">
        <v>267</v>
      </c>
      <c r="J84" s="361">
        <v>1183445</v>
      </c>
      <c r="K84" s="368">
        <v>0.4</v>
      </c>
      <c r="L84" s="346">
        <v>473378</v>
      </c>
      <c r="M84" s="194">
        <v>0</v>
      </c>
      <c r="N84" s="274">
        <f t="shared" si="4"/>
        <v>473378</v>
      </c>
      <c r="O84" s="347"/>
      <c r="P84" s="201" t="str">
        <f>VLOOKUP(G:G,list!B:D,2,FALSE)</f>
        <v>작가기획</v>
      </c>
    </row>
    <row r="85" spans="2:16" ht="18" customHeight="1">
      <c r="B85" s="341">
        <v>81</v>
      </c>
      <c r="C85" s="341" t="s">
        <v>238</v>
      </c>
      <c r="D85" s="369" t="s">
        <v>254</v>
      </c>
      <c r="E85" s="341" t="s">
        <v>64</v>
      </c>
      <c r="F85" s="369" t="s">
        <v>65</v>
      </c>
      <c r="G85" s="342" t="s">
        <v>151</v>
      </c>
      <c r="H85" s="343">
        <v>44258</v>
      </c>
      <c r="I85" s="341" t="s">
        <v>267</v>
      </c>
      <c r="J85" s="361">
        <v>998758</v>
      </c>
      <c r="K85" s="368">
        <v>0.4</v>
      </c>
      <c r="L85" s="346">
        <v>399503</v>
      </c>
      <c r="M85" s="274">
        <f>L85*10%</f>
        <v>39950.300000000003</v>
      </c>
      <c r="N85" s="274">
        <f t="shared" si="4"/>
        <v>359552.7</v>
      </c>
      <c r="O85" s="191"/>
      <c r="P85" s="201" t="str">
        <f>VLOOKUP(G:G,list!B:D,2,FALSE)</f>
        <v>원작료</v>
      </c>
    </row>
    <row r="86" spans="2:16" ht="18" customHeight="1">
      <c r="B86" s="341">
        <v>82</v>
      </c>
      <c r="C86" s="341"/>
      <c r="D86" s="369" t="s">
        <v>254</v>
      </c>
      <c r="E86" s="341" t="s">
        <v>64</v>
      </c>
      <c r="F86" s="369" t="s">
        <v>65</v>
      </c>
      <c r="G86" s="342" t="s">
        <v>179</v>
      </c>
      <c r="H86" s="343">
        <v>44233</v>
      </c>
      <c r="I86" s="341" t="s">
        <v>267</v>
      </c>
      <c r="J86" s="361">
        <v>5740230</v>
      </c>
      <c r="K86" s="368">
        <v>0.4</v>
      </c>
      <c r="L86" s="346">
        <v>2296092</v>
      </c>
      <c r="M86" s="194">
        <f>L86*10%</f>
        <v>229609.2</v>
      </c>
      <c r="N86" s="274">
        <f t="shared" si="4"/>
        <v>2066482.8</v>
      </c>
      <c r="O86" s="195" t="s">
        <v>85</v>
      </c>
      <c r="P86" s="201" t="e">
        <f>VLOOKUP(G:G,list!B:D,2,FALSE)</f>
        <v>#N/A</v>
      </c>
    </row>
    <row r="87" spans="2:16" ht="18" customHeight="1">
      <c r="B87" s="341">
        <v>83</v>
      </c>
      <c r="C87" s="341" t="s">
        <v>238</v>
      </c>
      <c r="D87" s="369" t="s">
        <v>254</v>
      </c>
      <c r="E87" s="341" t="s">
        <v>64</v>
      </c>
      <c r="F87" s="369" t="s">
        <v>65</v>
      </c>
      <c r="G87" s="342" t="s">
        <v>54</v>
      </c>
      <c r="H87" s="343">
        <v>44254</v>
      </c>
      <c r="I87" s="341" t="s">
        <v>267</v>
      </c>
      <c r="J87" s="361">
        <v>497405</v>
      </c>
      <c r="K87" s="368">
        <v>0.4</v>
      </c>
      <c r="L87" s="346">
        <v>198962</v>
      </c>
      <c r="M87" s="274">
        <f>L87*10%</f>
        <v>19896.2</v>
      </c>
      <c r="N87" s="274">
        <f t="shared" si="4"/>
        <v>179065.8</v>
      </c>
      <c r="O87" s="191"/>
      <c r="P87" s="201" t="e">
        <f>VLOOKUP(G:G,list!B:D,2,FALSE)</f>
        <v>#N/A</v>
      </c>
    </row>
    <row r="88" spans="2:16" ht="18" customHeight="1">
      <c r="B88" s="341">
        <v>84</v>
      </c>
      <c r="C88" s="341"/>
      <c r="D88" s="369" t="s">
        <v>254</v>
      </c>
      <c r="E88" s="341" t="s">
        <v>64</v>
      </c>
      <c r="F88" s="369" t="s">
        <v>65</v>
      </c>
      <c r="G88" s="342" t="s">
        <v>147</v>
      </c>
      <c r="H88" s="343">
        <v>44260</v>
      </c>
      <c r="I88" s="341" t="s">
        <v>267</v>
      </c>
      <c r="J88" s="361">
        <v>925078</v>
      </c>
      <c r="K88" s="368">
        <v>0.4</v>
      </c>
      <c r="L88" s="346">
        <v>370031</v>
      </c>
      <c r="M88" s="194">
        <v>0</v>
      </c>
      <c r="N88" s="274">
        <f t="shared" si="4"/>
        <v>370031</v>
      </c>
      <c r="O88" s="191"/>
      <c r="P88" s="201" t="e">
        <f>VLOOKUP(G:G,list!B:D,2,FALSE)</f>
        <v>#N/A</v>
      </c>
    </row>
    <row r="89" spans="2:16" ht="18" customHeight="1">
      <c r="B89" s="341">
        <v>85</v>
      </c>
      <c r="C89" s="341"/>
      <c r="D89" s="369" t="s">
        <v>254</v>
      </c>
      <c r="E89" s="341" t="s">
        <v>64</v>
      </c>
      <c r="F89" s="369" t="s">
        <v>65</v>
      </c>
      <c r="G89" s="342" t="s">
        <v>187</v>
      </c>
      <c r="H89" s="343">
        <v>44289</v>
      </c>
      <c r="I89" s="341" t="s">
        <v>267</v>
      </c>
      <c r="J89" s="361">
        <v>939508</v>
      </c>
      <c r="K89" s="368">
        <v>0.4</v>
      </c>
      <c r="L89" s="346">
        <v>375803</v>
      </c>
      <c r="M89" s="194">
        <v>0</v>
      </c>
      <c r="N89" s="274">
        <f t="shared" si="4"/>
        <v>375803</v>
      </c>
      <c r="O89" s="191"/>
      <c r="P89" s="201" t="e">
        <f>VLOOKUP(G:G,list!B:D,2,FALSE)</f>
        <v>#N/A</v>
      </c>
    </row>
    <row r="90" spans="2:16" ht="18" customHeight="1">
      <c r="B90" s="341">
        <v>86</v>
      </c>
      <c r="C90" s="341"/>
      <c r="D90" s="369" t="s">
        <v>254</v>
      </c>
      <c r="E90" s="341" t="s">
        <v>64</v>
      </c>
      <c r="F90" s="369" t="s">
        <v>65</v>
      </c>
      <c r="G90" s="342" t="s">
        <v>121</v>
      </c>
      <c r="H90" s="343">
        <v>44449</v>
      </c>
      <c r="I90" s="341" t="s">
        <v>267</v>
      </c>
      <c r="J90" s="361">
        <v>7048298</v>
      </c>
      <c r="K90" s="368">
        <v>0.4</v>
      </c>
      <c r="L90" s="346">
        <v>2819319</v>
      </c>
      <c r="M90" s="194">
        <v>0</v>
      </c>
      <c r="N90" s="274">
        <f t="shared" si="4"/>
        <v>2819319</v>
      </c>
      <c r="O90" s="347"/>
      <c r="P90" s="201" t="e">
        <f>VLOOKUP(G:G,list!B:D,2,FALSE)</f>
        <v>#N/A</v>
      </c>
    </row>
    <row r="91" spans="2:16" ht="18" customHeight="1">
      <c r="B91" s="341">
        <v>87</v>
      </c>
      <c r="C91" s="341" t="s">
        <v>238</v>
      </c>
      <c r="D91" s="369" t="s">
        <v>216</v>
      </c>
      <c r="E91" s="342" t="s">
        <v>115</v>
      </c>
      <c r="F91" s="369" t="s">
        <v>31</v>
      </c>
      <c r="G91" s="342" t="s">
        <v>28</v>
      </c>
      <c r="H91" s="343">
        <v>44096</v>
      </c>
      <c r="I91" s="341" t="s">
        <v>243</v>
      </c>
      <c r="J91" s="361">
        <v>358859</v>
      </c>
      <c r="K91" s="368">
        <v>0.4</v>
      </c>
      <c r="L91" s="346">
        <v>136365</v>
      </c>
      <c r="M91" s="194">
        <f>L91*12%</f>
        <v>16363.8</v>
      </c>
      <c r="N91" s="274">
        <f t="shared" si="4"/>
        <v>120001.2</v>
      </c>
      <c r="O91" s="191"/>
      <c r="P91" s="201" t="e">
        <f>VLOOKUP(G:G,list!B:D,2,FALSE)</f>
        <v>#N/A</v>
      </c>
    </row>
    <row r="92" spans="2:16" ht="18" customHeight="1">
      <c r="B92" s="341">
        <v>88</v>
      </c>
      <c r="C92" s="341" t="s">
        <v>238</v>
      </c>
      <c r="D92" s="369" t="s">
        <v>216</v>
      </c>
      <c r="E92" s="342" t="s">
        <v>115</v>
      </c>
      <c r="F92" s="369" t="s">
        <v>31</v>
      </c>
      <c r="G92" s="342" t="s">
        <v>29</v>
      </c>
      <c r="H92" s="343">
        <v>44137</v>
      </c>
      <c r="I92" s="341" t="s">
        <v>243</v>
      </c>
      <c r="J92" s="361">
        <v>573900</v>
      </c>
      <c r="K92" s="368">
        <v>0.4</v>
      </c>
      <c r="L92" s="346">
        <v>218081</v>
      </c>
      <c r="M92" s="274">
        <f t="shared" ref="M92:M101" si="5">L92*10%</f>
        <v>21808.100000000002</v>
      </c>
      <c r="N92" s="274">
        <f t="shared" si="4"/>
        <v>196272.9</v>
      </c>
      <c r="O92" s="191"/>
      <c r="P92" s="201" t="e">
        <f>VLOOKUP(G:G,list!B:D,2,FALSE)</f>
        <v>#N/A</v>
      </c>
    </row>
    <row r="93" spans="2:16" ht="18" customHeight="1">
      <c r="B93" s="341">
        <v>89</v>
      </c>
      <c r="C93" s="341" t="s">
        <v>238</v>
      </c>
      <c r="D93" s="369" t="s">
        <v>216</v>
      </c>
      <c r="E93" s="342" t="s">
        <v>115</v>
      </c>
      <c r="F93" s="369" t="s">
        <v>31</v>
      </c>
      <c r="G93" s="342" t="s">
        <v>151</v>
      </c>
      <c r="H93" s="343">
        <v>44239</v>
      </c>
      <c r="I93" s="341" t="s">
        <v>243</v>
      </c>
      <c r="J93" s="361">
        <v>843852</v>
      </c>
      <c r="K93" s="368">
        <v>0.4</v>
      </c>
      <c r="L93" s="346">
        <v>320663</v>
      </c>
      <c r="M93" s="274">
        <f t="shared" si="5"/>
        <v>32066.300000000003</v>
      </c>
      <c r="N93" s="274">
        <f t="shared" si="4"/>
        <v>288596.7</v>
      </c>
      <c r="O93" s="347"/>
      <c r="P93" s="201" t="str">
        <f>VLOOKUP(G:G,list!B:D,2,FALSE)</f>
        <v>원작료</v>
      </c>
    </row>
    <row r="94" spans="2:16" ht="18" customHeight="1">
      <c r="B94" s="341">
        <v>90</v>
      </c>
      <c r="C94" s="341" t="s">
        <v>238</v>
      </c>
      <c r="D94" s="369" t="s">
        <v>216</v>
      </c>
      <c r="E94" s="342" t="s">
        <v>115</v>
      </c>
      <c r="F94" s="369" t="s">
        <v>31</v>
      </c>
      <c r="G94" s="342" t="s">
        <v>256</v>
      </c>
      <c r="H94" s="343">
        <v>44487</v>
      </c>
      <c r="I94" s="341" t="s">
        <v>243</v>
      </c>
      <c r="J94" s="361">
        <v>150750</v>
      </c>
      <c r="K94" s="368">
        <v>0.4</v>
      </c>
      <c r="L94" s="346">
        <v>57288</v>
      </c>
      <c r="M94" s="194">
        <f t="shared" si="5"/>
        <v>5728.8</v>
      </c>
      <c r="N94" s="274">
        <f t="shared" si="4"/>
        <v>51559.199999999997</v>
      </c>
      <c r="O94" s="194"/>
      <c r="P94" s="201" t="e">
        <f>VLOOKUP(G:G,list!B:D,2,FALSE)</f>
        <v>#N/A</v>
      </c>
    </row>
    <row r="95" spans="2:16" ht="18" customHeight="1">
      <c r="B95" s="341">
        <v>91</v>
      </c>
      <c r="C95" s="341" t="s">
        <v>238</v>
      </c>
      <c r="D95" s="369" t="s">
        <v>216</v>
      </c>
      <c r="E95" s="342" t="s">
        <v>115</v>
      </c>
      <c r="F95" s="369" t="s">
        <v>31</v>
      </c>
      <c r="G95" s="342" t="s">
        <v>204</v>
      </c>
      <c r="H95" s="343">
        <v>44453</v>
      </c>
      <c r="I95" s="341" t="s">
        <v>243</v>
      </c>
      <c r="J95" s="361">
        <v>272779</v>
      </c>
      <c r="K95" s="368">
        <v>0.4</v>
      </c>
      <c r="L95" s="346">
        <v>103658</v>
      </c>
      <c r="M95" s="194">
        <f>L95*10%</f>
        <v>10365.800000000001</v>
      </c>
      <c r="N95" s="274">
        <f>L95-M95</f>
        <v>93292.2</v>
      </c>
      <c r="O95" s="197"/>
      <c r="P95" s="201" t="e">
        <f>VLOOKUP(G:G,list!B:D,2,FALSE)</f>
        <v>#N/A</v>
      </c>
    </row>
    <row r="96" spans="2:16" ht="18" customHeight="1">
      <c r="B96" s="341">
        <v>92</v>
      </c>
      <c r="C96" s="341" t="s">
        <v>238</v>
      </c>
      <c r="D96" s="369" t="s">
        <v>216</v>
      </c>
      <c r="E96" s="342" t="s">
        <v>115</v>
      </c>
      <c r="F96" s="369" t="s">
        <v>31</v>
      </c>
      <c r="G96" s="342" t="s">
        <v>38</v>
      </c>
      <c r="H96" s="343">
        <v>44470</v>
      </c>
      <c r="I96" s="341" t="s">
        <v>243</v>
      </c>
      <c r="J96" s="361">
        <v>479575</v>
      </c>
      <c r="K96" s="368">
        <v>0.4</v>
      </c>
      <c r="L96" s="346">
        <v>182239</v>
      </c>
      <c r="M96" s="274">
        <f>L96*10%</f>
        <v>18223.900000000001</v>
      </c>
      <c r="N96" s="274">
        <f>L96-M96</f>
        <v>164015.1</v>
      </c>
      <c r="O96" s="370" t="s">
        <v>270</v>
      </c>
      <c r="P96" s="201" t="e">
        <f>VLOOKUP(G:G,list!B:D,2,FALSE)</f>
        <v>#N/A</v>
      </c>
    </row>
    <row r="97" spans="2:16" ht="18" customHeight="1">
      <c r="B97" s="341">
        <v>93</v>
      </c>
      <c r="C97" s="341" t="s">
        <v>238</v>
      </c>
      <c r="D97" s="369" t="s">
        <v>216</v>
      </c>
      <c r="E97" s="342" t="s">
        <v>115</v>
      </c>
      <c r="F97" s="369" t="s">
        <v>31</v>
      </c>
      <c r="G97" s="342" t="s">
        <v>38</v>
      </c>
      <c r="H97" s="343">
        <v>44470</v>
      </c>
      <c r="I97" s="341" t="s">
        <v>195</v>
      </c>
      <c r="J97" s="361">
        <v>525503</v>
      </c>
      <c r="K97" s="368">
        <v>0.4</v>
      </c>
      <c r="L97" s="346">
        <v>199688</v>
      </c>
      <c r="M97" s="274">
        <f>L97*10%</f>
        <v>19968.800000000003</v>
      </c>
      <c r="N97" s="274">
        <f t="shared" si="4"/>
        <v>179719.2</v>
      </c>
      <c r="O97" s="370" t="s">
        <v>270</v>
      </c>
      <c r="P97" s="201" t="e">
        <f>VLOOKUP(G:G,list!B:D,2,FALSE)</f>
        <v>#N/A</v>
      </c>
    </row>
    <row r="98" spans="2:16" ht="18" customHeight="1">
      <c r="B98" s="341">
        <v>94</v>
      </c>
      <c r="C98" s="341"/>
      <c r="D98" s="362" t="s">
        <v>32</v>
      </c>
      <c r="E98" s="362" t="s">
        <v>9</v>
      </c>
      <c r="F98" s="369" t="s">
        <v>257</v>
      </c>
      <c r="G98" s="362" t="s">
        <v>42</v>
      </c>
      <c r="H98" s="363">
        <v>44354</v>
      </c>
      <c r="I98" s="341" t="s">
        <v>267</v>
      </c>
      <c r="J98" s="361">
        <v>15282475</v>
      </c>
      <c r="K98" s="371">
        <v>0.27999995826320889</v>
      </c>
      <c r="L98" s="346">
        <v>4279092</v>
      </c>
      <c r="M98" s="194">
        <f t="shared" si="5"/>
        <v>427909.2</v>
      </c>
      <c r="N98" s="274">
        <f t="shared" si="4"/>
        <v>3851182.8</v>
      </c>
      <c r="O98" s="195" t="s">
        <v>85</v>
      </c>
      <c r="P98" s="201" t="e">
        <f>VLOOKUP(G:G,list!B:D,2,FALSE)</f>
        <v>#N/A</v>
      </c>
    </row>
    <row r="99" spans="2:16" ht="18" customHeight="1">
      <c r="B99" s="341">
        <v>95</v>
      </c>
      <c r="C99" s="341"/>
      <c r="D99" s="362" t="s">
        <v>177</v>
      </c>
      <c r="E99" s="362" t="s">
        <v>9</v>
      </c>
      <c r="F99" s="369" t="s">
        <v>257</v>
      </c>
      <c r="G99" s="362" t="s">
        <v>42</v>
      </c>
      <c r="H99" s="363">
        <v>44419</v>
      </c>
      <c r="I99" s="341" t="s">
        <v>267</v>
      </c>
      <c r="J99" s="361">
        <v>7295704</v>
      </c>
      <c r="K99" s="371">
        <v>0.28000008425415068</v>
      </c>
      <c r="L99" s="346">
        <v>2042797</v>
      </c>
      <c r="M99" s="194">
        <f t="shared" si="5"/>
        <v>204279.7</v>
      </c>
      <c r="N99" s="274">
        <f t="shared" si="4"/>
        <v>1838517.3</v>
      </c>
      <c r="O99" s="195" t="s">
        <v>85</v>
      </c>
      <c r="P99" s="201" t="e">
        <f>VLOOKUP(G:G,list!B:D,2,FALSE)</f>
        <v>#N/A</v>
      </c>
    </row>
    <row r="100" spans="2:16" ht="18" customHeight="1">
      <c r="B100" s="341">
        <v>96</v>
      </c>
      <c r="C100" s="341" t="s">
        <v>238</v>
      </c>
      <c r="D100" s="362" t="s">
        <v>32</v>
      </c>
      <c r="E100" s="362" t="s">
        <v>9</v>
      </c>
      <c r="F100" s="369" t="s">
        <v>257</v>
      </c>
      <c r="G100" s="362" t="s">
        <v>212</v>
      </c>
      <c r="H100" s="363">
        <v>44507</v>
      </c>
      <c r="I100" s="341" t="s">
        <v>267</v>
      </c>
      <c r="J100" s="361">
        <v>31132589</v>
      </c>
      <c r="K100" s="371">
        <v>0.24499999976453651</v>
      </c>
      <c r="L100" s="346">
        <v>7627484</v>
      </c>
      <c r="M100" s="194">
        <f t="shared" si="5"/>
        <v>762748.4</v>
      </c>
      <c r="N100" s="274">
        <f t="shared" si="4"/>
        <v>6864735.5999999996</v>
      </c>
      <c r="O100" s="197"/>
      <c r="P100" s="201" t="e">
        <f>VLOOKUP(G:G,list!B:D,2,FALSE)</f>
        <v>#N/A</v>
      </c>
    </row>
    <row r="101" spans="2:16" ht="18" customHeight="1">
      <c r="B101" s="341">
        <v>97</v>
      </c>
      <c r="C101" s="341" t="s">
        <v>238</v>
      </c>
      <c r="D101" s="362" t="s">
        <v>177</v>
      </c>
      <c r="E101" s="362" t="s">
        <v>9</v>
      </c>
      <c r="F101" s="369" t="s">
        <v>257</v>
      </c>
      <c r="G101" s="362" t="s">
        <v>212</v>
      </c>
      <c r="H101" s="363">
        <v>44477</v>
      </c>
      <c r="I101" s="341" t="s">
        <v>267</v>
      </c>
      <c r="J101" s="361">
        <v>2443323</v>
      </c>
      <c r="K101" s="371">
        <v>0.24500002911191202</v>
      </c>
      <c r="L101" s="346">
        <v>598614</v>
      </c>
      <c r="M101" s="194">
        <f t="shared" si="5"/>
        <v>59861.4</v>
      </c>
      <c r="N101" s="274">
        <f t="shared" si="4"/>
        <v>538752.6</v>
      </c>
      <c r="O101" s="197"/>
      <c r="P101" s="201" t="e">
        <f>VLOOKUP(G:G,list!B:D,2,FALSE)</f>
        <v>#N/A</v>
      </c>
    </row>
    <row r="102" spans="2:16" ht="18" customHeight="1">
      <c r="B102" s="341">
        <v>98</v>
      </c>
      <c r="C102" s="341"/>
      <c r="D102" s="369" t="s">
        <v>216</v>
      </c>
      <c r="E102" s="362" t="s">
        <v>9</v>
      </c>
      <c r="F102" s="372" t="s">
        <v>154</v>
      </c>
      <c r="G102" s="362" t="s">
        <v>36</v>
      </c>
      <c r="H102" s="363">
        <v>44106</v>
      </c>
      <c r="I102" s="341" t="s">
        <v>243</v>
      </c>
      <c r="J102" s="361">
        <v>1803253</v>
      </c>
      <c r="K102" s="373">
        <v>0.4</v>
      </c>
      <c r="L102" s="346">
        <v>685236</v>
      </c>
      <c r="M102" s="274">
        <v>0</v>
      </c>
      <c r="N102" s="274">
        <f t="shared" si="4"/>
        <v>685236</v>
      </c>
      <c r="O102" s="197"/>
      <c r="P102" s="201" t="str">
        <f>VLOOKUP(G:G,list!B:D,2,FALSE)</f>
        <v>작가기획</v>
      </c>
    </row>
    <row r="103" spans="2:16" ht="18" customHeight="1">
      <c r="B103" s="341">
        <v>99</v>
      </c>
      <c r="C103" s="341"/>
      <c r="D103" s="369" t="s">
        <v>216</v>
      </c>
      <c r="E103" s="362" t="s">
        <v>9</v>
      </c>
      <c r="F103" s="372" t="s">
        <v>154</v>
      </c>
      <c r="G103" s="362" t="s">
        <v>37</v>
      </c>
      <c r="H103" s="363">
        <v>44113</v>
      </c>
      <c r="I103" s="341" t="s">
        <v>243</v>
      </c>
      <c r="J103" s="361">
        <v>99624</v>
      </c>
      <c r="K103" s="373">
        <v>0.4</v>
      </c>
      <c r="L103" s="346">
        <v>37857</v>
      </c>
      <c r="M103" s="274">
        <v>0</v>
      </c>
      <c r="N103" s="274">
        <f t="shared" si="4"/>
        <v>37857</v>
      </c>
      <c r="O103" s="197"/>
      <c r="P103" s="201" t="str">
        <f>VLOOKUP(G:G,list!B:D,2,FALSE)</f>
        <v>작가기획</v>
      </c>
    </row>
    <row r="104" spans="2:16" ht="18" customHeight="1">
      <c r="B104" s="341">
        <v>100</v>
      </c>
      <c r="C104" s="341" t="s">
        <v>238</v>
      </c>
      <c r="D104" s="369" t="s">
        <v>216</v>
      </c>
      <c r="E104" s="362" t="s">
        <v>115</v>
      </c>
      <c r="F104" s="372" t="s">
        <v>154</v>
      </c>
      <c r="G104" s="362" t="s">
        <v>258</v>
      </c>
      <c r="H104" s="363">
        <v>44386</v>
      </c>
      <c r="I104" s="341" t="s">
        <v>243</v>
      </c>
      <c r="J104" s="361">
        <v>982594</v>
      </c>
      <c r="K104" s="373">
        <v>0.4</v>
      </c>
      <c r="L104" s="346">
        <v>373385</v>
      </c>
      <c r="M104" s="274">
        <f>L104*10%</f>
        <v>37338.5</v>
      </c>
      <c r="N104" s="274">
        <f t="shared" si="4"/>
        <v>336046.5</v>
      </c>
      <c r="O104" s="197"/>
      <c r="P104" s="201" t="e">
        <f>VLOOKUP(G:G,list!B:D,2,FALSE)</f>
        <v>#N/A</v>
      </c>
    </row>
    <row r="105" spans="2:16" ht="18" customHeight="1">
      <c r="B105" s="341">
        <v>101</v>
      </c>
      <c r="C105" s="341"/>
      <c r="D105" s="369" t="s">
        <v>69</v>
      </c>
      <c r="E105" s="369" t="s">
        <v>68</v>
      </c>
      <c r="F105" s="372" t="s">
        <v>70</v>
      </c>
      <c r="G105" s="362" t="s">
        <v>42</v>
      </c>
      <c r="H105" s="363">
        <v>44293</v>
      </c>
      <c r="I105" s="341" t="s">
        <v>243</v>
      </c>
      <c r="J105" s="361">
        <v>17832</v>
      </c>
      <c r="K105" s="371">
        <v>0.5</v>
      </c>
      <c r="L105" s="346">
        <v>8916</v>
      </c>
      <c r="M105" s="194">
        <f>L105*10%</f>
        <v>891.6</v>
      </c>
      <c r="N105" s="274">
        <f t="shared" si="4"/>
        <v>8024.4</v>
      </c>
      <c r="O105" s="195" t="s">
        <v>85</v>
      </c>
      <c r="P105" s="201" t="e">
        <f>VLOOKUP(G:G,list!B:D,2,FALSE)</f>
        <v>#N/A</v>
      </c>
    </row>
    <row r="106" spans="2:16" ht="18" customHeight="1">
      <c r="B106" s="341">
        <v>102</v>
      </c>
      <c r="C106" s="341" t="s">
        <v>238</v>
      </c>
      <c r="D106" s="369" t="s">
        <v>69</v>
      </c>
      <c r="E106" s="369" t="s">
        <v>68</v>
      </c>
      <c r="F106" s="372" t="s">
        <v>70</v>
      </c>
      <c r="G106" s="362" t="s">
        <v>224</v>
      </c>
      <c r="H106" s="363">
        <v>44341</v>
      </c>
      <c r="I106" s="341" t="s">
        <v>243</v>
      </c>
      <c r="J106" s="361">
        <v>25732</v>
      </c>
      <c r="K106" s="371">
        <v>0.5</v>
      </c>
      <c r="L106" s="346">
        <v>12866</v>
      </c>
      <c r="M106" s="274">
        <f>L106*10%</f>
        <v>1286.6000000000001</v>
      </c>
      <c r="N106" s="274">
        <f t="shared" si="4"/>
        <v>11579.4</v>
      </c>
      <c r="O106" s="197"/>
      <c r="P106" s="201" t="e">
        <f>VLOOKUP(G:G,list!B:D,2,FALSE)</f>
        <v>#N/A</v>
      </c>
    </row>
    <row r="107" spans="2:16" ht="18" customHeight="1">
      <c r="B107" s="341">
        <v>103</v>
      </c>
      <c r="C107" s="341" t="s">
        <v>238</v>
      </c>
      <c r="D107" s="369" t="s">
        <v>69</v>
      </c>
      <c r="E107" s="369" t="s">
        <v>68</v>
      </c>
      <c r="F107" s="372" t="s">
        <v>70</v>
      </c>
      <c r="G107" s="362" t="s">
        <v>28</v>
      </c>
      <c r="H107" s="363">
        <v>44291</v>
      </c>
      <c r="I107" s="341" t="s">
        <v>243</v>
      </c>
      <c r="J107" s="361">
        <v>35212</v>
      </c>
      <c r="K107" s="371">
        <v>0.5</v>
      </c>
      <c r="L107" s="346">
        <v>17606</v>
      </c>
      <c r="M107" s="194">
        <f>L107*12%</f>
        <v>2112.7199999999998</v>
      </c>
      <c r="N107" s="274">
        <f t="shared" si="4"/>
        <v>15493.28</v>
      </c>
      <c r="O107" s="197"/>
      <c r="P107" s="201" t="e">
        <f>VLOOKUP(G:G,list!B:D,2,FALSE)</f>
        <v>#N/A</v>
      </c>
    </row>
    <row r="108" spans="2:16" ht="18" customHeight="1">
      <c r="B108" s="341">
        <v>104</v>
      </c>
      <c r="C108" s="341" t="s">
        <v>238</v>
      </c>
      <c r="D108" s="369" t="s">
        <v>69</v>
      </c>
      <c r="E108" s="369" t="s">
        <v>68</v>
      </c>
      <c r="F108" s="372" t="s">
        <v>70</v>
      </c>
      <c r="G108" s="362" t="s">
        <v>29</v>
      </c>
      <c r="H108" s="363">
        <v>44410</v>
      </c>
      <c r="I108" s="341" t="s">
        <v>243</v>
      </c>
      <c r="J108" s="361">
        <v>42811</v>
      </c>
      <c r="K108" s="371">
        <v>0.5</v>
      </c>
      <c r="L108" s="346">
        <v>21405</v>
      </c>
      <c r="M108" s="274">
        <f>L108*10%</f>
        <v>2140.5</v>
      </c>
      <c r="N108" s="274">
        <f>L108-M108</f>
        <v>19264.5</v>
      </c>
      <c r="O108" s="194"/>
      <c r="P108" s="201" t="e">
        <f>VLOOKUP(G:G,list!B:D,2,FALSE)</f>
        <v>#N/A</v>
      </c>
    </row>
    <row r="109" spans="2:16" ht="18" customHeight="1">
      <c r="B109" s="341">
        <v>105</v>
      </c>
      <c r="C109" s="341" t="s">
        <v>238</v>
      </c>
      <c r="D109" s="369" t="s">
        <v>69</v>
      </c>
      <c r="E109" s="369" t="s">
        <v>68</v>
      </c>
      <c r="F109" s="372" t="s">
        <v>70</v>
      </c>
      <c r="G109" s="362" t="s">
        <v>151</v>
      </c>
      <c r="H109" s="363">
        <v>44524</v>
      </c>
      <c r="I109" s="341" t="s">
        <v>243</v>
      </c>
      <c r="J109" s="361">
        <v>10834</v>
      </c>
      <c r="K109" s="371">
        <v>0.5</v>
      </c>
      <c r="L109" s="346">
        <v>5417</v>
      </c>
      <c r="M109" s="274">
        <f>L109*10%</f>
        <v>541.70000000000005</v>
      </c>
      <c r="N109" s="274">
        <f t="shared" si="4"/>
        <v>4875.3</v>
      </c>
      <c r="O109" s="370" t="s">
        <v>270</v>
      </c>
      <c r="P109" s="201" t="str">
        <f>VLOOKUP(G:G,list!B:D,2,FALSE)</f>
        <v>원작료</v>
      </c>
    </row>
    <row r="110" spans="2:16" ht="18" customHeight="1">
      <c r="B110" s="341">
        <v>106</v>
      </c>
      <c r="C110" s="341"/>
      <c r="D110" s="369" t="s">
        <v>182</v>
      </c>
      <c r="E110" s="369" t="s">
        <v>9</v>
      </c>
      <c r="F110" s="372" t="s">
        <v>228</v>
      </c>
      <c r="G110" s="374" t="s">
        <v>179</v>
      </c>
      <c r="H110" s="353">
        <v>44180</v>
      </c>
      <c r="I110" s="341" t="s">
        <v>243</v>
      </c>
      <c r="J110" s="361">
        <v>995715</v>
      </c>
      <c r="K110" s="371">
        <v>0.5</v>
      </c>
      <c r="L110" s="346">
        <v>497857.5</v>
      </c>
      <c r="M110" s="194">
        <f>L110*10%</f>
        <v>49785.75</v>
      </c>
      <c r="N110" s="274">
        <f t="shared" si="4"/>
        <v>448071.75</v>
      </c>
      <c r="O110" s="195" t="s">
        <v>85</v>
      </c>
      <c r="P110" s="201" t="e">
        <f>VLOOKUP(G:G,list!B:D,2,FALSE)</f>
        <v>#N/A</v>
      </c>
    </row>
    <row r="111" spans="2:16" ht="18" customHeight="1">
      <c r="B111" s="341">
        <v>107</v>
      </c>
      <c r="C111" s="341" t="s">
        <v>238</v>
      </c>
      <c r="D111" s="369" t="s">
        <v>182</v>
      </c>
      <c r="E111" s="369" t="s">
        <v>9</v>
      </c>
      <c r="F111" s="372" t="s">
        <v>228</v>
      </c>
      <c r="G111" s="374" t="s">
        <v>152</v>
      </c>
      <c r="H111" s="353">
        <v>44180</v>
      </c>
      <c r="I111" s="341" t="s">
        <v>243</v>
      </c>
      <c r="J111" s="361">
        <v>384173</v>
      </c>
      <c r="K111" s="371">
        <v>0.5</v>
      </c>
      <c r="L111" s="346">
        <v>192086.5</v>
      </c>
      <c r="M111" s="194">
        <f>L111*12%</f>
        <v>23050.379999999997</v>
      </c>
      <c r="N111" s="274">
        <f t="shared" si="4"/>
        <v>169036.12</v>
      </c>
      <c r="O111" s="194"/>
      <c r="P111" s="201" t="e">
        <f>VLOOKUP(G:G,list!B:D,2,FALSE)</f>
        <v>#N/A</v>
      </c>
    </row>
    <row r="112" spans="2:16" ht="18" customHeight="1">
      <c r="B112" s="341">
        <v>108</v>
      </c>
      <c r="C112" s="341" t="s">
        <v>238</v>
      </c>
      <c r="D112" s="369" t="s">
        <v>182</v>
      </c>
      <c r="E112" s="369" t="s">
        <v>9</v>
      </c>
      <c r="F112" s="372" t="s">
        <v>228</v>
      </c>
      <c r="G112" s="374" t="s">
        <v>153</v>
      </c>
      <c r="H112" s="353">
        <v>44180</v>
      </c>
      <c r="I112" s="341" t="s">
        <v>243</v>
      </c>
      <c r="J112" s="361">
        <v>288621</v>
      </c>
      <c r="K112" s="371">
        <v>0.5</v>
      </c>
      <c r="L112" s="346">
        <v>144310.5</v>
      </c>
      <c r="M112" s="274">
        <f>L112*10%</f>
        <v>14431.050000000001</v>
      </c>
      <c r="N112" s="274">
        <f t="shared" si="4"/>
        <v>129879.45</v>
      </c>
      <c r="O112" s="194"/>
      <c r="P112" s="201" t="e">
        <f>VLOOKUP(G:G,list!B:D,2,FALSE)</f>
        <v>#N/A</v>
      </c>
    </row>
    <row r="113" spans="2:16" ht="18" customHeight="1">
      <c r="B113" s="341">
        <v>109</v>
      </c>
      <c r="C113" s="341" t="s">
        <v>238</v>
      </c>
      <c r="D113" s="369" t="s">
        <v>182</v>
      </c>
      <c r="E113" s="369" t="s">
        <v>9</v>
      </c>
      <c r="F113" s="372" t="s">
        <v>228</v>
      </c>
      <c r="G113" s="374" t="s">
        <v>74</v>
      </c>
      <c r="H113" s="353">
        <v>44180</v>
      </c>
      <c r="I113" s="341" t="s">
        <v>243</v>
      </c>
      <c r="J113" s="361">
        <v>74366</v>
      </c>
      <c r="K113" s="371">
        <v>0.5</v>
      </c>
      <c r="L113" s="346">
        <v>37183</v>
      </c>
      <c r="M113" s="274">
        <f>L113*10%</f>
        <v>3718.3</v>
      </c>
      <c r="N113" s="274">
        <f t="shared" si="4"/>
        <v>33464.699999999997</v>
      </c>
      <c r="O113" s="194"/>
      <c r="P113" s="201" t="e">
        <f>VLOOKUP(G:G,list!B:D,2,FALSE)</f>
        <v>#N/A</v>
      </c>
    </row>
    <row r="114" spans="2:16" ht="18" customHeight="1">
      <c r="B114" s="341">
        <v>110</v>
      </c>
      <c r="C114" s="341"/>
      <c r="D114" s="369" t="s">
        <v>182</v>
      </c>
      <c r="E114" s="369" t="s">
        <v>9</v>
      </c>
      <c r="F114" s="372" t="s">
        <v>228</v>
      </c>
      <c r="G114" s="374" t="s">
        <v>180</v>
      </c>
      <c r="H114" s="353">
        <v>44180</v>
      </c>
      <c r="I114" s="341" t="s">
        <v>243</v>
      </c>
      <c r="J114" s="361">
        <v>1131332</v>
      </c>
      <c r="K114" s="371">
        <v>0.5</v>
      </c>
      <c r="L114" s="346">
        <v>565666</v>
      </c>
      <c r="M114" s="274">
        <v>0</v>
      </c>
      <c r="N114" s="274">
        <f t="shared" si="4"/>
        <v>565666</v>
      </c>
      <c r="O114" s="194"/>
      <c r="P114" s="201" t="str">
        <f>VLOOKUP(G:G,list!B:D,2,FALSE)</f>
        <v>작가기획</v>
      </c>
    </row>
    <row r="115" spans="2:16" ht="18" customHeight="1">
      <c r="B115" s="341">
        <v>111</v>
      </c>
      <c r="C115" s="341"/>
      <c r="D115" s="369" t="s">
        <v>182</v>
      </c>
      <c r="E115" s="369" t="s">
        <v>9</v>
      </c>
      <c r="F115" s="372" t="s">
        <v>228</v>
      </c>
      <c r="G115" s="374" t="s">
        <v>139</v>
      </c>
      <c r="H115" s="353">
        <v>44180</v>
      </c>
      <c r="I115" s="341" t="s">
        <v>243</v>
      </c>
      <c r="J115" s="361">
        <v>42953</v>
      </c>
      <c r="K115" s="371">
        <v>0.5</v>
      </c>
      <c r="L115" s="346">
        <v>21476.5</v>
      </c>
      <c r="M115" s="194">
        <v>0</v>
      </c>
      <c r="N115" s="274">
        <f t="shared" si="4"/>
        <v>21476.5</v>
      </c>
      <c r="O115" s="194"/>
      <c r="P115" s="201" t="str">
        <f>VLOOKUP(G:G,list!B:D,2,FALSE)</f>
        <v>작가기획</v>
      </c>
    </row>
    <row r="116" spans="2:16" ht="18" customHeight="1">
      <c r="B116" s="341">
        <v>112</v>
      </c>
      <c r="C116" s="341"/>
      <c r="D116" s="369" t="s">
        <v>182</v>
      </c>
      <c r="E116" s="369" t="s">
        <v>115</v>
      </c>
      <c r="F116" s="372" t="s">
        <v>228</v>
      </c>
      <c r="G116" s="375" t="s">
        <v>231</v>
      </c>
      <c r="H116" s="353">
        <v>44180</v>
      </c>
      <c r="I116" s="341" t="s">
        <v>243</v>
      </c>
      <c r="J116" s="361">
        <v>44338</v>
      </c>
      <c r="K116" s="371">
        <v>0.5</v>
      </c>
      <c r="L116" s="346">
        <v>22169</v>
      </c>
      <c r="M116" s="194">
        <v>0</v>
      </c>
      <c r="N116" s="274">
        <f t="shared" si="4"/>
        <v>22169</v>
      </c>
      <c r="O116" s="194"/>
      <c r="P116" s="201" t="e">
        <f>VLOOKUP(G:G,list!B:D,2,FALSE)</f>
        <v>#N/A</v>
      </c>
    </row>
    <row r="117" spans="2:16" ht="18" customHeight="1">
      <c r="B117" s="341">
        <v>113</v>
      </c>
      <c r="C117" s="341" t="s">
        <v>238</v>
      </c>
      <c r="D117" s="369" t="s">
        <v>182</v>
      </c>
      <c r="E117" s="369" t="s">
        <v>9</v>
      </c>
      <c r="F117" s="372" t="s">
        <v>228</v>
      </c>
      <c r="G117" s="374" t="s">
        <v>151</v>
      </c>
      <c r="H117" s="353">
        <v>44207</v>
      </c>
      <c r="I117" s="341" t="s">
        <v>243</v>
      </c>
      <c r="J117" s="361">
        <v>290313</v>
      </c>
      <c r="K117" s="371">
        <v>0.5</v>
      </c>
      <c r="L117" s="346">
        <v>145156.5</v>
      </c>
      <c r="M117" s="274">
        <f t="shared" ref="M117:M123" si="6">L117*10%</f>
        <v>14515.650000000001</v>
      </c>
      <c r="N117" s="274">
        <f t="shared" si="4"/>
        <v>130640.85</v>
      </c>
      <c r="O117" s="194"/>
      <c r="P117" s="201" t="str">
        <f>VLOOKUP(G:G,list!B:D,2,FALSE)</f>
        <v>원작료</v>
      </c>
    </row>
    <row r="118" spans="2:16" ht="18" customHeight="1">
      <c r="B118" s="341">
        <v>114</v>
      </c>
      <c r="C118" s="341" t="s">
        <v>238</v>
      </c>
      <c r="D118" s="369" t="s">
        <v>182</v>
      </c>
      <c r="E118" s="369" t="s">
        <v>9</v>
      </c>
      <c r="F118" s="372" t="s">
        <v>228</v>
      </c>
      <c r="G118" s="374" t="s">
        <v>225</v>
      </c>
      <c r="H118" s="353">
        <v>44357</v>
      </c>
      <c r="I118" s="341" t="s">
        <v>243</v>
      </c>
      <c r="J118" s="361">
        <v>110265</v>
      </c>
      <c r="K118" s="371">
        <v>0.5</v>
      </c>
      <c r="L118" s="346">
        <v>55132.5</v>
      </c>
      <c r="M118" s="274">
        <f t="shared" si="6"/>
        <v>5513.25</v>
      </c>
      <c r="N118" s="274">
        <f t="shared" si="4"/>
        <v>49619.25</v>
      </c>
      <c r="O118" s="347"/>
      <c r="P118" s="201" t="e">
        <f>VLOOKUP(G:G,list!B:D,2,FALSE)</f>
        <v>#N/A</v>
      </c>
    </row>
    <row r="119" spans="2:16" ht="18" customHeight="1">
      <c r="B119" s="341">
        <v>115</v>
      </c>
      <c r="C119" s="341" t="s">
        <v>238</v>
      </c>
      <c r="D119" s="369" t="s">
        <v>182</v>
      </c>
      <c r="E119" s="369" t="s">
        <v>115</v>
      </c>
      <c r="F119" s="372" t="s">
        <v>228</v>
      </c>
      <c r="G119" s="374" t="s">
        <v>204</v>
      </c>
      <c r="H119" s="353">
        <v>44365</v>
      </c>
      <c r="I119" s="341" t="s">
        <v>243</v>
      </c>
      <c r="J119" s="361">
        <v>281567</v>
      </c>
      <c r="K119" s="371">
        <v>0.5</v>
      </c>
      <c r="L119" s="346">
        <v>140783.5</v>
      </c>
      <c r="M119" s="194">
        <f t="shared" si="6"/>
        <v>14078.35</v>
      </c>
      <c r="N119" s="274">
        <f t="shared" si="4"/>
        <v>126705.15</v>
      </c>
      <c r="O119" s="194"/>
      <c r="P119" s="201" t="e">
        <f>VLOOKUP(G:G,list!B:D,2,FALSE)</f>
        <v>#N/A</v>
      </c>
    </row>
    <row r="120" spans="2:16" ht="18" customHeight="1">
      <c r="B120" s="341">
        <v>116</v>
      </c>
      <c r="C120" s="341" t="s">
        <v>238</v>
      </c>
      <c r="D120" s="369" t="s">
        <v>182</v>
      </c>
      <c r="E120" s="369" t="s">
        <v>9</v>
      </c>
      <c r="F120" s="372" t="s">
        <v>228</v>
      </c>
      <c r="G120" s="374" t="s">
        <v>226</v>
      </c>
      <c r="H120" s="353">
        <v>44371</v>
      </c>
      <c r="I120" s="341" t="s">
        <v>243</v>
      </c>
      <c r="J120" s="361">
        <v>23767</v>
      </c>
      <c r="K120" s="371">
        <v>0.5</v>
      </c>
      <c r="L120" s="346">
        <v>11883.5</v>
      </c>
      <c r="M120" s="274">
        <f t="shared" si="6"/>
        <v>1188.3500000000001</v>
      </c>
      <c r="N120" s="274">
        <f t="shared" si="4"/>
        <v>10695.15</v>
      </c>
      <c r="O120" s="347"/>
      <c r="P120" s="201" t="e">
        <f>VLOOKUP(G:G,list!B:D,2,FALSE)</f>
        <v>#N/A</v>
      </c>
    </row>
    <row r="121" spans="2:16" ht="18" customHeight="1">
      <c r="B121" s="341">
        <v>117</v>
      </c>
      <c r="C121" s="341" t="s">
        <v>238</v>
      </c>
      <c r="D121" s="369" t="s">
        <v>182</v>
      </c>
      <c r="E121" s="369" t="s">
        <v>9</v>
      </c>
      <c r="F121" s="372" t="s">
        <v>228</v>
      </c>
      <c r="G121" s="374" t="s">
        <v>191</v>
      </c>
      <c r="H121" s="353">
        <v>44372</v>
      </c>
      <c r="I121" s="341" t="s">
        <v>243</v>
      </c>
      <c r="J121" s="361">
        <v>3316530</v>
      </c>
      <c r="K121" s="371">
        <v>0.5</v>
      </c>
      <c r="L121" s="346">
        <v>1658265</v>
      </c>
      <c r="M121" s="194">
        <f t="shared" si="6"/>
        <v>165826.5</v>
      </c>
      <c r="N121" s="274">
        <f t="shared" si="4"/>
        <v>1492438.5</v>
      </c>
      <c r="O121" s="194"/>
      <c r="P121" s="201" t="e">
        <f>VLOOKUP(G:G,list!B:D,2,FALSE)</f>
        <v>#N/A</v>
      </c>
    </row>
    <row r="122" spans="2:16" ht="18" customHeight="1">
      <c r="B122" s="341">
        <v>118</v>
      </c>
      <c r="C122" s="341" t="s">
        <v>238</v>
      </c>
      <c r="D122" s="369" t="s">
        <v>182</v>
      </c>
      <c r="E122" s="369" t="s">
        <v>9</v>
      </c>
      <c r="F122" s="372" t="s">
        <v>228</v>
      </c>
      <c r="G122" s="360" t="s">
        <v>59</v>
      </c>
      <c r="H122" s="310">
        <v>44392</v>
      </c>
      <c r="I122" s="341" t="s">
        <v>243</v>
      </c>
      <c r="J122" s="361">
        <v>4645109</v>
      </c>
      <c r="K122" s="371">
        <v>0.5</v>
      </c>
      <c r="L122" s="346">
        <v>2322554.5</v>
      </c>
      <c r="M122" s="274">
        <f t="shared" si="6"/>
        <v>232255.45</v>
      </c>
      <c r="N122" s="274">
        <f t="shared" si="4"/>
        <v>2090299.05</v>
      </c>
      <c r="O122" s="194"/>
      <c r="P122" s="201" t="e">
        <f>VLOOKUP(G:G,list!B:D,2,FALSE)</f>
        <v>#N/A</v>
      </c>
    </row>
    <row r="123" spans="2:16" ht="18" customHeight="1">
      <c r="B123" s="341">
        <v>119</v>
      </c>
      <c r="C123" s="341" t="s">
        <v>238</v>
      </c>
      <c r="D123" s="369" t="s">
        <v>182</v>
      </c>
      <c r="E123" s="362" t="s">
        <v>9</v>
      </c>
      <c r="F123" s="372" t="s">
        <v>228</v>
      </c>
      <c r="G123" s="374" t="s">
        <v>227</v>
      </c>
      <c r="H123" s="353">
        <v>44439</v>
      </c>
      <c r="I123" s="341" t="s">
        <v>243</v>
      </c>
      <c r="J123" s="361">
        <v>2190</v>
      </c>
      <c r="K123" s="371">
        <v>0.5</v>
      </c>
      <c r="L123" s="346">
        <v>1095</v>
      </c>
      <c r="M123" s="194">
        <f t="shared" si="6"/>
        <v>109.5</v>
      </c>
      <c r="N123" s="274">
        <f t="shared" si="4"/>
        <v>985.5</v>
      </c>
      <c r="O123" s="194"/>
      <c r="P123" s="201" t="e">
        <f>VLOOKUP(G:G,list!B:D,2,FALSE)</f>
        <v>#N/A</v>
      </c>
    </row>
    <row r="124" spans="2:16" ht="18" customHeight="1">
      <c r="B124" s="341">
        <v>120</v>
      </c>
      <c r="C124" s="341"/>
      <c r="D124" s="369" t="s">
        <v>182</v>
      </c>
      <c r="E124" s="362" t="s">
        <v>115</v>
      </c>
      <c r="F124" s="372" t="s">
        <v>228</v>
      </c>
      <c r="G124" s="374" t="s">
        <v>202</v>
      </c>
      <c r="H124" s="310">
        <v>44463</v>
      </c>
      <c r="I124" s="341" t="s">
        <v>243</v>
      </c>
      <c r="J124" s="361">
        <v>41059</v>
      </c>
      <c r="K124" s="371">
        <v>0.5</v>
      </c>
      <c r="L124" s="346">
        <v>20529.5</v>
      </c>
      <c r="M124" s="194">
        <v>0</v>
      </c>
      <c r="N124" s="274">
        <f t="shared" si="4"/>
        <v>20529.5</v>
      </c>
      <c r="O124" s="194"/>
      <c r="P124" s="201" t="e">
        <f>VLOOKUP(G:G,list!B:D,2,FALSE)</f>
        <v>#N/A</v>
      </c>
    </row>
    <row r="125" spans="2:16" ht="18" customHeight="1">
      <c r="B125" s="341">
        <v>121</v>
      </c>
      <c r="C125" s="341" t="s">
        <v>238</v>
      </c>
      <c r="D125" s="369" t="s">
        <v>182</v>
      </c>
      <c r="E125" s="369" t="s">
        <v>9</v>
      </c>
      <c r="F125" s="372" t="s">
        <v>228</v>
      </c>
      <c r="G125" s="376" t="s">
        <v>38</v>
      </c>
      <c r="H125" s="310">
        <v>44491</v>
      </c>
      <c r="I125" s="341" t="s">
        <v>243</v>
      </c>
      <c r="J125" s="361">
        <v>100322</v>
      </c>
      <c r="K125" s="371">
        <v>0.5</v>
      </c>
      <c r="L125" s="346">
        <v>50161</v>
      </c>
      <c r="M125" s="274">
        <f>L125*10%</f>
        <v>5016.1000000000004</v>
      </c>
      <c r="N125" s="274">
        <f t="shared" si="4"/>
        <v>45144.9</v>
      </c>
      <c r="O125" s="347"/>
      <c r="P125" s="201" t="e">
        <f>VLOOKUP(G:G,list!B:D,2,FALSE)</f>
        <v>#N/A</v>
      </c>
    </row>
    <row r="126" spans="2:16" ht="18" customHeight="1">
      <c r="B126" s="341">
        <v>122</v>
      </c>
      <c r="C126" s="341" t="s">
        <v>238</v>
      </c>
      <c r="D126" s="369" t="s">
        <v>182</v>
      </c>
      <c r="E126" s="369" t="s">
        <v>9</v>
      </c>
      <c r="F126" s="372" t="s">
        <v>259</v>
      </c>
      <c r="G126" s="374" t="s">
        <v>54</v>
      </c>
      <c r="H126" s="310">
        <v>44271</v>
      </c>
      <c r="I126" s="341" t="s">
        <v>243</v>
      </c>
      <c r="J126" s="361">
        <v>347400</v>
      </c>
      <c r="K126" s="371">
        <v>0.5</v>
      </c>
      <c r="L126" s="346">
        <v>173700</v>
      </c>
      <c r="M126" s="274">
        <f>L126*10%</f>
        <v>17370</v>
      </c>
      <c r="N126" s="274">
        <f t="shared" si="4"/>
        <v>156330</v>
      </c>
      <c r="O126" s="194"/>
      <c r="P126" s="201" t="e">
        <f>VLOOKUP(G:G,list!B:D,2,FALSE)</f>
        <v>#N/A</v>
      </c>
    </row>
    <row r="127" spans="2:16" ht="18" customHeight="1">
      <c r="B127" s="341">
        <v>123</v>
      </c>
      <c r="C127" s="341" t="s">
        <v>238</v>
      </c>
      <c r="D127" s="369" t="s">
        <v>182</v>
      </c>
      <c r="E127" s="369" t="s">
        <v>9</v>
      </c>
      <c r="F127" s="372" t="s">
        <v>259</v>
      </c>
      <c r="G127" s="374" t="s">
        <v>29</v>
      </c>
      <c r="H127" s="310">
        <v>44273</v>
      </c>
      <c r="I127" s="341" t="s">
        <v>243</v>
      </c>
      <c r="J127" s="361">
        <v>1604700</v>
      </c>
      <c r="K127" s="371">
        <v>0.5</v>
      </c>
      <c r="L127" s="346">
        <v>802350</v>
      </c>
      <c r="M127" s="274">
        <f>L127*10%</f>
        <v>80235</v>
      </c>
      <c r="N127" s="274">
        <f t="shared" si="4"/>
        <v>722115</v>
      </c>
      <c r="O127" s="194"/>
      <c r="P127" s="201" t="e">
        <f>VLOOKUP(G:G,list!B:D,2,FALSE)</f>
        <v>#N/A</v>
      </c>
    </row>
    <row r="128" spans="2:16" ht="18" customHeight="1">
      <c r="B128" s="341">
        <v>124</v>
      </c>
      <c r="C128" s="341" t="s">
        <v>238</v>
      </c>
      <c r="D128" s="369" t="s">
        <v>182</v>
      </c>
      <c r="E128" s="369" t="s">
        <v>9</v>
      </c>
      <c r="F128" s="372" t="s">
        <v>259</v>
      </c>
      <c r="G128" s="374" t="s">
        <v>28</v>
      </c>
      <c r="H128" s="310">
        <v>44280</v>
      </c>
      <c r="I128" s="341" t="s">
        <v>243</v>
      </c>
      <c r="J128" s="361">
        <v>1571940</v>
      </c>
      <c r="K128" s="371">
        <v>0.5</v>
      </c>
      <c r="L128" s="346">
        <v>785970</v>
      </c>
      <c r="M128" s="194">
        <f>L128*12%</f>
        <v>94316.4</v>
      </c>
      <c r="N128" s="274">
        <f t="shared" si="4"/>
        <v>691653.6</v>
      </c>
      <c r="O128" s="194"/>
      <c r="P128" s="201" t="e">
        <f>VLOOKUP(G:G,list!B:D,2,FALSE)</f>
        <v>#N/A</v>
      </c>
    </row>
    <row r="129" spans="2:16" ht="18" customHeight="1">
      <c r="B129" s="341">
        <v>125</v>
      </c>
      <c r="C129" s="341"/>
      <c r="D129" s="369" t="s">
        <v>182</v>
      </c>
      <c r="E129" s="369" t="s">
        <v>9</v>
      </c>
      <c r="F129" s="372" t="s">
        <v>259</v>
      </c>
      <c r="G129" s="374" t="s">
        <v>42</v>
      </c>
      <c r="H129" s="310">
        <v>44287</v>
      </c>
      <c r="I129" s="341" t="s">
        <v>243</v>
      </c>
      <c r="J129" s="361">
        <v>6032160</v>
      </c>
      <c r="K129" s="371">
        <v>0.5</v>
      </c>
      <c r="L129" s="346">
        <v>3016080</v>
      </c>
      <c r="M129" s="194">
        <f>L129*10%</f>
        <v>301608</v>
      </c>
      <c r="N129" s="274">
        <f t="shared" si="4"/>
        <v>2714472</v>
      </c>
      <c r="O129" s="195" t="s">
        <v>85</v>
      </c>
      <c r="P129" s="201" t="e">
        <f>VLOOKUP(G:G,list!B:D,2,FALSE)</f>
        <v>#N/A</v>
      </c>
    </row>
    <row r="130" spans="2:16" ht="18" customHeight="1">
      <c r="B130" s="341">
        <v>126</v>
      </c>
      <c r="C130" s="341" t="s">
        <v>238</v>
      </c>
      <c r="D130" s="369" t="s">
        <v>182</v>
      </c>
      <c r="E130" s="369" t="s">
        <v>9</v>
      </c>
      <c r="F130" s="372" t="s">
        <v>259</v>
      </c>
      <c r="G130" s="374" t="s">
        <v>30</v>
      </c>
      <c r="H130" s="310">
        <v>44357</v>
      </c>
      <c r="I130" s="341" t="s">
        <v>243</v>
      </c>
      <c r="J130" s="361">
        <v>2031840</v>
      </c>
      <c r="K130" s="371">
        <v>0.5</v>
      </c>
      <c r="L130" s="346">
        <v>1015920</v>
      </c>
      <c r="M130" s="274">
        <f>L130*10%</f>
        <v>101592</v>
      </c>
      <c r="N130" s="274">
        <f t="shared" si="4"/>
        <v>914328</v>
      </c>
      <c r="O130" s="194"/>
      <c r="P130" s="201" t="str">
        <f>VLOOKUP(G:G,list!B:D,2,FALSE)</f>
        <v>원작료</v>
      </c>
    </row>
    <row r="131" spans="2:16" ht="18" customHeight="1">
      <c r="B131" s="341">
        <v>127</v>
      </c>
      <c r="C131" s="341"/>
      <c r="D131" s="369" t="s">
        <v>182</v>
      </c>
      <c r="E131" s="369" t="s">
        <v>115</v>
      </c>
      <c r="F131" s="372" t="s">
        <v>259</v>
      </c>
      <c r="G131" s="374" t="s">
        <v>147</v>
      </c>
      <c r="H131" s="310">
        <v>44271</v>
      </c>
      <c r="I131" s="341" t="s">
        <v>243</v>
      </c>
      <c r="J131" s="361">
        <v>3460260</v>
      </c>
      <c r="K131" s="371">
        <v>0.5</v>
      </c>
      <c r="L131" s="346">
        <v>1730130</v>
      </c>
      <c r="M131" s="194">
        <v>0</v>
      </c>
      <c r="N131" s="274">
        <f t="shared" si="4"/>
        <v>1730130</v>
      </c>
      <c r="O131" s="194"/>
      <c r="P131" s="201" t="e">
        <f>VLOOKUP(G:G,list!B:D,2,FALSE)</f>
        <v>#N/A</v>
      </c>
    </row>
    <row r="132" spans="2:16" ht="18" customHeight="1">
      <c r="B132" s="341">
        <v>128</v>
      </c>
      <c r="C132" s="341" t="s">
        <v>238</v>
      </c>
      <c r="D132" s="369" t="s">
        <v>182</v>
      </c>
      <c r="E132" s="369" t="s">
        <v>9</v>
      </c>
      <c r="F132" s="372" t="s">
        <v>259</v>
      </c>
      <c r="G132" s="374" t="s">
        <v>225</v>
      </c>
      <c r="H132" s="310">
        <v>44358</v>
      </c>
      <c r="I132" s="341" t="s">
        <v>243</v>
      </c>
      <c r="J132" s="361">
        <v>642780</v>
      </c>
      <c r="K132" s="371">
        <v>0.5</v>
      </c>
      <c r="L132" s="346">
        <v>321390</v>
      </c>
      <c r="M132" s="274">
        <f>L132*10%</f>
        <v>32139</v>
      </c>
      <c r="N132" s="274">
        <f t="shared" si="4"/>
        <v>289251</v>
      </c>
      <c r="O132" s="194"/>
      <c r="P132" s="201" t="e">
        <f>VLOOKUP(G:G,list!B:D,2,FALSE)</f>
        <v>#N/A</v>
      </c>
    </row>
    <row r="133" spans="2:16" ht="18" customHeight="1">
      <c r="B133" s="341">
        <v>129</v>
      </c>
      <c r="C133" s="341" t="s">
        <v>238</v>
      </c>
      <c r="D133" s="369" t="s">
        <v>182</v>
      </c>
      <c r="E133" s="369" t="s">
        <v>9</v>
      </c>
      <c r="F133" s="372" t="s">
        <v>259</v>
      </c>
      <c r="G133" s="374" t="s">
        <v>191</v>
      </c>
      <c r="H133" s="310">
        <v>44392</v>
      </c>
      <c r="I133" s="341" t="s">
        <v>243</v>
      </c>
      <c r="J133" s="361">
        <v>5413500</v>
      </c>
      <c r="K133" s="371">
        <v>0.5</v>
      </c>
      <c r="L133" s="346">
        <v>2706750</v>
      </c>
      <c r="M133" s="194">
        <f>L133*10%</f>
        <v>270675</v>
      </c>
      <c r="N133" s="274">
        <f t="shared" si="4"/>
        <v>2436075</v>
      </c>
      <c r="O133" s="194"/>
      <c r="P133" s="201" t="e">
        <f>VLOOKUP(G:G,list!B:D,2,FALSE)</f>
        <v>#N/A</v>
      </c>
    </row>
    <row r="134" spans="2:16" ht="18" customHeight="1">
      <c r="B134" s="341">
        <v>130</v>
      </c>
      <c r="C134" s="341"/>
      <c r="D134" s="369" t="s">
        <v>252</v>
      </c>
      <c r="E134" s="362" t="s">
        <v>9</v>
      </c>
      <c r="F134" s="369" t="s">
        <v>73</v>
      </c>
      <c r="G134" s="362" t="s">
        <v>179</v>
      </c>
      <c r="H134" s="363">
        <v>44198</v>
      </c>
      <c r="I134" s="341" t="s">
        <v>243</v>
      </c>
      <c r="J134" s="361">
        <v>92531827</v>
      </c>
      <c r="K134" s="368">
        <v>0.224</v>
      </c>
      <c r="L134" s="346">
        <v>18654419</v>
      </c>
      <c r="M134" s="194">
        <f>L134*10%</f>
        <v>1865441.9000000001</v>
      </c>
      <c r="N134" s="274">
        <f t="shared" si="4"/>
        <v>16788977.100000001</v>
      </c>
      <c r="O134" s="195" t="s">
        <v>85</v>
      </c>
      <c r="P134" s="201" t="e">
        <f>VLOOKUP(G:G,list!B:D,2,FALSE)</f>
        <v>#N/A</v>
      </c>
    </row>
    <row r="135" spans="2:16" ht="18" customHeight="1">
      <c r="B135" s="341">
        <v>131</v>
      </c>
      <c r="C135" s="341" t="s">
        <v>238</v>
      </c>
      <c r="D135" s="369" t="s">
        <v>252</v>
      </c>
      <c r="E135" s="362" t="s">
        <v>9</v>
      </c>
      <c r="F135" s="369" t="s">
        <v>73</v>
      </c>
      <c r="G135" s="362" t="s">
        <v>28</v>
      </c>
      <c r="H135" s="363">
        <v>44228</v>
      </c>
      <c r="I135" s="341" t="s">
        <v>243</v>
      </c>
      <c r="J135" s="361">
        <v>11516923</v>
      </c>
      <c r="K135" s="368">
        <v>0.224</v>
      </c>
      <c r="L135" s="346">
        <v>2321820</v>
      </c>
      <c r="M135" s="194">
        <f>L135*12%</f>
        <v>278618.39999999997</v>
      </c>
      <c r="N135" s="274">
        <f t="shared" si="4"/>
        <v>2043201.6</v>
      </c>
      <c r="O135" s="194"/>
      <c r="P135" s="201" t="e">
        <f>VLOOKUP(G:G,list!B:D,2,FALSE)</f>
        <v>#N/A</v>
      </c>
    </row>
    <row r="136" spans="2:16" ht="18" customHeight="1">
      <c r="B136" s="341">
        <v>132</v>
      </c>
      <c r="C136" s="341" t="s">
        <v>238</v>
      </c>
      <c r="D136" s="369" t="s">
        <v>252</v>
      </c>
      <c r="E136" s="362" t="s">
        <v>9</v>
      </c>
      <c r="F136" s="369" t="s">
        <v>73</v>
      </c>
      <c r="G136" s="362" t="s">
        <v>54</v>
      </c>
      <c r="H136" s="363">
        <v>44265</v>
      </c>
      <c r="I136" s="341" t="s">
        <v>243</v>
      </c>
      <c r="J136" s="361">
        <v>1174092</v>
      </c>
      <c r="K136" s="368">
        <v>0.224</v>
      </c>
      <c r="L136" s="346">
        <v>236704</v>
      </c>
      <c r="M136" s="274">
        <f>L136*10%</f>
        <v>23670.400000000001</v>
      </c>
      <c r="N136" s="274">
        <f t="shared" si="4"/>
        <v>213033.60000000001</v>
      </c>
      <c r="O136" s="194"/>
      <c r="P136" s="201" t="e">
        <f>VLOOKUP(G:G,list!B:D,2,FALSE)</f>
        <v>#N/A</v>
      </c>
    </row>
    <row r="137" spans="2:16" ht="18" customHeight="1">
      <c r="B137" s="341">
        <v>133</v>
      </c>
      <c r="C137" s="341" t="s">
        <v>238</v>
      </c>
      <c r="D137" s="369" t="s">
        <v>252</v>
      </c>
      <c r="E137" s="362" t="s">
        <v>9</v>
      </c>
      <c r="F137" s="369" t="s">
        <v>73</v>
      </c>
      <c r="G137" s="362" t="s">
        <v>29</v>
      </c>
      <c r="H137" s="363">
        <v>44315</v>
      </c>
      <c r="I137" s="341" t="s">
        <v>243</v>
      </c>
      <c r="J137" s="361">
        <v>7422721</v>
      </c>
      <c r="K137" s="368">
        <v>0.224</v>
      </c>
      <c r="L137" s="346">
        <v>1496426</v>
      </c>
      <c r="M137" s="274">
        <f>L137*10%</f>
        <v>149642.6</v>
      </c>
      <c r="N137" s="274">
        <f t="shared" ref="N137:N143" si="7">L137-M137</f>
        <v>1346783.4</v>
      </c>
      <c r="O137" s="347"/>
      <c r="P137" s="201" t="e">
        <f>VLOOKUP(G:G,list!B:D,2,FALSE)</f>
        <v>#N/A</v>
      </c>
    </row>
    <row r="138" spans="2:16" ht="18" customHeight="1">
      <c r="B138" s="341">
        <v>134</v>
      </c>
      <c r="C138" s="341" t="s">
        <v>238</v>
      </c>
      <c r="D138" s="369" t="s">
        <v>252</v>
      </c>
      <c r="E138" s="362" t="s">
        <v>9</v>
      </c>
      <c r="F138" s="369" t="s">
        <v>73</v>
      </c>
      <c r="G138" s="362" t="s">
        <v>30</v>
      </c>
      <c r="H138" s="363">
        <v>44359</v>
      </c>
      <c r="I138" s="341" t="s">
        <v>243</v>
      </c>
      <c r="J138" s="361">
        <v>20261459</v>
      </c>
      <c r="K138" s="368">
        <v>0.224</v>
      </c>
      <c r="L138" s="346">
        <v>4084713</v>
      </c>
      <c r="M138" s="274">
        <f>L138*10%</f>
        <v>408471.30000000005</v>
      </c>
      <c r="N138" s="274">
        <f t="shared" si="7"/>
        <v>3676241.7</v>
      </c>
      <c r="O138" s="194"/>
      <c r="P138" s="201" t="str">
        <f>VLOOKUP(G:G,list!B:D,2,FALSE)</f>
        <v>원작료</v>
      </c>
    </row>
    <row r="139" spans="2:16" ht="18" customHeight="1">
      <c r="B139" s="341">
        <v>135</v>
      </c>
      <c r="C139" s="341" t="s">
        <v>238</v>
      </c>
      <c r="D139" s="369" t="s">
        <v>252</v>
      </c>
      <c r="E139" s="362" t="s">
        <v>9</v>
      </c>
      <c r="F139" s="369" t="s">
        <v>73</v>
      </c>
      <c r="G139" s="362" t="s">
        <v>212</v>
      </c>
      <c r="H139" s="363">
        <v>44378</v>
      </c>
      <c r="I139" s="341" t="s">
        <v>243</v>
      </c>
      <c r="J139" s="361">
        <v>137964513</v>
      </c>
      <c r="K139" s="368">
        <v>0.24</v>
      </c>
      <c r="L139" s="346">
        <v>29800344</v>
      </c>
      <c r="M139" s="194">
        <f>L139*10%</f>
        <v>2980034.4000000004</v>
      </c>
      <c r="N139" s="274">
        <f t="shared" si="7"/>
        <v>26820309.600000001</v>
      </c>
      <c r="O139" s="194"/>
      <c r="P139" s="201" t="e">
        <f>VLOOKUP(G:G,list!B:D,2,FALSE)</f>
        <v>#N/A</v>
      </c>
    </row>
    <row r="140" spans="2:16" ht="18" customHeight="1">
      <c r="B140" s="341">
        <v>136</v>
      </c>
      <c r="C140" s="341"/>
      <c r="D140" s="369" t="s">
        <v>252</v>
      </c>
      <c r="E140" s="362" t="s">
        <v>9</v>
      </c>
      <c r="F140" s="369" t="s">
        <v>73</v>
      </c>
      <c r="G140" s="362" t="s">
        <v>147</v>
      </c>
      <c r="H140" s="363">
        <v>44435</v>
      </c>
      <c r="I140" s="341" t="s">
        <v>243</v>
      </c>
      <c r="J140" s="361">
        <v>6606525</v>
      </c>
      <c r="K140" s="368">
        <v>0.224</v>
      </c>
      <c r="L140" s="346">
        <v>1331879</v>
      </c>
      <c r="M140" s="194">
        <v>0</v>
      </c>
      <c r="N140" s="274">
        <f t="shared" si="7"/>
        <v>1331879</v>
      </c>
      <c r="O140" s="194"/>
      <c r="P140" s="201" t="e">
        <f>VLOOKUP(G:G,list!B:D,2,FALSE)</f>
        <v>#N/A</v>
      </c>
    </row>
    <row r="141" spans="2:16" ht="18" customHeight="1">
      <c r="B141" s="341">
        <v>137</v>
      </c>
      <c r="C141" s="341" t="s">
        <v>238</v>
      </c>
      <c r="D141" s="369" t="s">
        <v>252</v>
      </c>
      <c r="E141" s="362" t="s">
        <v>9</v>
      </c>
      <c r="F141" s="369" t="s">
        <v>73</v>
      </c>
      <c r="G141" s="362" t="s">
        <v>225</v>
      </c>
      <c r="H141" s="363">
        <v>44479</v>
      </c>
      <c r="I141" s="341" t="s">
        <v>243</v>
      </c>
      <c r="J141" s="361">
        <v>2586806</v>
      </c>
      <c r="K141" s="368">
        <v>0.224</v>
      </c>
      <c r="L141" s="346">
        <v>521501</v>
      </c>
      <c r="M141" s="274">
        <f>L141*10%</f>
        <v>52150.100000000006</v>
      </c>
      <c r="N141" s="274">
        <f t="shared" si="7"/>
        <v>469350.9</v>
      </c>
      <c r="O141" s="194"/>
      <c r="P141" s="201" t="e">
        <f>VLOOKUP(G:G,list!B:D,2,FALSE)</f>
        <v>#N/A</v>
      </c>
    </row>
    <row r="142" spans="2:16" ht="18" customHeight="1">
      <c r="B142" s="341">
        <v>138</v>
      </c>
      <c r="C142" s="341" t="s">
        <v>238</v>
      </c>
      <c r="D142" s="369" t="s">
        <v>214</v>
      </c>
      <c r="E142" s="362" t="s">
        <v>9</v>
      </c>
      <c r="F142" s="369" t="s">
        <v>260</v>
      </c>
      <c r="G142" s="341" t="s">
        <v>258</v>
      </c>
      <c r="H142" s="310">
        <v>44492</v>
      </c>
      <c r="I142" s="341" t="s">
        <v>243</v>
      </c>
      <c r="J142" s="361">
        <v>260298</v>
      </c>
      <c r="K142" s="368">
        <v>0.5</v>
      </c>
      <c r="L142" s="346">
        <v>109620</v>
      </c>
      <c r="M142" s="274">
        <f>L142*10%</f>
        <v>10962</v>
      </c>
      <c r="N142" s="274">
        <f t="shared" si="7"/>
        <v>98658</v>
      </c>
      <c r="O142" s="197" t="s">
        <v>261</v>
      </c>
      <c r="P142" s="201" t="e">
        <f>VLOOKUP(G:G,list!B:D,2,FALSE)</f>
        <v>#N/A</v>
      </c>
    </row>
    <row r="143" spans="2:16" ht="18" customHeight="1">
      <c r="B143" s="341">
        <v>139</v>
      </c>
      <c r="C143" s="341" t="s">
        <v>238</v>
      </c>
      <c r="D143" s="341" t="s">
        <v>78</v>
      </c>
      <c r="E143" s="342" t="s">
        <v>115</v>
      </c>
      <c r="F143" s="341" t="s">
        <v>268</v>
      </c>
      <c r="G143" s="342" t="s">
        <v>39</v>
      </c>
      <c r="H143" s="343">
        <v>44553</v>
      </c>
      <c r="I143" s="341" t="s">
        <v>267</v>
      </c>
      <c r="J143" s="344">
        <v>11500</v>
      </c>
      <c r="K143" s="345" t="s">
        <v>271</v>
      </c>
      <c r="L143" s="346">
        <v>7750</v>
      </c>
      <c r="M143" s="274">
        <f>L143*10%</f>
        <v>775</v>
      </c>
      <c r="N143" s="274">
        <f t="shared" si="7"/>
        <v>6975</v>
      </c>
      <c r="O143" s="370" t="s">
        <v>270</v>
      </c>
      <c r="P143" s="201" t="e">
        <f>VLOOKUP(G:G,list!B:D,2,FALSE)</f>
        <v>#N/A</v>
      </c>
    </row>
    <row r="144" spans="2:16" ht="18" customHeight="1">
      <c r="B144" s="341">
        <v>140</v>
      </c>
      <c r="C144" s="341" t="s">
        <v>238</v>
      </c>
      <c r="D144" s="341" t="s">
        <v>78</v>
      </c>
      <c r="E144" s="342" t="s">
        <v>115</v>
      </c>
      <c r="F144" s="341" t="s">
        <v>268</v>
      </c>
      <c r="G144" s="342" t="s">
        <v>40</v>
      </c>
      <c r="H144" s="343">
        <v>44554</v>
      </c>
      <c r="I144" s="341" t="s">
        <v>267</v>
      </c>
      <c r="J144" s="344">
        <v>14200</v>
      </c>
      <c r="K144" s="345" t="s">
        <v>271</v>
      </c>
      <c r="L144" s="346">
        <v>9940</v>
      </c>
      <c r="M144" s="194">
        <f>L144*10%</f>
        <v>994</v>
      </c>
      <c r="N144" s="274">
        <f>L144-M144</f>
        <v>8946</v>
      </c>
      <c r="O144" s="370" t="s">
        <v>270</v>
      </c>
      <c r="P144" s="201" t="e">
        <f>VLOOKUP(G:G,list!B:D,2,FALSE)</f>
        <v>#N/A</v>
      </c>
    </row>
    <row r="145" spans="2:16" ht="18" customHeight="1">
      <c r="B145" s="341">
        <v>141</v>
      </c>
      <c r="C145" s="341" t="s">
        <v>238</v>
      </c>
      <c r="D145" s="341" t="s">
        <v>78</v>
      </c>
      <c r="E145" s="341" t="s">
        <v>115</v>
      </c>
      <c r="F145" s="341" t="s">
        <v>269</v>
      </c>
      <c r="G145" s="341" t="s">
        <v>40</v>
      </c>
      <c r="H145" s="353">
        <v>44554</v>
      </c>
      <c r="I145" s="341" t="s">
        <v>267</v>
      </c>
      <c r="J145" s="357">
        <v>8400</v>
      </c>
      <c r="K145" s="345">
        <v>0.7</v>
      </c>
      <c r="L145" s="346">
        <v>5880</v>
      </c>
      <c r="M145" s="194">
        <f>L145*10%</f>
        <v>588</v>
      </c>
      <c r="N145" s="274">
        <f>L145-M145</f>
        <v>5292</v>
      </c>
      <c r="O145" s="370" t="s">
        <v>270</v>
      </c>
      <c r="P145" s="201" t="e">
        <f>VLOOKUP(G:G,list!B:D,2,FALSE)</f>
        <v>#N/A</v>
      </c>
    </row>
    <row r="153" spans="2:16">
      <c r="M153" s="339"/>
    </row>
  </sheetData>
  <autoFilter ref="B4:P145" xr:uid="{9FCDD794-DFF8-4158-B42B-460298F82F93}"/>
  <mergeCells count="1">
    <mergeCell ref="O2:P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9E39-8176-4410-8A40-4D9ED44011F1}">
  <dimension ref="B1:P141"/>
  <sheetViews>
    <sheetView showGridLines="0" zoomScaleNormal="100" workbookViewId="0">
      <pane xSplit="7" ySplit="4" topLeftCell="H5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7.69921875" style="7" customWidth="1"/>
    <col min="4" max="4" width="9.69921875" style="7" customWidth="1"/>
    <col min="5" max="5" width="8.59765625" style="186" customWidth="1"/>
    <col min="6" max="6" width="16.8984375" style="7" customWidth="1"/>
    <col min="7" max="7" width="28" style="7" customWidth="1"/>
    <col min="8" max="8" width="14.59765625" customWidth="1"/>
    <col min="9" max="9" width="13.59765625" customWidth="1"/>
    <col min="10" max="10" width="11.59765625" customWidth="1"/>
    <col min="11" max="11" width="11.59765625" style="7" customWidth="1"/>
    <col min="12" max="12" width="13.59765625" style="311" customWidth="1"/>
    <col min="13" max="14" width="13.59765625" customWidth="1"/>
    <col min="15" max="15" width="37.59765625" style="18" customWidth="1"/>
    <col min="16" max="16" width="43" style="184" customWidth="1"/>
    <col min="17" max="17" width="28.19921875" customWidth="1"/>
  </cols>
  <sheetData>
    <row r="1" spans="2:16" ht="16.5" customHeight="1"/>
    <row r="2" spans="2:16" ht="30" customHeight="1" thickBot="1">
      <c r="B2" s="4" t="s">
        <v>265</v>
      </c>
      <c r="C2" s="4"/>
      <c r="D2" s="4"/>
      <c r="E2" s="187"/>
      <c r="F2" s="4"/>
      <c r="J2" s="200" t="s">
        <v>88</v>
      </c>
      <c r="K2"/>
      <c r="L2" s="312" t="s">
        <v>196</v>
      </c>
      <c r="O2" s="685" t="s">
        <v>262</v>
      </c>
      <c r="P2" s="686"/>
    </row>
    <row r="3" spans="2:16" s="6" customFormat="1" ht="18.600000000000001" thickTop="1" thickBot="1">
      <c r="B3" s="8"/>
      <c r="C3" s="8"/>
      <c r="D3" s="8"/>
      <c r="E3" s="188"/>
      <c r="F3" s="8"/>
      <c r="G3" s="8"/>
      <c r="K3" s="8"/>
      <c r="L3" s="313">
        <f>SUM(L5:L485)</f>
        <v>552477568</v>
      </c>
      <c r="M3" s="309">
        <f>SUM(M5:M485)</f>
        <v>52730761.059999987</v>
      </c>
      <c r="N3" s="309">
        <f>SUM(N5:N485)</f>
        <v>499746806.94</v>
      </c>
      <c r="O3" s="19"/>
      <c r="P3" s="185"/>
    </row>
    <row r="4" spans="2:16" s="9" customFormat="1" ht="24" customHeight="1">
      <c r="B4" s="275" t="s">
        <v>7</v>
      </c>
      <c r="C4" s="276" t="s">
        <v>237</v>
      </c>
      <c r="D4" s="277" t="s">
        <v>76</v>
      </c>
      <c r="E4" s="278" t="s">
        <v>3</v>
      </c>
      <c r="F4" s="277" t="s">
        <v>0</v>
      </c>
      <c r="G4" s="279" t="s">
        <v>4</v>
      </c>
      <c r="H4" s="278" t="s">
        <v>5</v>
      </c>
      <c r="I4" s="278" t="s">
        <v>6</v>
      </c>
      <c r="J4" s="278" t="s">
        <v>2</v>
      </c>
      <c r="K4" s="280" t="s">
        <v>1</v>
      </c>
      <c r="L4" s="314" t="s">
        <v>88</v>
      </c>
      <c r="M4" s="281" t="s">
        <v>232</v>
      </c>
      <c r="N4" s="281" t="s">
        <v>233</v>
      </c>
      <c r="O4" s="281" t="s">
        <v>82</v>
      </c>
      <c r="P4" s="281" t="s">
        <v>101</v>
      </c>
    </row>
    <row r="5" spans="2:16" ht="18" customHeight="1">
      <c r="B5" s="282">
        <v>1</v>
      </c>
      <c r="C5" s="282"/>
      <c r="D5" s="282" t="s">
        <v>78</v>
      </c>
      <c r="E5" s="318" t="s">
        <v>9</v>
      </c>
      <c r="F5" s="282" t="s">
        <v>242</v>
      </c>
      <c r="G5" s="318" t="s">
        <v>11</v>
      </c>
      <c r="H5" s="303">
        <v>44308</v>
      </c>
      <c r="I5" s="282" t="s">
        <v>244</v>
      </c>
      <c r="J5" s="283">
        <v>7628064</v>
      </c>
      <c r="K5" s="284">
        <v>0.6</v>
      </c>
      <c r="L5" s="315">
        <v>4576838</v>
      </c>
      <c r="M5" s="274">
        <v>0</v>
      </c>
      <c r="N5" s="286">
        <f t="shared" ref="N5:N36" si="0">L5-M5</f>
        <v>4576838</v>
      </c>
      <c r="O5" s="301"/>
      <c r="P5" s="287"/>
    </row>
    <row r="6" spans="2:16" ht="18" customHeight="1">
      <c r="B6" s="282">
        <v>2</v>
      </c>
      <c r="C6" s="282" t="s">
        <v>238</v>
      </c>
      <c r="D6" s="282" t="s">
        <v>78</v>
      </c>
      <c r="E6" s="318" t="s">
        <v>9</v>
      </c>
      <c r="F6" s="282" t="s">
        <v>242</v>
      </c>
      <c r="G6" s="318" t="s">
        <v>10</v>
      </c>
      <c r="H6" s="303">
        <v>44309</v>
      </c>
      <c r="I6" s="282" t="s">
        <v>244</v>
      </c>
      <c r="J6" s="283">
        <v>139546651</v>
      </c>
      <c r="K6" s="284">
        <v>0.6</v>
      </c>
      <c r="L6" s="315">
        <v>83727990</v>
      </c>
      <c r="M6" s="274">
        <f>L6*10%</f>
        <v>8372799</v>
      </c>
      <c r="N6" s="286">
        <f t="shared" si="0"/>
        <v>75355191</v>
      </c>
      <c r="O6" s="288"/>
      <c r="P6" s="287"/>
    </row>
    <row r="7" spans="2:16" ht="18" customHeight="1">
      <c r="B7" s="282">
        <v>3</v>
      </c>
      <c r="C7" s="282" t="s">
        <v>238</v>
      </c>
      <c r="D7" s="282" t="s">
        <v>78</v>
      </c>
      <c r="E7" s="318" t="s">
        <v>9</v>
      </c>
      <c r="F7" s="282" t="s">
        <v>242</v>
      </c>
      <c r="G7" s="318" t="s">
        <v>136</v>
      </c>
      <c r="H7" s="303">
        <v>44240</v>
      </c>
      <c r="I7" s="282" t="s">
        <v>244</v>
      </c>
      <c r="J7" s="289">
        <v>660816</v>
      </c>
      <c r="K7" s="284">
        <v>0.6</v>
      </c>
      <c r="L7" s="315">
        <v>396490</v>
      </c>
      <c r="M7" s="274">
        <f>L7*10%</f>
        <v>39649</v>
      </c>
      <c r="N7" s="286">
        <f t="shared" si="0"/>
        <v>356841</v>
      </c>
      <c r="O7" s="290"/>
      <c r="P7" s="287"/>
    </row>
    <row r="8" spans="2:16" ht="18" customHeight="1">
      <c r="B8" s="282">
        <v>4</v>
      </c>
      <c r="C8" s="282" t="s">
        <v>238</v>
      </c>
      <c r="D8" s="282" t="s">
        <v>78</v>
      </c>
      <c r="E8" s="318" t="s">
        <v>9</v>
      </c>
      <c r="F8" s="282" t="s">
        <v>242</v>
      </c>
      <c r="G8" s="318" t="s">
        <v>17</v>
      </c>
      <c r="H8" s="303">
        <v>44391</v>
      </c>
      <c r="I8" s="282" t="s">
        <v>244</v>
      </c>
      <c r="J8" s="302">
        <v>48557756</v>
      </c>
      <c r="K8" s="319">
        <v>0.6</v>
      </c>
      <c r="L8" s="315">
        <v>29134653</v>
      </c>
      <c r="M8" s="194">
        <f>L8*12%</f>
        <v>3496158.36</v>
      </c>
      <c r="N8" s="286">
        <f t="shared" si="0"/>
        <v>25638494.640000001</v>
      </c>
      <c r="O8" s="288"/>
      <c r="P8" s="287"/>
    </row>
    <row r="9" spans="2:16" ht="18" customHeight="1">
      <c r="B9" s="282">
        <v>5</v>
      </c>
      <c r="C9" s="282" t="s">
        <v>238</v>
      </c>
      <c r="D9" s="282" t="s">
        <v>78</v>
      </c>
      <c r="E9" s="318" t="s">
        <v>115</v>
      </c>
      <c r="F9" s="282" t="s">
        <v>242</v>
      </c>
      <c r="G9" s="318" t="s">
        <v>204</v>
      </c>
      <c r="H9" s="303">
        <v>44428</v>
      </c>
      <c r="I9" s="282" t="s">
        <v>244</v>
      </c>
      <c r="J9" s="320">
        <v>365957</v>
      </c>
      <c r="K9" s="321">
        <v>0.7</v>
      </c>
      <c r="L9" s="315">
        <v>256170</v>
      </c>
      <c r="M9" s="194">
        <f>L9*10%</f>
        <v>25617</v>
      </c>
      <c r="N9" s="286">
        <f t="shared" si="0"/>
        <v>230553</v>
      </c>
      <c r="O9" s="290"/>
      <c r="P9" s="287"/>
    </row>
    <row r="10" spans="2:16" ht="18" customHeight="1">
      <c r="B10" s="282">
        <v>6</v>
      </c>
      <c r="C10" s="282"/>
      <c r="D10" s="282" t="s">
        <v>78</v>
      </c>
      <c r="E10" s="318" t="s">
        <v>115</v>
      </c>
      <c r="F10" s="282" t="s">
        <v>242</v>
      </c>
      <c r="G10" s="318" t="s">
        <v>202</v>
      </c>
      <c r="H10" s="303">
        <v>44525</v>
      </c>
      <c r="I10" s="282" t="s">
        <v>244</v>
      </c>
      <c r="J10" s="289">
        <v>120000</v>
      </c>
      <c r="K10" s="284">
        <v>0.7</v>
      </c>
      <c r="L10" s="315">
        <v>84000</v>
      </c>
      <c r="M10" s="285">
        <v>0</v>
      </c>
      <c r="N10" s="286">
        <f t="shared" si="0"/>
        <v>84000</v>
      </c>
      <c r="O10" s="290"/>
      <c r="P10" s="287"/>
    </row>
    <row r="11" spans="2:16" ht="18" customHeight="1">
      <c r="B11" s="282">
        <v>7</v>
      </c>
      <c r="C11" s="282"/>
      <c r="D11" s="282" t="s">
        <v>78</v>
      </c>
      <c r="E11" s="318" t="s">
        <v>115</v>
      </c>
      <c r="F11" s="282" t="s">
        <v>245</v>
      </c>
      <c r="G11" s="318" t="s">
        <v>202</v>
      </c>
      <c r="H11" s="291">
        <v>44441</v>
      </c>
      <c r="I11" s="282" t="s">
        <v>244</v>
      </c>
      <c r="J11" s="289">
        <v>0</v>
      </c>
      <c r="K11" s="284" t="s">
        <v>203</v>
      </c>
      <c r="L11" s="315">
        <v>247800</v>
      </c>
      <c r="M11" s="285">
        <v>0</v>
      </c>
      <c r="N11" s="286">
        <f t="shared" si="0"/>
        <v>247800</v>
      </c>
      <c r="O11" s="290"/>
      <c r="P11" s="287"/>
    </row>
    <row r="12" spans="2:16" ht="18" customHeight="1">
      <c r="B12" s="282">
        <v>8</v>
      </c>
      <c r="C12" s="282"/>
      <c r="D12" s="282" t="s">
        <v>78</v>
      </c>
      <c r="E12" s="318" t="s">
        <v>115</v>
      </c>
      <c r="F12" s="282" t="s">
        <v>201</v>
      </c>
      <c r="G12" s="318" t="s">
        <v>202</v>
      </c>
      <c r="H12" s="303">
        <v>44300</v>
      </c>
      <c r="I12" s="282" t="s">
        <v>195</v>
      </c>
      <c r="J12" s="302">
        <v>674868</v>
      </c>
      <c r="K12" s="284">
        <v>0.7</v>
      </c>
      <c r="L12" s="315">
        <v>472576</v>
      </c>
      <c r="M12" s="285">
        <v>0</v>
      </c>
      <c r="N12" s="286">
        <f t="shared" si="0"/>
        <v>472576</v>
      </c>
      <c r="O12" s="290"/>
      <c r="P12" s="287"/>
    </row>
    <row r="13" spans="2:16" ht="18" customHeight="1">
      <c r="B13" s="282">
        <v>9</v>
      </c>
      <c r="C13" s="282" t="s">
        <v>238</v>
      </c>
      <c r="D13" s="282" t="s">
        <v>78</v>
      </c>
      <c r="E13" s="282" t="s">
        <v>198</v>
      </c>
      <c r="F13" s="282" t="s">
        <v>200</v>
      </c>
      <c r="G13" s="282" t="s">
        <v>151</v>
      </c>
      <c r="H13" s="303">
        <v>44469</v>
      </c>
      <c r="I13" s="282" t="s">
        <v>195</v>
      </c>
      <c r="J13" s="302">
        <v>881000</v>
      </c>
      <c r="K13" s="284">
        <v>0.1</v>
      </c>
      <c r="L13" s="315">
        <v>88100</v>
      </c>
      <c r="M13" s="285">
        <f>ROUND(L13*10%,0)</f>
        <v>8810</v>
      </c>
      <c r="N13" s="286">
        <f t="shared" si="0"/>
        <v>79290</v>
      </c>
      <c r="O13" s="290"/>
      <c r="P13" s="287"/>
    </row>
    <row r="14" spans="2:16" ht="18" customHeight="1">
      <c r="B14" s="282">
        <v>10</v>
      </c>
      <c r="C14" s="282"/>
      <c r="D14" s="282" t="s">
        <v>78</v>
      </c>
      <c r="E14" s="318" t="s">
        <v>9</v>
      </c>
      <c r="F14" s="282" t="s">
        <v>246</v>
      </c>
      <c r="G14" s="318" t="s">
        <v>36</v>
      </c>
      <c r="H14" s="303">
        <v>43810</v>
      </c>
      <c r="I14" s="282" t="s">
        <v>243</v>
      </c>
      <c r="J14" s="302">
        <v>4111560</v>
      </c>
      <c r="K14" s="284" t="s">
        <v>165</v>
      </c>
      <c r="L14" s="315">
        <v>1649376</v>
      </c>
      <c r="M14" s="308">
        <v>0</v>
      </c>
      <c r="N14" s="286">
        <f t="shared" si="0"/>
        <v>1649376</v>
      </c>
      <c r="O14" s="290"/>
      <c r="P14" s="287"/>
    </row>
    <row r="15" spans="2:16" ht="18" customHeight="1">
      <c r="B15" s="282">
        <v>11</v>
      </c>
      <c r="C15" s="282"/>
      <c r="D15" s="282" t="s">
        <v>78</v>
      </c>
      <c r="E15" s="318" t="s">
        <v>9</v>
      </c>
      <c r="F15" s="282" t="s">
        <v>246</v>
      </c>
      <c r="G15" s="318" t="s">
        <v>247</v>
      </c>
      <c r="H15" s="303">
        <v>43852</v>
      </c>
      <c r="I15" s="282" t="s">
        <v>243</v>
      </c>
      <c r="J15" s="302">
        <v>1375380</v>
      </c>
      <c r="K15" s="284" t="s">
        <v>165</v>
      </c>
      <c r="L15" s="315">
        <v>529335</v>
      </c>
      <c r="M15" s="274">
        <v>0</v>
      </c>
      <c r="N15" s="286">
        <f t="shared" si="0"/>
        <v>529335</v>
      </c>
      <c r="O15" s="290"/>
      <c r="P15" s="287"/>
    </row>
    <row r="16" spans="2:16" ht="18" customHeight="1">
      <c r="B16" s="282">
        <v>12</v>
      </c>
      <c r="C16" s="282"/>
      <c r="D16" s="282" t="s">
        <v>78</v>
      </c>
      <c r="E16" s="318" t="s">
        <v>115</v>
      </c>
      <c r="F16" s="282" t="s">
        <v>246</v>
      </c>
      <c r="G16" s="318" t="s">
        <v>19</v>
      </c>
      <c r="H16" s="303">
        <v>44328</v>
      </c>
      <c r="I16" s="282" t="s">
        <v>243</v>
      </c>
      <c r="J16" s="302">
        <v>1256940</v>
      </c>
      <c r="K16" s="284" t="s">
        <v>120</v>
      </c>
      <c r="L16" s="315">
        <v>600836</v>
      </c>
      <c r="M16" s="274">
        <v>0</v>
      </c>
      <c r="N16" s="286">
        <f t="shared" si="0"/>
        <v>600836</v>
      </c>
      <c r="O16" s="288"/>
      <c r="P16" s="287"/>
    </row>
    <row r="17" spans="2:16" ht="18" customHeight="1">
      <c r="B17" s="282">
        <v>13</v>
      </c>
      <c r="C17" s="282"/>
      <c r="D17" s="282" t="s">
        <v>78</v>
      </c>
      <c r="E17" s="318" t="s">
        <v>115</v>
      </c>
      <c r="F17" s="282" t="s">
        <v>197</v>
      </c>
      <c r="G17" s="318" t="s">
        <v>202</v>
      </c>
      <c r="H17" s="304">
        <v>44328</v>
      </c>
      <c r="I17" s="282" t="s">
        <v>243</v>
      </c>
      <c r="J17" s="293">
        <v>54000</v>
      </c>
      <c r="K17" s="284">
        <v>0.7</v>
      </c>
      <c r="L17" s="315">
        <v>37800</v>
      </c>
      <c r="M17" s="274">
        <v>0</v>
      </c>
      <c r="N17" s="286">
        <f t="shared" si="0"/>
        <v>37800</v>
      </c>
      <c r="O17" s="301"/>
      <c r="P17" s="287"/>
    </row>
    <row r="18" spans="2:16" ht="18" customHeight="1">
      <c r="B18" s="282">
        <v>14</v>
      </c>
      <c r="C18" s="282" t="s">
        <v>238</v>
      </c>
      <c r="D18" s="282" t="s">
        <v>78</v>
      </c>
      <c r="E18" s="322" t="s">
        <v>9</v>
      </c>
      <c r="F18" s="282" t="s">
        <v>209</v>
      </c>
      <c r="G18" s="322" t="s">
        <v>28</v>
      </c>
      <c r="H18" s="323">
        <v>44409</v>
      </c>
      <c r="I18" s="282" t="s">
        <v>243</v>
      </c>
      <c r="J18" s="293">
        <v>3764347</v>
      </c>
      <c r="K18" s="284">
        <v>0.55000030549787249</v>
      </c>
      <c r="L18" s="315">
        <v>2070392</v>
      </c>
      <c r="M18" s="194">
        <f>L18*12%</f>
        <v>248447.03999999998</v>
      </c>
      <c r="N18" s="286">
        <f t="shared" si="0"/>
        <v>1821944.96</v>
      </c>
      <c r="O18" s="288"/>
      <c r="P18" s="287"/>
    </row>
    <row r="19" spans="2:16" ht="18" customHeight="1">
      <c r="B19" s="282">
        <v>15</v>
      </c>
      <c r="C19" s="282"/>
      <c r="D19" s="282" t="s">
        <v>78</v>
      </c>
      <c r="E19" s="322" t="s">
        <v>9</v>
      </c>
      <c r="F19" s="282" t="s">
        <v>209</v>
      </c>
      <c r="G19" s="322" t="s">
        <v>42</v>
      </c>
      <c r="H19" s="323">
        <v>44409</v>
      </c>
      <c r="I19" s="282" t="s">
        <v>243</v>
      </c>
      <c r="J19" s="293">
        <v>10102788</v>
      </c>
      <c r="K19" s="284">
        <v>0.55000005938954677</v>
      </c>
      <c r="L19" s="315">
        <v>5556534</v>
      </c>
      <c r="M19" s="194">
        <f>L19*10%</f>
        <v>555653.4</v>
      </c>
      <c r="N19" s="286">
        <f t="shared" si="0"/>
        <v>5000880.5999999996</v>
      </c>
      <c r="O19" s="72" t="s">
        <v>144</v>
      </c>
      <c r="P19" s="287"/>
    </row>
    <row r="20" spans="2:16" ht="18" customHeight="1">
      <c r="B20" s="282">
        <v>16</v>
      </c>
      <c r="C20" s="282" t="s">
        <v>238</v>
      </c>
      <c r="D20" s="282" t="s">
        <v>78</v>
      </c>
      <c r="E20" s="322" t="s">
        <v>9</v>
      </c>
      <c r="F20" s="282" t="s">
        <v>209</v>
      </c>
      <c r="G20" s="322" t="s">
        <v>54</v>
      </c>
      <c r="H20" s="323">
        <v>44409</v>
      </c>
      <c r="I20" s="282" t="s">
        <v>243</v>
      </c>
      <c r="J20" s="293">
        <v>811706</v>
      </c>
      <c r="K20" s="284">
        <v>0.55000086238120693</v>
      </c>
      <c r="L20" s="315">
        <v>446439</v>
      </c>
      <c r="M20" s="274">
        <f>L20*10%</f>
        <v>44643.9</v>
      </c>
      <c r="N20" s="286">
        <f t="shared" si="0"/>
        <v>401795.1</v>
      </c>
      <c r="O20" s="288"/>
      <c r="P20" s="287"/>
    </row>
    <row r="21" spans="2:16" ht="18" customHeight="1">
      <c r="B21" s="282">
        <v>17</v>
      </c>
      <c r="C21" s="282" t="s">
        <v>238</v>
      </c>
      <c r="D21" s="282" t="s">
        <v>78</v>
      </c>
      <c r="E21" s="322" t="s">
        <v>9</v>
      </c>
      <c r="F21" s="282" t="s">
        <v>209</v>
      </c>
      <c r="G21" s="322" t="s">
        <v>46</v>
      </c>
      <c r="H21" s="323">
        <v>44409</v>
      </c>
      <c r="I21" s="282" t="s">
        <v>243</v>
      </c>
      <c r="J21" s="293">
        <v>1157583</v>
      </c>
      <c r="K21" s="284">
        <v>0.55000030235412922</v>
      </c>
      <c r="L21" s="315">
        <v>636671</v>
      </c>
      <c r="M21" s="194">
        <f>L21*10%</f>
        <v>63667.100000000006</v>
      </c>
      <c r="N21" s="286">
        <f t="shared" si="0"/>
        <v>573003.9</v>
      </c>
      <c r="O21" s="301"/>
      <c r="P21" s="287"/>
    </row>
    <row r="22" spans="2:16" ht="18" customHeight="1">
      <c r="B22" s="282">
        <v>18</v>
      </c>
      <c r="C22" s="282" t="s">
        <v>238</v>
      </c>
      <c r="D22" s="282" t="s">
        <v>78</v>
      </c>
      <c r="E22" s="322" t="s">
        <v>9</v>
      </c>
      <c r="F22" s="282" t="s">
        <v>209</v>
      </c>
      <c r="G22" s="322" t="s">
        <v>30</v>
      </c>
      <c r="H22" s="323">
        <v>44409</v>
      </c>
      <c r="I22" s="282" t="s">
        <v>243</v>
      </c>
      <c r="J22" s="293">
        <v>5105445</v>
      </c>
      <c r="K22" s="284">
        <v>0.55000024483664012</v>
      </c>
      <c r="L22" s="315">
        <v>2807996</v>
      </c>
      <c r="M22" s="274">
        <f>L22*10%</f>
        <v>280799.60000000003</v>
      </c>
      <c r="N22" s="286">
        <f t="shared" si="0"/>
        <v>2527196.4</v>
      </c>
      <c r="O22" s="288"/>
      <c r="P22" s="287"/>
    </row>
    <row r="23" spans="2:16" ht="18" customHeight="1">
      <c r="B23" s="282">
        <v>19</v>
      </c>
      <c r="C23" s="282"/>
      <c r="D23" s="282" t="s">
        <v>78</v>
      </c>
      <c r="E23" s="322" t="s">
        <v>9</v>
      </c>
      <c r="F23" s="282" t="s">
        <v>209</v>
      </c>
      <c r="G23" s="322" t="s">
        <v>53</v>
      </c>
      <c r="H23" s="323">
        <v>44409</v>
      </c>
      <c r="I23" s="282" t="s">
        <v>243</v>
      </c>
      <c r="J23" s="293">
        <v>2647782</v>
      </c>
      <c r="K23" s="284">
        <v>0.55000033990713737</v>
      </c>
      <c r="L23" s="315">
        <v>1456281</v>
      </c>
      <c r="M23" s="274">
        <v>0</v>
      </c>
      <c r="N23" s="286">
        <f t="shared" si="0"/>
        <v>1456281</v>
      </c>
      <c r="O23" s="301"/>
      <c r="P23" s="287"/>
    </row>
    <row r="24" spans="2:16" ht="18" customHeight="1">
      <c r="B24" s="282">
        <v>20</v>
      </c>
      <c r="C24" s="282" t="s">
        <v>238</v>
      </c>
      <c r="D24" s="282" t="s">
        <v>78</v>
      </c>
      <c r="E24" s="322" t="s">
        <v>9</v>
      </c>
      <c r="F24" s="282" t="s">
        <v>209</v>
      </c>
      <c r="G24" s="322" t="s">
        <v>43</v>
      </c>
      <c r="H24" s="323">
        <v>44465</v>
      </c>
      <c r="I24" s="282" t="s">
        <v>243</v>
      </c>
      <c r="J24" s="293">
        <v>10908000</v>
      </c>
      <c r="K24" s="284">
        <v>0.5500000916758343</v>
      </c>
      <c r="L24" s="315">
        <v>5999401</v>
      </c>
      <c r="M24" s="194">
        <f t="shared" ref="M24:M32" si="1">L24*10%</f>
        <v>599940.1</v>
      </c>
      <c r="N24" s="286">
        <f t="shared" si="0"/>
        <v>5399460.9000000004</v>
      </c>
      <c r="O24" s="288"/>
      <c r="P24" s="287"/>
    </row>
    <row r="25" spans="2:16" ht="18" customHeight="1">
      <c r="B25" s="282">
        <v>21</v>
      </c>
      <c r="C25" s="282" t="s">
        <v>238</v>
      </c>
      <c r="D25" s="282" t="s">
        <v>78</v>
      </c>
      <c r="E25" s="322" t="s">
        <v>9</v>
      </c>
      <c r="F25" s="282" t="s">
        <v>209</v>
      </c>
      <c r="G25" s="322" t="s">
        <v>225</v>
      </c>
      <c r="H25" s="323">
        <v>44484</v>
      </c>
      <c r="I25" s="282" t="s">
        <v>243</v>
      </c>
      <c r="J25" s="293">
        <v>1591762</v>
      </c>
      <c r="K25" s="284">
        <v>0.55000056541116071</v>
      </c>
      <c r="L25" s="315">
        <v>875470</v>
      </c>
      <c r="M25" s="274">
        <f t="shared" si="1"/>
        <v>87547</v>
      </c>
      <c r="N25" s="286">
        <f t="shared" si="0"/>
        <v>787923</v>
      </c>
      <c r="O25" s="288"/>
      <c r="P25" s="287"/>
    </row>
    <row r="26" spans="2:16" ht="18" customHeight="1">
      <c r="B26" s="282">
        <v>22</v>
      </c>
      <c r="C26" s="282" t="s">
        <v>238</v>
      </c>
      <c r="D26" s="282" t="s">
        <v>78</v>
      </c>
      <c r="E26" s="322" t="s">
        <v>9</v>
      </c>
      <c r="F26" s="282" t="s">
        <v>209</v>
      </c>
      <c r="G26" s="322" t="s">
        <v>29</v>
      </c>
      <c r="H26" s="323">
        <v>44510</v>
      </c>
      <c r="I26" s="282" t="s">
        <v>243</v>
      </c>
      <c r="J26" s="293">
        <v>4327669</v>
      </c>
      <c r="K26" s="284">
        <v>0.55000024262484026</v>
      </c>
      <c r="L26" s="315">
        <v>2380219</v>
      </c>
      <c r="M26" s="274">
        <f t="shared" si="1"/>
        <v>238021.90000000002</v>
      </c>
      <c r="N26" s="286">
        <f t="shared" si="0"/>
        <v>2142197.1</v>
      </c>
      <c r="O26" s="288"/>
      <c r="P26" s="287"/>
    </row>
    <row r="27" spans="2:16" ht="18" customHeight="1">
      <c r="B27" s="282">
        <v>23</v>
      </c>
      <c r="C27" s="282" t="s">
        <v>238</v>
      </c>
      <c r="D27" s="282" t="s">
        <v>78</v>
      </c>
      <c r="E27" s="324" t="s">
        <v>249</v>
      </c>
      <c r="F27" s="282" t="s">
        <v>248</v>
      </c>
      <c r="G27" s="324" t="s">
        <v>39</v>
      </c>
      <c r="H27" s="304">
        <v>44327</v>
      </c>
      <c r="I27" s="282" t="s">
        <v>243</v>
      </c>
      <c r="J27" s="293">
        <v>855420</v>
      </c>
      <c r="K27" s="284" t="s">
        <v>124</v>
      </c>
      <c r="L27" s="315">
        <v>594922</v>
      </c>
      <c r="M27" s="194">
        <f t="shared" si="1"/>
        <v>59492.200000000004</v>
      </c>
      <c r="N27" s="286">
        <f t="shared" si="0"/>
        <v>535429.80000000005</v>
      </c>
      <c r="O27" s="288"/>
      <c r="P27" s="287"/>
    </row>
    <row r="28" spans="2:16" ht="18" customHeight="1">
      <c r="B28" s="282">
        <v>24</v>
      </c>
      <c r="C28" s="282" t="s">
        <v>238</v>
      </c>
      <c r="D28" s="282" t="s">
        <v>78</v>
      </c>
      <c r="E28" s="324" t="s">
        <v>249</v>
      </c>
      <c r="F28" s="282" t="s">
        <v>248</v>
      </c>
      <c r="G28" s="324" t="s">
        <v>40</v>
      </c>
      <c r="H28" s="304">
        <v>44328</v>
      </c>
      <c r="I28" s="282" t="s">
        <v>243</v>
      </c>
      <c r="J28" s="293">
        <v>3093250</v>
      </c>
      <c r="K28" s="284" t="s">
        <v>124</v>
      </c>
      <c r="L28" s="315">
        <v>2146825</v>
      </c>
      <c r="M28" s="194">
        <f t="shared" si="1"/>
        <v>214682.5</v>
      </c>
      <c r="N28" s="286">
        <f t="shared" si="0"/>
        <v>1932142.5</v>
      </c>
      <c r="O28" s="288"/>
      <c r="P28" s="287"/>
    </row>
    <row r="29" spans="2:16" ht="18" customHeight="1">
      <c r="B29" s="282">
        <v>25</v>
      </c>
      <c r="C29" s="282" t="s">
        <v>238</v>
      </c>
      <c r="D29" s="282" t="s">
        <v>78</v>
      </c>
      <c r="E29" s="324" t="s">
        <v>249</v>
      </c>
      <c r="F29" s="282" t="s">
        <v>248</v>
      </c>
      <c r="G29" s="324" t="s">
        <v>38</v>
      </c>
      <c r="H29" s="304">
        <v>44329</v>
      </c>
      <c r="I29" s="282" t="s">
        <v>243</v>
      </c>
      <c r="J29" s="293">
        <v>883521</v>
      </c>
      <c r="K29" s="284" t="s">
        <v>124</v>
      </c>
      <c r="L29" s="315">
        <v>613603</v>
      </c>
      <c r="M29" s="194">
        <f t="shared" si="1"/>
        <v>61360.3</v>
      </c>
      <c r="N29" s="286">
        <f t="shared" si="0"/>
        <v>552242.69999999995</v>
      </c>
      <c r="O29" s="288"/>
      <c r="P29" s="287"/>
    </row>
    <row r="30" spans="2:16" ht="18" customHeight="1">
      <c r="B30" s="282">
        <v>26</v>
      </c>
      <c r="C30" s="282" t="s">
        <v>238</v>
      </c>
      <c r="D30" s="282" t="s">
        <v>78</v>
      </c>
      <c r="E30" s="324" t="s">
        <v>250</v>
      </c>
      <c r="F30" s="282" t="s">
        <v>248</v>
      </c>
      <c r="G30" s="324" t="s">
        <v>46</v>
      </c>
      <c r="H30" s="304">
        <v>44246</v>
      </c>
      <c r="I30" s="282" t="s">
        <v>243</v>
      </c>
      <c r="J30" s="293">
        <v>1338650</v>
      </c>
      <c r="K30" s="284" t="s">
        <v>206</v>
      </c>
      <c r="L30" s="315">
        <v>736257</v>
      </c>
      <c r="M30" s="194">
        <f t="shared" si="1"/>
        <v>73625.7</v>
      </c>
      <c r="N30" s="286">
        <f t="shared" si="0"/>
        <v>662631.30000000005</v>
      </c>
      <c r="O30" s="288"/>
      <c r="P30" s="287"/>
    </row>
    <row r="31" spans="2:16" ht="18" customHeight="1">
      <c r="B31" s="282">
        <v>27</v>
      </c>
      <c r="C31" s="282" t="s">
        <v>238</v>
      </c>
      <c r="D31" s="282" t="s">
        <v>78</v>
      </c>
      <c r="E31" s="324" t="s">
        <v>250</v>
      </c>
      <c r="F31" s="282" t="s">
        <v>248</v>
      </c>
      <c r="G31" s="324" t="s">
        <v>47</v>
      </c>
      <c r="H31" s="304">
        <v>44152</v>
      </c>
      <c r="I31" s="282" t="s">
        <v>243</v>
      </c>
      <c r="J31" s="293">
        <v>758850</v>
      </c>
      <c r="K31" s="284" t="s">
        <v>206</v>
      </c>
      <c r="L31" s="315">
        <v>417368</v>
      </c>
      <c r="M31" s="194">
        <f t="shared" si="1"/>
        <v>41736.800000000003</v>
      </c>
      <c r="N31" s="286">
        <f t="shared" si="0"/>
        <v>375631.2</v>
      </c>
      <c r="O31" s="301"/>
      <c r="P31" s="287"/>
    </row>
    <row r="32" spans="2:16" ht="18" customHeight="1">
      <c r="B32" s="282">
        <v>28</v>
      </c>
      <c r="C32" s="282" t="s">
        <v>238</v>
      </c>
      <c r="D32" s="282" t="s">
        <v>78</v>
      </c>
      <c r="E32" s="282" t="s">
        <v>9</v>
      </c>
      <c r="F32" s="282" t="s">
        <v>175</v>
      </c>
      <c r="G32" s="282" t="s">
        <v>212</v>
      </c>
      <c r="H32" s="291">
        <v>44268</v>
      </c>
      <c r="I32" s="282" t="s">
        <v>243</v>
      </c>
      <c r="J32" s="293">
        <v>73069408</v>
      </c>
      <c r="K32" s="284" t="s">
        <v>206</v>
      </c>
      <c r="L32" s="315">
        <v>40188174</v>
      </c>
      <c r="M32" s="194">
        <f t="shared" si="1"/>
        <v>4018817.4000000004</v>
      </c>
      <c r="N32" s="286">
        <f t="shared" si="0"/>
        <v>36169356.600000001</v>
      </c>
      <c r="O32" s="288"/>
      <c r="P32" s="287"/>
    </row>
    <row r="33" spans="2:16" ht="18" customHeight="1">
      <c r="B33" s="282">
        <v>29</v>
      </c>
      <c r="C33" s="282"/>
      <c r="D33" s="282" t="s">
        <v>78</v>
      </c>
      <c r="E33" s="324" t="s">
        <v>250</v>
      </c>
      <c r="F33" s="282" t="s">
        <v>126</v>
      </c>
      <c r="G33" s="324" t="s">
        <v>53</v>
      </c>
      <c r="H33" s="304">
        <v>44224</v>
      </c>
      <c r="I33" s="282" t="s">
        <v>243</v>
      </c>
      <c r="J33" s="293">
        <v>9858295</v>
      </c>
      <c r="K33" s="284" t="s">
        <v>206</v>
      </c>
      <c r="L33" s="315">
        <v>5422064</v>
      </c>
      <c r="M33" s="194">
        <v>0</v>
      </c>
      <c r="N33" s="286">
        <f t="shared" si="0"/>
        <v>5422064</v>
      </c>
      <c r="O33" s="288"/>
      <c r="P33" s="287"/>
    </row>
    <row r="34" spans="2:16" ht="18" customHeight="1">
      <c r="B34" s="282">
        <v>30</v>
      </c>
      <c r="C34" s="282" t="s">
        <v>238</v>
      </c>
      <c r="D34" s="282" t="s">
        <v>78</v>
      </c>
      <c r="E34" s="324" t="s">
        <v>250</v>
      </c>
      <c r="F34" s="282" t="s">
        <v>126</v>
      </c>
      <c r="G34" s="324" t="s">
        <v>30</v>
      </c>
      <c r="H34" s="304">
        <v>44199</v>
      </c>
      <c r="I34" s="282" t="s">
        <v>243</v>
      </c>
      <c r="J34" s="293">
        <v>7516842.9372000005</v>
      </c>
      <c r="K34" s="284" t="s">
        <v>206</v>
      </c>
      <c r="L34" s="315">
        <v>4134264</v>
      </c>
      <c r="M34" s="274">
        <f>ROUND((L34-3000000)*10%,0)</f>
        <v>113426</v>
      </c>
      <c r="N34" s="286">
        <f t="shared" si="0"/>
        <v>4020838</v>
      </c>
      <c r="O34" s="288" t="s">
        <v>263</v>
      </c>
      <c r="P34" s="287"/>
    </row>
    <row r="35" spans="2:16" ht="18" customHeight="1">
      <c r="B35" s="282">
        <v>31</v>
      </c>
      <c r="C35" s="282" t="s">
        <v>238</v>
      </c>
      <c r="D35" s="282" t="s">
        <v>78</v>
      </c>
      <c r="E35" s="324" t="s">
        <v>250</v>
      </c>
      <c r="F35" s="282" t="s">
        <v>126</v>
      </c>
      <c r="G35" s="324" t="s">
        <v>29</v>
      </c>
      <c r="H35" s="304">
        <v>44040</v>
      </c>
      <c r="I35" s="282" t="s">
        <v>243</v>
      </c>
      <c r="J35" s="293">
        <v>2990175</v>
      </c>
      <c r="K35" s="284" t="s">
        <v>206</v>
      </c>
      <c r="L35" s="315">
        <v>1644597</v>
      </c>
      <c r="M35" s="274">
        <f>L35*10%</f>
        <v>164459.70000000001</v>
      </c>
      <c r="N35" s="286">
        <f t="shared" si="0"/>
        <v>1480137.3</v>
      </c>
      <c r="O35" s="301"/>
      <c r="P35" s="287"/>
    </row>
    <row r="36" spans="2:16" ht="18" customHeight="1">
      <c r="B36" s="282">
        <v>32</v>
      </c>
      <c r="C36" s="282" t="s">
        <v>238</v>
      </c>
      <c r="D36" s="282" t="s">
        <v>78</v>
      </c>
      <c r="E36" s="324" t="s">
        <v>250</v>
      </c>
      <c r="F36" s="282" t="s">
        <v>126</v>
      </c>
      <c r="G36" s="324" t="s">
        <v>28</v>
      </c>
      <c r="H36" s="304">
        <v>43994</v>
      </c>
      <c r="I36" s="282" t="s">
        <v>243</v>
      </c>
      <c r="J36" s="293">
        <v>15583016</v>
      </c>
      <c r="K36" s="284" t="s">
        <v>206</v>
      </c>
      <c r="L36" s="315">
        <v>8570661</v>
      </c>
      <c r="M36" s="194">
        <f>ROUND((L36-4000000)*12%,0)</f>
        <v>548479</v>
      </c>
      <c r="N36" s="286">
        <f t="shared" si="0"/>
        <v>8022182</v>
      </c>
      <c r="O36" s="21" t="s">
        <v>106</v>
      </c>
      <c r="P36" s="287"/>
    </row>
    <row r="37" spans="2:16" ht="18" customHeight="1">
      <c r="B37" s="282">
        <v>33</v>
      </c>
      <c r="C37" s="282" t="s">
        <v>238</v>
      </c>
      <c r="D37" s="282" t="s">
        <v>78</v>
      </c>
      <c r="E37" s="324" t="s">
        <v>250</v>
      </c>
      <c r="F37" s="282" t="s">
        <v>126</v>
      </c>
      <c r="G37" s="324" t="s">
        <v>54</v>
      </c>
      <c r="H37" s="304">
        <v>44098</v>
      </c>
      <c r="I37" s="282" t="s">
        <v>243</v>
      </c>
      <c r="J37" s="293">
        <v>4730464</v>
      </c>
      <c r="K37" s="284" t="s">
        <v>206</v>
      </c>
      <c r="L37" s="315">
        <v>2601758</v>
      </c>
      <c r="M37" s="274">
        <f t="shared" ref="M37:M43" si="2">L37*10%</f>
        <v>260175.80000000002</v>
      </c>
      <c r="N37" s="286">
        <f t="shared" ref="N37:N68" si="3">L37-M37</f>
        <v>2341582.2000000002</v>
      </c>
      <c r="O37" s="288"/>
      <c r="P37" s="287"/>
    </row>
    <row r="38" spans="2:16" ht="18" customHeight="1">
      <c r="B38" s="282">
        <v>34</v>
      </c>
      <c r="C38" s="282" t="s">
        <v>238</v>
      </c>
      <c r="D38" s="282" t="s">
        <v>78</v>
      </c>
      <c r="E38" s="324" t="s">
        <v>250</v>
      </c>
      <c r="F38" s="282" t="s">
        <v>126</v>
      </c>
      <c r="G38" s="324" t="s">
        <v>55</v>
      </c>
      <c r="H38" s="304">
        <v>44320</v>
      </c>
      <c r="I38" s="282" t="s">
        <v>243</v>
      </c>
      <c r="J38" s="293">
        <v>345080</v>
      </c>
      <c r="K38" s="284" t="s">
        <v>206</v>
      </c>
      <c r="L38" s="315">
        <v>189794</v>
      </c>
      <c r="M38" s="274">
        <f t="shared" si="2"/>
        <v>18979.400000000001</v>
      </c>
      <c r="N38" s="286">
        <f t="shared" si="3"/>
        <v>170814.6</v>
      </c>
      <c r="O38" s="288"/>
      <c r="P38" s="287"/>
    </row>
    <row r="39" spans="2:16" ht="18" customHeight="1">
      <c r="B39" s="282">
        <v>35</v>
      </c>
      <c r="C39" s="282"/>
      <c r="D39" s="282" t="s">
        <v>78</v>
      </c>
      <c r="E39" s="324" t="s">
        <v>250</v>
      </c>
      <c r="F39" s="282" t="s">
        <v>126</v>
      </c>
      <c r="G39" s="324" t="s">
        <v>42</v>
      </c>
      <c r="H39" s="304">
        <v>44074</v>
      </c>
      <c r="I39" s="282" t="s">
        <v>243</v>
      </c>
      <c r="J39" s="293">
        <v>53455224.874399997</v>
      </c>
      <c r="K39" s="284" t="s">
        <v>206</v>
      </c>
      <c r="L39" s="315">
        <v>29400373</v>
      </c>
      <c r="M39" s="194">
        <f t="shared" si="2"/>
        <v>2940037.3000000003</v>
      </c>
      <c r="N39" s="286">
        <f t="shared" si="3"/>
        <v>26460335.699999999</v>
      </c>
      <c r="O39" s="72" t="s">
        <v>144</v>
      </c>
      <c r="P39" s="287"/>
    </row>
    <row r="40" spans="2:16" ht="18" customHeight="1">
      <c r="B40" s="282">
        <v>36</v>
      </c>
      <c r="C40" s="282" t="s">
        <v>238</v>
      </c>
      <c r="D40" s="282" t="s">
        <v>78</v>
      </c>
      <c r="E40" s="324" t="s">
        <v>250</v>
      </c>
      <c r="F40" s="282" t="s">
        <v>126</v>
      </c>
      <c r="G40" s="324" t="s">
        <v>191</v>
      </c>
      <c r="H40" s="304">
        <v>44372</v>
      </c>
      <c r="I40" s="282" t="s">
        <v>243</v>
      </c>
      <c r="J40" s="293">
        <v>9801953</v>
      </c>
      <c r="K40" s="284" t="s">
        <v>207</v>
      </c>
      <c r="L40" s="315">
        <v>5881172</v>
      </c>
      <c r="M40" s="194">
        <f t="shared" si="2"/>
        <v>588117.20000000007</v>
      </c>
      <c r="N40" s="286">
        <f t="shared" si="3"/>
        <v>5293054.8</v>
      </c>
      <c r="O40" s="288"/>
      <c r="P40" s="287"/>
    </row>
    <row r="41" spans="2:16" ht="18" customHeight="1">
      <c r="B41" s="282">
        <v>37</v>
      </c>
      <c r="C41" s="282" t="s">
        <v>238</v>
      </c>
      <c r="D41" s="282" t="s">
        <v>78</v>
      </c>
      <c r="E41" s="324" t="s">
        <v>250</v>
      </c>
      <c r="F41" s="282" t="s">
        <v>126</v>
      </c>
      <c r="G41" s="324" t="s">
        <v>57</v>
      </c>
      <c r="H41" s="304">
        <v>44331</v>
      </c>
      <c r="I41" s="282" t="s">
        <v>243</v>
      </c>
      <c r="J41" s="293">
        <v>3300545</v>
      </c>
      <c r="K41" s="284" t="s">
        <v>206</v>
      </c>
      <c r="L41" s="315">
        <v>1815302</v>
      </c>
      <c r="M41" s="274">
        <f t="shared" si="2"/>
        <v>181530.2</v>
      </c>
      <c r="N41" s="286">
        <f t="shared" si="3"/>
        <v>1633771.8</v>
      </c>
      <c r="O41" s="288"/>
      <c r="P41" s="287"/>
    </row>
    <row r="42" spans="2:16" ht="18" customHeight="1">
      <c r="B42" s="282">
        <v>38</v>
      </c>
      <c r="C42" s="282" t="s">
        <v>238</v>
      </c>
      <c r="D42" s="282" t="s">
        <v>78</v>
      </c>
      <c r="E42" s="324" t="s">
        <v>250</v>
      </c>
      <c r="F42" s="282" t="s">
        <v>126</v>
      </c>
      <c r="G42" s="324" t="s">
        <v>59</v>
      </c>
      <c r="H42" s="304">
        <v>44392</v>
      </c>
      <c r="I42" s="282" t="s">
        <v>243</v>
      </c>
      <c r="J42" s="293">
        <v>17280747</v>
      </c>
      <c r="K42" s="284" t="s">
        <v>206</v>
      </c>
      <c r="L42" s="315">
        <v>9504412</v>
      </c>
      <c r="M42" s="274">
        <f t="shared" si="2"/>
        <v>950441.20000000007</v>
      </c>
      <c r="N42" s="286">
        <f t="shared" si="3"/>
        <v>8553970.8000000007</v>
      </c>
      <c r="O42" s="288"/>
      <c r="P42" s="287"/>
    </row>
    <row r="43" spans="2:16" ht="18" customHeight="1">
      <c r="B43" s="282">
        <v>39</v>
      </c>
      <c r="C43" s="282" t="s">
        <v>238</v>
      </c>
      <c r="D43" s="282" t="s">
        <v>78</v>
      </c>
      <c r="E43" s="324" t="s">
        <v>250</v>
      </c>
      <c r="F43" s="282" t="s">
        <v>126</v>
      </c>
      <c r="G43" s="324" t="s">
        <v>173</v>
      </c>
      <c r="H43" s="304">
        <v>44457</v>
      </c>
      <c r="I43" s="282" t="s">
        <v>243</v>
      </c>
      <c r="J43" s="293">
        <v>15528353</v>
      </c>
      <c r="K43" s="284" t="s">
        <v>207</v>
      </c>
      <c r="L43" s="315">
        <v>9317012</v>
      </c>
      <c r="M43" s="194">
        <f t="shared" si="2"/>
        <v>931701.20000000007</v>
      </c>
      <c r="N43" s="286">
        <f t="shared" si="3"/>
        <v>8385310.7999999998</v>
      </c>
      <c r="O43" s="288"/>
      <c r="P43" s="287"/>
    </row>
    <row r="44" spans="2:16" ht="18" customHeight="1">
      <c r="B44" s="282">
        <v>40</v>
      </c>
      <c r="C44" s="282"/>
      <c r="D44" s="282" t="s">
        <v>78</v>
      </c>
      <c r="E44" s="324" t="s">
        <v>250</v>
      </c>
      <c r="F44" s="282" t="s">
        <v>126</v>
      </c>
      <c r="G44" s="324" t="s">
        <v>174</v>
      </c>
      <c r="H44" s="304">
        <v>44469</v>
      </c>
      <c r="I44" s="282" t="s">
        <v>243</v>
      </c>
      <c r="J44" s="293">
        <v>8138241</v>
      </c>
      <c r="K44" s="284" t="s">
        <v>206</v>
      </c>
      <c r="L44" s="315">
        <v>4476033</v>
      </c>
      <c r="M44" s="194">
        <v>0</v>
      </c>
      <c r="N44" s="286">
        <f t="shared" si="3"/>
        <v>4476033</v>
      </c>
      <c r="O44" s="288"/>
      <c r="P44" s="287"/>
    </row>
    <row r="45" spans="2:16" ht="18" customHeight="1">
      <c r="B45" s="282">
        <v>41</v>
      </c>
      <c r="C45" s="282"/>
      <c r="D45" s="282" t="s">
        <v>78</v>
      </c>
      <c r="E45" s="324" t="s">
        <v>249</v>
      </c>
      <c r="F45" s="282" t="s">
        <v>126</v>
      </c>
      <c r="G45" s="324" t="s">
        <v>58</v>
      </c>
      <c r="H45" s="304">
        <v>44328</v>
      </c>
      <c r="I45" s="282" t="s">
        <v>243</v>
      </c>
      <c r="J45" s="293">
        <v>708420</v>
      </c>
      <c r="K45" s="284" t="s">
        <v>207</v>
      </c>
      <c r="L45" s="315">
        <v>489217</v>
      </c>
      <c r="M45" s="194">
        <v>0</v>
      </c>
      <c r="N45" s="286">
        <f t="shared" si="3"/>
        <v>489217</v>
      </c>
      <c r="O45" s="301"/>
      <c r="P45" s="287"/>
    </row>
    <row r="46" spans="2:16" ht="18" customHeight="1">
      <c r="B46" s="282">
        <v>42</v>
      </c>
      <c r="C46" s="282" t="s">
        <v>238</v>
      </c>
      <c r="D46" s="282" t="s">
        <v>78</v>
      </c>
      <c r="E46" s="324" t="s">
        <v>249</v>
      </c>
      <c r="F46" s="282" t="s">
        <v>172</v>
      </c>
      <c r="G46" s="324" t="s">
        <v>40</v>
      </c>
      <c r="H46" s="304">
        <v>44379</v>
      </c>
      <c r="I46" s="282" t="s">
        <v>243</v>
      </c>
      <c r="J46" s="293">
        <v>338150</v>
      </c>
      <c r="K46" s="284">
        <v>0.6</v>
      </c>
      <c r="L46" s="315">
        <v>202890</v>
      </c>
      <c r="M46" s="194">
        <f>L46*10%</f>
        <v>20289</v>
      </c>
      <c r="N46" s="286">
        <f t="shared" si="3"/>
        <v>182601</v>
      </c>
      <c r="O46" s="288"/>
      <c r="P46" s="287"/>
    </row>
    <row r="47" spans="2:16" ht="18" customHeight="1">
      <c r="B47" s="282">
        <v>43</v>
      </c>
      <c r="C47" s="282" t="s">
        <v>238</v>
      </c>
      <c r="D47" s="282" t="s">
        <v>78</v>
      </c>
      <c r="E47" s="324" t="s">
        <v>249</v>
      </c>
      <c r="F47" s="282" t="s">
        <v>172</v>
      </c>
      <c r="G47" s="324" t="s">
        <v>39</v>
      </c>
      <c r="H47" s="304">
        <v>44385</v>
      </c>
      <c r="I47" s="282" t="s">
        <v>243</v>
      </c>
      <c r="J47" s="293">
        <v>33815</v>
      </c>
      <c r="K47" s="284">
        <v>0.6</v>
      </c>
      <c r="L47" s="315">
        <v>20289</v>
      </c>
      <c r="M47" s="194">
        <f>L47*10%</f>
        <v>2028.9</v>
      </c>
      <c r="N47" s="286">
        <f t="shared" si="3"/>
        <v>18260.099999999999</v>
      </c>
      <c r="O47" s="288"/>
      <c r="P47" s="287"/>
    </row>
    <row r="48" spans="2:16" ht="18" customHeight="1">
      <c r="B48" s="282">
        <v>44</v>
      </c>
      <c r="C48" s="282" t="s">
        <v>238</v>
      </c>
      <c r="D48" s="282" t="s">
        <v>78</v>
      </c>
      <c r="E48" s="324" t="s">
        <v>249</v>
      </c>
      <c r="F48" s="282" t="s">
        <v>172</v>
      </c>
      <c r="G48" s="324" t="s">
        <v>38</v>
      </c>
      <c r="H48" s="304">
        <v>44362</v>
      </c>
      <c r="I48" s="282" t="s">
        <v>243</v>
      </c>
      <c r="J48" s="295">
        <v>138150</v>
      </c>
      <c r="K48" s="284">
        <v>0.6</v>
      </c>
      <c r="L48" s="315">
        <v>82890</v>
      </c>
      <c r="M48" s="285">
        <f>L48*10%</f>
        <v>8289</v>
      </c>
      <c r="N48" s="286">
        <f t="shared" si="3"/>
        <v>74601</v>
      </c>
      <c r="O48" s="301"/>
      <c r="P48" s="287"/>
    </row>
    <row r="49" spans="2:16" ht="18" customHeight="1">
      <c r="B49" s="282">
        <v>45</v>
      </c>
      <c r="C49" s="282"/>
      <c r="D49" s="282" t="s">
        <v>78</v>
      </c>
      <c r="E49" s="282" t="s">
        <v>9</v>
      </c>
      <c r="F49" s="282" t="s">
        <v>131</v>
      </c>
      <c r="G49" s="282" t="s">
        <v>210</v>
      </c>
      <c r="H49" s="291">
        <v>44333</v>
      </c>
      <c r="I49" s="282" t="s">
        <v>243</v>
      </c>
      <c r="J49" s="293">
        <v>284988</v>
      </c>
      <c r="K49" s="284">
        <v>0.5</v>
      </c>
      <c r="L49" s="315">
        <v>142494</v>
      </c>
      <c r="M49" s="274">
        <v>0</v>
      </c>
      <c r="N49" s="286">
        <f t="shared" si="3"/>
        <v>142494</v>
      </c>
      <c r="O49" s="288"/>
      <c r="P49" s="287"/>
    </row>
    <row r="50" spans="2:16" ht="18" customHeight="1">
      <c r="B50" s="282">
        <v>46</v>
      </c>
      <c r="C50" s="282"/>
      <c r="D50" s="282" t="s">
        <v>189</v>
      </c>
      <c r="E50" s="307" t="s">
        <v>9</v>
      </c>
      <c r="F50" s="282" t="s">
        <v>41</v>
      </c>
      <c r="G50" s="307" t="s">
        <v>179</v>
      </c>
      <c r="H50" s="325">
        <v>44114</v>
      </c>
      <c r="I50" s="282" t="s">
        <v>195</v>
      </c>
      <c r="J50" s="293">
        <v>212928</v>
      </c>
      <c r="K50" s="284">
        <v>0.8</v>
      </c>
      <c r="L50" s="315">
        <v>170342</v>
      </c>
      <c r="M50" s="194">
        <f>L50*10%</f>
        <v>17034.2</v>
      </c>
      <c r="N50" s="286">
        <f t="shared" si="3"/>
        <v>153307.79999999999</v>
      </c>
      <c r="O50" s="72" t="s">
        <v>85</v>
      </c>
      <c r="P50" s="287"/>
    </row>
    <row r="51" spans="2:16" ht="18" customHeight="1">
      <c r="B51" s="282">
        <v>47</v>
      </c>
      <c r="C51" s="282" t="s">
        <v>238</v>
      </c>
      <c r="D51" s="282" t="s">
        <v>189</v>
      </c>
      <c r="E51" s="307" t="s">
        <v>9</v>
      </c>
      <c r="F51" s="282" t="s">
        <v>41</v>
      </c>
      <c r="G51" s="307" t="s">
        <v>153</v>
      </c>
      <c r="H51" s="325">
        <v>44122</v>
      </c>
      <c r="I51" s="282" t="s">
        <v>195</v>
      </c>
      <c r="J51" s="293">
        <v>206368</v>
      </c>
      <c r="K51" s="284">
        <v>0.8</v>
      </c>
      <c r="L51" s="315">
        <v>165094</v>
      </c>
      <c r="M51" s="274">
        <f>L51*10%</f>
        <v>16509.400000000001</v>
      </c>
      <c r="N51" s="286">
        <f t="shared" si="3"/>
        <v>148584.6</v>
      </c>
      <c r="O51" s="288"/>
      <c r="P51" s="287"/>
    </row>
    <row r="52" spans="2:16" ht="18" customHeight="1">
      <c r="B52" s="282">
        <v>48</v>
      </c>
      <c r="C52" s="282" t="s">
        <v>238</v>
      </c>
      <c r="D52" s="282" t="s">
        <v>189</v>
      </c>
      <c r="E52" s="307" t="s">
        <v>9</v>
      </c>
      <c r="F52" s="282" t="s">
        <v>41</v>
      </c>
      <c r="G52" s="307" t="s">
        <v>152</v>
      </c>
      <c r="H52" s="325">
        <v>44250</v>
      </c>
      <c r="I52" s="282" t="s">
        <v>195</v>
      </c>
      <c r="J52" s="293">
        <v>189285</v>
      </c>
      <c r="K52" s="284">
        <v>0.8</v>
      </c>
      <c r="L52" s="315">
        <v>151428</v>
      </c>
      <c r="M52" s="194">
        <f>L52*12%</f>
        <v>18171.36</v>
      </c>
      <c r="N52" s="286">
        <f t="shared" si="3"/>
        <v>133256.64000000001</v>
      </c>
      <c r="O52" s="288"/>
      <c r="P52" s="287"/>
    </row>
    <row r="53" spans="2:16" ht="18" customHeight="1">
      <c r="B53" s="282">
        <v>49</v>
      </c>
      <c r="C53" s="282" t="s">
        <v>238</v>
      </c>
      <c r="D53" s="282" t="s">
        <v>189</v>
      </c>
      <c r="E53" s="307" t="s">
        <v>9</v>
      </c>
      <c r="F53" s="282" t="s">
        <v>41</v>
      </c>
      <c r="G53" s="307" t="s">
        <v>151</v>
      </c>
      <c r="H53" s="325">
        <v>44265</v>
      </c>
      <c r="I53" s="282" t="s">
        <v>195</v>
      </c>
      <c r="J53" s="293">
        <v>231561</v>
      </c>
      <c r="K53" s="284">
        <v>0.8</v>
      </c>
      <c r="L53" s="315">
        <v>185248</v>
      </c>
      <c r="M53" s="274">
        <f>L53*10%</f>
        <v>18524.8</v>
      </c>
      <c r="N53" s="286">
        <f t="shared" si="3"/>
        <v>166723.20000000001</v>
      </c>
      <c r="O53" s="305"/>
      <c r="P53" s="287"/>
    </row>
    <row r="54" spans="2:16" ht="18" customHeight="1">
      <c r="B54" s="282">
        <v>50</v>
      </c>
      <c r="C54" s="282" t="s">
        <v>238</v>
      </c>
      <c r="D54" s="282" t="s">
        <v>251</v>
      </c>
      <c r="E54" s="282" t="s">
        <v>9</v>
      </c>
      <c r="F54" s="282" t="s">
        <v>41</v>
      </c>
      <c r="G54" s="282" t="s">
        <v>212</v>
      </c>
      <c r="H54" s="326">
        <v>44327</v>
      </c>
      <c r="I54" s="282" t="s">
        <v>195</v>
      </c>
      <c r="J54" s="293">
        <v>366589</v>
      </c>
      <c r="K54" s="284">
        <v>0.8</v>
      </c>
      <c r="L54" s="315">
        <v>293271</v>
      </c>
      <c r="M54" s="194">
        <f>L54*10%</f>
        <v>29327.100000000002</v>
      </c>
      <c r="N54" s="286">
        <f t="shared" si="3"/>
        <v>263943.90000000002</v>
      </c>
      <c r="O54" s="305"/>
      <c r="P54" s="287"/>
    </row>
    <row r="55" spans="2:16" ht="18" customHeight="1">
      <c r="B55" s="282">
        <v>51</v>
      </c>
      <c r="C55" s="282" t="s">
        <v>238</v>
      </c>
      <c r="D55" s="327" t="s">
        <v>252</v>
      </c>
      <c r="E55" s="327" t="s">
        <v>9</v>
      </c>
      <c r="F55" s="282" t="s">
        <v>184</v>
      </c>
      <c r="G55" s="327" t="s">
        <v>218</v>
      </c>
      <c r="H55" s="326">
        <v>44466</v>
      </c>
      <c r="I55" s="282" t="s">
        <v>195</v>
      </c>
      <c r="J55" s="293">
        <v>41183953.333333336</v>
      </c>
      <c r="K55" s="284">
        <v>0.3</v>
      </c>
      <c r="L55" s="315">
        <v>12355186</v>
      </c>
      <c r="M55" s="292">
        <f>L55*10%</f>
        <v>1235518.6000000001</v>
      </c>
      <c r="N55" s="286">
        <f t="shared" si="3"/>
        <v>11119667.4</v>
      </c>
      <c r="O55" s="305"/>
      <c r="P55" s="287"/>
    </row>
    <row r="56" spans="2:16" ht="18" customHeight="1">
      <c r="B56" s="282">
        <v>53</v>
      </c>
      <c r="C56" s="282"/>
      <c r="D56" s="327" t="s">
        <v>252</v>
      </c>
      <c r="E56" s="327" t="s">
        <v>9</v>
      </c>
      <c r="F56" s="282" t="s">
        <v>184</v>
      </c>
      <c r="G56" s="327" t="s">
        <v>135</v>
      </c>
      <c r="H56" s="326">
        <v>44468</v>
      </c>
      <c r="I56" s="282" t="s">
        <v>195</v>
      </c>
      <c r="J56" s="293">
        <v>260493.33333333334</v>
      </c>
      <c r="K56" s="284">
        <v>0.3</v>
      </c>
      <c r="L56" s="315">
        <v>78148</v>
      </c>
      <c r="M56" s="292">
        <v>0</v>
      </c>
      <c r="N56" s="286">
        <f t="shared" si="3"/>
        <v>78148</v>
      </c>
      <c r="O56" s="305"/>
      <c r="P56" s="287"/>
    </row>
    <row r="57" spans="2:16" ht="18" customHeight="1">
      <c r="B57" s="282">
        <v>55</v>
      </c>
      <c r="C57" s="282" t="s">
        <v>238</v>
      </c>
      <c r="D57" s="327" t="s">
        <v>252</v>
      </c>
      <c r="E57" s="327" t="s">
        <v>9</v>
      </c>
      <c r="F57" s="282" t="s">
        <v>184</v>
      </c>
      <c r="G57" s="327" t="s">
        <v>219</v>
      </c>
      <c r="H57" s="326">
        <v>44498</v>
      </c>
      <c r="I57" s="282" t="s">
        <v>195</v>
      </c>
      <c r="J57" s="294">
        <v>16984400</v>
      </c>
      <c r="K57" s="284">
        <v>0.3</v>
      </c>
      <c r="L57" s="315">
        <v>5095320</v>
      </c>
      <c r="M57" s="194">
        <f>L57*12%</f>
        <v>611438.4</v>
      </c>
      <c r="N57" s="286">
        <f t="shared" si="3"/>
        <v>4483881.5999999996</v>
      </c>
      <c r="O57" s="305"/>
      <c r="P57" s="287"/>
    </row>
    <row r="58" spans="2:16" ht="18" customHeight="1">
      <c r="B58" s="282">
        <v>57</v>
      </c>
      <c r="C58" s="282" t="s">
        <v>238</v>
      </c>
      <c r="D58" s="327" t="s">
        <v>215</v>
      </c>
      <c r="E58" s="327" t="s">
        <v>9</v>
      </c>
      <c r="F58" s="282" t="s">
        <v>184</v>
      </c>
      <c r="G58" s="327" t="s">
        <v>219</v>
      </c>
      <c r="H58" s="326">
        <v>44486</v>
      </c>
      <c r="I58" s="282" t="s">
        <v>195</v>
      </c>
      <c r="J58" s="295">
        <v>2290583.3333333335</v>
      </c>
      <c r="K58" s="296">
        <v>0.3</v>
      </c>
      <c r="L58" s="315">
        <v>687175</v>
      </c>
      <c r="M58" s="194">
        <f>L58*12%</f>
        <v>82461</v>
      </c>
      <c r="N58" s="286">
        <f t="shared" si="3"/>
        <v>604714</v>
      </c>
      <c r="O58" s="305"/>
      <c r="P58" s="287"/>
    </row>
    <row r="59" spans="2:16" ht="18" customHeight="1">
      <c r="B59" s="282">
        <v>58</v>
      </c>
      <c r="C59" s="282" t="s">
        <v>238</v>
      </c>
      <c r="D59" s="327" t="s">
        <v>214</v>
      </c>
      <c r="E59" s="327" t="s">
        <v>9</v>
      </c>
      <c r="F59" s="282" t="s">
        <v>184</v>
      </c>
      <c r="G59" s="327" t="s">
        <v>218</v>
      </c>
      <c r="H59" s="326">
        <v>44356</v>
      </c>
      <c r="I59" s="282" t="s">
        <v>243</v>
      </c>
      <c r="J59" s="295">
        <v>959240</v>
      </c>
      <c r="K59" s="296">
        <v>0.3</v>
      </c>
      <c r="L59" s="315">
        <v>287772</v>
      </c>
      <c r="M59" s="194">
        <f t="shared" ref="M59:M65" si="4">L59*10%</f>
        <v>28777.200000000001</v>
      </c>
      <c r="N59" s="286">
        <f t="shared" si="3"/>
        <v>258994.8</v>
      </c>
      <c r="O59" s="305" t="s">
        <v>220</v>
      </c>
      <c r="P59" s="287"/>
    </row>
    <row r="60" spans="2:16" ht="18" customHeight="1">
      <c r="B60" s="282">
        <v>59</v>
      </c>
      <c r="C60" s="282" t="s">
        <v>238</v>
      </c>
      <c r="D60" s="327" t="s">
        <v>215</v>
      </c>
      <c r="E60" s="327" t="s">
        <v>9</v>
      </c>
      <c r="F60" s="282" t="s">
        <v>184</v>
      </c>
      <c r="G60" s="327" t="s">
        <v>218</v>
      </c>
      <c r="H60" s="326">
        <v>44395</v>
      </c>
      <c r="I60" s="282" t="s">
        <v>243</v>
      </c>
      <c r="J60" s="295">
        <v>33272483.333333336</v>
      </c>
      <c r="K60" s="296">
        <v>0.3</v>
      </c>
      <c r="L60" s="315">
        <v>9981745</v>
      </c>
      <c r="M60" s="194">
        <f t="shared" si="4"/>
        <v>998174.5</v>
      </c>
      <c r="N60" s="286">
        <f t="shared" si="3"/>
        <v>8983570.5</v>
      </c>
      <c r="O60" s="305" t="s">
        <v>221</v>
      </c>
      <c r="P60" s="287"/>
    </row>
    <row r="61" spans="2:16" ht="18" customHeight="1">
      <c r="B61" s="282">
        <v>60</v>
      </c>
      <c r="C61" s="282" t="s">
        <v>238</v>
      </c>
      <c r="D61" s="327" t="s">
        <v>216</v>
      </c>
      <c r="E61" s="327" t="s">
        <v>9</v>
      </c>
      <c r="F61" s="282" t="s">
        <v>184</v>
      </c>
      <c r="G61" s="327" t="s">
        <v>218</v>
      </c>
      <c r="H61" s="326">
        <v>44396</v>
      </c>
      <c r="I61" s="282" t="s">
        <v>243</v>
      </c>
      <c r="J61" s="295">
        <v>11642110</v>
      </c>
      <c r="K61" s="296">
        <v>0.3</v>
      </c>
      <c r="L61" s="315">
        <v>3492633</v>
      </c>
      <c r="M61" s="194">
        <f t="shared" si="4"/>
        <v>349263.30000000005</v>
      </c>
      <c r="N61" s="286">
        <f t="shared" si="3"/>
        <v>3143369.7</v>
      </c>
      <c r="O61" s="305" t="s">
        <v>221</v>
      </c>
      <c r="P61" s="287"/>
    </row>
    <row r="62" spans="2:16" ht="18" customHeight="1">
      <c r="B62" s="282">
        <v>61</v>
      </c>
      <c r="C62" s="282" t="s">
        <v>238</v>
      </c>
      <c r="D62" s="327" t="s">
        <v>253</v>
      </c>
      <c r="E62" s="327" t="s">
        <v>9</v>
      </c>
      <c r="F62" s="282" t="s">
        <v>184</v>
      </c>
      <c r="G62" s="327" t="s">
        <v>218</v>
      </c>
      <c r="H62" s="326">
        <v>44356</v>
      </c>
      <c r="I62" s="282" t="s">
        <v>243</v>
      </c>
      <c r="J62" s="294">
        <v>6299350</v>
      </c>
      <c r="K62" s="296">
        <v>0.3</v>
      </c>
      <c r="L62" s="315">
        <v>1889805</v>
      </c>
      <c r="M62" s="194">
        <f t="shared" si="4"/>
        <v>188980.5</v>
      </c>
      <c r="N62" s="286">
        <f t="shared" si="3"/>
        <v>1700824.5</v>
      </c>
      <c r="O62" s="305" t="s">
        <v>221</v>
      </c>
      <c r="P62" s="287"/>
    </row>
    <row r="63" spans="2:16" ht="18" customHeight="1">
      <c r="B63" s="282">
        <v>62</v>
      </c>
      <c r="C63" s="282" t="s">
        <v>238</v>
      </c>
      <c r="D63" s="327" t="s">
        <v>217</v>
      </c>
      <c r="E63" s="327" t="s">
        <v>9</v>
      </c>
      <c r="F63" s="282" t="s">
        <v>184</v>
      </c>
      <c r="G63" s="327" t="s">
        <v>218</v>
      </c>
      <c r="H63" s="326">
        <v>44366</v>
      </c>
      <c r="I63" s="282" t="s">
        <v>243</v>
      </c>
      <c r="J63" s="294">
        <v>12293216.666666668</v>
      </c>
      <c r="K63" s="296">
        <v>0.3</v>
      </c>
      <c r="L63" s="315">
        <v>3687965</v>
      </c>
      <c r="M63" s="194">
        <f t="shared" si="4"/>
        <v>368796.5</v>
      </c>
      <c r="N63" s="286">
        <f t="shared" si="3"/>
        <v>3319168.5</v>
      </c>
      <c r="O63" s="305" t="s">
        <v>221</v>
      </c>
      <c r="P63" s="287"/>
    </row>
    <row r="64" spans="2:16" ht="18" customHeight="1">
      <c r="B64" s="282">
        <v>63</v>
      </c>
      <c r="C64" s="282" t="s">
        <v>238</v>
      </c>
      <c r="D64" s="327" t="s">
        <v>254</v>
      </c>
      <c r="E64" s="327" t="s">
        <v>9</v>
      </c>
      <c r="F64" s="282" t="s">
        <v>184</v>
      </c>
      <c r="G64" s="327" t="s">
        <v>218</v>
      </c>
      <c r="H64" s="326">
        <v>44516</v>
      </c>
      <c r="I64" s="282" t="s">
        <v>243</v>
      </c>
      <c r="J64" s="294">
        <v>1914270</v>
      </c>
      <c r="K64" s="296">
        <v>0.3</v>
      </c>
      <c r="L64" s="315">
        <v>574281</v>
      </c>
      <c r="M64" s="194">
        <f t="shared" si="4"/>
        <v>57428.100000000006</v>
      </c>
      <c r="N64" s="286">
        <f t="shared" si="3"/>
        <v>516852.9</v>
      </c>
      <c r="O64" s="305" t="s">
        <v>221</v>
      </c>
      <c r="P64" s="287"/>
    </row>
    <row r="65" spans="2:16" ht="18" customHeight="1">
      <c r="B65" s="282">
        <v>64</v>
      </c>
      <c r="C65" s="282" t="s">
        <v>238</v>
      </c>
      <c r="D65" s="327" t="s">
        <v>255</v>
      </c>
      <c r="E65" s="327" t="s">
        <v>9</v>
      </c>
      <c r="F65" s="282" t="s">
        <v>184</v>
      </c>
      <c r="G65" s="327" t="s">
        <v>218</v>
      </c>
      <c r="H65" s="326">
        <v>44456</v>
      </c>
      <c r="I65" s="282" t="s">
        <v>243</v>
      </c>
      <c r="J65" s="294">
        <v>178553.33333333334</v>
      </c>
      <c r="K65" s="296">
        <v>0.3</v>
      </c>
      <c r="L65" s="315">
        <v>53566</v>
      </c>
      <c r="M65" s="194">
        <f t="shared" si="4"/>
        <v>5356.6</v>
      </c>
      <c r="N65" s="286">
        <f t="shared" si="3"/>
        <v>48209.4</v>
      </c>
      <c r="O65" s="305" t="s">
        <v>221</v>
      </c>
      <c r="P65" s="287"/>
    </row>
    <row r="66" spans="2:16" ht="18" customHeight="1">
      <c r="B66" s="282">
        <v>65</v>
      </c>
      <c r="C66" s="282"/>
      <c r="D66" s="327" t="s">
        <v>214</v>
      </c>
      <c r="E66" s="327" t="s">
        <v>9</v>
      </c>
      <c r="F66" s="282" t="s">
        <v>184</v>
      </c>
      <c r="G66" s="327" t="s">
        <v>135</v>
      </c>
      <c r="H66" s="326">
        <v>44381</v>
      </c>
      <c r="I66" s="282" t="s">
        <v>243</v>
      </c>
      <c r="J66" s="295">
        <v>95760</v>
      </c>
      <c r="K66" s="296">
        <v>0.3</v>
      </c>
      <c r="L66" s="315">
        <v>28728</v>
      </c>
      <c r="M66" s="292">
        <v>0</v>
      </c>
      <c r="N66" s="286">
        <f t="shared" si="3"/>
        <v>28728</v>
      </c>
      <c r="O66" s="305" t="s">
        <v>220</v>
      </c>
      <c r="P66" s="287"/>
    </row>
    <row r="67" spans="2:16" ht="18" customHeight="1">
      <c r="B67" s="282">
        <v>66</v>
      </c>
      <c r="C67" s="282"/>
      <c r="D67" s="327" t="s">
        <v>215</v>
      </c>
      <c r="E67" s="327" t="s">
        <v>9</v>
      </c>
      <c r="F67" s="282" t="s">
        <v>184</v>
      </c>
      <c r="G67" s="327" t="s">
        <v>135</v>
      </c>
      <c r="H67" s="326">
        <v>44420</v>
      </c>
      <c r="I67" s="282" t="s">
        <v>243</v>
      </c>
      <c r="J67" s="295">
        <v>2918303.3333333335</v>
      </c>
      <c r="K67" s="296">
        <v>0.3</v>
      </c>
      <c r="L67" s="315">
        <v>875491</v>
      </c>
      <c r="M67" s="292">
        <v>0</v>
      </c>
      <c r="N67" s="286">
        <f t="shared" si="3"/>
        <v>875491</v>
      </c>
      <c r="O67" s="305" t="s">
        <v>221</v>
      </c>
      <c r="P67" s="287"/>
    </row>
    <row r="68" spans="2:16" ht="18" customHeight="1">
      <c r="B68" s="282">
        <v>67</v>
      </c>
      <c r="C68" s="282"/>
      <c r="D68" s="327" t="s">
        <v>216</v>
      </c>
      <c r="E68" s="327" t="s">
        <v>9</v>
      </c>
      <c r="F68" s="282" t="s">
        <v>184</v>
      </c>
      <c r="G68" s="327" t="s">
        <v>135</v>
      </c>
      <c r="H68" s="326">
        <v>44370</v>
      </c>
      <c r="I68" s="282" t="s">
        <v>243</v>
      </c>
      <c r="J68" s="294">
        <v>402290</v>
      </c>
      <c r="K68" s="296">
        <v>0.3</v>
      </c>
      <c r="L68" s="315">
        <v>120687</v>
      </c>
      <c r="M68" s="292">
        <v>0</v>
      </c>
      <c r="N68" s="286">
        <f t="shared" si="3"/>
        <v>120687</v>
      </c>
      <c r="O68" s="305" t="s">
        <v>221</v>
      </c>
      <c r="P68" s="287"/>
    </row>
    <row r="69" spans="2:16" ht="18" customHeight="1">
      <c r="B69" s="282">
        <v>68</v>
      </c>
      <c r="C69" s="282" t="s">
        <v>238</v>
      </c>
      <c r="D69" s="327" t="s">
        <v>214</v>
      </c>
      <c r="E69" s="327" t="s">
        <v>9</v>
      </c>
      <c r="F69" s="282" t="s">
        <v>184</v>
      </c>
      <c r="G69" s="327" t="s">
        <v>136</v>
      </c>
      <c r="H69" s="326">
        <v>44364</v>
      </c>
      <c r="I69" s="282" t="s">
        <v>243</v>
      </c>
      <c r="J69" s="294">
        <v>11860</v>
      </c>
      <c r="K69" s="296">
        <v>0.3</v>
      </c>
      <c r="L69" s="315">
        <v>3558</v>
      </c>
      <c r="M69" s="274">
        <f>L69*10%</f>
        <v>355.8</v>
      </c>
      <c r="N69" s="286">
        <f t="shared" ref="N69:N100" si="5">L69-M69</f>
        <v>3202.2</v>
      </c>
      <c r="O69" s="305" t="s">
        <v>220</v>
      </c>
      <c r="P69" s="287"/>
    </row>
    <row r="70" spans="2:16" ht="18" customHeight="1">
      <c r="B70" s="282">
        <v>69</v>
      </c>
      <c r="C70" s="282" t="s">
        <v>238</v>
      </c>
      <c r="D70" s="327" t="s">
        <v>214</v>
      </c>
      <c r="E70" s="327" t="s">
        <v>9</v>
      </c>
      <c r="F70" s="282" t="s">
        <v>184</v>
      </c>
      <c r="G70" s="327" t="s">
        <v>219</v>
      </c>
      <c r="H70" s="326">
        <v>44477</v>
      </c>
      <c r="I70" s="282" t="s">
        <v>243</v>
      </c>
      <c r="J70" s="294">
        <v>303250</v>
      </c>
      <c r="K70" s="296">
        <v>0.3</v>
      </c>
      <c r="L70" s="315">
        <v>90975</v>
      </c>
      <c r="M70" s="194">
        <f>L70*12%</f>
        <v>10917</v>
      </c>
      <c r="N70" s="286">
        <f t="shared" si="5"/>
        <v>80058</v>
      </c>
      <c r="O70" s="305" t="s">
        <v>220</v>
      </c>
      <c r="P70" s="287"/>
    </row>
    <row r="71" spans="2:16" ht="18" customHeight="1">
      <c r="B71" s="282">
        <v>70</v>
      </c>
      <c r="C71" s="282" t="s">
        <v>238</v>
      </c>
      <c r="D71" s="327" t="s">
        <v>215</v>
      </c>
      <c r="E71" s="327" t="s">
        <v>9</v>
      </c>
      <c r="F71" s="282" t="s">
        <v>184</v>
      </c>
      <c r="G71" s="327" t="s">
        <v>219</v>
      </c>
      <c r="H71" s="326">
        <v>44486</v>
      </c>
      <c r="I71" s="282" t="s">
        <v>243</v>
      </c>
      <c r="J71" s="294">
        <v>36396216.666666672</v>
      </c>
      <c r="K71" s="296">
        <v>0.3</v>
      </c>
      <c r="L71" s="315">
        <v>10918865</v>
      </c>
      <c r="M71" s="194">
        <f>L71*12%</f>
        <v>1310263.8</v>
      </c>
      <c r="N71" s="286">
        <f t="shared" si="5"/>
        <v>9608601.1999999993</v>
      </c>
      <c r="O71" s="305" t="s">
        <v>221</v>
      </c>
      <c r="P71" s="287"/>
    </row>
    <row r="72" spans="2:16" ht="18" customHeight="1">
      <c r="B72" s="282">
        <v>71</v>
      </c>
      <c r="C72" s="282" t="s">
        <v>238</v>
      </c>
      <c r="D72" s="327" t="s">
        <v>216</v>
      </c>
      <c r="E72" s="327" t="s">
        <v>9</v>
      </c>
      <c r="F72" s="282" t="s">
        <v>184</v>
      </c>
      <c r="G72" s="327" t="s">
        <v>219</v>
      </c>
      <c r="H72" s="326">
        <v>44497</v>
      </c>
      <c r="I72" s="282" t="s">
        <v>243</v>
      </c>
      <c r="J72" s="294">
        <v>23145823.333333336</v>
      </c>
      <c r="K72" s="296">
        <v>0.3</v>
      </c>
      <c r="L72" s="315">
        <v>6943747</v>
      </c>
      <c r="M72" s="194">
        <f>L72*12%</f>
        <v>833249.64</v>
      </c>
      <c r="N72" s="286">
        <f t="shared" si="5"/>
        <v>6110497.3600000003</v>
      </c>
      <c r="O72" s="305" t="s">
        <v>221</v>
      </c>
      <c r="P72" s="287"/>
    </row>
    <row r="73" spans="2:16" ht="18" customHeight="1">
      <c r="B73" s="282">
        <v>72</v>
      </c>
      <c r="C73" s="282" t="s">
        <v>238</v>
      </c>
      <c r="D73" s="327" t="s">
        <v>217</v>
      </c>
      <c r="E73" s="327" t="s">
        <v>9</v>
      </c>
      <c r="F73" s="282" t="s">
        <v>184</v>
      </c>
      <c r="G73" s="327" t="s">
        <v>219</v>
      </c>
      <c r="H73" s="326">
        <v>44466</v>
      </c>
      <c r="I73" s="282" t="s">
        <v>243</v>
      </c>
      <c r="J73" s="294">
        <v>11434106.666666668</v>
      </c>
      <c r="K73" s="296">
        <v>0.3</v>
      </c>
      <c r="L73" s="315">
        <v>3430232</v>
      </c>
      <c r="M73" s="194">
        <f>L73*12%</f>
        <v>411627.83999999997</v>
      </c>
      <c r="N73" s="286">
        <f t="shared" si="5"/>
        <v>3018604.16</v>
      </c>
      <c r="O73" s="305" t="s">
        <v>221</v>
      </c>
      <c r="P73" s="287"/>
    </row>
    <row r="74" spans="2:16" ht="18" customHeight="1">
      <c r="B74" s="282">
        <v>73</v>
      </c>
      <c r="C74" s="282" t="s">
        <v>238</v>
      </c>
      <c r="D74" s="297" t="s">
        <v>66</v>
      </c>
      <c r="E74" s="282" t="s">
        <v>64</v>
      </c>
      <c r="F74" s="297" t="s">
        <v>65</v>
      </c>
      <c r="G74" s="318" t="s">
        <v>152</v>
      </c>
      <c r="H74" s="303">
        <v>44235</v>
      </c>
      <c r="I74" s="282" t="s">
        <v>243</v>
      </c>
      <c r="J74" s="295">
        <v>848493</v>
      </c>
      <c r="K74" s="296">
        <v>0.4</v>
      </c>
      <c r="L74" s="315">
        <v>339397</v>
      </c>
      <c r="M74" s="194">
        <f>L74*12%</f>
        <v>40727.64</v>
      </c>
      <c r="N74" s="286">
        <f t="shared" si="5"/>
        <v>298669.36</v>
      </c>
      <c r="O74" s="288"/>
      <c r="P74" s="287"/>
    </row>
    <row r="75" spans="2:16" ht="18" customHeight="1">
      <c r="B75" s="282">
        <v>74</v>
      </c>
      <c r="C75" s="282"/>
      <c r="D75" s="297" t="s">
        <v>66</v>
      </c>
      <c r="E75" s="282" t="s">
        <v>64</v>
      </c>
      <c r="F75" s="297" t="s">
        <v>65</v>
      </c>
      <c r="G75" s="318" t="s">
        <v>179</v>
      </c>
      <c r="H75" s="303">
        <v>44198</v>
      </c>
      <c r="I75" s="282" t="s">
        <v>243</v>
      </c>
      <c r="J75" s="295">
        <v>951253</v>
      </c>
      <c r="K75" s="296">
        <v>0.4</v>
      </c>
      <c r="L75" s="315">
        <v>380501</v>
      </c>
      <c r="M75" s="194">
        <f>L75*10%</f>
        <v>38050.1</v>
      </c>
      <c r="N75" s="286">
        <f t="shared" si="5"/>
        <v>342450.9</v>
      </c>
      <c r="O75" s="72" t="s">
        <v>85</v>
      </c>
      <c r="P75" s="287"/>
    </row>
    <row r="76" spans="2:16" ht="18" customHeight="1">
      <c r="B76" s="282">
        <v>75</v>
      </c>
      <c r="C76" s="282"/>
      <c r="D76" s="297" t="s">
        <v>66</v>
      </c>
      <c r="E76" s="282" t="s">
        <v>64</v>
      </c>
      <c r="F76" s="297" t="s">
        <v>65</v>
      </c>
      <c r="G76" s="318" t="s">
        <v>147</v>
      </c>
      <c r="H76" s="303">
        <v>44288</v>
      </c>
      <c r="I76" s="282" t="s">
        <v>243</v>
      </c>
      <c r="J76" s="295">
        <v>260848</v>
      </c>
      <c r="K76" s="296">
        <v>0.4</v>
      </c>
      <c r="L76" s="315">
        <v>104339</v>
      </c>
      <c r="M76" s="194">
        <v>0</v>
      </c>
      <c r="N76" s="286">
        <f t="shared" si="5"/>
        <v>104339</v>
      </c>
      <c r="O76" s="288"/>
      <c r="P76" s="287"/>
    </row>
    <row r="77" spans="2:16" ht="18" customHeight="1">
      <c r="B77" s="282">
        <v>76</v>
      </c>
      <c r="C77" s="282"/>
      <c r="D77" s="297" t="s">
        <v>66</v>
      </c>
      <c r="E77" s="282" t="s">
        <v>64</v>
      </c>
      <c r="F77" s="297" t="s">
        <v>65</v>
      </c>
      <c r="G77" s="318" t="s">
        <v>187</v>
      </c>
      <c r="H77" s="303">
        <v>44289</v>
      </c>
      <c r="I77" s="282" t="s">
        <v>243</v>
      </c>
      <c r="J77" s="295">
        <v>1311163</v>
      </c>
      <c r="K77" s="296">
        <v>0.4</v>
      </c>
      <c r="L77" s="315">
        <v>524465</v>
      </c>
      <c r="M77" s="194">
        <v>0</v>
      </c>
      <c r="N77" s="286">
        <f t="shared" si="5"/>
        <v>524465</v>
      </c>
      <c r="O77" s="301"/>
      <c r="P77" s="287"/>
    </row>
    <row r="78" spans="2:16" ht="18" customHeight="1">
      <c r="B78" s="282">
        <v>77</v>
      </c>
      <c r="C78" s="282" t="s">
        <v>238</v>
      </c>
      <c r="D78" s="297" t="s">
        <v>66</v>
      </c>
      <c r="E78" s="282" t="s">
        <v>64</v>
      </c>
      <c r="F78" s="297" t="s">
        <v>65</v>
      </c>
      <c r="G78" s="318" t="s">
        <v>74</v>
      </c>
      <c r="H78" s="303">
        <v>44246</v>
      </c>
      <c r="I78" s="282" t="s">
        <v>243</v>
      </c>
      <c r="J78" s="295">
        <v>297788</v>
      </c>
      <c r="K78" s="296">
        <v>0.4</v>
      </c>
      <c r="L78" s="315">
        <v>119115</v>
      </c>
      <c r="M78" s="274">
        <f>L78*10%</f>
        <v>11911.5</v>
      </c>
      <c r="N78" s="286">
        <f t="shared" si="5"/>
        <v>107203.5</v>
      </c>
      <c r="O78" s="288"/>
      <c r="P78" s="287"/>
    </row>
    <row r="79" spans="2:16" ht="18" customHeight="1">
      <c r="B79" s="282">
        <v>78</v>
      </c>
      <c r="C79" s="282"/>
      <c r="D79" s="297" t="s">
        <v>66</v>
      </c>
      <c r="E79" s="282" t="s">
        <v>64</v>
      </c>
      <c r="F79" s="297" t="s">
        <v>65</v>
      </c>
      <c r="G79" s="318" t="s">
        <v>188</v>
      </c>
      <c r="H79" s="303">
        <v>44415</v>
      </c>
      <c r="I79" s="282" t="s">
        <v>243</v>
      </c>
      <c r="J79" s="295">
        <v>1071168</v>
      </c>
      <c r="K79" s="296">
        <v>0.4</v>
      </c>
      <c r="L79" s="315">
        <v>428467</v>
      </c>
      <c r="M79" s="194">
        <v>0</v>
      </c>
      <c r="N79" s="286">
        <f t="shared" si="5"/>
        <v>428467</v>
      </c>
      <c r="O79" s="288"/>
      <c r="P79" s="287"/>
    </row>
    <row r="80" spans="2:16" ht="18" customHeight="1">
      <c r="B80" s="282">
        <v>79</v>
      </c>
      <c r="C80" s="282" t="s">
        <v>238</v>
      </c>
      <c r="D80" s="297" t="s">
        <v>254</v>
      </c>
      <c r="E80" s="318" t="s">
        <v>9</v>
      </c>
      <c r="F80" s="297" t="s">
        <v>65</v>
      </c>
      <c r="G80" s="318" t="s">
        <v>152</v>
      </c>
      <c r="H80" s="303">
        <v>44105</v>
      </c>
      <c r="I80" s="282" t="s">
        <v>243</v>
      </c>
      <c r="J80" s="295">
        <v>2845230</v>
      </c>
      <c r="K80" s="296">
        <v>0.4</v>
      </c>
      <c r="L80" s="315">
        <v>1138092</v>
      </c>
      <c r="M80" s="194">
        <f>L80*12%</f>
        <v>136571.04</v>
      </c>
      <c r="N80" s="286">
        <f t="shared" si="5"/>
        <v>1001520.96</v>
      </c>
      <c r="O80" s="288"/>
      <c r="P80" s="287"/>
    </row>
    <row r="81" spans="2:16" ht="18" customHeight="1">
      <c r="B81" s="282">
        <v>80</v>
      </c>
      <c r="C81" s="282" t="s">
        <v>238</v>
      </c>
      <c r="D81" s="297" t="s">
        <v>254</v>
      </c>
      <c r="E81" s="318" t="s">
        <v>9</v>
      </c>
      <c r="F81" s="297" t="s">
        <v>65</v>
      </c>
      <c r="G81" s="318" t="s">
        <v>153</v>
      </c>
      <c r="H81" s="303">
        <v>44111</v>
      </c>
      <c r="I81" s="282" t="s">
        <v>243</v>
      </c>
      <c r="J81" s="295">
        <v>2528325</v>
      </c>
      <c r="K81" s="296">
        <v>0.4</v>
      </c>
      <c r="L81" s="315">
        <v>1011330</v>
      </c>
      <c r="M81" s="274">
        <f>L81*10%</f>
        <v>101133</v>
      </c>
      <c r="N81" s="286">
        <f t="shared" si="5"/>
        <v>910197</v>
      </c>
      <c r="O81" s="288"/>
      <c r="P81" s="287"/>
    </row>
    <row r="82" spans="2:16" ht="18" customHeight="1">
      <c r="B82" s="282">
        <v>81</v>
      </c>
      <c r="C82" s="282"/>
      <c r="D82" s="297" t="s">
        <v>254</v>
      </c>
      <c r="E82" s="318" t="s">
        <v>9</v>
      </c>
      <c r="F82" s="297" t="s">
        <v>65</v>
      </c>
      <c r="G82" s="318" t="s">
        <v>139</v>
      </c>
      <c r="H82" s="303">
        <v>43921</v>
      </c>
      <c r="I82" s="282" t="s">
        <v>243</v>
      </c>
      <c r="J82" s="295">
        <v>62290</v>
      </c>
      <c r="K82" s="296">
        <v>0.4</v>
      </c>
      <c r="L82" s="315">
        <v>24916</v>
      </c>
      <c r="M82" s="194">
        <v>0</v>
      </c>
      <c r="N82" s="286">
        <f t="shared" si="5"/>
        <v>24916</v>
      </c>
      <c r="O82" s="301"/>
      <c r="P82" s="287"/>
    </row>
    <row r="83" spans="2:16" ht="18" customHeight="1">
      <c r="B83" s="282">
        <v>82</v>
      </c>
      <c r="C83" s="282"/>
      <c r="D83" s="297" t="s">
        <v>254</v>
      </c>
      <c r="E83" s="318" t="s">
        <v>9</v>
      </c>
      <c r="F83" s="297" t="s">
        <v>65</v>
      </c>
      <c r="G83" s="318" t="s">
        <v>180</v>
      </c>
      <c r="H83" s="303">
        <v>43941</v>
      </c>
      <c r="I83" s="282" t="s">
        <v>243</v>
      </c>
      <c r="J83" s="295">
        <v>1158570</v>
      </c>
      <c r="K83" s="296">
        <v>0.4</v>
      </c>
      <c r="L83" s="315">
        <v>463428</v>
      </c>
      <c r="M83" s="194">
        <v>0</v>
      </c>
      <c r="N83" s="286">
        <f t="shared" si="5"/>
        <v>463428</v>
      </c>
      <c r="O83" s="301"/>
      <c r="P83" s="287"/>
    </row>
    <row r="84" spans="2:16" ht="18" customHeight="1">
      <c r="B84" s="282">
        <v>83</v>
      </c>
      <c r="C84" s="282" t="s">
        <v>238</v>
      </c>
      <c r="D84" s="297" t="s">
        <v>254</v>
      </c>
      <c r="E84" s="282" t="s">
        <v>64</v>
      </c>
      <c r="F84" s="297" t="s">
        <v>65</v>
      </c>
      <c r="G84" s="318" t="s">
        <v>151</v>
      </c>
      <c r="H84" s="303">
        <v>44258</v>
      </c>
      <c r="I84" s="282" t="s">
        <v>243</v>
      </c>
      <c r="J84" s="295">
        <v>2772118</v>
      </c>
      <c r="K84" s="296">
        <v>0.4</v>
      </c>
      <c r="L84" s="315">
        <v>1108847</v>
      </c>
      <c r="M84" s="274">
        <f>L84*10%</f>
        <v>110884.70000000001</v>
      </c>
      <c r="N84" s="286">
        <f t="shared" si="5"/>
        <v>997962.3</v>
      </c>
      <c r="O84" s="288"/>
      <c r="P84" s="287"/>
    </row>
    <row r="85" spans="2:16" ht="18" customHeight="1">
      <c r="B85" s="282">
        <v>84</v>
      </c>
      <c r="C85" s="282"/>
      <c r="D85" s="297" t="s">
        <v>254</v>
      </c>
      <c r="E85" s="282" t="s">
        <v>64</v>
      </c>
      <c r="F85" s="297" t="s">
        <v>65</v>
      </c>
      <c r="G85" s="318" t="s">
        <v>179</v>
      </c>
      <c r="H85" s="303">
        <v>44233</v>
      </c>
      <c r="I85" s="282" t="s">
        <v>243</v>
      </c>
      <c r="J85" s="295">
        <v>4723988</v>
      </c>
      <c r="K85" s="296">
        <v>0.4</v>
      </c>
      <c r="L85" s="315">
        <v>1889595</v>
      </c>
      <c r="M85" s="194">
        <f>L85*10%</f>
        <v>188959.5</v>
      </c>
      <c r="N85" s="286">
        <f t="shared" si="5"/>
        <v>1700635.5</v>
      </c>
      <c r="O85" s="72" t="s">
        <v>85</v>
      </c>
      <c r="P85" s="287"/>
    </row>
    <row r="86" spans="2:16" ht="18" customHeight="1">
      <c r="B86" s="282">
        <v>85</v>
      </c>
      <c r="C86" s="282" t="s">
        <v>238</v>
      </c>
      <c r="D86" s="297" t="s">
        <v>254</v>
      </c>
      <c r="E86" s="282" t="s">
        <v>64</v>
      </c>
      <c r="F86" s="297" t="s">
        <v>65</v>
      </c>
      <c r="G86" s="318" t="s">
        <v>54</v>
      </c>
      <c r="H86" s="303">
        <v>44254</v>
      </c>
      <c r="I86" s="282" t="s">
        <v>243</v>
      </c>
      <c r="J86" s="295">
        <v>603068</v>
      </c>
      <c r="K86" s="296">
        <v>0.4</v>
      </c>
      <c r="L86" s="315">
        <v>241227</v>
      </c>
      <c r="M86" s="274">
        <f>L86*10%</f>
        <v>24122.7</v>
      </c>
      <c r="N86" s="286">
        <f t="shared" si="5"/>
        <v>217104.3</v>
      </c>
      <c r="O86" s="288"/>
      <c r="P86" s="287"/>
    </row>
    <row r="87" spans="2:16" ht="18" customHeight="1">
      <c r="B87" s="282">
        <v>86</v>
      </c>
      <c r="C87" s="282"/>
      <c r="D87" s="297" t="s">
        <v>254</v>
      </c>
      <c r="E87" s="282" t="s">
        <v>64</v>
      </c>
      <c r="F87" s="297" t="s">
        <v>65</v>
      </c>
      <c r="G87" s="318" t="s">
        <v>147</v>
      </c>
      <c r="H87" s="303">
        <v>44260</v>
      </c>
      <c r="I87" s="282" t="s">
        <v>243</v>
      </c>
      <c r="J87" s="295">
        <v>964678</v>
      </c>
      <c r="K87" s="296">
        <v>0.4</v>
      </c>
      <c r="L87" s="315">
        <v>385871</v>
      </c>
      <c r="M87" s="194">
        <v>0</v>
      </c>
      <c r="N87" s="286">
        <f t="shared" si="5"/>
        <v>385871</v>
      </c>
      <c r="O87" s="288"/>
      <c r="P87" s="287"/>
    </row>
    <row r="88" spans="2:16" ht="18" customHeight="1">
      <c r="B88" s="282">
        <v>87</v>
      </c>
      <c r="C88" s="282"/>
      <c r="D88" s="297" t="s">
        <v>254</v>
      </c>
      <c r="E88" s="282" t="s">
        <v>64</v>
      </c>
      <c r="F88" s="297" t="s">
        <v>65</v>
      </c>
      <c r="G88" s="318" t="s">
        <v>187</v>
      </c>
      <c r="H88" s="303">
        <v>44289</v>
      </c>
      <c r="I88" s="282" t="s">
        <v>243</v>
      </c>
      <c r="J88" s="295">
        <v>3621375</v>
      </c>
      <c r="K88" s="296">
        <v>0.4</v>
      </c>
      <c r="L88" s="315">
        <v>1448550</v>
      </c>
      <c r="M88" s="194">
        <v>0</v>
      </c>
      <c r="N88" s="286">
        <f t="shared" si="5"/>
        <v>1448550</v>
      </c>
      <c r="O88" s="288"/>
      <c r="P88" s="287"/>
    </row>
    <row r="89" spans="2:16" ht="18" customHeight="1">
      <c r="B89" s="282">
        <v>88</v>
      </c>
      <c r="C89" s="282"/>
      <c r="D89" s="297" t="s">
        <v>254</v>
      </c>
      <c r="E89" s="282" t="s">
        <v>64</v>
      </c>
      <c r="F89" s="297" t="s">
        <v>65</v>
      </c>
      <c r="G89" s="318" t="s">
        <v>121</v>
      </c>
      <c r="H89" s="303">
        <v>44449</v>
      </c>
      <c r="I89" s="282" t="s">
        <v>243</v>
      </c>
      <c r="J89" s="295">
        <v>5561788</v>
      </c>
      <c r="K89" s="296">
        <v>0.4</v>
      </c>
      <c r="L89" s="315">
        <v>2224715</v>
      </c>
      <c r="M89" s="194">
        <v>0</v>
      </c>
      <c r="N89" s="286">
        <f t="shared" si="5"/>
        <v>2224715</v>
      </c>
      <c r="O89" s="301"/>
      <c r="P89" s="287"/>
    </row>
    <row r="90" spans="2:16" ht="18" customHeight="1">
      <c r="B90" s="282">
        <v>89</v>
      </c>
      <c r="C90" s="282" t="s">
        <v>238</v>
      </c>
      <c r="D90" s="297" t="s">
        <v>216</v>
      </c>
      <c r="E90" s="318" t="s">
        <v>115</v>
      </c>
      <c r="F90" s="297" t="s">
        <v>31</v>
      </c>
      <c r="G90" s="318" t="s">
        <v>28</v>
      </c>
      <c r="H90" s="303">
        <v>44096</v>
      </c>
      <c r="I90" s="282" t="s">
        <v>195</v>
      </c>
      <c r="J90" s="295">
        <v>338783</v>
      </c>
      <c r="K90" s="296">
        <v>0.4</v>
      </c>
      <c r="L90" s="315">
        <v>128739</v>
      </c>
      <c r="M90" s="194">
        <f>L90*12%</f>
        <v>15448.68</v>
      </c>
      <c r="N90" s="286">
        <f t="shared" si="5"/>
        <v>113290.32</v>
      </c>
      <c r="O90" s="288"/>
      <c r="P90" s="287"/>
    </row>
    <row r="91" spans="2:16" ht="18" customHeight="1">
      <c r="B91" s="282">
        <v>90</v>
      </c>
      <c r="C91" s="282" t="s">
        <v>238</v>
      </c>
      <c r="D91" s="297" t="s">
        <v>216</v>
      </c>
      <c r="E91" s="318" t="s">
        <v>115</v>
      </c>
      <c r="F91" s="297" t="s">
        <v>31</v>
      </c>
      <c r="G91" s="318" t="s">
        <v>29</v>
      </c>
      <c r="H91" s="303">
        <v>44137</v>
      </c>
      <c r="I91" s="282" t="s">
        <v>195</v>
      </c>
      <c r="J91" s="295">
        <v>491816</v>
      </c>
      <c r="K91" s="296">
        <v>0.4</v>
      </c>
      <c r="L91" s="315">
        <v>186890</v>
      </c>
      <c r="M91" s="274">
        <f t="shared" ref="M91:M98" si="6">L91*10%</f>
        <v>18689</v>
      </c>
      <c r="N91" s="286">
        <f t="shared" si="5"/>
        <v>168201</v>
      </c>
      <c r="O91" s="288"/>
      <c r="P91" s="287"/>
    </row>
    <row r="92" spans="2:16" ht="18" customHeight="1">
      <c r="B92" s="282">
        <v>91</v>
      </c>
      <c r="C92" s="282" t="s">
        <v>238</v>
      </c>
      <c r="D92" s="297" t="s">
        <v>216</v>
      </c>
      <c r="E92" s="318" t="s">
        <v>115</v>
      </c>
      <c r="F92" s="297" t="s">
        <v>31</v>
      </c>
      <c r="G92" s="318" t="s">
        <v>151</v>
      </c>
      <c r="H92" s="303">
        <v>44239</v>
      </c>
      <c r="I92" s="282" t="s">
        <v>195</v>
      </c>
      <c r="J92" s="295">
        <v>946315</v>
      </c>
      <c r="K92" s="296">
        <v>0.4</v>
      </c>
      <c r="L92" s="315">
        <v>359599</v>
      </c>
      <c r="M92" s="274">
        <f t="shared" si="6"/>
        <v>35959.9</v>
      </c>
      <c r="N92" s="286">
        <f t="shared" si="5"/>
        <v>323639.09999999998</v>
      </c>
      <c r="O92" s="301"/>
      <c r="P92" s="287"/>
    </row>
    <row r="93" spans="2:16" ht="18" customHeight="1">
      <c r="B93" s="282">
        <v>92</v>
      </c>
      <c r="C93" s="282" t="s">
        <v>238</v>
      </c>
      <c r="D93" s="297" t="s">
        <v>216</v>
      </c>
      <c r="E93" s="318" t="s">
        <v>115</v>
      </c>
      <c r="F93" s="297" t="s">
        <v>31</v>
      </c>
      <c r="G93" s="318" t="s">
        <v>256</v>
      </c>
      <c r="H93" s="303">
        <v>44487</v>
      </c>
      <c r="I93" s="282" t="s">
        <v>195</v>
      </c>
      <c r="J93" s="295">
        <v>231312</v>
      </c>
      <c r="K93" s="296">
        <v>0.4</v>
      </c>
      <c r="L93" s="315">
        <v>87894</v>
      </c>
      <c r="M93" s="194">
        <f t="shared" si="6"/>
        <v>8789.4</v>
      </c>
      <c r="N93" s="286">
        <f t="shared" si="5"/>
        <v>79104.600000000006</v>
      </c>
      <c r="O93" s="292"/>
      <c r="P93" s="287"/>
    </row>
    <row r="94" spans="2:16" ht="18" customHeight="1">
      <c r="B94" s="282">
        <v>93</v>
      </c>
      <c r="C94" s="282" t="s">
        <v>238</v>
      </c>
      <c r="D94" s="297" t="s">
        <v>216</v>
      </c>
      <c r="E94" s="318" t="s">
        <v>115</v>
      </c>
      <c r="F94" s="297" t="s">
        <v>31</v>
      </c>
      <c r="G94" s="318" t="s">
        <v>204</v>
      </c>
      <c r="H94" s="303">
        <v>44453</v>
      </c>
      <c r="I94" s="282" t="s">
        <v>195</v>
      </c>
      <c r="J94" s="295">
        <v>182248</v>
      </c>
      <c r="K94" s="296">
        <v>0.4</v>
      </c>
      <c r="L94" s="315">
        <v>69252</v>
      </c>
      <c r="M94" s="194">
        <f t="shared" si="6"/>
        <v>6925.2000000000007</v>
      </c>
      <c r="N94" s="286">
        <f t="shared" si="5"/>
        <v>62326.8</v>
      </c>
      <c r="O94" s="298"/>
      <c r="P94" s="287"/>
    </row>
    <row r="95" spans="2:16" ht="18" customHeight="1">
      <c r="B95" s="282">
        <v>94</v>
      </c>
      <c r="C95" s="282"/>
      <c r="D95" s="307" t="s">
        <v>32</v>
      </c>
      <c r="E95" s="307" t="s">
        <v>9</v>
      </c>
      <c r="F95" s="297" t="s">
        <v>257</v>
      </c>
      <c r="G95" s="307" t="s">
        <v>42</v>
      </c>
      <c r="H95" s="325">
        <v>44354</v>
      </c>
      <c r="I95" s="282" t="s">
        <v>243</v>
      </c>
      <c r="J95" s="295">
        <v>20126128</v>
      </c>
      <c r="K95" s="306">
        <v>0.27999995826320889</v>
      </c>
      <c r="L95" s="315">
        <v>5635315</v>
      </c>
      <c r="M95" s="194">
        <f t="shared" si="6"/>
        <v>563531.5</v>
      </c>
      <c r="N95" s="286">
        <f t="shared" si="5"/>
        <v>5071783.5</v>
      </c>
      <c r="O95" s="72" t="s">
        <v>85</v>
      </c>
      <c r="P95" s="287"/>
    </row>
    <row r="96" spans="2:16" ht="18" customHeight="1">
      <c r="B96" s="282">
        <v>95</v>
      </c>
      <c r="C96" s="282"/>
      <c r="D96" s="307" t="s">
        <v>177</v>
      </c>
      <c r="E96" s="307" t="s">
        <v>9</v>
      </c>
      <c r="F96" s="297" t="s">
        <v>257</v>
      </c>
      <c r="G96" s="307" t="s">
        <v>42</v>
      </c>
      <c r="H96" s="325">
        <v>44419</v>
      </c>
      <c r="I96" s="282" t="s">
        <v>243</v>
      </c>
      <c r="J96" s="295">
        <v>8070819</v>
      </c>
      <c r="K96" s="306">
        <v>0.28000008425415068</v>
      </c>
      <c r="L96" s="315">
        <v>2259830</v>
      </c>
      <c r="M96" s="194">
        <f t="shared" si="6"/>
        <v>225983</v>
      </c>
      <c r="N96" s="286">
        <f t="shared" si="5"/>
        <v>2033847</v>
      </c>
      <c r="O96" s="72" t="s">
        <v>85</v>
      </c>
      <c r="P96" s="287"/>
    </row>
    <row r="97" spans="2:16" ht="18" customHeight="1">
      <c r="B97" s="282">
        <v>96</v>
      </c>
      <c r="C97" s="282" t="s">
        <v>238</v>
      </c>
      <c r="D97" s="307" t="s">
        <v>32</v>
      </c>
      <c r="E97" s="307" t="s">
        <v>9</v>
      </c>
      <c r="F97" s="297" t="s">
        <v>257</v>
      </c>
      <c r="G97" s="307" t="s">
        <v>212</v>
      </c>
      <c r="H97" s="325">
        <v>44507</v>
      </c>
      <c r="I97" s="282" t="s">
        <v>243</v>
      </c>
      <c r="J97" s="295">
        <v>63704147</v>
      </c>
      <c r="K97" s="306">
        <v>0.24499999976453651</v>
      </c>
      <c r="L97" s="315">
        <v>15607516</v>
      </c>
      <c r="M97" s="194">
        <f t="shared" si="6"/>
        <v>1560751.6</v>
      </c>
      <c r="N97" s="286">
        <f t="shared" si="5"/>
        <v>14046764.4</v>
      </c>
      <c r="O97" s="298"/>
      <c r="P97" s="287"/>
    </row>
    <row r="98" spans="2:16" ht="18" customHeight="1">
      <c r="B98" s="282">
        <v>97</v>
      </c>
      <c r="C98" s="282" t="s">
        <v>238</v>
      </c>
      <c r="D98" s="307" t="s">
        <v>177</v>
      </c>
      <c r="E98" s="307" t="s">
        <v>9</v>
      </c>
      <c r="F98" s="297" t="s">
        <v>257</v>
      </c>
      <c r="G98" s="307" t="s">
        <v>212</v>
      </c>
      <c r="H98" s="325">
        <v>44477</v>
      </c>
      <c r="I98" s="282" t="s">
        <v>243</v>
      </c>
      <c r="J98" s="295">
        <v>3778522</v>
      </c>
      <c r="K98" s="306">
        <v>0.24500002911191202</v>
      </c>
      <c r="L98" s="315">
        <v>925738</v>
      </c>
      <c r="M98" s="194">
        <f t="shared" si="6"/>
        <v>92573.8</v>
      </c>
      <c r="N98" s="286">
        <f t="shared" si="5"/>
        <v>833164.2</v>
      </c>
      <c r="O98" s="298"/>
      <c r="P98" s="287"/>
    </row>
    <row r="99" spans="2:16" ht="18" customHeight="1">
      <c r="B99" s="282">
        <v>98</v>
      </c>
      <c r="C99" s="282"/>
      <c r="D99" s="297" t="s">
        <v>216</v>
      </c>
      <c r="E99" s="307" t="s">
        <v>9</v>
      </c>
      <c r="F99" s="299" t="s">
        <v>154</v>
      </c>
      <c r="G99" s="307" t="s">
        <v>36</v>
      </c>
      <c r="H99" s="325">
        <v>44106</v>
      </c>
      <c r="I99" s="282" t="s">
        <v>195</v>
      </c>
      <c r="J99" s="295">
        <v>1585584</v>
      </c>
      <c r="K99" s="328">
        <v>0.4</v>
      </c>
      <c r="L99" s="315">
        <v>602522</v>
      </c>
      <c r="M99" s="274">
        <v>0</v>
      </c>
      <c r="N99" s="286">
        <f t="shared" si="5"/>
        <v>602522</v>
      </c>
      <c r="O99" s="298"/>
      <c r="P99" s="287"/>
    </row>
    <row r="100" spans="2:16" ht="18" customHeight="1">
      <c r="B100" s="282">
        <v>99</v>
      </c>
      <c r="C100" s="282"/>
      <c r="D100" s="297" t="s">
        <v>216</v>
      </c>
      <c r="E100" s="307" t="s">
        <v>9</v>
      </c>
      <c r="F100" s="299" t="s">
        <v>154</v>
      </c>
      <c r="G100" s="307" t="s">
        <v>37</v>
      </c>
      <c r="H100" s="325">
        <v>44113</v>
      </c>
      <c r="I100" s="282" t="s">
        <v>195</v>
      </c>
      <c r="J100" s="295">
        <v>93874</v>
      </c>
      <c r="K100" s="328">
        <v>0.4</v>
      </c>
      <c r="L100" s="315">
        <v>35672</v>
      </c>
      <c r="M100" s="274">
        <v>0</v>
      </c>
      <c r="N100" s="286">
        <f t="shared" si="5"/>
        <v>35672</v>
      </c>
      <c r="O100" s="298"/>
      <c r="P100" s="287"/>
    </row>
    <row r="101" spans="2:16" ht="18" customHeight="1">
      <c r="B101" s="282">
        <v>100</v>
      </c>
      <c r="C101" s="282" t="s">
        <v>238</v>
      </c>
      <c r="D101" s="297" t="s">
        <v>216</v>
      </c>
      <c r="E101" s="307" t="s">
        <v>115</v>
      </c>
      <c r="F101" s="299" t="s">
        <v>154</v>
      </c>
      <c r="G101" s="307" t="s">
        <v>258</v>
      </c>
      <c r="H101" s="325">
        <v>44386</v>
      </c>
      <c r="I101" s="282" t="s">
        <v>195</v>
      </c>
      <c r="J101" s="295">
        <v>1174466</v>
      </c>
      <c r="K101" s="328">
        <v>0.4</v>
      </c>
      <c r="L101" s="315">
        <v>446297</v>
      </c>
      <c r="M101" s="274">
        <f>L101*10%</f>
        <v>44629.700000000004</v>
      </c>
      <c r="N101" s="286">
        <f t="shared" ref="N101:N132" si="7">L101-M101</f>
        <v>401667.3</v>
      </c>
      <c r="O101" s="298"/>
      <c r="P101" s="287"/>
    </row>
    <row r="102" spans="2:16" ht="18" customHeight="1">
      <c r="B102" s="282">
        <v>101</v>
      </c>
      <c r="C102" s="282"/>
      <c r="D102" s="297" t="s">
        <v>69</v>
      </c>
      <c r="E102" s="297" t="s">
        <v>68</v>
      </c>
      <c r="F102" s="299" t="s">
        <v>70</v>
      </c>
      <c r="G102" s="307" t="s">
        <v>42</v>
      </c>
      <c r="H102" s="325">
        <v>44293</v>
      </c>
      <c r="I102" s="282" t="s">
        <v>195</v>
      </c>
      <c r="J102" s="295">
        <v>54774</v>
      </c>
      <c r="K102" s="306">
        <v>0.5</v>
      </c>
      <c r="L102" s="315">
        <v>27387</v>
      </c>
      <c r="M102" s="194">
        <f>L102*10%</f>
        <v>2738.7000000000003</v>
      </c>
      <c r="N102" s="286">
        <f t="shared" si="7"/>
        <v>24648.3</v>
      </c>
      <c r="O102" s="72" t="s">
        <v>85</v>
      </c>
      <c r="P102" s="287"/>
    </row>
    <row r="103" spans="2:16" ht="18" customHeight="1">
      <c r="B103" s="282">
        <v>102</v>
      </c>
      <c r="C103" s="282" t="s">
        <v>238</v>
      </c>
      <c r="D103" s="297" t="s">
        <v>69</v>
      </c>
      <c r="E103" s="297" t="s">
        <v>68</v>
      </c>
      <c r="F103" s="299" t="s">
        <v>70</v>
      </c>
      <c r="G103" s="307" t="s">
        <v>224</v>
      </c>
      <c r="H103" s="325">
        <v>44341</v>
      </c>
      <c r="I103" s="282" t="s">
        <v>195</v>
      </c>
      <c r="J103" s="295">
        <v>54322</v>
      </c>
      <c r="K103" s="306">
        <v>0.5</v>
      </c>
      <c r="L103" s="315">
        <v>27161</v>
      </c>
      <c r="M103" s="274">
        <f>L103*10%</f>
        <v>2716.1000000000004</v>
      </c>
      <c r="N103" s="286">
        <f t="shared" si="7"/>
        <v>24444.9</v>
      </c>
      <c r="O103" s="298"/>
      <c r="P103" s="287"/>
    </row>
    <row r="104" spans="2:16" ht="18" customHeight="1">
      <c r="B104" s="282">
        <v>103</v>
      </c>
      <c r="C104" s="282" t="s">
        <v>238</v>
      </c>
      <c r="D104" s="297" t="s">
        <v>69</v>
      </c>
      <c r="E104" s="297" t="s">
        <v>68</v>
      </c>
      <c r="F104" s="299" t="s">
        <v>70</v>
      </c>
      <c r="G104" s="307" t="s">
        <v>28</v>
      </c>
      <c r="H104" s="325">
        <v>44291</v>
      </c>
      <c r="I104" s="282" t="s">
        <v>195</v>
      </c>
      <c r="J104" s="295">
        <v>90136</v>
      </c>
      <c r="K104" s="306">
        <v>0.5</v>
      </c>
      <c r="L104" s="315">
        <v>45068</v>
      </c>
      <c r="M104" s="194">
        <f>L104*12%</f>
        <v>5408.16</v>
      </c>
      <c r="N104" s="286">
        <f t="shared" si="7"/>
        <v>39659.839999999997</v>
      </c>
      <c r="O104" s="298"/>
      <c r="P104" s="287"/>
    </row>
    <row r="105" spans="2:16" ht="18" customHeight="1">
      <c r="B105" s="282">
        <v>104</v>
      </c>
      <c r="C105" s="282" t="s">
        <v>238</v>
      </c>
      <c r="D105" s="297" t="s">
        <v>69</v>
      </c>
      <c r="E105" s="297" t="s">
        <v>68</v>
      </c>
      <c r="F105" s="299" t="s">
        <v>70</v>
      </c>
      <c r="G105" s="307" t="s">
        <v>29</v>
      </c>
      <c r="H105" s="325">
        <v>44410</v>
      </c>
      <c r="I105" s="282" t="s">
        <v>195</v>
      </c>
      <c r="J105" s="295">
        <v>40478</v>
      </c>
      <c r="K105" s="306">
        <v>0.5</v>
      </c>
      <c r="L105" s="315">
        <v>20239</v>
      </c>
      <c r="M105" s="274">
        <f>L105*10%</f>
        <v>2023.9</v>
      </c>
      <c r="N105" s="286">
        <f t="shared" si="7"/>
        <v>18215.099999999999</v>
      </c>
      <c r="O105" s="292"/>
      <c r="P105" s="287"/>
    </row>
    <row r="106" spans="2:16" ht="18" customHeight="1">
      <c r="B106" s="282">
        <v>105</v>
      </c>
      <c r="C106" s="282"/>
      <c r="D106" s="297" t="s">
        <v>182</v>
      </c>
      <c r="E106" s="297" t="s">
        <v>9</v>
      </c>
      <c r="F106" s="299" t="s">
        <v>228</v>
      </c>
      <c r="G106" s="329" t="s">
        <v>179</v>
      </c>
      <c r="H106" s="291">
        <v>44180</v>
      </c>
      <c r="I106" s="282" t="s">
        <v>195</v>
      </c>
      <c r="J106" s="295">
        <v>1878089</v>
      </c>
      <c r="K106" s="306">
        <v>0.5</v>
      </c>
      <c r="L106" s="315">
        <v>939044.5</v>
      </c>
      <c r="M106" s="194">
        <f>L106*10%</f>
        <v>93904.450000000012</v>
      </c>
      <c r="N106" s="286">
        <f t="shared" si="7"/>
        <v>845140.05</v>
      </c>
      <c r="O106" s="72" t="s">
        <v>85</v>
      </c>
      <c r="P106" s="287"/>
    </row>
    <row r="107" spans="2:16" ht="18" customHeight="1">
      <c r="B107" s="282">
        <v>106</v>
      </c>
      <c r="C107" s="282" t="s">
        <v>238</v>
      </c>
      <c r="D107" s="297" t="s">
        <v>182</v>
      </c>
      <c r="E107" s="297" t="s">
        <v>9</v>
      </c>
      <c r="F107" s="299" t="s">
        <v>228</v>
      </c>
      <c r="G107" s="329" t="s">
        <v>152</v>
      </c>
      <c r="H107" s="291">
        <v>44180</v>
      </c>
      <c r="I107" s="282" t="s">
        <v>195</v>
      </c>
      <c r="J107" s="295">
        <v>524167</v>
      </c>
      <c r="K107" s="306">
        <v>0.5</v>
      </c>
      <c r="L107" s="315">
        <v>262083.5</v>
      </c>
      <c r="M107" s="194">
        <f>L107*12%</f>
        <v>31450.02</v>
      </c>
      <c r="N107" s="286">
        <f t="shared" si="7"/>
        <v>230633.48</v>
      </c>
      <c r="O107" s="292"/>
      <c r="P107" s="287"/>
    </row>
    <row r="108" spans="2:16" ht="18" customHeight="1">
      <c r="B108" s="282">
        <v>107</v>
      </c>
      <c r="C108" s="282" t="s">
        <v>238</v>
      </c>
      <c r="D108" s="297" t="s">
        <v>182</v>
      </c>
      <c r="E108" s="297" t="s">
        <v>9</v>
      </c>
      <c r="F108" s="299" t="s">
        <v>228</v>
      </c>
      <c r="G108" s="329" t="s">
        <v>153</v>
      </c>
      <c r="H108" s="291">
        <v>44180</v>
      </c>
      <c r="I108" s="282" t="s">
        <v>195</v>
      </c>
      <c r="J108" s="295">
        <v>195696</v>
      </c>
      <c r="K108" s="306">
        <v>0.5</v>
      </c>
      <c r="L108" s="315">
        <v>97848</v>
      </c>
      <c r="M108" s="274">
        <f>L108*10%</f>
        <v>9784.8000000000011</v>
      </c>
      <c r="N108" s="286">
        <f t="shared" si="7"/>
        <v>88063.2</v>
      </c>
      <c r="O108" s="292"/>
      <c r="P108" s="287"/>
    </row>
    <row r="109" spans="2:16" ht="18" customHeight="1">
      <c r="B109" s="282">
        <v>108</v>
      </c>
      <c r="C109" s="282" t="s">
        <v>238</v>
      </c>
      <c r="D109" s="297" t="s">
        <v>182</v>
      </c>
      <c r="E109" s="297" t="s">
        <v>9</v>
      </c>
      <c r="F109" s="299" t="s">
        <v>228</v>
      </c>
      <c r="G109" s="329" t="s">
        <v>74</v>
      </c>
      <c r="H109" s="291">
        <v>44180</v>
      </c>
      <c r="I109" s="282" t="s">
        <v>195</v>
      </c>
      <c r="J109" s="295">
        <v>52421</v>
      </c>
      <c r="K109" s="306">
        <v>0.5</v>
      </c>
      <c r="L109" s="315">
        <v>26210.5</v>
      </c>
      <c r="M109" s="274">
        <f>L109*10%</f>
        <v>2621.0500000000002</v>
      </c>
      <c r="N109" s="286">
        <f t="shared" si="7"/>
        <v>23589.45</v>
      </c>
      <c r="O109" s="292"/>
      <c r="P109" s="287"/>
    </row>
    <row r="110" spans="2:16" ht="18" customHeight="1">
      <c r="B110" s="282">
        <v>109</v>
      </c>
      <c r="C110" s="282"/>
      <c r="D110" s="297" t="s">
        <v>182</v>
      </c>
      <c r="E110" s="297" t="s">
        <v>9</v>
      </c>
      <c r="F110" s="299" t="s">
        <v>228</v>
      </c>
      <c r="G110" s="329" t="s">
        <v>180</v>
      </c>
      <c r="H110" s="291">
        <v>44180</v>
      </c>
      <c r="I110" s="282" t="s">
        <v>195</v>
      </c>
      <c r="J110" s="295">
        <v>1367191</v>
      </c>
      <c r="K110" s="306">
        <v>0.5</v>
      </c>
      <c r="L110" s="315">
        <v>683595.5</v>
      </c>
      <c r="M110" s="274">
        <v>0</v>
      </c>
      <c r="N110" s="286">
        <f t="shared" si="7"/>
        <v>683595.5</v>
      </c>
      <c r="O110" s="292"/>
      <c r="P110" s="287"/>
    </row>
    <row r="111" spans="2:16" ht="18" customHeight="1">
      <c r="B111" s="282">
        <v>110</v>
      </c>
      <c r="C111" s="282"/>
      <c r="D111" s="297" t="s">
        <v>182</v>
      </c>
      <c r="E111" s="297" t="s">
        <v>9</v>
      </c>
      <c r="F111" s="299" t="s">
        <v>228</v>
      </c>
      <c r="G111" s="329" t="s">
        <v>139</v>
      </c>
      <c r="H111" s="291">
        <v>44180</v>
      </c>
      <c r="I111" s="282" t="s">
        <v>195</v>
      </c>
      <c r="J111" s="295">
        <v>44990</v>
      </c>
      <c r="K111" s="306">
        <v>0.5</v>
      </c>
      <c r="L111" s="315">
        <v>22495</v>
      </c>
      <c r="M111" s="194">
        <v>0</v>
      </c>
      <c r="N111" s="286">
        <f t="shared" si="7"/>
        <v>22495</v>
      </c>
      <c r="O111" s="292"/>
      <c r="P111" s="287"/>
    </row>
    <row r="112" spans="2:16" ht="18" customHeight="1">
      <c r="B112" s="282">
        <v>111</v>
      </c>
      <c r="C112" s="282"/>
      <c r="D112" s="297" t="s">
        <v>182</v>
      </c>
      <c r="E112" s="297" t="s">
        <v>115</v>
      </c>
      <c r="F112" s="299" t="s">
        <v>228</v>
      </c>
      <c r="G112" s="330" t="s">
        <v>231</v>
      </c>
      <c r="H112" s="291">
        <v>44180</v>
      </c>
      <c r="I112" s="282" t="s">
        <v>195</v>
      </c>
      <c r="J112" s="295">
        <v>12681</v>
      </c>
      <c r="K112" s="306">
        <v>0.5</v>
      </c>
      <c r="L112" s="315">
        <v>6340.5</v>
      </c>
      <c r="M112" s="194">
        <v>0</v>
      </c>
      <c r="N112" s="286">
        <f t="shared" si="7"/>
        <v>6340.5</v>
      </c>
      <c r="O112" s="292"/>
      <c r="P112" s="287"/>
    </row>
    <row r="113" spans="2:16" ht="18" customHeight="1">
      <c r="B113" s="282">
        <v>112</v>
      </c>
      <c r="C113" s="282" t="s">
        <v>238</v>
      </c>
      <c r="D113" s="297" t="s">
        <v>182</v>
      </c>
      <c r="E113" s="297" t="s">
        <v>9</v>
      </c>
      <c r="F113" s="299" t="s">
        <v>228</v>
      </c>
      <c r="G113" s="329" t="s">
        <v>151</v>
      </c>
      <c r="H113" s="291">
        <v>44207</v>
      </c>
      <c r="I113" s="282" t="s">
        <v>195</v>
      </c>
      <c r="J113" s="295">
        <v>403577</v>
      </c>
      <c r="K113" s="306">
        <v>0.5</v>
      </c>
      <c r="L113" s="315">
        <v>201788.5</v>
      </c>
      <c r="M113" s="274">
        <f t="shared" ref="M113:M119" si="8">L113*10%</f>
        <v>20178.850000000002</v>
      </c>
      <c r="N113" s="286">
        <f t="shared" si="7"/>
        <v>181609.65</v>
      </c>
      <c r="O113" s="292"/>
      <c r="P113" s="287"/>
    </row>
    <row r="114" spans="2:16" ht="18" customHeight="1">
      <c r="B114" s="282">
        <v>113</v>
      </c>
      <c r="C114" s="282" t="s">
        <v>238</v>
      </c>
      <c r="D114" s="297" t="s">
        <v>182</v>
      </c>
      <c r="E114" s="297" t="s">
        <v>9</v>
      </c>
      <c r="F114" s="299" t="s">
        <v>228</v>
      </c>
      <c r="G114" s="329" t="s">
        <v>225</v>
      </c>
      <c r="H114" s="291">
        <v>44357</v>
      </c>
      <c r="I114" s="282" t="s">
        <v>195</v>
      </c>
      <c r="J114" s="295">
        <v>75211</v>
      </c>
      <c r="K114" s="306">
        <v>0.5</v>
      </c>
      <c r="L114" s="315">
        <v>37605.5</v>
      </c>
      <c r="M114" s="274">
        <f t="shared" si="8"/>
        <v>3760.55</v>
      </c>
      <c r="N114" s="286">
        <f t="shared" si="7"/>
        <v>33844.949999999997</v>
      </c>
      <c r="O114" s="301"/>
      <c r="P114" s="287"/>
    </row>
    <row r="115" spans="2:16" ht="18" customHeight="1">
      <c r="B115" s="282">
        <v>114</v>
      </c>
      <c r="C115" s="282" t="s">
        <v>238</v>
      </c>
      <c r="D115" s="297" t="s">
        <v>182</v>
      </c>
      <c r="E115" s="297" t="s">
        <v>115</v>
      </c>
      <c r="F115" s="299" t="s">
        <v>228</v>
      </c>
      <c r="G115" s="329" t="s">
        <v>204</v>
      </c>
      <c r="H115" s="291">
        <v>44365</v>
      </c>
      <c r="I115" s="282" t="s">
        <v>195</v>
      </c>
      <c r="J115" s="295">
        <v>457484</v>
      </c>
      <c r="K115" s="306">
        <v>0.5</v>
      </c>
      <c r="L115" s="315">
        <v>228742</v>
      </c>
      <c r="M115" s="194">
        <f t="shared" si="8"/>
        <v>22874.2</v>
      </c>
      <c r="N115" s="286">
        <f t="shared" si="7"/>
        <v>205867.8</v>
      </c>
      <c r="O115" s="292"/>
      <c r="P115" s="287"/>
    </row>
    <row r="116" spans="2:16" ht="18" customHeight="1">
      <c r="B116" s="282">
        <v>115</v>
      </c>
      <c r="C116" s="282" t="s">
        <v>238</v>
      </c>
      <c r="D116" s="297" t="s">
        <v>182</v>
      </c>
      <c r="E116" s="297" t="s">
        <v>9</v>
      </c>
      <c r="F116" s="299" t="s">
        <v>228</v>
      </c>
      <c r="G116" s="329" t="s">
        <v>226</v>
      </c>
      <c r="H116" s="291">
        <v>44371</v>
      </c>
      <c r="I116" s="282" t="s">
        <v>195</v>
      </c>
      <c r="J116" s="295">
        <v>30622</v>
      </c>
      <c r="K116" s="306">
        <v>0.5</v>
      </c>
      <c r="L116" s="315">
        <v>15311</v>
      </c>
      <c r="M116" s="274">
        <f t="shared" si="8"/>
        <v>1531.1000000000001</v>
      </c>
      <c r="N116" s="286">
        <f t="shared" si="7"/>
        <v>13779.9</v>
      </c>
      <c r="O116" s="301"/>
      <c r="P116" s="287"/>
    </row>
    <row r="117" spans="2:16" ht="18" customHeight="1">
      <c r="B117" s="282">
        <v>116</v>
      </c>
      <c r="C117" s="282" t="s">
        <v>238</v>
      </c>
      <c r="D117" s="297" t="s">
        <v>182</v>
      </c>
      <c r="E117" s="297" t="s">
        <v>9</v>
      </c>
      <c r="F117" s="299" t="s">
        <v>228</v>
      </c>
      <c r="G117" s="329" t="s">
        <v>191</v>
      </c>
      <c r="H117" s="291">
        <v>44372</v>
      </c>
      <c r="I117" s="282" t="s">
        <v>195</v>
      </c>
      <c r="J117" s="295">
        <v>4088894</v>
      </c>
      <c r="K117" s="306">
        <v>0.5</v>
      </c>
      <c r="L117" s="315">
        <v>2044447</v>
      </c>
      <c r="M117" s="194">
        <f t="shared" si="8"/>
        <v>204444.7</v>
      </c>
      <c r="N117" s="286">
        <f t="shared" si="7"/>
        <v>1840002.3</v>
      </c>
      <c r="O117" s="292"/>
      <c r="P117" s="287"/>
    </row>
    <row r="118" spans="2:16" ht="18" customHeight="1">
      <c r="B118" s="282">
        <v>117</v>
      </c>
      <c r="C118" s="282" t="s">
        <v>238</v>
      </c>
      <c r="D118" s="297" t="s">
        <v>182</v>
      </c>
      <c r="E118" s="297" t="s">
        <v>9</v>
      </c>
      <c r="F118" s="299" t="s">
        <v>228</v>
      </c>
      <c r="G118" s="324" t="s">
        <v>59</v>
      </c>
      <c r="H118" s="300">
        <v>44392</v>
      </c>
      <c r="I118" s="282" t="s">
        <v>195</v>
      </c>
      <c r="J118" s="295">
        <v>6466969</v>
      </c>
      <c r="K118" s="306">
        <v>0.5</v>
      </c>
      <c r="L118" s="315">
        <v>3233484.5</v>
      </c>
      <c r="M118" s="274">
        <f t="shared" si="8"/>
        <v>323348.45</v>
      </c>
      <c r="N118" s="286">
        <f t="shared" si="7"/>
        <v>2910136.05</v>
      </c>
      <c r="O118" s="292"/>
      <c r="P118" s="287"/>
    </row>
    <row r="119" spans="2:16" ht="18" customHeight="1">
      <c r="B119" s="282">
        <v>118</v>
      </c>
      <c r="C119" s="282" t="s">
        <v>238</v>
      </c>
      <c r="D119" s="297" t="s">
        <v>182</v>
      </c>
      <c r="E119" s="307" t="s">
        <v>9</v>
      </c>
      <c r="F119" s="299" t="s">
        <v>228</v>
      </c>
      <c r="G119" s="329" t="s">
        <v>227</v>
      </c>
      <c r="H119" s="291">
        <v>44439</v>
      </c>
      <c r="I119" s="282" t="s">
        <v>195</v>
      </c>
      <c r="J119" s="295">
        <v>4754</v>
      </c>
      <c r="K119" s="306">
        <v>0.5</v>
      </c>
      <c r="L119" s="315">
        <v>2377</v>
      </c>
      <c r="M119" s="194">
        <f t="shared" si="8"/>
        <v>237.70000000000002</v>
      </c>
      <c r="N119" s="286">
        <f t="shared" si="7"/>
        <v>2139.3000000000002</v>
      </c>
      <c r="O119" s="292"/>
      <c r="P119" s="287"/>
    </row>
    <row r="120" spans="2:16" ht="18" customHeight="1">
      <c r="B120" s="282">
        <v>119</v>
      </c>
      <c r="C120" s="282"/>
      <c r="D120" s="297" t="s">
        <v>182</v>
      </c>
      <c r="E120" s="307" t="s">
        <v>115</v>
      </c>
      <c r="F120" s="299" t="s">
        <v>228</v>
      </c>
      <c r="G120" s="329" t="s">
        <v>202</v>
      </c>
      <c r="H120" s="300">
        <v>44463</v>
      </c>
      <c r="I120" s="282" t="s">
        <v>195</v>
      </c>
      <c r="J120" s="295">
        <v>36863</v>
      </c>
      <c r="K120" s="306">
        <v>0.5</v>
      </c>
      <c r="L120" s="315">
        <v>18431.5</v>
      </c>
      <c r="M120" s="194">
        <v>0</v>
      </c>
      <c r="N120" s="286">
        <f t="shared" si="7"/>
        <v>18431.5</v>
      </c>
      <c r="O120" s="292"/>
      <c r="P120" s="287"/>
    </row>
    <row r="121" spans="2:16" ht="18" customHeight="1">
      <c r="B121" s="282">
        <v>120</v>
      </c>
      <c r="C121" s="282" t="s">
        <v>238</v>
      </c>
      <c r="D121" s="297" t="s">
        <v>182</v>
      </c>
      <c r="E121" s="297" t="s">
        <v>9</v>
      </c>
      <c r="F121" s="299" t="s">
        <v>228</v>
      </c>
      <c r="G121" s="331" t="s">
        <v>38</v>
      </c>
      <c r="H121" s="300">
        <v>44491</v>
      </c>
      <c r="I121" s="282" t="s">
        <v>195</v>
      </c>
      <c r="J121" s="295">
        <v>175477</v>
      </c>
      <c r="K121" s="306">
        <v>0.5</v>
      </c>
      <c r="L121" s="315">
        <v>87738.5</v>
      </c>
      <c r="M121" s="274">
        <f>L121*10%</f>
        <v>8773.85</v>
      </c>
      <c r="N121" s="286">
        <f t="shared" si="7"/>
        <v>78964.649999999994</v>
      </c>
      <c r="O121" s="301"/>
      <c r="P121" s="287"/>
    </row>
    <row r="122" spans="2:16" ht="18" customHeight="1">
      <c r="B122" s="282">
        <v>121</v>
      </c>
      <c r="C122" s="282" t="s">
        <v>238</v>
      </c>
      <c r="D122" s="297" t="s">
        <v>182</v>
      </c>
      <c r="E122" s="297" t="s">
        <v>9</v>
      </c>
      <c r="F122" s="299" t="s">
        <v>259</v>
      </c>
      <c r="G122" s="329" t="s">
        <v>54</v>
      </c>
      <c r="H122" s="310">
        <v>44271</v>
      </c>
      <c r="I122" s="282" t="s">
        <v>195</v>
      </c>
      <c r="J122" s="295">
        <v>451620</v>
      </c>
      <c r="K122" s="306">
        <v>0.5</v>
      </c>
      <c r="L122" s="315">
        <v>225810</v>
      </c>
      <c r="M122" s="274">
        <f>L122*10%</f>
        <v>22581</v>
      </c>
      <c r="N122" s="286">
        <f t="shared" si="7"/>
        <v>203229</v>
      </c>
      <c r="O122" s="292"/>
      <c r="P122" s="287"/>
    </row>
    <row r="123" spans="2:16" ht="18" customHeight="1">
      <c r="B123" s="282">
        <v>122</v>
      </c>
      <c r="C123" s="282" t="s">
        <v>238</v>
      </c>
      <c r="D123" s="297" t="s">
        <v>182</v>
      </c>
      <c r="E123" s="297" t="s">
        <v>9</v>
      </c>
      <c r="F123" s="299" t="s">
        <v>259</v>
      </c>
      <c r="G123" s="329" t="s">
        <v>29</v>
      </c>
      <c r="H123" s="310">
        <v>44273</v>
      </c>
      <c r="I123" s="282" t="s">
        <v>195</v>
      </c>
      <c r="J123" s="295">
        <v>914940</v>
      </c>
      <c r="K123" s="306">
        <v>0.5</v>
      </c>
      <c r="L123" s="315">
        <v>457470</v>
      </c>
      <c r="M123" s="274">
        <f>L123*10%</f>
        <v>45747</v>
      </c>
      <c r="N123" s="286">
        <f t="shared" si="7"/>
        <v>411723</v>
      </c>
      <c r="O123" s="292"/>
      <c r="P123" s="287"/>
    </row>
    <row r="124" spans="2:16" ht="18" customHeight="1">
      <c r="B124" s="282">
        <v>123</v>
      </c>
      <c r="C124" s="282" t="s">
        <v>238</v>
      </c>
      <c r="D124" s="297" t="s">
        <v>182</v>
      </c>
      <c r="E124" s="297" t="s">
        <v>9</v>
      </c>
      <c r="F124" s="299" t="s">
        <v>259</v>
      </c>
      <c r="G124" s="329" t="s">
        <v>28</v>
      </c>
      <c r="H124" s="310">
        <v>44280</v>
      </c>
      <c r="I124" s="282" t="s">
        <v>195</v>
      </c>
      <c r="J124" s="295">
        <v>3378840</v>
      </c>
      <c r="K124" s="306">
        <v>0.5</v>
      </c>
      <c r="L124" s="315">
        <v>1689420</v>
      </c>
      <c r="M124" s="194">
        <f>L124*12%</f>
        <v>202730.4</v>
      </c>
      <c r="N124" s="286">
        <f t="shared" si="7"/>
        <v>1486689.6</v>
      </c>
      <c r="O124" s="292"/>
      <c r="P124" s="287"/>
    </row>
    <row r="125" spans="2:16" ht="18" customHeight="1">
      <c r="B125" s="282">
        <v>124</v>
      </c>
      <c r="C125" s="282"/>
      <c r="D125" s="297" t="s">
        <v>182</v>
      </c>
      <c r="E125" s="297" t="s">
        <v>9</v>
      </c>
      <c r="F125" s="299" t="s">
        <v>259</v>
      </c>
      <c r="G125" s="329" t="s">
        <v>42</v>
      </c>
      <c r="H125" s="310">
        <v>44287</v>
      </c>
      <c r="I125" s="282" t="s">
        <v>195</v>
      </c>
      <c r="J125" s="295">
        <v>6515460</v>
      </c>
      <c r="K125" s="306">
        <v>0.5</v>
      </c>
      <c r="L125" s="315">
        <v>3257730</v>
      </c>
      <c r="M125" s="194">
        <f>L125*10%</f>
        <v>325773</v>
      </c>
      <c r="N125" s="286">
        <f t="shared" si="7"/>
        <v>2931957</v>
      </c>
      <c r="O125" s="72" t="s">
        <v>85</v>
      </c>
      <c r="P125" s="287"/>
    </row>
    <row r="126" spans="2:16" ht="18" customHeight="1">
      <c r="B126" s="282">
        <v>125</v>
      </c>
      <c r="C126" s="282" t="s">
        <v>238</v>
      </c>
      <c r="D126" s="297" t="s">
        <v>182</v>
      </c>
      <c r="E126" s="297" t="s">
        <v>9</v>
      </c>
      <c r="F126" s="299" t="s">
        <v>259</v>
      </c>
      <c r="G126" s="329" t="s">
        <v>30</v>
      </c>
      <c r="H126" s="310">
        <v>44357</v>
      </c>
      <c r="I126" s="282" t="s">
        <v>195</v>
      </c>
      <c r="J126" s="295">
        <v>3005940</v>
      </c>
      <c r="K126" s="306">
        <v>0.5</v>
      </c>
      <c r="L126" s="315">
        <v>1502970</v>
      </c>
      <c r="M126" s="274">
        <f>L126*10%</f>
        <v>150297</v>
      </c>
      <c r="N126" s="286">
        <f t="shared" si="7"/>
        <v>1352673</v>
      </c>
      <c r="O126" s="292"/>
      <c r="P126" s="287"/>
    </row>
    <row r="127" spans="2:16" ht="18" customHeight="1">
      <c r="B127" s="282">
        <v>126</v>
      </c>
      <c r="C127" s="282"/>
      <c r="D127" s="297" t="s">
        <v>182</v>
      </c>
      <c r="E127" s="297" t="s">
        <v>115</v>
      </c>
      <c r="F127" s="299" t="s">
        <v>259</v>
      </c>
      <c r="G127" s="329" t="s">
        <v>147</v>
      </c>
      <c r="H127" s="310">
        <v>44271</v>
      </c>
      <c r="I127" s="282" t="s">
        <v>195</v>
      </c>
      <c r="J127" s="295">
        <v>3081060</v>
      </c>
      <c r="K127" s="306">
        <v>0.5</v>
      </c>
      <c r="L127" s="315">
        <v>1540530</v>
      </c>
      <c r="M127" s="194">
        <v>0</v>
      </c>
      <c r="N127" s="286">
        <f t="shared" si="7"/>
        <v>1540530</v>
      </c>
      <c r="O127" s="292"/>
      <c r="P127" s="287"/>
    </row>
    <row r="128" spans="2:16" ht="18" customHeight="1">
      <c r="B128" s="282">
        <v>127</v>
      </c>
      <c r="C128" s="282" t="s">
        <v>238</v>
      </c>
      <c r="D128" s="297" t="s">
        <v>182</v>
      </c>
      <c r="E128" s="297" t="s">
        <v>9</v>
      </c>
      <c r="F128" s="299" t="s">
        <v>259</v>
      </c>
      <c r="G128" s="329" t="s">
        <v>225</v>
      </c>
      <c r="H128" s="310">
        <v>44358</v>
      </c>
      <c r="I128" s="282" t="s">
        <v>195</v>
      </c>
      <c r="J128" s="295">
        <v>693360</v>
      </c>
      <c r="K128" s="306">
        <v>0.5</v>
      </c>
      <c r="L128" s="315">
        <v>346680</v>
      </c>
      <c r="M128" s="274">
        <f>L128*10%</f>
        <v>34668</v>
      </c>
      <c r="N128" s="286">
        <f t="shared" si="7"/>
        <v>312012</v>
      </c>
      <c r="O128" s="292"/>
      <c r="P128" s="287"/>
    </row>
    <row r="129" spans="2:16" ht="18" customHeight="1">
      <c r="B129" s="282">
        <v>128</v>
      </c>
      <c r="C129" s="282" t="s">
        <v>238</v>
      </c>
      <c r="D129" s="297" t="s">
        <v>182</v>
      </c>
      <c r="E129" s="297" t="s">
        <v>9</v>
      </c>
      <c r="F129" s="299" t="s">
        <v>259</v>
      </c>
      <c r="G129" s="329" t="s">
        <v>191</v>
      </c>
      <c r="H129" s="310">
        <v>44392</v>
      </c>
      <c r="I129" s="282" t="s">
        <v>195</v>
      </c>
      <c r="J129" s="295">
        <v>6247800</v>
      </c>
      <c r="K129" s="306">
        <v>0.5</v>
      </c>
      <c r="L129" s="315">
        <v>3123900</v>
      </c>
      <c r="M129" s="194">
        <f>L129*10%</f>
        <v>312390</v>
      </c>
      <c r="N129" s="286">
        <f t="shared" si="7"/>
        <v>2811510</v>
      </c>
      <c r="O129" s="292"/>
      <c r="P129" s="287"/>
    </row>
    <row r="130" spans="2:16" ht="18" customHeight="1">
      <c r="B130" s="282">
        <v>129</v>
      </c>
      <c r="C130" s="282"/>
      <c r="D130" s="297" t="s">
        <v>252</v>
      </c>
      <c r="E130" s="307" t="s">
        <v>9</v>
      </c>
      <c r="F130" s="297" t="s">
        <v>73</v>
      </c>
      <c r="G130" s="307" t="s">
        <v>179</v>
      </c>
      <c r="H130" s="325">
        <v>44198</v>
      </c>
      <c r="I130" s="282" t="s">
        <v>195</v>
      </c>
      <c r="J130" s="295">
        <v>87238804</v>
      </c>
      <c r="K130" s="296">
        <v>0.224</v>
      </c>
      <c r="L130" s="315">
        <v>17587343</v>
      </c>
      <c r="M130" s="194">
        <f>L130*10%</f>
        <v>1758734.3</v>
      </c>
      <c r="N130" s="286">
        <f t="shared" si="7"/>
        <v>15828608.699999999</v>
      </c>
      <c r="O130" s="72" t="s">
        <v>85</v>
      </c>
      <c r="P130" s="287"/>
    </row>
    <row r="131" spans="2:16" ht="18" customHeight="1">
      <c r="B131" s="282">
        <v>130</v>
      </c>
      <c r="C131" s="282" t="s">
        <v>238</v>
      </c>
      <c r="D131" s="297" t="s">
        <v>252</v>
      </c>
      <c r="E131" s="307" t="s">
        <v>9</v>
      </c>
      <c r="F131" s="297" t="s">
        <v>73</v>
      </c>
      <c r="G131" s="307" t="s">
        <v>28</v>
      </c>
      <c r="H131" s="325">
        <v>44228</v>
      </c>
      <c r="I131" s="282" t="s">
        <v>195</v>
      </c>
      <c r="J131" s="295">
        <v>11464919</v>
      </c>
      <c r="K131" s="296">
        <v>0.224</v>
      </c>
      <c r="L131" s="315">
        <v>2311334</v>
      </c>
      <c r="M131" s="194">
        <f>L131*12%</f>
        <v>277360.08</v>
      </c>
      <c r="N131" s="286">
        <f t="shared" si="7"/>
        <v>2033973.92</v>
      </c>
      <c r="O131" s="292"/>
      <c r="P131" s="287"/>
    </row>
    <row r="132" spans="2:16" ht="18" customHeight="1">
      <c r="B132" s="282">
        <v>131</v>
      </c>
      <c r="C132" s="282" t="s">
        <v>238</v>
      </c>
      <c r="D132" s="297" t="s">
        <v>252</v>
      </c>
      <c r="E132" s="307" t="s">
        <v>9</v>
      </c>
      <c r="F132" s="297" t="s">
        <v>73</v>
      </c>
      <c r="G132" s="307" t="s">
        <v>54</v>
      </c>
      <c r="H132" s="325">
        <v>44265</v>
      </c>
      <c r="I132" s="282" t="s">
        <v>195</v>
      </c>
      <c r="J132" s="295">
        <v>1401443</v>
      </c>
      <c r="K132" s="296">
        <v>0.224</v>
      </c>
      <c r="L132" s="315">
        <v>282534</v>
      </c>
      <c r="M132" s="274">
        <f>L132*10%</f>
        <v>28253.4</v>
      </c>
      <c r="N132" s="286">
        <f t="shared" si="7"/>
        <v>254280.6</v>
      </c>
      <c r="O132" s="292"/>
      <c r="P132" s="287"/>
    </row>
    <row r="133" spans="2:16" ht="18" customHeight="1">
      <c r="B133" s="282">
        <v>132</v>
      </c>
      <c r="C133" s="282" t="s">
        <v>238</v>
      </c>
      <c r="D133" s="297" t="s">
        <v>252</v>
      </c>
      <c r="E133" s="307" t="s">
        <v>9</v>
      </c>
      <c r="F133" s="297" t="s">
        <v>73</v>
      </c>
      <c r="G133" s="307" t="s">
        <v>29</v>
      </c>
      <c r="H133" s="325">
        <v>44315</v>
      </c>
      <c r="I133" s="282" t="s">
        <v>195</v>
      </c>
      <c r="J133" s="295">
        <v>7340116</v>
      </c>
      <c r="K133" s="296">
        <v>0.224</v>
      </c>
      <c r="L133" s="315">
        <v>1479769</v>
      </c>
      <c r="M133" s="274">
        <f>L133*10%</f>
        <v>147976.9</v>
      </c>
      <c r="N133" s="286">
        <f t="shared" ref="N133:N140" si="9">L133-M133</f>
        <v>1331792.1000000001</v>
      </c>
      <c r="O133" s="301"/>
      <c r="P133" s="287"/>
    </row>
    <row r="134" spans="2:16" ht="18" customHeight="1">
      <c r="B134" s="282">
        <v>133</v>
      </c>
      <c r="C134" s="282" t="s">
        <v>238</v>
      </c>
      <c r="D134" s="297" t="s">
        <v>252</v>
      </c>
      <c r="E134" s="307" t="s">
        <v>9</v>
      </c>
      <c r="F134" s="297" t="s">
        <v>73</v>
      </c>
      <c r="G134" s="307" t="s">
        <v>30</v>
      </c>
      <c r="H134" s="325">
        <v>44359</v>
      </c>
      <c r="I134" s="282" t="s">
        <v>195</v>
      </c>
      <c r="J134" s="295">
        <v>24565510</v>
      </c>
      <c r="K134" s="296">
        <v>0.224</v>
      </c>
      <c r="L134" s="315">
        <v>4952414</v>
      </c>
      <c r="M134" s="274">
        <f>L134*10%</f>
        <v>495241.4</v>
      </c>
      <c r="N134" s="286">
        <f t="shared" si="9"/>
        <v>4457172.5999999996</v>
      </c>
      <c r="O134" s="292"/>
      <c r="P134" s="287"/>
    </row>
    <row r="135" spans="2:16" ht="18" customHeight="1">
      <c r="B135" s="282">
        <v>134</v>
      </c>
      <c r="C135" s="282" t="s">
        <v>238</v>
      </c>
      <c r="D135" s="297" t="s">
        <v>252</v>
      </c>
      <c r="E135" s="307" t="s">
        <v>9</v>
      </c>
      <c r="F135" s="297" t="s">
        <v>73</v>
      </c>
      <c r="G135" s="307" t="s">
        <v>212</v>
      </c>
      <c r="H135" s="325">
        <v>44378</v>
      </c>
      <c r="I135" s="282" t="s">
        <v>195</v>
      </c>
      <c r="J135" s="295">
        <v>205371940</v>
      </c>
      <c r="K135" s="296">
        <v>0.24</v>
      </c>
      <c r="L135" s="315">
        <v>44360341</v>
      </c>
      <c r="M135" s="194">
        <f>L135*10%</f>
        <v>4436034.1000000006</v>
      </c>
      <c r="N135" s="286">
        <f t="shared" si="9"/>
        <v>39924306.899999999</v>
      </c>
      <c r="O135" s="292"/>
      <c r="P135" s="287"/>
    </row>
    <row r="136" spans="2:16" ht="18" customHeight="1">
      <c r="B136" s="282">
        <v>135</v>
      </c>
      <c r="C136" s="282"/>
      <c r="D136" s="297" t="s">
        <v>252</v>
      </c>
      <c r="E136" s="307" t="s">
        <v>9</v>
      </c>
      <c r="F136" s="297" t="s">
        <v>73</v>
      </c>
      <c r="G136" s="307" t="s">
        <v>147</v>
      </c>
      <c r="H136" s="325">
        <v>44435</v>
      </c>
      <c r="I136" s="282" t="s">
        <v>195</v>
      </c>
      <c r="J136" s="295">
        <v>10761005</v>
      </c>
      <c r="K136" s="296">
        <v>0.224</v>
      </c>
      <c r="L136" s="315">
        <v>2169425</v>
      </c>
      <c r="M136" s="194">
        <v>0</v>
      </c>
      <c r="N136" s="286">
        <f t="shared" si="9"/>
        <v>2169425</v>
      </c>
      <c r="O136" s="292"/>
      <c r="P136" s="287"/>
    </row>
    <row r="137" spans="2:16" ht="18" customHeight="1">
      <c r="B137" s="282">
        <v>136</v>
      </c>
      <c r="C137" s="282" t="s">
        <v>238</v>
      </c>
      <c r="D137" s="297" t="s">
        <v>252</v>
      </c>
      <c r="E137" s="307" t="s">
        <v>9</v>
      </c>
      <c r="F137" s="297" t="s">
        <v>73</v>
      </c>
      <c r="G137" s="307" t="s">
        <v>225</v>
      </c>
      <c r="H137" s="325">
        <v>44479</v>
      </c>
      <c r="I137" s="282" t="s">
        <v>195</v>
      </c>
      <c r="J137" s="295">
        <v>13525733</v>
      </c>
      <c r="K137" s="296">
        <v>0.224</v>
      </c>
      <c r="L137" s="315">
        <v>2754368</v>
      </c>
      <c r="M137" s="274">
        <f>L137*10%</f>
        <v>275436.79999999999</v>
      </c>
      <c r="N137" s="286">
        <f t="shared" si="9"/>
        <v>2478931.2000000002</v>
      </c>
      <c r="O137" s="292"/>
      <c r="P137" s="287"/>
    </row>
    <row r="138" spans="2:16" ht="18" customHeight="1">
      <c r="B138" s="282">
        <v>136</v>
      </c>
      <c r="C138" s="282" t="s">
        <v>238</v>
      </c>
      <c r="D138" s="297" t="s">
        <v>214</v>
      </c>
      <c r="E138" s="307" t="s">
        <v>9</v>
      </c>
      <c r="F138" s="297" t="s">
        <v>260</v>
      </c>
      <c r="G138" s="282" t="s">
        <v>258</v>
      </c>
      <c r="H138" s="300">
        <v>44492</v>
      </c>
      <c r="I138" s="282" t="s">
        <v>195</v>
      </c>
      <c r="J138" s="295">
        <v>106887</v>
      </c>
      <c r="K138" s="296">
        <v>0.5</v>
      </c>
      <c r="L138" s="315">
        <v>45013</v>
      </c>
      <c r="M138" s="274">
        <f>L138*10%</f>
        <v>4501.3</v>
      </c>
      <c r="N138" s="286">
        <f t="shared" si="9"/>
        <v>40511.699999999997</v>
      </c>
      <c r="O138" s="298" t="s">
        <v>261</v>
      </c>
      <c r="P138" s="287"/>
    </row>
    <row r="139" spans="2:16" ht="18" customHeight="1">
      <c r="B139" s="634">
        <v>137</v>
      </c>
      <c r="C139" s="634" t="s">
        <v>238</v>
      </c>
      <c r="D139" s="634" t="s">
        <v>182</v>
      </c>
      <c r="E139" s="635" t="s">
        <v>115</v>
      </c>
      <c r="F139" s="634" t="s">
        <v>264</v>
      </c>
      <c r="G139" s="634" t="s">
        <v>258</v>
      </c>
      <c r="H139" s="636">
        <v>44421</v>
      </c>
      <c r="I139" s="634" t="s">
        <v>203</v>
      </c>
      <c r="J139" s="637">
        <f>L139</f>
        <v>49000000</v>
      </c>
      <c r="K139" s="634" t="s">
        <v>203</v>
      </c>
      <c r="L139" s="638">
        <v>49000000</v>
      </c>
      <c r="M139" s="639">
        <f>L139*10%</f>
        <v>4900000</v>
      </c>
      <c r="N139" s="640">
        <f t="shared" si="9"/>
        <v>44100000</v>
      </c>
      <c r="O139" s="641" t="s">
        <v>527</v>
      </c>
      <c r="P139" s="282"/>
    </row>
    <row r="140" spans="2:16" ht="18" customHeight="1">
      <c r="B140" s="634">
        <v>138</v>
      </c>
      <c r="C140" s="634" t="s">
        <v>238</v>
      </c>
      <c r="D140" s="634" t="s">
        <v>182</v>
      </c>
      <c r="E140" s="635" t="s">
        <v>115</v>
      </c>
      <c r="F140" s="634" t="s">
        <v>264</v>
      </c>
      <c r="G140" s="634" t="s">
        <v>256</v>
      </c>
      <c r="H140" s="634" t="s">
        <v>203</v>
      </c>
      <c r="I140" s="634" t="s">
        <v>203</v>
      </c>
      <c r="J140" s="637">
        <f>L140</f>
        <v>35000000</v>
      </c>
      <c r="K140" s="634" t="s">
        <v>203</v>
      </c>
      <c r="L140" s="638">
        <v>35000000</v>
      </c>
      <c r="M140" s="639">
        <f>L140*10%</f>
        <v>3500000</v>
      </c>
      <c r="N140" s="640">
        <f t="shared" si="9"/>
        <v>31500000</v>
      </c>
      <c r="O140" s="641" t="s">
        <v>528</v>
      </c>
      <c r="P140" s="282"/>
    </row>
    <row r="141" spans="2:16">
      <c r="F141" s="332"/>
      <c r="L141" s="317"/>
      <c r="M141" s="316"/>
    </row>
  </sheetData>
  <autoFilter ref="B4:P140" xr:uid="{00000000-0001-0000-0000-000000000000}">
    <sortState xmlns:xlrd2="http://schemas.microsoft.com/office/spreadsheetml/2017/richdata2" ref="B5:P138">
      <sortCondition sortBy="fontColor" ref="G4:G138" dxfId="0"/>
    </sortState>
  </autoFilter>
  <sortState xmlns:xlrd2="http://schemas.microsoft.com/office/spreadsheetml/2017/richdata2" ref="B5:P138">
    <sortCondition ref="B5:B138"/>
  </sortState>
  <mergeCells count="1">
    <mergeCell ref="O2:P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9B3B-9B99-45E7-89C6-28F5B2AD8F02}">
  <sheetPr filterMode="1"/>
  <dimension ref="B1:P167"/>
  <sheetViews>
    <sheetView showGridLines="0" zoomScaleNormal="100" workbookViewId="0">
      <pane xSplit="7" ySplit="4" topLeftCell="H40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7.69921875" style="7" customWidth="1"/>
    <col min="4" max="4" width="12.3984375" style="7" customWidth="1"/>
    <col min="5" max="5" width="8.59765625" style="186" customWidth="1"/>
    <col min="6" max="6" width="16.8984375" style="7" customWidth="1"/>
    <col min="7" max="7" width="28" customWidth="1"/>
    <col min="8" max="8" width="14.59765625" customWidth="1"/>
    <col min="9" max="9" width="13.59765625" customWidth="1"/>
    <col min="10" max="10" width="11.59765625" customWidth="1"/>
    <col min="11" max="11" width="11.59765625" style="7" customWidth="1"/>
    <col min="12" max="14" width="13.59765625" customWidth="1"/>
    <col min="15" max="15" width="37.59765625" style="18" customWidth="1"/>
    <col min="16" max="16" width="43" style="184" customWidth="1"/>
    <col min="17" max="17" width="28.19921875" customWidth="1"/>
  </cols>
  <sheetData>
    <row r="1" spans="2:16" ht="16.5" customHeight="1"/>
    <row r="2" spans="2:16" ht="30" customHeight="1" thickBot="1">
      <c r="B2" s="4" t="s">
        <v>241</v>
      </c>
      <c r="C2" s="4"/>
      <c r="D2" s="4"/>
      <c r="E2" s="187"/>
      <c r="F2" s="4"/>
      <c r="J2" s="200" t="s">
        <v>88</v>
      </c>
      <c r="K2"/>
      <c r="L2" s="199" t="s">
        <v>196</v>
      </c>
      <c r="O2" s="685" t="s">
        <v>240</v>
      </c>
      <c r="P2" s="686"/>
    </row>
    <row r="3" spans="2:16" s="6" customFormat="1" ht="18.600000000000001" thickTop="1" thickBot="1">
      <c r="B3" s="8"/>
      <c r="C3" s="8"/>
      <c r="D3" s="8"/>
      <c r="E3" s="188"/>
      <c r="F3" s="8"/>
      <c r="K3" s="8"/>
      <c r="L3" s="173">
        <f>SUM(L5:L166)</f>
        <v>508170524.69999999</v>
      </c>
      <c r="M3" s="173">
        <f>SUM(M5:M166)</f>
        <v>46166409.969999984</v>
      </c>
      <c r="N3" s="173">
        <f>SUM(N5:N166)</f>
        <v>462004114.73000002</v>
      </c>
      <c r="O3" s="19"/>
      <c r="P3" s="185"/>
    </row>
    <row r="4" spans="2:16" s="9" customFormat="1" ht="24" customHeight="1" thickBot="1">
      <c r="B4" s="10" t="s">
        <v>7</v>
      </c>
      <c r="C4" s="15" t="s">
        <v>237</v>
      </c>
      <c r="D4" s="1" t="s">
        <v>76</v>
      </c>
      <c r="E4" s="3" t="s">
        <v>3</v>
      </c>
      <c r="F4" s="1" t="s">
        <v>0</v>
      </c>
      <c r="G4" s="2" t="s">
        <v>4</v>
      </c>
      <c r="H4" s="3" t="s">
        <v>5</v>
      </c>
      <c r="I4" s="3" t="s">
        <v>6</v>
      </c>
      <c r="J4" s="3" t="s">
        <v>2</v>
      </c>
      <c r="K4" s="5" t="s">
        <v>1</v>
      </c>
      <c r="L4" s="5" t="s">
        <v>88</v>
      </c>
      <c r="M4" s="20" t="s">
        <v>232</v>
      </c>
      <c r="N4" s="20" t="s">
        <v>233</v>
      </c>
      <c r="O4" s="20" t="s">
        <v>82</v>
      </c>
      <c r="P4" s="20" t="s">
        <v>101</v>
      </c>
    </row>
    <row r="5" spans="2:16" ht="18" hidden="1" customHeight="1">
      <c r="B5" s="233">
        <v>1</v>
      </c>
      <c r="C5" s="234"/>
      <c r="D5" s="235" t="s">
        <v>78</v>
      </c>
      <c r="E5" s="236" t="s">
        <v>9</v>
      </c>
      <c r="F5" s="235" t="s">
        <v>118</v>
      </c>
      <c r="G5" s="235" t="s">
        <v>36</v>
      </c>
      <c r="H5" s="237">
        <v>43810</v>
      </c>
      <c r="I5" s="235" t="s">
        <v>195</v>
      </c>
      <c r="J5" s="238">
        <v>6367140</v>
      </c>
      <c r="K5" s="239" t="s">
        <v>165</v>
      </c>
      <c r="L5" s="240">
        <v>2566917</v>
      </c>
      <c r="M5" s="240">
        <v>0</v>
      </c>
      <c r="N5" s="241">
        <f t="shared" ref="N5:N36" si="0">L5-M5</f>
        <v>2566917</v>
      </c>
      <c r="O5" s="189"/>
      <c r="P5" s="190"/>
    </row>
    <row r="6" spans="2:16" ht="18" hidden="1" customHeight="1">
      <c r="B6" s="242">
        <v>2</v>
      </c>
      <c r="C6" s="243"/>
      <c r="D6" s="246" t="s">
        <v>78</v>
      </c>
      <c r="E6" s="260" t="s">
        <v>9</v>
      </c>
      <c r="F6" s="246" t="s">
        <v>118</v>
      </c>
      <c r="G6" s="246" t="s">
        <v>139</v>
      </c>
      <c r="H6" s="261">
        <v>43852</v>
      </c>
      <c r="I6" s="246" t="s">
        <v>195</v>
      </c>
      <c r="J6" s="262">
        <v>104220</v>
      </c>
      <c r="K6" s="263" t="s">
        <v>165</v>
      </c>
      <c r="L6" s="250">
        <v>40203</v>
      </c>
      <c r="M6" s="250">
        <v>0</v>
      </c>
      <c r="N6" s="252">
        <f t="shared" si="0"/>
        <v>40203</v>
      </c>
      <c r="O6" s="191"/>
      <c r="P6" s="192"/>
    </row>
    <row r="7" spans="2:16" ht="18" hidden="1" customHeight="1">
      <c r="B7" s="202">
        <v>3</v>
      </c>
      <c r="C7" s="203"/>
      <c r="D7" s="206" t="s">
        <v>78</v>
      </c>
      <c r="E7" s="224" t="s">
        <v>9</v>
      </c>
      <c r="F7" s="206" t="s">
        <v>118</v>
      </c>
      <c r="G7" s="206" t="s">
        <v>19</v>
      </c>
      <c r="H7" s="215">
        <v>44328</v>
      </c>
      <c r="I7" s="206" t="s">
        <v>195</v>
      </c>
      <c r="J7" s="225">
        <v>983520</v>
      </c>
      <c r="K7" s="217" t="s">
        <v>120</v>
      </c>
      <c r="L7" s="210">
        <v>469843.20000000001</v>
      </c>
      <c r="M7" s="210">
        <v>0</v>
      </c>
      <c r="N7" s="212">
        <f t="shared" si="0"/>
        <v>469843.20000000001</v>
      </c>
      <c r="O7" s="193"/>
      <c r="P7" s="192" t="s">
        <v>158</v>
      </c>
    </row>
    <row r="8" spans="2:16" ht="18" hidden="1" customHeight="1">
      <c r="B8" s="202">
        <v>4</v>
      </c>
      <c r="C8" s="203"/>
      <c r="D8" s="206" t="s">
        <v>78</v>
      </c>
      <c r="E8" s="224" t="s">
        <v>20</v>
      </c>
      <c r="F8" s="206" t="s">
        <v>197</v>
      </c>
      <c r="G8" s="206" t="s">
        <v>19</v>
      </c>
      <c r="H8" s="218">
        <v>44328</v>
      </c>
      <c r="I8" s="206" t="s">
        <v>195</v>
      </c>
      <c r="J8" s="219">
        <v>49500</v>
      </c>
      <c r="K8" s="226">
        <v>0.7</v>
      </c>
      <c r="L8" s="210">
        <v>34650</v>
      </c>
      <c r="M8" s="210">
        <v>0</v>
      </c>
      <c r="N8" s="212">
        <f t="shared" si="0"/>
        <v>34650</v>
      </c>
      <c r="O8" s="191"/>
      <c r="P8" s="192" t="s">
        <v>158</v>
      </c>
    </row>
    <row r="9" spans="2:16" ht="18" hidden="1" customHeight="1">
      <c r="B9" s="242">
        <v>5</v>
      </c>
      <c r="C9" s="243" t="s">
        <v>238</v>
      </c>
      <c r="D9" s="246" t="s">
        <v>78</v>
      </c>
      <c r="E9" s="245" t="s">
        <v>198</v>
      </c>
      <c r="F9" s="246" t="s">
        <v>200</v>
      </c>
      <c r="G9" s="246" t="s">
        <v>199</v>
      </c>
      <c r="H9" s="258">
        <v>44469</v>
      </c>
      <c r="I9" s="246" t="s">
        <v>211</v>
      </c>
      <c r="J9" s="266">
        <v>13765000</v>
      </c>
      <c r="K9" s="259">
        <v>0.1</v>
      </c>
      <c r="L9" s="250">
        <v>1376500</v>
      </c>
      <c r="M9" s="250">
        <f>ROUND(L9*10%,0)</f>
        <v>137650</v>
      </c>
      <c r="N9" s="252">
        <f t="shared" si="0"/>
        <v>1238850</v>
      </c>
      <c r="O9" s="193"/>
      <c r="P9" s="192"/>
    </row>
    <row r="10" spans="2:16" ht="18" hidden="1" customHeight="1">
      <c r="B10" s="202">
        <v>6</v>
      </c>
      <c r="C10" s="203"/>
      <c r="D10" s="206" t="s">
        <v>78</v>
      </c>
      <c r="E10" s="214" t="s">
        <v>20</v>
      </c>
      <c r="F10" s="206" t="s">
        <v>201</v>
      </c>
      <c r="G10" s="206" t="s">
        <v>202</v>
      </c>
      <c r="H10" s="215">
        <v>44300</v>
      </c>
      <c r="I10" s="206" t="s">
        <v>211</v>
      </c>
      <c r="J10" s="225">
        <v>930722</v>
      </c>
      <c r="K10" s="217">
        <v>0.7</v>
      </c>
      <c r="L10" s="210">
        <v>651921</v>
      </c>
      <c r="M10" s="210">
        <v>0</v>
      </c>
      <c r="N10" s="212">
        <f t="shared" si="0"/>
        <v>651921</v>
      </c>
      <c r="O10" s="193"/>
      <c r="P10" s="192" t="s">
        <v>158</v>
      </c>
    </row>
    <row r="11" spans="2:16" ht="18" hidden="1" customHeight="1">
      <c r="B11" s="202">
        <v>7</v>
      </c>
      <c r="C11" s="203"/>
      <c r="D11" s="206" t="s">
        <v>78</v>
      </c>
      <c r="E11" s="214" t="s">
        <v>20</v>
      </c>
      <c r="F11" s="206" t="s">
        <v>167</v>
      </c>
      <c r="G11" s="206" t="s">
        <v>202</v>
      </c>
      <c r="H11" s="215">
        <v>44441</v>
      </c>
      <c r="I11" s="206" t="s">
        <v>195</v>
      </c>
      <c r="J11" s="225" t="s">
        <v>203</v>
      </c>
      <c r="K11" s="217" t="s">
        <v>203</v>
      </c>
      <c r="L11" s="210">
        <v>579800</v>
      </c>
      <c r="M11" s="210">
        <v>0</v>
      </c>
      <c r="N11" s="212">
        <f t="shared" si="0"/>
        <v>579800</v>
      </c>
      <c r="O11" s="193" t="s">
        <v>239</v>
      </c>
      <c r="P11" s="192" t="s">
        <v>158</v>
      </c>
    </row>
    <row r="12" spans="2:16" ht="18" hidden="1" customHeight="1">
      <c r="B12" s="242">
        <v>8</v>
      </c>
      <c r="C12" s="243"/>
      <c r="D12" s="246" t="s">
        <v>78</v>
      </c>
      <c r="E12" s="245" t="s">
        <v>9</v>
      </c>
      <c r="F12" s="246" t="s">
        <v>169</v>
      </c>
      <c r="G12" s="246" t="s">
        <v>11</v>
      </c>
      <c r="H12" s="267">
        <v>44308</v>
      </c>
      <c r="I12" s="246" t="s">
        <v>195</v>
      </c>
      <c r="J12" s="269">
        <v>5995744</v>
      </c>
      <c r="K12" s="263">
        <v>0.6</v>
      </c>
      <c r="L12" s="250">
        <v>3597446</v>
      </c>
      <c r="M12" s="250">
        <v>0</v>
      </c>
      <c r="N12" s="252">
        <f t="shared" si="0"/>
        <v>3597446</v>
      </c>
      <c r="O12" s="193"/>
      <c r="P12" s="192"/>
    </row>
    <row r="13" spans="2:16" ht="18" hidden="1" customHeight="1">
      <c r="B13" s="242">
        <v>9</v>
      </c>
      <c r="C13" s="243" t="s">
        <v>238</v>
      </c>
      <c r="D13" s="246" t="s">
        <v>78</v>
      </c>
      <c r="E13" s="245" t="s">
        <v>9</v>
      </c>
      <c r="F13" s="246" t="s">
        <v>169</v>
      </c>
      <c r="G13" s="246" t="s">
        <v>10</v>
      </c>
      <c r="H13" s="267">
        <v>44309</v>
      </c>
      <c r="I13" s="246" t="s">
        <v>195</v>
      </c>
      <c r="J13" s="269">
        <v>75839850</v>
      </c>
      <c r="K13" s="263">
        <v>0.6</v>
      </c>
      <c r="L13" s="250">
        <v>45503910</v>
      </c>
      <c r="M13" s="250">
        <f>ROUND(L13*10%,0)</f>
        <v>4550391</v>
      </c>
      <c r="N13" s="252">
        <f t="shared" si="0"/>
        <v>40953519</v>
      </c>
      <c r="O13" s="193"/>
      <c r="P13" s="192"/>
    </row>
    <row r="14" spans="2:16" ht="18" hidden="1" customHeight="1">
      <c r="B14" s="242">
        <v>10</v>
      </c>
      <c r="C14" s="243" t="s">
        <v>238</v>
      </c>
      <c r="D14" s="246" t="s">
        <v>78</v>
      </c>
      <c r="E14" s="245" t="s">
        <v>9</v>
      </c>
      <c r="F14" s="246" t="s">
        <v>169</v>
      </c>
      <c r="G14" s="246" t="s">
        <v>136</v>
      </c>
      <c r="H14" s="267">
        <v>44240</v>
      </c>
      <c r="I14" s="246" t="s">
        <v>195</v>
      </c>
      <c r="J14" s="269">
        <v>326381</v>
      </c>
      <c r="K14" s="263">
        <v>0.6</v>
      </c>
      <c r="L14" s="250">
        <v>195829</v>
      </c>
      <c r="M14" s="250">
        <f>L14*10%</f>
        <v>19582.900000000001</v>
      </c>
      <c r="N14" s="252">
        <f t="shared" si="0"/>
        <v>176246.1</v>
      </c>
      <c r="O14" s="193"/>
      <c r="P14" s="192"/>
    </row>
    <row r="15" spans="2:16" ht="18" hidden="1" customHeight="1">
      <c r="B15" s="242">
        <v>11</v>
      </c>
      <c r="C15" s="243" t="s">
        <v>238</v>
      </c>
      <c r="D15" s="246" t="s">
        <v>78</v>
      </c>
      <c r="E15" s="245" t="s">
        <v>9</v>
      </c>
      <c r="F15" s="246" t="s">
        <v>169</v>
      </c>
      <c r="G15" s="246" t="s">
        <v>17</v>
      </c>
      <c r="H15" s="267">
        <v>44391</v>
      </c>
      <c r="I15" s="246" t="s">
        <v>195</v>
      </c>
      <c r="J15" s="269">
        <v>48314917</v>
      </c>
      <c r="K15" s="263">
        <v>0.6</v>
      </c>
      <c r="L15" s="250">
        <v>28988950</v>
      </c>
      <c r="M15" s="251">
        <f>L15*12%</f>
        <v>3478674</v>
      </c>
      <c r="N15" s="252">
        <f t="shared" si="0"/>
        <v>25510276</v>
      </c>
      <c r="O15" s="193"/>
      <c r="P15" s="192"/>
    </row>
    <row r="16" spans="2:16" ht="18" hidden="1" customHeight="1">
      <c r="B16" s="202">
        <v>12</v>
      </c>
      <c r="C16" s="203" t="s">
        <v>238</v>
      </c>
      <c r="D16" s="206" t="s">
        <v>78</v>
      </c>
      <c r="E16" s="214" t="s">
        <v>20</v>
      </c>
      <c r="F16" s="206" t="s">
        <v>169</v>
      </c>
      <c r="G16" s="206" t="s">
        <v>204</v>
      </c>
      <c r="H16" s="218">
        <v>44428</v>
      </c>
      <c r="I16" s="206" t="s">
        <v>195</v>
      </c>
      <c r="J16" s="219">
        <v>408400</v>
      </c>
      <c r="K16" s="217">
        <v>0.7</v>
      </c>
      <c r="L16" s="210">
        <v>285880</v>
      </c>
      <c r="M16" s="211">
        <f>L16*10%</f>
        <v>28588</v>
      </c>
      <c r="N16" s="212">
        <f t="shared" si="0"/>
        <v>257292</v>
      </c>
      <c r="O16" s="191"/>
      <c r="P16" s="192" t="s">
        <v>158</v>
      </c>
    </row>
    <row r="17" spans="2:16" ht="18" hidden="1" customHeight="1">
      <c r="B17" s="202">
        <v>13</v>
      </c>
      <c r="C17" s="203"/>
      <c r="D17" s="206" t="s">
        <v>78</v>
      </c>
      <c r="E17" s="214" t="s">
        <v>9</v>
      </c>
      <c r="F17" s="206" t="s">
        <v>126</v>
      </c>
      <c r="G17" s="206" t="s">
        <v>53</v>
      </c>
      <c r="H17" s="222">
        <v>44224</v>
      </c>
      <c r="I17" s="206" t="s">
        <v>195</v>
      </c>
      <c r="J17" s="216">
        <v>2209130</v>
      </c>
      <c r="K17" s="217" t="s">
        <v>206</v>
      </c>
      <c r="L17" s="210">
        <v>1215023</v>
      </c>
      <c r="M17" s="211">
        <v>0</v>
      </c>
      <c r="N17" s="212">
        <f t="shared" si="0"/>
        <v>1215023</v>
      </c>
      <c r="O17" s="195"/>
      <c r="P17" s="192" t="s">
        <v>158</v>
      </c>
    </row>
    <row r="18" spans="2:16" ht="18" hidden="1" customHeight="1">
      <c r="B18" s="242">
        <v>14</v>
      </c>
      <c r="C18" s="243" t="s">
        <v>238</v>
      </c>
      <c r="D18" s="246" t="s">
        <v>78</v>
      </c>
      <c r="E18" s="245" t="s">
        <v>9</v>
      </c>
      <c r="F18" s="246" t="s">
        <v>126</v>
      </c>
      <c r="G18" s="246" t="s">
        <v>30</v>
      </c>
      <c r="H18" s="264">
        <v>44199</v>
      </c>
      <c r="I18" s="246" t="s">
        <v>195</v>
      </c>
      <c r="J18" s="265">
        <v>6580953</v>
      </c>
      <c r="K18" s="263" t="s">
        <v>206</v>
      </c>
      <c r="L18" s="250">
        <v>3619526</v>
      </c>
      <c r="M18" s="250">
        <f>ROUND((L18-3000000)*10%,0)</f>
        <v>61953</v>
      </c>
      <c r="N18" s="252">
        <f t="shared" si="0"/>
        <v>3557573</v>
      </c>
      <c r="O18" s="21" t="s">
        <v>106</v>
      </c>
      <c r="P18" s="192"/>
    </row>
    <row r="19" spans="2:16" ht="18" hidden="1" customHeight="1">
      <c r="B19" s="242">
        <v>15</v>
      </c>
      <c r="C19" s="243" t="s">
        <v>238</v>
      </c>
      <c r="D19" s="246" t="s">
        <v>78</v>
      </c>
      <c r="E19" s="245" t="s">
        <v>9</v>
      </c>
      <c r="F19" s="246" t="s">
        <v>126</v>
      </c>
      <c r="G19" s="246" t="s">
        <v>29</v>
      </c>
      <c r="H19" s="264">
        <v>44040</v>
      </c>
      <c r="I19" s="246" t="s">
        <v>195</v>
      </c>
      <c r="J19" s="265">
        <v>4207875</v>
      </c>
      <c r="K19" s="263" t="s">
        <v>206</v>
      </c>
      <c r="L19" s="250">
        <v>2314333</v>
      </c>
      <c r="M19" s="250">
        <f>L19*10%</f>
        <v>231433.30000000002</v>
      </c>
      <c r="N19" s="252">
        <f t="shared" si="0"/>
        <v>2082899.7</v>
      </c>
      <c r="O19" s="191"/>
      <c r="P19" s="192"/>
    </row>
    <row r="20" spans="2:16" ht="18" hidden="1" customHeight="1">
      <c r="B20" s="242">
        <v>16</v>
      </c>
      <c r="C20" s="243" t="s">
        <v>238</v>
      </c>
      <c r="D20" s="246" t="s">
        <v>78</v>
      </c>
      <c r="E20" s="245" t="s">
        <v>9</v>
      </c>
      <c r="F20" s="246" t="s">
        <v>126</v>
      </c>
      <c r="G20" s="246" t="s">
        <v>28</v>
      </c>
      <c r="H20" s="264">
        <v>43994</v>
      </c>
      <c r="I20" s="246" t="s">
        <v>195</v>
      </c>
      <c r="J20" s="265">
        <v>16578038.676100001</v>
      </c>
      <c r="K20" s="263" t="s">
        <v>206</v>
      </c>
      <c r="L20" s="250">
        <v>9117921</v>
      </c>
      <c r="M20" s="251">
        <f>ROUND((L20-4000000)*12%,0)</f>
        <v>614151</v>
      </c>
      <c r="N20" s="252">
        <f t="shared" si="0"/>
        <v>8503770</v>
      </c>
      <c r="O20" s="21" t="s">
        <v>106</v>
      </c>
      <c r="P20" s="192"/>
    </row>
    <row r="21" spans="2:16" ht="18" hidden="1" customHeight="1">
      <c r="B21" s="242">
        <v>17</v>
      </c>
      <c r="C21" s="243" t="s">
        <v>238</v>
      </c>
      <c r="D21" s="246" t="s">
        <v>78</v>
      </c>
      <c r="E21" s="245" t="s">
        <v>9</v>
      </c>
      <c r="F21" s="246" t="s">
        <v>126</v>
      </c>
      <c r="G21" s="246" t="s">
        <v>54</v>
      </c>
      <c r="H21" s="264">
        <v>44098</v>
      </c>
      <c r="I21" s="246" t="s">
        <v>195</v>
      </c>
      <c r="J21" s="265">
        <v>674260</v>
      </c>
      <c r="K21" s="263" t="s">
        <v>206</v>
      </c>
      <c r="L21" s="250">
        <v>370844</v>
      </c>
      <c r="M21" s="250">
        <f t="shared" ref="M21:M27" si="1">L21*10%</f>
        <v>37084.400000000001</v>
      </c>
      <c r="N21" s="252">
        <f t="shared" si="0"/>
        <v>333759.59999999998</v>
      </c>
      <c r="O21" s="195"/>
      <c r="P21" s="192"/>
    </row>
    <row r="22" spans="2:16" ht="18" hidden="1" customHeight="1">
      <c r="B22" s="242">
        <v>18</v>
      </c>
      <c r="C22" s="243" t="s">
        <v>238</v>
      </c>
      <c r="D22" s="246" t="s">
        <v>78</v>
      </c>
      <c r="E22" s="245" t="s">
        <v>9</v>
      </c>
      <c r="F22" s="246" t="s">
        <v>126</v>
      </c>
      <c r="G22" s="246" t="s">
        <v>55</v>
      </c>
      <c r="H22" s="264">
        <v>44320</v>
      </c>
      <c r="I22" s="246" t="s">
        <v>195</v>
      </c>
      <c r="J22" s="265">
        <v>414570</v>
      </c>
      <c r="K22" s="263" t="s">
        <v>206</v>
      </c>
      <c r="L22" s="250">
        <v>228014</v>
      </c>
      <c r="M22" s="250">
        <f t="shared" si="1"/>
        <v>22801.4</v>
      </c>
      <c r="N22" s="252">
        <f t="shared" si="0"/>
        <v>205212.6</v>
      </c>
      <c r="O22" s="191"/>
      <c r="P22" s="192"/>
    </row>
    <row r="23" spans="2:16" ht="18" hidden="1" customHeight="1">
      <c r="B23" s="242">
        <v>19</v>
      </c>
      <c r="C23" s="243"/>
      <c r="D23" s="246" t="s">
        <v>78</v>
      </c>
      <c r="E23" s="245" t="s">
        <v>9</v>
      </c>
      <c r="F23" s="246" t="s">
        <v>126</v>
      </c>
      <c r="G23" s="246" t="s">
        <v>42</v>
      </c>
      <c r="H23" s="264">
        <v>44074</v>
      </c>
      <c r="I23" s="246" t="s">
        <v>195</v>
      </c>
      <c r="J23" s="265">
        <v>71071397.737599999</v>
      </c>
      <c r="K23" s="263" t="s">
        <v>206</v>
      </c>
      <c r="L23" s="250">
        <v>39089269</v>
      </c>
      <c r="M23" s="251">
        <f t="shared" si="1"/>
        <v>3908926.9000000004</v>
      </c>
      <c r="N23" s="252">
        <f t="shared" si="0"/>
        <v>35180342.100000001</v>
      </c>
      <c r="O23" s="72" t="s">
        <v>144</v>
      </c>
      <c r="P23" s="192"/>
    </row>
    <row r="24" spans="2:16" ht="18" hidden="1" customHeight="1">
      <c r="B24" s="242">
        <v>20</v>
      </c>
      <c r="C24" s="243" t="s">
        <v>238</v>
      </c>
      <c r="D24" s="246" t="s">
        <v>78</v>
      </c>
      <c r="E24" s="245" t="s">
        <v>9</v>
      </c>
      <c r="F24" s="246" t="s">
        <v>126</v>
      </c>
      <c r="G24" s="246" t="s">
        <v>191</v>
      </c>
      <c r="H24" s="264">
        <v>44372</v>
      </c>
      <c r="I24" s="246" t="s">
        <v>195</v>
      </c>
      <c r="J24" s="265">
        <v>11279560</v>
      </c>
      <c r="K24" s="263" t="s">
        <v>207</v>
      </c>
      <c r="L24" s="250">
        <v>6767736</v>
      </c>
      <c r="M24" s="251">
        <f t="shared" si="1"/>
        <v>676773.60000000009</v>
      </c>
      <c r="N24" s="252">
        <f t="shared" si="0"/>
        <v>6090962.4000000004</v>
      </c>
      <c r="O24" s="191"/>
      <c r="P24" s="192"/>
    </row>
    <row r="25" spans="2:16" ht="18" hidden="1" customHeight="1">
      <c r="B25" s="242">
        <v>21</v>
      </c>
      <c r="C25" s="243" t="s">
        <v>238</v>
      </c>
      <c r="D25" s="246" t="s">
        <v>78</v>
      </c>
      <c r="E25" s="245" t="s">
        <v>9</v>
      </c>
      <c r="F25" s="246" t="s">
        <v>126</v>
      </c>
      <c r="G25" s="246" t="s">
        <v>57</v>
      </c>
      <c r="H25" s="264">
        <v>44331</v>
      </c>
      <c r="I25" s="246" t="s">
        <v>195</v>
      </c>
      <c r="J25" s="265">
        <v>4319960</v>
      </c>
      <c r="K25" s="263" t="s">
        <v>205</v>
      </c>
      <c r="L25" s="250">
        <v>2375979</v>
      </c>
      <c r="M25" s="250">
        <f t="shared" si="1"/>
        <v>237597.90000000002</v>
      </c>
      <c r="N25" s="252">
        <f t="shared" si="0"/>
        <v>2138381.1</v>
      </c>
      <c r="O25" s="191"/>
      <c r="P25" s="192"/>
    </row>
    <row r="26" spans="2:16" ht="18" hidden="1" customHeight="1">
      <c r="B26" s="202">
        <v>22</v>
      </c>
      <c r="C26" s="203" t="s">
        <v>238</v>
      </c>
      <c r="D26" s="206" t="s">
        <v>78</v>
      </c>
      <c r="E26" s="214" t="s">
        <v>9</v>
      </c>
      <c r="F26" s="206" t="s">
        <v>126</v>
      </c>
      <c r="G26" s="206" t="s">
        <v>59</v>
      </c>
      <c r="H26" s="222">
        <v>44392</v>
      </c>
      <c r="I26" s="206" t="s">
        <v>195</v>
      </c>
      <c r="J26" s="216">
        <v>22836394.9274</v>
      </c>
      <c r="K26" s="217" t="s">
        <v>205</v>
      </c>
      <c r="L26" s="210">
        <v>12560019</v>
      </c>
      <c r="M26" s="210">
        <f t="shared" si="1"/>
        <v>1256001.9000000001</v>
      </c>
      <c r="N26" s="212">
        <f t="shared" si="0"/>
        <v>11304017.1</v>
      </c>
      <c r="O26" s="191"/>
      <c r="P26" s="192" t="s">
        <v>158</v>
      </c>
    </row>
    <row r="27" spans="2:16" ht="18" hidden="1" customHeight="1">
      <c r="B27" s="242">
        <v>23</v>
      </c>
      <c r="C27" s="243" t="s">
        <v>238</v>
      </c>
      <c r="D27" s="246" t="s">
        <v>78</v>
      </c>
      <c r="E27" s="245" t="s">
        <v>9</v>
      </c>
      <c r="F27" s="246" t="s">
        <v>126</v>
      </c>
      <c r="G27" s="246" t="s">
        <v>173</v>
      </c>
      <c r="H27" s="264">
        <v>44457</v>
      </c>
      <c r="I27" s="246" t="s">
        <v>195</v>
      </c>
      <c r="J27" s="265">
        <v>30299938.6369</v>
      </c>
      <c r="K27" s="263" t="s">
        <v>207</v>
      </c>
      <c r="L27" s="250">
        <v>18179964</v>
      </c>
      <c r="M27" s="251">
        <f t="shared" si="1"/>
        <v>1817996.4000000001</v>
      </c>
      <c r="N27" s="252">
        <f t="shared" si="0"/>
        <v>16361967.6</v>
      </c>
      <c r="O27" s="191"/>
      <c r="P27" s="192"/>
    </row>
    <row r="28" spans="2:16" ht="18" hidden="1" customHeight="1">
      <c r="B28" s="202">
        <v>24</v>
      </c>
      <c r="C28" s="203"/>
      <c r="D28" s="206" t="s">
        <v>78</v>
      </c>
      <c r="E28" s="214" t="s">
        <v>9</v>
      </c>
      <c r="F28" s="206" t="s">
        <v>126</v>
      </c>
      <c r="G28" s="206" t="s">
        <v>174</v>
      </c>
      <c r="H28" s="222">
        <v>44469</v>
      </c>
      <c r="I28" s="206" t="s">
        <v>195</v>
      </c>
      <c r="J28" s="216">
        <v>32245045.6369</v>
      </c>
      <c r="K28" s="217" t="s">
        <v>205</v>
      </c>
      <c r="L28" s="210">
        <v>17734776</v>
      </c>
      <c r="M28" s="211">
        <v>0</v>
      </c>
      <c r="N28" s="212">
        <f t="shared" si="0"/>
        <v>17734776</v>
      </c>
      <c r="O28" s="191"/>
      <c r="P28" s="192" t="s">
        <v>158</v>
      </c>
    </row>
    <row r="29" spans="2:16" ht="18" hidden="1" customHeight="1">
      <c r="B29" s="202">
        <v>25</v>
      </c>
      <c r="C29" s="203"/>
      <c r="D29" s="206" t="s">
        <v>78</v>
      </c>
      <c r="E29" s="214" t="s">
        <v>20</v>
      </c>
      <c r="F29" s="206" t="s">
        <v>126</v>
      </c>
      <c r="G29" s="206" t="s">
        <v>58</v>
      </c>
      <c r="H29" s="222">
        <v>44328</v>
      </c>
      <c r="I29" s="206" t="s">
        <v>195</v>
      </c>
      <c r="J29" s="216">
        <v>602660</v>
      </c>
      <c r="K29" s="217" t="s">
        <v>208</v>
      </c>
      <c r="L29" s="210">
        <v>419111</v>
      </c>
      <c r="M29" s="211">
        <v>0</v>
      </c>
      <c r="N29" s="212">
        <f t="shared" si="0"/>
        <v>419111</v>
      </c>
      <c r="O29" s="191"/>
      <c r="P29" s="192" t="s">
        <v>158</v>
      </c>
    </row>
    <row r="30" spans="2:16" ht="18" hidden="1" customHeight="1">
      <c r="B30" s="242">
        <v>26</v>
      </c>
      <c r="C30" s="243" t="s">
        <v>238</v>
      </c>
      <c r="D30" s="246" t="s">
        <v>78</v>
      </c>
      <c r="E30" s="245" t="s">
        <v>9</v>
      </c>
      <c r="F30" s="246" t="s">
        <v>209</v>
      </c>
      <c r="G30" s="246" t="s">
        <v>28</v>
      </c>
      <c r="H30" s="261">
        <v>44409</v>
      </c>
      <c r="I30" s="246" t="s">
        <v>195</v>
      </c>
      <c r="J30" s="265">
        <v>3273089</v>
      </c>
      <c r="K30" s="263">
        <v>0.55000001527608933</v>
      </c>
      <c r="L30" s="250">
        <v>1800199</v>
      </c>
      <c r="M30" s="251">
        <f>ROUND(L30*12%,0)</f>
        <v>216024</v>
      </c>
      <c r="N30" s="252">
        <f t="shared" si="0"/>
        <v>1584175</v>
      </c>
      <c r="O30" s="191"/>
      <c r="P30" s="192"/>
    </row>
    <row r="31" spans="2:16" ht="18" hidden="1" customHeight="1">
      <c r="B31" s="242">
        <v>27</v>
      </c>
      <c r="C31" s="243"/>
      <c r="D31" s="246" t="s">
        <v>78</v>
      </c>
      <c r="E31" s="245" t="s">
        <v>9</v>
      </c>
      <c r="F31" s="246" t="s">
        <v>209</v>
      </c>
      <c r="G31" s="246" t="s">
        <v>42</v>
      </c>
      <c r="H31" s="261">
        <v>44409</v>
      </c>
      <c r="I31" s="246" t="s">
        <v>195</v>
      </c>
      <c r="J31" s="265">
        <v>19758207</v>
      </c>
      <c r="K31" s="263">
        <v>0.55000005820366193</v>
      </c>
      <c r="L31" s="250">
        <v>10867015</v>
      </c>
      <c r="M31" s="251">
        <f>L31*10%</f>
        <v>1086701.5</v>
      </c>
      <c r="N31" s="252">
        <f t="shared" si="0"/>
        <v>9780313.5</v>
      </c>
      <c r="O31" s="72" t="s">
        <v>144</v>
      </c>
      <c r="P31" s="192"/>
    </row>
    <row r="32" spans="2:16" ht="18" hidden="1" customHeight="1">
      <c r="B32" s="242">
        <v>28</v>
      </c>
      <c r="C32" s="243" t="s">
        <v>238</v>
      </c>
      <c r="D32" s="246" t="s">
        <v>78</v>
      </c>
      <c r="E32" s="245" t="s">
        <v>9</v>
      </c>
      <c r="F32" s="246" t="s">
        <v>209</v>
      </c>
      <c r="G32" s="246" t="s">
        <v>54</v>
      </c>
      <c r="H32" s="261">
        <v>44409</v>
      </c>
      <c r="I32" s="246" t="s">
        <v>195</v>
      </c>
      <c r="J32" s="265">
        <v>317282</v>
      </c>
      <c r="K32" s="263">
        <v>0.54999968482296502</v>
      </c>
      <c r="L32" s="250">
        <v>174505</v>
      </c>
      <c r="M32" s="250">
        <f>L32*10%</f>
        <v>17450.5</v>
      </c>
      <c r="N32" s="252">
        <f t="shared" si="0"/>
        <v>157054.5</v>
      </c>
      <c r="O32" s="191"/>
      <c r="P32" s="192"/>
    </row>
    <row r="33" spans="2:16" ht="18" hidden="1" customHeight="1">
      <c r="B33" s="202">
        <v>29</v>
      </c>
      <c r="C33" s="203" t="s">
        <v>238</v>
      </c>
      <c r="D33" s="206" t="s">
        <v>78</v>
      </c>
      <c r="E33" s="214" t="s">
        <v>9</v>
      </c>
      <c r="F33" s="206" t="s">
        <v>209</v>
      </c>
      <c r="G33" s="206" t="s">
        <v>46</v>
      </c>
      <c r="H33" s="215">
        <v>44409</v>
      </c>
      <c r="I33" s="206" t="s">
        <v>195</v>
      </c>
      <c r="J33" s="216">
        <v>929734</v>
      </c>
      <c r="K33" s="217">
        <v>0.55000032267293653</v>
      </c>
      <c r="L33" s="210">
        <v>511354</v>
      </c>
      <c r="M33" s="211">
        <f>L33*10%</f>
        <v>51135.4</v>
      </c>
      <c r="N33" s="212">
        <f t="shared" si="0"/>
        <v>460218.6</v>
      </c>
      <c r="O33" s="191"/>
      <c r="P33" s="192" t="s">
        <v>158</v>
      </c>
    </row>
    <row r="34" spans="2:16" ht="18" hidden="1" customHeight="1">
      <c r="B34" s="242">
        <v>30</v>
      </c>
      <c r="C34" s="243" t="s">
        <v>238</v>
      </c>
      <c r="D34" s="246" t="s">
        <v>78</v>
      </c>
      <c r="E34" s="245" t="s">
        <v>9</v>
      </c>
      <c r="F34" s="246" t="s">
        <v>209</v>
      </c>
      <c r="G34" s="246" t="s">
        <v>30</v>
      </c>
      <c r="H34" s="261">
        <v>44409</v>
      </c>
      <c r="I34" s="246" t="s">
        <v>195</v>
      </c>
      <c r="J34" s="265">
        <v>2653149</v>
      </c>
      <c r="K34" s="263">
        <v>0.5500000188455304</v>
      </c>
      <c r="L34" s="250">
        <v>1459232</v>
      </c>
      <c r="M34" s="250">
        <f>L34*10%</f>
        <v>145923.20000000001</v>
      </c>
      <c r="N34" s="252">
        <f t="shared" si="0"/>
        <v>1313308.8</v>
      </c>
      <c r="O34" s="191"/>
      <c r="P34" s="192"/>
    </row>
    <row r="35" spans="2:16" ht="18" hidden="1" customHeight="1">
      <c r="B35" s="202">
        <v>31</v>
      </c>
      <c r="C35" s="203"/>
      <c r="D35" s="206" t="s">
        <v>78</v>
      </c>
      <c r="E35" s="214" t="s">
        <v>9</v>
      </c>
      <c r="F35" s="206" t="s">
        <v>209</v>
      </c>
      <c r="G35" s="206" t="s">
        <v>53</v>
      </c>
      <c r="H35" s="215">
        <v>44409</v>
      </c>
      <c r="I35" s="206" t="s">
        <v>195</v>
      </c>
      <c r="J35" s="216">
        <v>2113272</v>
      </c>
      <c r="K35" s="217">
        <v>0.55000018927994121</v>
      </c>
      <c r="L35" s="210">
        <v>1162300</v>
      </c>
      <c r="M35" s="210">
        <v>0</v>
      </c>
      <c r="N35" s="212">
        <f t="shared" si="0"/>
        <v>1162300</v>
      </c>
      <c r="O35" s="195"/>
      <c r="P35" s="192" t="s">
        <v>158</v>
      </c>
    </row>
    <row r="36" spans="2:16" ht="18" hidden="1" customHeight="1">
      <c r="B36" s="202">
        <v>32</v>
      </c>
      <c r="C36" s="203" t="s">
        <v>238</v>
      </c>
      <c r="D36" s="206" t="s">
        <v>78</v>
      </c>
      <c r="E36" s="214" t="s">
        <v>9</v>
      </c>
      <c r="F36" s="206" t="s">
        <v>209</v>
      </c>
      <c r="G36" s="206" t="s">
        <v>43</v>
      </c>
      <c r="H36" s="215">
        <v>44465</v>
      </c>
      <c r="I36" s="206" t="s">
        <v>195</v>
      </c>
      <c r="J36" s="216">
        <v>17571790</v>
      </c>
      <c r="K36" s="217">
        <v>0.55000008536409783</v>
      </c>
      <c r="L36" s="210">
        <v>9664486</v>
      </c>
      <c r="M36" s="211">
        <f t="shared" ref="M36:M46" si="2">L36*10%</f>
        <v>966448.60000000009</v>
      </c>
      <c r="N36" s="212">
        <f t="shared" si="0"/>
        <v>8698037.4000000004</v>
      </c>
      <c r="O36" s="191"/>
      <c r="P36" s="192" t="s">
        <v>158</v>
      </c>
    </row>
    <row r="37" spans="2:16" ht="18" hidden="1" customHeight="1">
      <c r="B37" s="242">
        <v>33</v>
      </c>
      <c r="C37" s="243" t="s">
        <v>238</v>
      </c>
      <c r="D37" s="246" t="s">
        <v>78</v>
      </c>
      <c r="E37" s="245" t="s">
        <v>9</v>
      </c>
      <c r="F37" s="246" t="s">
        <v>209</v>
      </c>
      <c r="G37" s="246" t="s">
        <v>57</v>
      </c>
      <c r="H37" s="261">
        <v>44484</v>
      </c>
      <c r="I37" s="246" t="s">
        <v>195</v>
      </c>
      <c r="J37" s="265">
        <v>2545412</v>
      </c>
      <c r="K37" s="263">
        <v>0.54999976428177444</v>
      </c>
      <c r="L37" s="250">
        <v>1399976</v>
      </c>
      <c r="M37" s="250">
        <f t="shared" si="2"/>
        <v>139997.6</v>
      </c>
      <c r="N37" s="252">
        <f t="shared" ref="N37:N66" si="3">L37-M37</f>
        <v>1259978.3999999999</v>
      </c>
      <c r="O37" s="191"/>
      <c r="P37" s="192"/>
    </row>
    <row r="38" spans="2:16" ht="18" hidden="1" customHeight="1">
      <c r="B38" s="202">
        <v>34</v>
      </c>
      <c r="C38" s="203" t="s">
        <v>238</v>
      </c>
      <c r="D38" s="206" t="s">
        <v>78</v>
      </c>
      <c r="E38" s="214" t="s">
        <v>20</v>
      </c>
      <c r="F38" s="206" t="s">
        <v>44</v>
      </c>
      <c r="G38" s="206" t="s">
        <v>39</v>
      </c>
      <c r="H38" s="215">
        <v>44327</v>
      </c>
      <c r="I38" s="206" t="s">
        <v>195</v>
      </c>
      <c r="J38" s="216">
        <v>1218722</v>
      </c>
      <c r="K38" s="217" t="s">
        <v>124</v>
      </c>
      <c r="L38" s="210">
        <v>851348</v>
      </c>
      <c r="M38" s="211">
        <f t="shared" si="2"/>
        <v>85134.8</v>
      </c>
      <c r="N38" s="212">
        <f t="shared" si="3"/>
        <v>766213.2</v>
      </c>
      <c r="O38" s="191"/>
      <c r="P38" s="192" t="s">
        <v>158</v>
      </c>
    </row>
    <row r="39" spans="2:16" ht="18" hidden="1" customHeight="1">
      <c r="B39" s="202">
        <v>35</v>
      </c>
      <c r="C39" s="203" t="s">
        <v>238</v>
      </c>
      <c r="D39" s="206" t="s">
        <v>78</v>
      </c>
      <c r="E39" s="214" t="s">
        <v>20</v>
      </c>
      <c r="F39" s="206" t="s">
        <v>44</v>
      </c>
      <c r="G39" s="206" t="s">
        <v>40</v>
      </c>
      <c r="H39" s="215">
        <v>44328</v>
      </c>
      <c r="I39" s="206" t="s">
        <v>195</v>
      </c>
      <c r="J39" s="216">
        <v>4385147</v>
      </c>
      <c r="K39" s="217" t="s">
        <v>124</v>
      </c>
      <c r="L39" s="210">
        <v>3045006</v>
      </c>
      <c r="M39" s="211">
        <f t="shared" si="2"/>
        <v>304500.60000000003</v>
      </c>
      <c r="N39" s="212">
        <f t="shared" si="3"/>
        <v>2740505.4</v>
      </c>
      <c r="O39" s="191"/>
      <c r="P39" s="192" t="s">
        <v>158</v>
      </c>
    </row>
    <row r="40" spans="2:16" ht="18" customHeight="1">
      <c r="B40" s="202">
        <v>36</v>
      </c>
      <c r="C40" s="203" t="s">
        <v>238</v>
      </c>
      <c r="D40" s="206" t="s">
        <v>78</v>
      </c>
      <c r="E40" s="214" t="s">
        <v>20</v>
      </c>
      <c r="F40" s="206" t="s">
        <v>44</v>
      </c>
      <c r="G40" s="206" t="s">
        <v>38</v>
      </c>
      <c r="H40" s="215">
        <v>44329</v>
      </c>
      <c r="I40" s="206" t="s">
        <v>195</v>
      </c>
      <c r="J40" s="216">
        <v>1365405</v>
      </c>
      <c r="K40" s="217" t="s">
        <v>124</v>
      </c>
      <c r="L40" s="210">
        <v>950518</v>
      </c>
      <c r="M40" s="211">
        <f t="shared" si="2"/>
        <v>95051.8</v>
      </c>
      <c r="N40" s="212">
        <f t="shared" si="3"/>
        <v>855466.2</v>
      </c>
      <c r="O40" s="191"/>
      <c r="P40" s="192" t="s">
        <v>158</v>
      </c>
    </row>
    <row r="41" spans="2:16" ht="18" hidden="1" customHeight="1">
      <c r="B41" s="202">
        <v>37</v>
      </c>
      <c r="C41" s="203" t="s">
        <v>238</v>
      </c>
      <c r="D41" s="206" t="s">
        <v>78</v>
      </c>
      <c r="E41" s="214" t="s">
        <v>9</v>
      </c>
      <c r="F41" s="206" t="s">
        <v>44</v>
      </c>
      <c r="G41" s="206" t="s">
        <v>46</v>
      </c>
      <c r="H41" s="215">
        <v>44246</v>
      </c>
      <c r="I41" s="206" t="s">
        <v>195</v>
      </c>
      <c r="J41" s="216">
        <v>510236</v>
      </c>
      <c r="K41" s="217" t="s">
        <v>205</v>
      </c>
      <c r="L41" s="210">
        <v>280630</v>
      </c>
      <c r="M41" s="211">
        <f t="shared" si="2"/>
        <v>28063</v>
      </c>
      <c r="N41" s="212">
        <f t="shared" si="3"/>
        <v>252567</v>
      </c>
      <c r="O41" s="191"/>
      <c r="P41" s="192" t="s">
        <v>158</v>
      </c>
    </row>
    <row r="42" spans="2:16" ht="18" hidden="1" customHeight="1">
      <c r="B42" s="202">
        <v>38</v>
      </c>
      <c r="C42" s="203" t="s">
        <v>238</v>
      </c>
      <c r="D42" s="206" t="s">
        <v>78</v>
      </c>
      <c r="E42" s="214" t="s">
        <v>9</v>
      </c>
      <c r="F42" s="206" t="s">
        <v>44</v>
      </c>
      <c r="G42" s="206" t="s">
        <v>47</v>
      </c>
      <c r="H42" s="215">
        <v>44152</v>
      </c>
      <c r="I42" s="206" t="s">
        <v>195</v>
      </c>
      <c r="J42" s="216">
        <v>879020</v>
      </c>
      <c r="K42" s="217" t="s">
        <v>205</v>
      </c>
      <c r="L42" s="210">
        <v>483462</v>
      </c>
      <c r="M42" s="211">
        <f t="shared" si="2"/>
        <v>48346.200000000004</v>
      </c>
      <c r="N42" s="212">
        <f t="shared" si="3"/>
        <v>435115.8</v>
      </c>
      <c r="O42" s="191"/>
      <c r="P42" s="192" t="s">
        <v>158</v>
      </c>
    </row>
    <row r="43" spans="2:16" ht="18" hidden="1" customHeight="1">
      <c r="B43" s="202">
        <v>39</v>
      </c>
      <c r="C43" s="203" t="s">
        <v>238</v>
      </c>
      <c r="D43" s="206" t="s">
        <v>78</v>
      </c>
      <c r="E43" s="214" t="s">
        <v>9</v>
      </c>
      <c r="F43" s="206" t="s">
        <v>125</v>
      </c>
      <c r="G43" s="206" t="s">
        <v>43</v>
      </c>
      <c r="H43" s="222">
        <v>44268</v>
      </c>
      <c r="I43" s="206" t="s">
        <v>195</v>
      </c>
      <c r="J43" s="216">
        <v>9475173</v>
      </c>
      <c r="K43" s="217" t="s">
        <v>205</v>
      </c>
      <c r="L43" s="210">
        <v>5211346</v>
      </c>
      <c r="M43" s="211">
        <f t="shared" si="2"/>
        <v>521134.60000000003</v>
      </c>
      <c r="N43" s="212">
        <f t="shared" si="3"/>
        <v>4690211.4000000004</v>
      </c>
      <c r="O43" s="191"/>
      <c r="P43" s="192" t="s">
        <v>158</v>
      </c>
    </row>
    <row r="44" spans="2:16" ht="18" hidden="1" customHeight="1">
      <c r="B44" s="202">
        <v>40</v>
      </c>
      <c r="C44" s="203" t="s">
        <v>238</v>
      </c>
      <c r="D44" s="206" t="s">
        <v>78</v>
      </c>
      <c r="E44" s="214" t="s">
        <v>20</v>
      </c>
      <c r="F44" s="206" t="s">
        <v>172</v>
      </c>
      <c r="G44" s="206" t="s">
        <v>40</v>
      </c>
      <c r="H44" s="215">
        <v>44379</v>
      </c>
      <c r="I44" s="206" t="s">
        <v>195</v>
      </c>
      <c r="J44" s="216">
        <v>3215070.75</v>
      </c>
      <c r="K44" s="217">
        <v>0.59999986003418426</v>
      </c>
      <c r="L44" s="210">
        <v>1929042</v>
      </c>
      <c r="M44" s="211">
        <f t="shared" si="2"/>
        <v>192904.2</v>
      </c>
      <c r="N44" s="212">
        <f t="shared" si="3"/>
        <v>1736137.8</v>
      </c>
      <c r="O44" s="191"/>
      <c r="P44" s="192" t="s">
        <v>158</v>
      </c>
    </row>
    <row r="45" spans="2:16" ht="18" hidden="1" customHeight="1">
      <c r="B45" s="202">
        <v>41</v>
      </c>
      <c r="C45" s="203" t="s">
        <v>238</v>
      </c>
      <c r="D45" s="206" t="s">
        <v>78</v>
      </c>
      <c r="E45" s="214" t="s">
        <v>20</v>
      </c>
      <c r="F45" s="206" t="s">
        <v>172</v>
      </c>
      <c r="G45" s="206" t="s">
        <v>39</v>
      </c>
      <c r="H45" s="215">
        <v>44385</v>
      </c>
      <c r="I45" s="206" t="s">
        <v>195</v>
      </c>
      <c r="J45" s="216">
        <v>162615</v>
      </c>
      <c r="K45" s="217">
        <v>0.6</v>
      </c>
      <c r="L45" s="210">
        <v>97569</v>
      </c>
      <c r="M45" s="211">
        <f t="shared" si="2"/>
        <v>9756.9</v>
      </c>
      <c r="N45" s="212">
        <f t="shared" si="3"/>
        <v>87812.1</v>
      </c>
      <c r="O45" s="195"/>
      <c r="P45" s="192" t="s">
        <v>158</v>
      </c>
    </row>
    <row r="46" spans="2:16" ht="18" customHeight="1">
      <c r="B46" s="202">
        <v>42</v>
      </c>
      <c r="C46" s="203" t="s">
        <v>238</v>
      </c>
      <c r="D46" s="206" t="s">
        <v>78</v>
      </c>
      <c r="E46" s="214" t="s">
        <v>20</v>
      </c>
      <c r="F46" s="206" t="s">
        <v>172</v>
      </c>
      <c r="G46" s="206" t="s">
        <v>38</v>
      </c>
      <c r="H46" s="215">
        <v>44362</v>
      </c>
      <c r="I46" s="206" t="s">
        <v>195</v>
      </c>
      <c r="J46" s="216">
        <v>690570</v>
      </c>
      <c r="K46" s="217">
        <v>0.6</v>
      </c>
      <c r="L46" s="210">
        <v>414342</v>
      </c>
      <c r="M46" s="210">
        <f t="shared" si="2"/>
        <v>41434.200000000004</v>
      </c>
      <c r="N46" s="212">
        <f t="shared" si="3"/>
        <v>372907.8</v>
      </c>
      <c r="O46" s="191"/>
      <c r="P46" s="192" t="s">
        <v>158</v>
      </c>
    </row>
    <row r="47" spans="2:16" ht="18" hidden="1" customHeight="1">
      <c r="B47" s="202">
        <v>43</v>
      </c>
      <c r="C47" s="203"/>
      <c r="D47" s="206" t="s">
        <v>78</v>
      </c>
      <c r="E47" s="214" t="s">
        <v>9</v>
      </c>
      <c r="F47" s="206" t="s">
        <v>131</v>
      </c>
      <c r="G47" s="206" t="s">
        <v>210</v>
      </c>
      <c r="H47" s="215">
        <v>44333</v>
      </c>
      <c r="I47" s="206" t="s">
        <v>195</v>
      </c>
      <c r="J47" s="216">
        <v>605580</v>
      </c>
      <c r="K47" s="217">
        <v>0.5</v>
      </c>
      <c r="L47" s="210">
        <v>302790</v>
      </c>
      <c r="M47" s="211">
        <v>0</v>
      </c>
      <c r="N47" s="212">
        <f t="shared" si="3"/>
        <v>302790</v>
      </c>
      <c r="O47" s="191"/>
      <c r="P47" s="192" t="s">
        <v>158</v>
      </c>
    </row>
    <row r="48" spans="2:16" ht="18" hidden="1" customHeight="1">
      <c r="B48" s="242">
        <v>44</v>
      </c>
      <c r="C48" s="243"/>
      <c r="D48" s="246" t="s">
        <v>189</v>
      </c>
      <c r="E48" s="245" t="s">
        <v>9</v>
      </c>
      <c r="F48" s="246" t="s">
        <v>41</v>
      </c>
      <c r="G48" s="246" t="s">
        <v>42</v>
      </c>
      <c r="H48" s="261">
        <v>44114</v>
      </c>
      <c r="I48" s="246" t="s">
        <v>211</v>
      </c>
      <c r="J48" s="265">
        <v>370834</v>
      </c>
      <c r="K48" s="263">
        <v>0.8</v>
      </c>
      <c r="L48" s="250">
        <v>296667</v>
      </c>
      <c r="M48" s="251">
        <f>L48*10%</f>
        <v>29666.7</v>
      </c>
      <c r="N48" s="252">
        <f t="shared" si="3"/>
        <v>267000.3</v>
      </c>
      <c r="O48" s="72" t="s">
        <v>85</v>
      </c>
      <c r="P48" s="192"/>
    </row>
    <row r="49" spans="2:16" ht="18" hidden="1" customHeight="1">
      <c r="B49" s="242">
        <v>45</v>
      </c>
      <c r="C49" s="243" t="s">
        <v>238</v>
      </c>
      <c r="D49" s="246" t="s">
        <v>189</v>
      </c>
      <c r="E49" s="245" t="s">
        <v>9</v>
      </c>
      <c r="F49" s="246" t="s">
        <v>41</v>
      </c>
      <c r="G49" s="246" t="s">
        <v>29</v>
      </c>
      <c r="H49" s="261">
        <v>44122</v>
      </c>
      <c r="I49" s="246" t="s">
        <v>211</v>
      </c>
      <c r="J49" s="265">
        <v>148539</v>
      </c>
      <c r="K49" s="263">
        <v>0.8</v>
      </c>
      <c r="L49" s="250">
        <v>118831</v>
      </c>
      <c r="M49" s="250">
        <f>L49*10%</f>
        <v>11883.1</v>
      </c>
      <c r="N49" s="252">
        <f t="shared" si="3"/>
        <v>106947.9</v>
      </c>
      <c r="O49" s="191"/>
      <c r="P49" s="192"/>
    </row>
    <row r="50" spans="2:16" ht="18" hidden="1" customHeight="1">
      <c r="B50" s="242">
        <v>46</v>
      </c>
      <c r="C50" s="243" t="s">
        <v>238</v>
      </c>
      <c r="D50" s="246" t="s">
        <v>189</v>
      </c>
      <c r="E50" s="245" t="s">
        <v>9</v>
      </c>
      <c r="F50" s="246" t="s">
        <v>41</v>
      </c>
      <c r="G50" s="246" t="s">
        <v>28</v>
      </c>
      <c r="H50" s="261">
        <v>44250</v>
      </c>
      <c r="I50" s="246" t="s">
        <v>211</v>
      </c>
      <c r="J50" s="265">
        <v>201324</v>
      </c>
      <c r="K50" s="263">
        <v>0.8</v>
      </c>
      <c r="L50" s="250">
        <v>161059</v>
      </c>
      <c r="M50" s="251">
        <f>ROUND(L50*12%,0)</f>
        <v>19327</v>
      </c>
      <c r="N50" s="252">
        <f t="shared" si="3"/>
        <v>141732</v>
      </c>
      <c r="O50" s="191"/>
      <c r="P50" s="192"/>
    </row>
    <row r="51" spans="2:16" ht="18" hidden="1" customHeight="1">
      <c r="B51" s="242">
        <v>47</v>
      </c>
      <c r="C51" s="243" t="s">
        <v>238</v>
      </c>
      <c r="D51" s="246" t="s">
        <v>189</v>
      </c>
      <c r="E51" s="245" t="s">
        <v>9</v>
      </c>
      <c r="F51" s="246" t="s">
        <v>41</v>
      </c>
      <c r="G51" s="246" t="s">
        <v>30</v>
      </c>
      <c r="H51" s="261">
        <v>44265</v>
      </c>
      <c r="I51" s="246" t="s">
        <v>211</v>
      </c>
      <c r="J51" s="265">
        <v>295293</v>
      </c>
      <c r="K51" s="263">
        <v>0.8</v>
      </c>
      <c r="L51" s="250">
        <v>236234</v>
      </c>
      <c r="M51" s="250">
        <f>L51*10%</f>
        <v>23623.4</v>
      </c>
      <c r="N51" s="252">
        <f t="shared" si="3"/>
        <v>212610.6</v>
      </c>
      <c r="O51" s="191"/>
      <c r="P51" s="192"/>
    </row>
    <row r="52" spans="2:16" ht="18" hidden="1" customHeight="1">
      <c r="B52" s="202">
        <v>48</v>
      </c>
      <c r="C52" s="203" t="s">
        <v>238</v>
      </c>
      <c r="D52" s="206" t="s">
        <v>189</v>
      </c>
      <c r="E52" s="214" t="s">
        <v>9</v>
      </c>
      <c r="F52" s="206" t="s">
        <v>41</v>
      </c>
      <c r="G52" s="206" t="s">
        <v>212</v>
      </c>
      <c r="H52" s="215">
        <v>44327</v>
      </c>
      <c r="I52" s="206" t="s">
        <v>211</v>
      </c>
      <c r="J52" s="216">
        <v>581663</v>
      </c>
      <c r="K52" s="217">
        <v>0.8</v>
      </c>
      <c r="L52" s="210">
        <v>465330</v>
      </c>
      <c r="M52" s="211">
        <f>L52*10%</f>
        <v>46533</v>
      </c>
      <c r="N52" s="212">
        <f t="shared" si="3"/>
        <v>418797</v>
      </c>
      <c r="O52" s="191"/>
      <c r="P52" s="192" t="s">
        <v>158</v>
      </c>
    </row>
    <row r="53" spans="2:16" ht="18" hidden="1" customHeight="1">
      <c r="B53" s="242">
        <v>49</v>
      </c>
      <c r="C53" s="243" t="s">
        <v>238</v>
      </c>
      <c r="D53" s="246" t="s">
        <v>72</v>
      </c>
      <c r="E53" s="245" t="s">
        <v>9</v>
      </c>
      <c r="F53" s="246" t="s">
        <v>213</v>
      </c>
      <c r="G53" s="246" t="s">
        <v>10</v>
      </c>
      <c r="H53" s="258">
        <v>44466</v>
      </c>
      <c r="I53" s="246" t="s">
        <v>211</v>
      </c>
      <c r="J53" s="265">
        <v>20114313.333333336</v>
      </c>
      <c r="K53" s="263">
        <v>0.3</v>
      </c>
      <c r="L53" s="250">
        <v>6034294</v>
      </c>
      <c r="M53" s="251">
        <f>L53*10%</f>
        <v>603429.4</v>
      </c>
      <c r="N53" s="252">
        <f t="shared" si="3"/>
        <v>5430864.5999999996</v>
      </c>
      <c r="O53" s="198" t="s">
        <v>222</v>
      </c>
      <c r="P53" s="192"/>
    </row>
    <row r="54" spans="2:16" ht="18" hidden="1" customHeight="1">
      <c r="B54" s="242">
        <v>51</v>
      </c>
      <c r="C54" s="243"/>
      <c r="D54" s="246" t="s">
        <v>72</v>
      </c>
      <c r="E54" s="245" t="s">
        <v>9</v>
      </c>
      <c r="F54" s="246" t="s">
        <v>213</v>
      </c>
      <c r="G54" s="246" t="s">
        <v>11</v>
      </c>
      <c r="H54" s="258">
        <v>44468</v>
      </c>
      <c r="I54" s="246" t="s">
        <v>211</v>
      </c>
      <c r="J54" s="265">
        <v>146156.66666666669</v>
      </c>
      <c r="K54" s="263">
        <v>0.3</v>
      </c>
      <c r="L54" s="250">
        <v>43847</v>
      </c>
      <c r="M54" s="251">
        <v>0</v>
      </c>
      <c r="N54" s="252">
        <f t="shared" si="3"/>
        <v>43847</v>
      </c>
      <c r="O54" s="198" t="s">
        <v>222</v>
      </c>
      <c r="P54" s="192"/>
    </row>
    <row r="55" spans="2:16" ht="18" hidden="1" customHeight="1">
      <c r="B55" s="242">
        <v>53</v>
      </c>
      <c r="C55" s="243" t="s">
        <v>238</v>
      </c>
      <c r="D55" s="246" t="s">
        <v>79</v>
      </c>
      <c r="E55" s="245" t="s">
        <v>9</v>
      </c>
      <c r="F55" s="246" t="s">
        <v>213</v>
      </c>
      <c r="G55" s="246" t="s">
        <v>218</v>
      </c>
      <c r="H55" s="261">
        <v>44356</v>
      </c>
      <c r="I55" s="246" t="s">
        <v>194</v>
      </c>
      <c r="J55" s="265">
        <v>1600970</v>
      </c>
      <c r="K55" s="263">
        <v>0.3</v>
      </c>
      <c r="L55" s="250">
        <v>480291</v>
      </c>
      <c r="M55" s="251">
        <f t="shared" ref="M55:M60" si="4">L55*10%</f>
        <v>48029.100000000006</v>
      </c>
      <c r="N55" s="252">
        <f t="shared" si="3"/>
        <v>432261.9</v>
      </c>
      <c r="O55" s="198" t="s">
        <v>220</v>
      </c>
      <c r="P55" s="192"/>
    </row>
    <row r="56" spans="2:16" ht="18" hidden="1" customHeight="1">
      <c r="B56" s="242">
        <v>54</v>
      </c>
      <c r="C56" s="243" t="s">
        <v>238</v>
      </c>
      <c r="D56" s="246" t="s">
        <v>229</v>
      </c>
      <c r="E56" s="245" t="s">
        <v>9</v>
      </c>
      <c r="F56" s="246" t="s">
        <v>213</v>
      </c>
      <c r="G56" s="246" t="s">
        <v>218</v>
      </c>
      <c r="H56" s="261">
        <v>44395</v>
      </c>
      <c r="I56" s="246" t="s">
        <v>194</v>
      </c>
      <c r="J56" s="265">
        <v>17973433.333333336</v>
      </c>
      <c r="K56" s="263">
        <v>0.3</v>
      </c>
      <c r="L56" s="250">
        <v>5392030</v>
      </c>
      <c r="M56" s="251">
        <f t="shared" si="4"/>
        <v>539203</v>
      </c>
      <c r="N56" s="252">
        <f t="shared" si="3"/>
        <v>4852827</v>
      </c>
      <c r="O56" s="198" t="s">
        <v>221</v>
      </c>
      <c r="P56" s="192"/>
    </row>
    <row r="57" spans="2:16" ht="18" hidden="1" customHeight="1">
      <c r="B57" s="242">
        <v>55</v>
      </c>
      <c r="C57" s="243" t="s">
        <v>238</v>
      </c>
      <c r="D57" s="246" t="s">
        <v>32</v>
      </c>
      <c r="E57" s="245" t="s">
        <v>9</v>
      </c>
      <c r="F57" s="246" t="s">
        <v>213</v>
      </c>
      <c r="G57" s="246" t="s">
        <v>218</v>
      </c>
      <c r="H57" s="261">
        <v>44396</v>
      </c>
      <c r="I57" s="246" t="s">
        <v>194</v>
      </c>
      <c r="J57" s="265">
        <v>11026733.333333334</v>
      </c>
      <c r="K57" s="263">
        <v>0.3</v>
      </c>
      <c r="L57" s="250">
        <v>3308020</v>
      </c>
      <c r="M57" s="251">
        <f t="shared" si="4"/>
        <v>330802</v>
      </c>
      <c r="N57" s="252">
        <f t="shared" si="3"/>
        <v>2977218</v>
      </c>
      <c r="O57" s="198" t="s">
        <v>221</v>
      </c>
      <c r="P57" s="192"/>
    </row>
    <row r="58" spans="2:16" ht="18" hidden="1" customHeight="1">
      <c r="B58" s="242">
        <v>56</v>
      </c>
      <c r="C58" s="243" t="s">
        <v>238</v>
      </c>
      <c r="D58" s="246" t="s">
        <v>177</v>
      </c>
      <c r="E58" s="245" t="s">
        <v>9</v>
      </c>
      <c r="F58" s="246" t="s">
        <v>213</v>
      </c>
      <c r="G58" s="246" t="s">
        <v>218</v>
      </c>
      <c r="H58" s="261">
        <v>44356</v>
      </c>
      <c r="I58" s="246" t="s">
        <v>194</v>
      </c>
      <c r="J58" s="265">
        <v>7165406.666666667</v>
      </c>
      <c r="K58" s="263">
        <v>0.3</v>
      </c>
      <c r="L58" s="250">
        <v>2149622</v>
      </c>
      <c r="M58" s="251">
        <f t="shared" si="4"/>
        <v>214962.2</v>
      </c>
      <c r="N58" s="252">
        <f t="shared" si="3"/>
        <v>1934659.8</v>
      </c>
      <c r="O58" s="198" t="s">
        <v>221</v>
      </c>
      <c r="P58" s="192"/>
    </row>
    <row r="59" spans="2:16" ht="18" hidden="1" customHeight="1">
      <c r="B59" s="242">
        <v>57</v>
      </c>
      <c r="C59" s="243" t="s">
        <v>238</v>
      </c>
      <c r="D59" s="246" t="s">
        <v>189</v>
      </c>
      <c r="E59" s="245" t="s">
        <v>9</v>
      </c>
      <c r="F59" s="246" t="s">
        <v>213</v>
      </c>
      <c r="G59" s="246" t="s">
        <v>218</v>
      </c>
      <c r="H59" s="247">
        <v>44366</v>
      </c>
      <c r="I59" s="246" t="s">
        <v>194</v>
      </c>
      <c r="J59" s="270">
        <v>15268610</v>
      </c>
      <c r="K59" s="263">
        <v>0.3</v>
      </c>
      <c r="L59" s="250">
        <v>4580583</v>
      </c>
      <c r="M59" s="251">
        <f t="shared" si="4"/>
        <v>458058.30000000005</v>
      </c>
      <c r="N59" s="252">
        <f t="shared" si="3"/>
        <v>4122524.7</v>
      </c>
      <c r="O59" s="198" t="s">
        <v>221</v>
      </c>
      <c r="P59" s="192"/>
    </row>
    <row r="60" spans="2:16" ht="18" hidden="1" customHeight="1">
      <c r="B60" s="242">
        <v>58</v>
      </c>
      <c r="C60" s="243" t="s">
        <v>238</v>
      </c>
      <c r="D60" s="246" t="s">
        <v>66</v>
      </c>
      <c r="E60" s="245" t="s">
        <v>9</v>
      </c>
      <c r="F60" s="246" t="s">
        <v>213</v>
      </c>
      <c r="G60" s="246" t="s">
        <v>218</v>
      </c>
      <c r="H60" s="247">
        <v>44456</v>
      </c>
      <c r="I60" s="246" t="s">
        <v>194</v>
      </c>
      <c r="J60" s="270">
        <v>230100</v>
      </c>
      <c r="K60" s="249">
        <v>0.3</v>
      </c>
      <c r="L60" s="250">
        <v>69030</v>
      </c>
      <c r="M60" s="251">
        <f t="shared" si="4"/>
        <v>6903</v>
      </c>
      <c r="N60" s="252">
        <f t="shared" si="3"/>
        <v>62127</v>
      </c>
      <c r="O60" s="198" t="s">
        <v>221</v>
      </c>
      <c r="P60" s="192"/>
    </row>
    <row r="61" spans="2:16" ht="18" hidden="1" customHeight="1">
      <c r="B61" s="242">
        <v>59</v>
      </c>
      <c r="C61" s="243"/>
      <c r="D61" s="272" t="s">
        <v>214</v>
      </c>
      <c r="E61" s="245" t="s">
        <v>9</v>
      </c>
      <c r="F61" s="246" t="s">
        <v>213</v>
      </c>
      <c r="G61" s="246" t="s">
        <v>135</v>
      </c>
      <c r="H61" s="247">
        <v>44381</v>
      </c>
      <c r="I61" s="246" t="s">
        <v>194</v>
      </c>
      <c r="J61" s="248">
        <v>121153.33333333334</v>
      </c>
      <c r="K61" s="249">
        <v>0.3</v>
      </c>
      <c r="L61" s="250">
        <v>36346</v>
      </c>
      <c r="M61" s="251">
        <v>0</v>
      </c>
      <c r="N61" s="252">
        <f t="shared" si="3"/>
        <v>36346</v>
      </c>
      <c r="O61" s="198" t="s">
        <v>220</v>
      </c>
      <c r="P61" s="192"/>
    </row>
    <row r="62" spans="2:16" ht="18" hidden="1" customHeight="1">
      <c r="B62" s="242">
        <v>60</v>
      </c>
      <c r="C62" s="243"/>
      <c r="D62" s="272" t="s">
        <v>215</v>
      </c>
      <c r="E62" s="245" t="s">
        <v>9</v>
      </c>
      <c r="F62" s="246" t="s">
        <v>213</v>
      </c>
      <c r="G62" s="246" t="s">
        <v>135</v>
      </c>
      <c r="H62" s="247">
        <v>44420</v>
      </c>
      <c r="I62" s="246" t="s">
        <v>194</v>
      </c>
      <c r="J62" s="248">
        <v>3118676.666666667</v>
      </c>
      <c r="K62" s="249">
        <v>0.3</v>
      </c>
      <c r="L62" s="250">
        <v>935603</v>
      </c>
      <c r="M62" s="251">
        <v>0</v>
      </c>
      <c r="N62" s="252">
        <f t="shared" si="3"/>
        <v>935603</v>
      </c>
      <c r="O62" s="198" t="s">
        <v>221</v>
      </c>
      <c r="P62" s="192"/>
    </row>
    <row r="63" spans="2:16" ht="18" hidden="1" customHeight="1">
      <c r="B63" s="242">
        <v>61</v>
      </c>
      <c r="C63" s="243"/>
      <c r="D63" s="272" t="s">
        <v>216</v>
      </c>
      <c r="E63" s="245" t="s">
        <v>9</v>
      </c>
      <c r="F63" s="246" t="s">
        <v>213</v>
      </c>
      <c r="G63" s="246" t="s">
        <v>135</v>
      </c>
      <c r="H63" s="247">
        <v>44370</v>
      </c>
      <c r="I63" s="246" t="s">
        <v>194</v>
      </c>
      <c r="J63" s="248">
        <v>288993.33333333337</v>
      </c>
      <c r="K63" s="249">
        <v>0.3</v>
      </c>
      <c r="L63" s="250">
        <v>86698</v>
      </c>
      <c r="M63" s="251">
        <v>0</v>
      </c>
      <c r="N63" s="252">
        <f t="shared" si="3"/>
        <v>86698</v>
      </c>
      <c r="O63" s="198" t="s">
        <v>221</v>
      </c>
      <c r="P63" s="192"/>
    </row>
    <row r="64" spans="2:16" ht="18" hidden="1" customHeight="1">
      <c r="B64" s="242">
        <v>62</v>
      </c>
      <c r="C64" s="243" t="s">
        <v>238</v>
      </c>
      <c r="D64" s="272" t="s">
        <v>214</v>
      </c>
      <c r="E64" s="245" t="s">
        <v>9</v>
      </c>
      <c r="F64" s="246" t="s">
        <v>213</v>
      </c>
      <c r="G64" s="246" t="s">
        <v>136</v>
      </c>
      <c r="H64" s="247">
        <v>44364</v>
      </c>
      <c r="I64" s="246" t="s">
        <v>194</v>
      </c>
      <c r="J64" s="248">
        <v>15900</v>
      </c>
      <c r="K64" s="249">
        <v>0.3</v>
      </c>
      <c r="L64" s="250">
        <v>4770</v>
      </c>
      <c r="M64" s="250">
        <f>L64*10%</f>
        <v>477</v>
      </c>
      <c r="N64" s="252">
        <f t="shared" si="3"/>
        <v>4293</v>
      </c>
      <c r="O64" s="198" t="s">
        <v>220</v>
      </c>
      <c r="P64" s="192"/>
    </row>
    <row r="65" spans="2:16" ht="18" hidden="1" customHeight="1">
      <c r="B65" s="242">
        <v>63</v>
      </c>
      <c r="C65" s="243" t="s">
        <v>238</v>
      </c>
      <c r="D65" s="272" t="s">
        <v>214</v>
      </c>
      <c r="E65" s="245" t="s">
        <v>9</v>
      </c>
      <c r="F65" s="246" t="s">
        <v>213</v>
      </c>
      <c r="G65" s="246" t="s">
        <v>219</v>
      </c>
      <c r="H65" s="247">
        <v>44477</v>
      </c>
      <c r="I65" s="246" t="s">
        <v>194</v>
      </c>
      <c r="J65" s="270">
        <v>797710</v>
      </c>
      <c r="K65" s="249">
        <v>0.3</v>
      </c>
      <c r="L65" s="250">
        <v>239313</v>
      </c>
      <c r="M65" s="251">
        <f>L65*12%</f>
        <v>28717.559999999998</v>
      </c>
      <c r="N65" s="252">
        <f t="shared" si="3"/>
        <v>210595.44</v>
      </c>
      <c r="O65" s="198" t="s">
        <v>220</v>
      </c>
      <c r="P65" s="192"/>
    </row>
    <row r="66" spans="2:16" ht="18" hidden="1" customHeight="1">
      <c r="B66" s="242">
        <v>64</v>
      </c>
      <c r="C66" s="243" t="s">
        <v>238</v>
      </c>
      <c r="D66" s="272" t="s">
        <v>215</v>
      </c>
      <c r="E66" s="245" t="s">
        <v>9</v>
      </c>
      <c r="F66" s="246" t="s">
        <v>213</v>
      </c>
      <c r="G66" s="246" t="s">
        <v>219</v>
      </c>
      <c r="H66" s="247">
        <v>44486</v>
      </c>
      <c r="I66" s="246" t="s">
        <v>194</v>
      </c>
      <c r="J66" s="270">
        <v>28497210</v>
      </c>
      <c r="K66" s="249">
        <v>0.3</v>
      </c>
      <c r="L66" s="250">
        <v>8549163</v>
      </c>
      <c r="M66" s="251">
        <f>L66*12%</f>
        <v>1025899.5599999999</v>
      </c>
      <c r="N66" s="252">
        <f t="shared" si="3"/>
        <v>7523263.4400000004</v>
      </c>
      <c r="O66" s="198" t="s">
        <v>221</v>
      </c>
      <c r="P66" s="192"/>
    </row>
    <row r="67" spans="2:16" ht="18" hidden="1" customHeight="1">
      <c r="B67" s="242">
        <v>65</v>
      </c>
      <c r="C67" s="243" t="s">
        <v>238</v>
      </c>
      <c r="D67" s="272" t="s">
        <v>216</v>
      </c>
      <c r="E67" s="245" t="s">
        <v>9</v>
      </c>
      <c r="F67" s="246" t="s">
        <v>213</v>
      </c>
      <c r="G67" s="246" t="s">
        <v>219</v>
      </c>
      <c r="H67" s="247">
        <v>44497</v>
      </c>
      <c r="I67" s="246" t="s">
        <v>194</v>
      </c>
      <c r="J67" s="270">
        <v>8770376.6666666679</v>
      </c>
      <c r="K67" s="249">
        <v>0.3</v>
      </c>
      <c r="L67" s="250">
        <v>2631113</v>
      </c>
      <c r="M67" s="251">
        <f>L67*12%</f>
        <v>315733.56</v>
      </c>
      <c r="N67" s="252">
        <f t="shared" ref="N67:N98" si="5">L67-M67</f>
        <v>2315379.44</v>
      </c>
      <c r="O67" s="198" t="s">
        <v>221</v>
      </c>
      <c r="P67" s="192"/>
    </row>
    <row r="68" spans="2:16" ht="18" hidden="1" customHeight="1">
      <c r="B68" s="242">
        <v>66</v>
      </c>
      <c r="C68" s="243" t="s">
        <v>238</v>
      </c>
      <c r="D68" s="272" t="s">
        <v>217</v>
      </c>
      <c r="E68" s="245" t="s">
        <v>9</v>
      </c>
      <c r="F68" s="246" t="s">
        <v>213</v>
      </c>
      <c r="G68" s="246" t="s">
        <v>219</v>
      </c>
      <c r="H68" s="247">
        <v>44466</v>
      </c>
      <c r="I68" s="246" t="s">
        <v>194</v>
      </c>
      <c r="J68" s="270">
        <v>7863173.333333334</v>
      </c>
      <c r="K68" s="249">
        <v>0.3</v>
      </c>
      <c r="L68" s="250">
        <v>2358952</v>
      </c>
      <c r="M68" s="251">
        <f>L68*12%</f>
        <v>283074.24</v>
      </c>
      <c r="N68" s="252">
        <f t="shared" si="5"/>
        <v>2075877.76</v>
      </c>
      <c r="O68" s="198" t="s">
        <v>221</v>
      </c>
      <c r="P68" s="192"/>
    </row>
    <row r="69" spans="2:16" ht="18" hidden="1" customHeight="1">
      <c r="B69" s="242">
        <v>67</v>
      </c>
      <c r="C69" s="243" t="s">
        <v>238</v>
      </c>
      <c r="D69" s="244" t="s">
        <v>66</v>
      </c>
      <c r="E69" s="254" t="s">
        <v>223</v>
      </c>
      <c r="F69" s="244" t="s">
        <v>65</v>
      </c>
      <c r="G69" s="246" t="s">
        <v>28</v>
      </c>
      <c r="H69" s="247">
        <v>44235</v>
      </c>
      <c r="I69" s="246" t="s">
        <v>194</v>
      </c>
      <c r="J69" s="248">
        <v>906850</v>
      </c>
      <c r="K69" s="249">
        <v>0.4</v>
      </c>
      <c r="L69" s="250">
        <v>362740</v>
      </c>
      <c r="M69" s="251">
        <f>ROUND(L69*12%,0)</f>
        <v>43529</v>
      </c>
      <c r="N69" s="252">
        <f t="shared" si="5"/>
        <v>319211</v>
      </c>
      <c r="O69" s="196"/>
      <c r="P69" s="192"/>
    </row>
    <row r="70" spans="2:16" ht="18" hidden="1" customHeight="1">
      <c r="B70" s="242">
        <v>68</v>
      </c>
      <c r="C70" s="243"/>
      <c r="D70" s="244" t="s">
        <v>66</v>
      </c>
      <c r="E70" s="254" t="s">
        <v>223</v>
      </c>
      <c r="F70" s="244" t="s">
        <v>65</v>
      </c>
      <c r="G70" s="246" t="s">
        <v>42</v>
      </c>
      <c r="H70" s="247">
        <v>44198</v>
      </c>
      <c r="I70" s="246" t="s">
        <v>194</v>
      </c>
      <c r="J70" s="248">
        <v>722220</v>
      </c>
      <c r="K70" s="249">
        <v>0.4</v>
      </c>
      <c r="L70" s="250">
        <v>288888</v>
      </c>
      <c r="M70" s="251">
        <f>L70*10%</f>
        <v>28888.800000000003</v>
      </c>
      <c r="N70" s="252">
        <f t="shared" si="5"/>
        <v>259999.2</v>
      </c>
      <c r="O70" s="72" t="s">
        <v>85</v>
      </c>
      <c r="P70" s="192"/>
    </row>
    <row r="71" spans="2:16" ht="18" hidden="1" customHeight="1">
      <c r="B71" s="202">
        <v>69</v>
      </c>
      <c r="C71" s="203"/>
      <c r="D71" s="204" t="s">
        <v>66</v>
      </c>
      <c r="E71" s="205" t="s">
        <v>223</v>
      </c>
      <c r="F71" s="204" t="s">
        <v>65</v>
      </c>
      <c r="G71" s="206" t="s">
        <v>53</v>
      </c>
      <c r="H71" s="207">
        <v>44288</v>
      </c>
      <c r="I71" s="206" t="s">
        <v>194</v>
      </c>
      <c r="J71" s="208">
        <v>346853</v>
      </c>
      <c r="K71" s="209">
        <v>0.4</v>
      </c>
      <c r="L71" s="210">
        <v>138741</v>
      </c>
      <c r="M71" s="211">
        <v>0</v>
      </c>
      <c r="N71" s="212">
        <f t="shared" si="5"/>
        <v>138741</v>
      </c>
      <c r="O71" s="191"/>
      <c r="P71" s="192" t="s">
        <v>158</v>
      </c>
    </row>
    <row r="72" spans="2:16" ht="18" hidden="1" customHeight="1">
      <c r="B72" s="202">
        <v>70</v>
      </c>
      <c r="C72" s="203"/>
      <c r="D72" s="204" t="s">
        <v>66</v>
      </c>
      <c r="E72" s="205" t="s">
        <v>223</v>
      </c>
      <c r="F72" s="204" t="s">
        <v>65</v>
      </c>
      <c r="G72" s="206" t="s">
        <v>63</v>
      </c>
      <c r="H72" s="207">
        <v>44289</v>
      </c>
      <c r="I72" s="206" t="s">
        <v>194</v>
      </c>
      <c r="J72" s="208">
        <v>1926583</v>
      </c>
      <c r="K72" s="209">
        <v>0.4</v>
      </c>
      <c r="L72" s="210">
        <v>770633</v>
      </c>
      <c r="M72" s="211">
        <v>0</v>
      </c>
      <c r="N72" s="212">
        <f t="shared" si="5"/>
        <v>770633</v>
      </c>
      <c r="O72" s="191"/>
      <c r="P72" s="192" t="s">
        <v>158</v>
      </c>
    </row>
    <row r="73" spans="2:16" ht="18" hidden="1" customHeight="1">
      <c r="B73" s="242">
        <v>71</v>
      </c>
      <c r="C73" s="243" t="s">
        <v>238</v>
      </c>
      <c r="D73" s="244" t="s">
        <v>66</v>
      </c>
      <c r="E73" s="254" t="s">
        <v>223</v>
      </c>
      <c r="F73" s="244" t="s">
        <v>65</v>
      </c>
      <c r="G73" s="246" t="s">
        <v>54</v>
      </c>
      <c r="H73" s="247">
        <v>44246</v>
      </c>
      <c r="I73" s="246" t="s">
        <v>194</v>
      </c>
      <c r="J73" s="270">
        <v>477893</v>
      </c>
      <c r="K73" s="249">
        <v>0.4</v>
      </c>
      <c r="L73" s="250">
        <v>191157</v>
      </c>
      <c r="M73" s="250">
        <f>L73*10%</f>
        <v>19115.7</v>
      </c>
      <c r="N73" s="252">
        <f t="shared" si="5"/>
        <v>172041.3</v>
      </c>
      <c r="O73" s="191"/>
      <c r="P73" s="192"/>
    </row>
    <row r="74" spans="2:16" ht="18" hidden="1" customHeight="1">
      <c r="B74" s="202">
        <v>72</v>
      </c>
      <c r="C74" s="203"/>
      <c r="D74" s="204" t="s">
        <v>66</v>
      </c>
      <c r="E74" s="205" t="s">
        <v>223</v>
      </c>
      <c r="F74" s="204" t="s">
        <v>65</v>
      </c>
      <c r="G74" s="206" t="s">
        <v>121</v>
      </c>
      <c r="H74" s="207">
        <v>44415</v>
      </c>
      <c r="I74" s="206" t="s">
        <v>194</v>
      </c>
      <c r="J74" s="208">
        <v>1334425</v>
      </c>
      <c r="K74" s="209">
        <v>0.4</v>
      </c>
      <c r="L74" s="210">
        <v>533770</v>
      </c>
      <c r="M74" s="211">
        <v>0</v>
      </c>
      <c r="N74" s="212">
        <f t="shared" si="5"/>
        <v>533770</v>
      </c>
      <c r="O74" s="191"/>
      <c r="P74" s="192" t="s">
        <v>158</v>
      </c>
    </row>
    <row r="75" spans="2:16" ht="18" hidden="1" customHeight="1">
      <c r="B75" s="242">
        <v>73</v>
      </c>
      <c r="C75" s="243" t="s">
        <v>238</v>
      </c>
      <c r="D75" s="244" t="s">
        <v>67</v>
      </c>
      <c r="E75" s="245" t="s">
        <v>9</v>
      </c>
      <c r="F75" s="244" t="s">
        <v>65</v>
      </c>
      <c r="G75" s="246" t="s">
        <v>28</v>
      </c>
      <c r="H75" s="247">
        <v>44105</v>
      </c>
      <c r="I75" s="246" t="s">
        <v>194</v>
      </c>
      <c r="J75" s="270">
        <v>1636460</v>
      </c>
      <c r="K75" s="249">
        <v>0.4</v>
      </c>
      <c r="L75" s="250">
        <v>654584</v>
      </c>
      <c r="M75" s="251">
        <f>ROUND(L75*12%,0)</f>
        <v>78550</v>
      </c>
      <c r="N75" s="252">
        <f t="shared" si="5"/>
        <v>576034</v>
      </c>
      <c r="O75" s="191"/>
      <c r="P75" s="192"/>
    </row>
    <row r="76" spans="2:16" ht="18" hidden="1" customHeight="1">
      <c r="B76" s="242">
        <v>74</v>
      </c>
      <c r="C76" s="243" t="s">
        <v>238</v>
      </c>
      <c r="D76" s="244" t="s">
        <v>67</v>
      </c>
      <c r="E76" s="245" t="s">
        <v>9</v>
      </c>
      <c r="F76" s="244" t="s">
        <v>65</v>
      </c>
      <c r="G76" s="246" t="s">
        <v>29</v>
      </c>
      <c r="H76" s="247">
        <v>44111</v>
      </c>
      <c r="I76" s="246" t="s">
        <v>194</v>
      </c>
      <c r="J76" s="270">
        <v>2304280</v>
      </c>
      <c r="K76" s="249">
        <v>0.4</v>
      </c>
      <c r="L76" s="250">
        <v>921712</v>
      </c>
      <c r="M76" s="250">
        <f>L76*10%</f>
        <v>92171.200000000012</v>
      </c>
      <c r="N76" s="252">
        <f t="shared" si="5"/>
        <v>829540.8</v>
      </c>
      <c r="O76" s="191"/>
      <c r="P76" s="192"/>
    </row>
    <row r="77" spans="2:16" ht="18" hidden="1" customHeight="1">
      <c r="B77" s="242">
        <v>75</v>
      </c>
      <c r="C77" s="243"/>
      <c r="D77" s="244" t="s">
        <v>67</v>
      </c>
      <c r="E77" s="245" t="s">
        <v>9</v>
      </c>
      <c r="F77" s="244" t="s">
        <v>65</v>
      </c>
      <c r="G77" s="246" t="s">
        <v>139</v>
      </c>
      <c r="H77" s="247">
        <v>43921</v>
      </c>
      <c r="I77" s="246" t="s">
        <v>194</v>
      </c>
      <c r="J77" s="248">
        <v>192290</v>
      </c>
      <c r="K77" s="249">
        <v>0.4</v>
      </c>
      <c r="L77" s="250">
        <v>76916</v>
      </c>
      <c r="M77" s="251">
        <v>0</v>
      </c>
      <c r="N77" s="252">
        <f t="shared" si="5"/>
        <v>76916</v>
      </c>
      <c r="O77" s="191"/>
      <c r="P77" s="192"/>
    </row>
    <row r="78" spans="2:16" ht="18" hidden="1" customHeight="1">
      <c r="B78" s="242">
        <v>76</v>
      </c>
      <c r="C78" s="243"/>
      <c r="D78" s="244" t="s">
        <v>67</v>
      </c>
      <c r="E78" s="245" t="s">
        <v>9</v>
      </c>
      <c r="F78" s="244" t="s">
        <v>65</v>
      </c>
      <c r="G78" s="246" t="s">
        <v>36</v>
      </c>
      <c r="H78" s="247">
        <v>43941</v>
      </c>
      <c r="I78" s="246" t="s">
        <v>194</v>
      </c>
      <c r="J78" s="248">
        <v>1154485</v>
      </c>
      <c r="K78" s="249">
        <v>0.4</v>
      </c>
      <c r="L78" s="250">
        <v>461794</v>
      </c>
      <c r="M78" s="251">
        <v>0</v>
      </c>
      <c r="N78" s="252">
        <f t="shared" si="5"/>
        <v>461794</v>
      </c>
      <c r="O78" s="191"/>
      <c r="P78" s="192"/>
    </row>
    <row r="79" spans="2:16" ht="18" hidden="1" customHeight="1">
      <c r="B79" s="242">
        <v>77</v>
      </c>
      <c r="C79" s="243" t="s">
        <v>238</v>
      </c>
      <c r="D79" s="244" t="s">
        <v>67</v>
      </c>
      <c r="E79" s="254" t="s">
        <v>223</v>
      </c>
      <c r="F79" s="244" t="s">
        <v>65</v>
      </c>
      <c r="G79" s="246" t="s">
        <v>30</v>
      </c>
      <c r="H79" s="247">
        <v>44258</v>
      </c>
      <c r="I79" s="246" t="s">
        <v>194</v>
      </c>
      <c r="J79" s="248">
        <v>2771438</v>
      </c>
      <c r="K79" s="249">
        <v>0.4</v>
      </c>
      <c r="L79" s="250">
        <v>1108575</v>
      </c>
      <c r="M79" s="250">
        <f>L79*10%</f>
        <v>110857.5</v>
      </c>
      <c r="N79" s="252">
        <f t="shared" si="5"/>
        <v>997717.5</v>
      </c>
      <c r="O79" s="191"/>
      <c r="P79" s="192"/>
    </row>
    <row r="80" spans="2:16" ht="18" hidden="1" customHeight="1">
      <c r="B80" s="242">
        <v>78</v>
      </c>
      <c r="C80" s="243"/>
      <c r="D80" s="244" t="s">
        <v>67</v>
      </c>
      <c r="E80" s="254" t="s">
        <v>223</v>
      </c>
      <c r="F80" s="244" t="s">
        <v>65</v>
      </c>
      <c r="G80" s="246" t="s">
        <v>42</v>
      </c>
      <c r="H80" s="247">
        <v>44233</v>
      </c>
      <c r="I80" s="246" t="s">
        <v>194</v>
      </c>
      <c r="J80" s="248">
        <v>5289808</v>
      </c>
      <c r="K80" s="249">
        <v>0.4</v>
      </c>
      <c r="L80" s="250">
        <v>2115923</v>
      </c>
      <c r="M80" s="251">
        <f>L80*10%</f>
        <v>211592.30000000002</v>
      </c>
      <c r="N80" s="252">
        <f t="shared" si="5"/>
        <v>1904330.7</v>
      </c>
      <c r="O80" s="72" t="s">
        <v>85</v>
      </c>
      <c r="P80" s="192"/>
    </row>
    <row r="81" spans="2:16" ht="18" hidden="1" customHeight="1">
      <c r="B81" s="242">
        <v>79</v>
      </c>
      <c r="C81" s="243" t="s">
        <v>238</v>
      </c>
      <c r="D81" s="244" t="s">
        <v>67</v>
      </c>
      <c r="E81" s="254" t="s">
        <v>223</v>
      </c>
      <c r="F81" s="244" t="s">
        <v>65</v>
      </c>
      <c r="G81" s="246" t="s">
        <v>54</v>
      </c>
      <c r="H81" s="247">
        <v>44254</v>
      </c>
      <c r="I81" s="246" t="s">
        <v>194</v>
      </c>
      <c r="J81" s="248">
        <v>489198</v>
      </c>
      <c r="K81" s="249">
        <v>0.4</v>
      </c>
      <c r="L81" s="250">
        <v>195679</v>
      </c>
      <c r="M81" s="250">
        <f>L81*10%</f>
        <v>19567.900000000001</v>
      </c>
      <c r="N81" s="252">
        <f t="shared" si="5"/>
        <v>176111.1</v>
      </c>
      <c r="O81" s="191"/>
      <c r="P81" s="192"/>
    </row>
    <row r="82" spans="2:16" ht="18" hidden="1" customHeight="1">
      <c r="B82" s="202">
        <v>80</v>
      </c>
      <c r="C82" s="203"/>
      <c r="D82" s="204" t="s">
        <v>67</v>
      </c>
      <c r="E82" s="205" t="s">
        <v>223</v>
      </c>
      <c r="F82" s="204" t="s">
        <v>65</v>
      </c>
      <c r="G82" s="206" t="s">
        <v>53</v>
      </c>
      <c r="H82" s="207">
        <v>44260</v>
      </c>
      <c r="I82" s="206" t="s">
        <v>194</v>
      </c>
      <c r="J82" s="213">
        <v>792413</v>
      </c>
      <c r="K82" s="209">
        <v>0.4</v>
      </c>
      <c r="L82" s="210">
        <v>316965</v>
      </c>
      <c r="M82" s="211">
        <v>0</v>
      </c>
      <c r="N82" s="212">
        <f t="shared" si="5"/>
        <v>316965</v>
      </c>
      <c r="O82" s="191"/>
      <c r="P82" s="192" t="s">
        <v>158</v>
      </c>
    </row>
    <row r="83" spans="2:16" ht="18" hidden="1" customHeight="1">
      <c r="B83" s="202">
        <v>81</v>
      </c>
      <c r="C83" s="203"/>
      <c r="D83" s="204" t="s">
        <v>67</v>
      </c>
      <c r="E83" s="205" t="s">
        <v>223</v>
      </c>
      <c r="F83" s="204" t="s">
        <v>65</v>
      </c>
      <c r="G83" s="206" t="s">
        <v>63</v>
      </c>
      <c r="H83" s="207">
        <v>44289</v>
      </c>
      <c r="I83" s="206" t="s">
        <v>194</v>
      </c>
      <c r="J83" s="213">
        <v>3366330</v>
      </c>
      <c r="K83" s="209">
        <v>0.4</v>
      </c>
      <c r="L83" s="210">
        <v>1346532</v>
      </c>
      <c r="M83" s="211">
        <v>0</v>
      </c>
      <c r="N83" s="212">
        <f t="shared" si="5"/>
        <v>1346532</v>
      </c>
      <c r="O83" s="191"/>
      <c r="P83" s="192" t="s">
        <v>158</v>
      </c>
    </row>
    <row r="84" spans="2:16" ht="18" hidden="1" customHeight="1">
      <c r="B84" s="202">
        <v>82</v>
      </c>
      <c r="C84" s="203"/>
      <c r="D84" s="204" t="s">
        <v>67</v>
      </c>
      <c r="E84" s="205" t="s">
        <v>223</v>
      </c>
      <c r="F84" s="204" t="s">
        <v>65</v>
      </c>
      <c r="G84" s="206" t="s">
        <v>121</v>
      </c>
      <c r="H84" s="207">
        <v>44449</v>
      </c>
      <c r="I84" s="206" t="s">
        <v>194</v>
      </c>
      <c r="J84" s="213">
        <v>7064463</v>
      </c>
      <c r="K84" s="209">
        <v>0.4</v>
      </c>
      <c r="L84" s="210">
        <v>2825785</v>
      </c>
      <c r="M84" s="211">
        <v>0</v>
      </c>
      <c r="N84" s="212">
        <f t="shared" si="5"/>
        <v>2825785</v>
      </c>
      <c r="O84" s="191"/>
      <c r="P84" s="192" t="s">
        <v>158</v>
      </c>
    </row>
    <row r="85" spans="2:16" ht="18" hidden="1" customHeight="1">
      <c r="B85" s="242">
        <v>83</v>
      </c>
      <c r="C85" s="243"/>
      <c r="D85" s="253" t="s">
        <v>32</v>
      </c>
      <c r="E85" s="254" t="s">
        <v>9</v>
      </c>
      <c r="F85" s="244" t="s">
        <v>178</v>
      </c>
      <c r="G85" s="246" t="s">
        <v>42</v>
      </c>
      <c r="H85" s="247">
        <v>44354</v>
      </c>
      <c r="I85" s="246" t="s">
        <v>194</v>
      </c>
      <c r="J85" s="248">
        <v>34895979</v>
      </c>
      <c r="K85" s="249">
        <v>0.2800000252178052</v>
      </c>
      <c r="L85" s="250">
        <v>9770875</v>
      </c>
      <c r="M85" s="251">
        <f>L85*10%</f>
        <v>977087.5</v>
      </c>
      <c r="N85" s="252">
        <f t="shared" si="5"/>
        <v>8793787.5</v>
      </c>
      <c r="O85" s="72" t="s">
        <v>85</v>
      </c>
      <c r="P85" s="192"/>
    </row>
    <row r="86" spans="2:16" ht="18" hidden="1" customHeight="1">
      <c r="B86" s="242">
        <v>84</v>
      </c>
      <c r="C86" s="243"/>
      <c r="D86" s="253" t="s">
        <v>177</v>
      </c>
      <c r="E86" s="254" t="s">
        <v>9</v>
      </c>
      <c r="F86" s="244" t="s">
        <v>178</v>
      </c>
      <c r="G86" s="246" t="s">
        <v>42</v>
      </c>
      <c r="H86" s="247">
        <v>44419</v>
      </c>
      <c r="I86" s="246" t="s">
        <v>194</v>
      </c>
      <c r="J86" s="248">
        <v>9632174</v>
      </c>
      <c r="K86" s="249">
        <v>0.28000013288796488</v>
      </c>
      <c r="L86" s="250">
        <v>2697010</v>
      </c>
      <c r="M86" s="251">
        <f>L86*10%</f>
        <v>269701</v>
      </c>
      <c r="N86" s="252">
        <f t="shared" si="5"/>
        <v>2427309</v>
      </c>
      <c r="O86" s="72" t="s">
        <v>85</v>
      </c>
      <c r="P86" s="192"/>
    </row>
    <row r="87" spans="2:16" ht="18" hidden="1" customHeight="1">
      <c r="B87" s="202">
        <v>85</v>
      </c>
      <c r="C87" s="203" t="s">
        <v>238</v>
      </c>
      <c r="D87" s="228" t="s">
        <v>177</v>
      </c>
      <c r="E87" s="205" t="s">
        <v>9</v>
      </c>
      <c r="F87" s="204" t="s">
        <v>178</v>
      </c>
      <c r="G87" s="206" t="s">
        <v>43</v>
      </c>
      <c r="H87" s="207">
        <v>44477</v>
      </c>
      <c r="I87" s="206" t="s">
        <v>194</v>
      </c>
      <c r="J87" s="213">
        <v>8311986</v>
      </c>
      <c r="K87" s="229">
        <v>0.24499993142433107</v>
      </c>
      <c r="L87" s="210">
        <v>2036436</v>
      </c>
      <c r="M87" s="211">
        <f>L87*10%</f>
        <v>203643.6</v>
      </c>
      <c r="N87" s="212">
        <f t="shared" si="5"/>
        <v>1832792.4</v>
      </c>
      <c r="O87" s="191"/>
      <c r="P87" s="192" t="s">
        <v>158</v>
      </c>
    </row>
    <row r="88" spans="2:16" ht="18" hidden="1" customHeight="1">
      <c r="B88" s="242">
        <v>86</v>
      </c>
      <c r="C88" s="243"/>
      <c r="D88" s="253" t="s">
        <v>32</v>
      </c>
      <c r="E88" s="254" t="s">
        <v>9</v>
      </c>
      <c r="F88" s="244" t="s">
        <v>154</v>
      </c>
      <c r="G88" s="246" t="s">
        <v>36</v>
      </c>
      <c r="H88" s="247">
        <v>44106</v>
      </c>
      <c r="I88" s="246" t="s">
        <v>211</v>
      </c>
      <c r="J88" s="248">
        <v>2270828</v>
      </c>
      <c r="K88" s="249">
        <v>0.4</v>
      </c>
      <c r="L88" s="250">
        <v>862914</v>
      </c>
      <c r="M88" s="250">
        <v>0</v>
      </c>
      <c r="N88" s="252">
        <f t="shared" si="5"/>
        <v>862914</v>
      </c>
      <c r="O88" s="191"/>
      <c r="P88" s="192"/>
    </row>
    <row r="89" spans="2:16" ht="18" hidden="1" customHeight="1">
      <c r="B89" s="242">
        <v>87</v>
      </c>
      <c r="C89" s="243"/>
      <c r="D89" s="253" t="s">
        <v>32</v>
      </c>
      <c r="E89" s="254" t="s">
        <v>9</v>
      </c>
      <c r="F89" s="244" t="s">
        <v>154</v>
      </c>
      <c r="G89" s="246" t="s">
        <v>37</v>
      </c>
      <c r="H89" s="247">
        <v>44113</v>
      </c>
      <c r="I89" s="246" t="s">
        <v>211</v>
      </c>
      <c r="J89" s="248">
        <v>227619</v>
      </c>
      <c r="K89" s="249">
        <v>0.4</v>
      </c>
      <c r="L89" s="250">
        <v>86495</v>
      </c>
      <c r="M89" s="250">
        <v>0</v>
      </c>
      <c r="N89" s="252">
        <f t="shared" si="5"/>
        <v>86495</v>
      </c>
      <c r="O89" s="191"/>
      <c r="P89" s="192"/>
    </row>
    <row r="90" spans="2:16" ht="18" customHeight="1">
      <c r="B90" s="202">
        <v>88</v>
      </c>
      <c r="C90" s="203" t="s">
        <v>238</v>
      </c>
      <c r="D90" s="228" t="s">
        <v>32</v>
      </c>
      <c r="E90" s="205" t="s">
        <v>20</v>
      </c>
      <c r="F90" s="204" t="s">
        <v>154</v>
      </c>
      <c r="G90" s="206" t="s">
        <v>38</v>
      </c>
      <c r="H90" s="207">
        <v>44386</v>
      </c>
      <c r="I90" s="206" t="s">
        <v>211</v>
      </c>
      <c r="J90" s="213">
        <v>1323391</v>
      </c>
      <c r="K90" s="209">
        <v>0.4</v>
      </c>
      <c r="L90" s="210">
        <v>502889</v>
      </c>
      <c r="M90" s="210">
        <f>L90*10%</f>
        <v>50288.9</v>
      </c>
      <c r="N90" s="212">
        <f t="shared" si="5"/>
        <v>452600.1</v>
      </c>
      <c r="O90" s="191"/>
      <c r="P90" s="192" t="s">
        <v>158</v>
      </c>
    </row>
    <row r="91" spans="2:16" ht="18" hidden="1" customHeight="1">
      <c r="B91" s="242">
        <v>89</v>
      </c>
      <c r="C91" s="243" t="s">
        <v>238</v>
      </c>
      <c r="D91" s="244" t="s">
        <v>216</v>
      </c>
      <c r="E91" s="254" t="s">
        <v>20</v>
      </c>
      <c r="F91" s="244" t="s">
        <v>31</v>
      </c>
      <c r="G91" s="246" t="s">
        <v>28</v>
      </c>
      <c r="H91" s="267">
        <v>44096</v>
      </c>
      <c r="I91" s="246" t="s">
        <v>211</v>
      </c>
      <c r="J91" s="248">
        <v>470464</v>
      </c>
      <c r="K91" s="249">
        <v>0.4</v>
      </c>
      <c r="L91" s="250">
        <v>178776</v>
      </c>
      <c r="M91" s="251">
        <f>ROUND(L91*12%,0)</f>
        <v>21453</v>
      </c>
      <c r="N91" s="252">
        <f t="shared" si="5"/>
        <v>157323</v>
      </c>
      <c r="O91" s="191"/>
      <c r="P91" s="192"/>
    </row>
    <row r="92" spans="2:16" ht="18" hidden="1" customHeight="1">
      <c r="B92" s="242">
        <v>90</v>
      </c>
      <c r="C92" s="243" t="s">
        <v>238</v>
      </c>
      <c r="D92" s="244" t="s">
        <v>216</v>
      </c>
      <c r="E92" s="254" t="s">
        <v>20</v>
      </c>
      <c r="F92" s="244" t="s">
        <v>31</v>
      </c>
      <c r="G92" s="246" t="s">
        <v>151</v>
      </c>
      <c r="H92" s="267">
        <v>44239</v>
      </c>
      <c r="I92" s="246" t="s">
        <v>211</v>
      </c>
      <c r="J92" s="248">
        <v>1841607</v>
      </c>
      <c r="K92" s="249">
        <v>0.4</v>
      </c>
      <c r="L92" s="250">
        <v>699808</v>
      </c>
      <c r="M92" s="250">
        <f>L92*10%</f>
        <v>69980.800000000003</v>
      </c>
      <c r="N92" s="252">
        <f t="shared" si="5"/>
        <v>629827.19999999995</v>
      </c>
      <c r="O92" s="195"/>
      <c r="P92" s="192"/>
    </row>
    <row r="93" spans="2:16" ht="18" hidden="1" customHeight="1">
      <c r="B93" s="242">
        <v>91</v>
      </c>
      <c r="C93" s="243" t="s">
        <v>238</v>
      </c>
      <c r="D93" s="244" t="s">
        <v>216</v>
      </c>
      <c r="E93" s="254" t="s">
        <v>20</v>
      </c>
      <c r="F93" s="244" t="s">
        <v>31</v>
      </c>
      <c r="G93" s="246" t="s">
        <v>29</v>
      </c>
      <c r="H93" s="267">
        <v>44137</v>
      </c>
      <c r="I93" s="246" t="s">
        <v>211</v>
      </c>
      <c r="J93" s="248">
        <v>417736</v>
      </c>
      <c r="K93" s="249">
        <v>0.4</v>
      </c>
      <c r="L93" s="250">
        <v>158739</v>
      </c>
      <c r="M93" s="250">
        <f>L93*10%</f>
        <v>15873.900000000001</v>
      </c>
      <c r="N93" s="252">
        <f t="shared" si="5"/>
        <v>142865.1</v>
      </c>
      <c r="O93" s="191"/>
      <c r="P93" s="192"/>
    </row>
    <row r="94" spans="2:16" ht="18" hidden="1" customHeight="1">
      <c r="B94" s="202">
        <v>92</v>
      </c>
      <c r="C94" s="203" t="s">
        <v>238</v>
      </c>
      <c r="D94" s="204" t="s">
        <v>216</v>
      </c>
      <c r="E94" s="205" t="s">
        <v>20</v>
      </c>
      <c r="F94" s="204" t="s">
        <v>31</v>
      </c>
      <c r="G94" s="206" t="s">
        <v>204</v>
      </c>
      <c r="H94" s="218">
        <v>44453</v>
      </c>
      <c r="I94" s="206" t="s">
        <v>211</v>
      </c>
      <c r="J94" s="213">
        <v>361880</v>
      </c>
      <c r="K94" s="209">
        <v>0.4</v>
      </c>
      <c r="L94" s="210">
        <v>137510</v>
      </c>
      <c r="M94" s="211">
        <f>L94*10%</f>
        <v>13751</v>
      </c>
      <c r="N94" s="212">
        <f t="shared" si="5"/>
        <v>123759</v>
      </c>
      <c r="O94" s="191"/>
      <c r="P94" s="192" t="s">
        <v>158</v>
      </c>
    </row>
    <row r="95" spans="2:16" ht="18" hidden="1" customHeight="1">
      <c r="B95" s="242">
        <v>93</v>
      </c>
      <c r="C95" s="243"/>
      <c r="D95" s="244" t="s">
        <v>69</v>
      </c>
      <c r="E95" s="254" t="s">
        <v>68</v>
      </c>
      <c r="F95" s="244" t="s">
        <v>70</v>
      </c>
      <c r="G95" s="246" t="s">
        <v>42</v>
      </c>
      <c r="H95" s="271">
        <v>44293</v>
      </c>
      <c r="I95" s="246" t="s">
        <v>211</v>
      </c>
      <c r="J95" s="248">
        <v>51037</v>
      </c>
      <c r="K95" s="256">
        <v>0.5</v>
      </c>
      <c r="L95" s="250">
        <v>25519</v>
      </c>
      <c r="M95" s="251">
        <f>L95*10%</f>
        <v>2551.9</v>
      </c>
      <c r="N95" s="252">
        <f t="shared" si="5"/>
        <v>22967.1</v>
      </c>
      <c r="O95" s="72" t="s">
        <v>85</v>
      </c>
      <c r="P95" s="192"/>
    </row>
    <row r="96" spans="2:16" ht="18" hidden="1" customHeight="1">
      <c r="B96" s="242">
        <v>94</v>
      </c>
      <c r="C96" s="243" t="s">
        <v>238</v>
      </c>
      <c r="D96" s="244" t="s">
        <v>69</v>
      </c>
      <c r="E96" s="254" t="s">
        <v>68</v>
      </c>
      <c r="F96" s="244" t="s">
        <v>70</v>
      </c>
      <c r="G96" s="246" t="s">
        <v>224</v>
      </c>
      <c r="H96" s="271">
        <v>44341</v>
      </c>
      <c r="I96" s="246" t="s">
        <v>211</v>
      </c>
      <c r="J96" s="248">
        <v>48809</v>
      </c>
      <c r="K96" s="256">
        <v>0.5</v>
      </c>
      <c r="L96" s="250">
        <v>24404</v>
      </c>
      <c r="M96" s="250">
        <f>L96*10%</f>
        <v>2440.4</v>
      </c>
      <c r="N96" s="252">
        <f t="shared" si="5"/>
        <v>21963.599999999999</v>
      </c>
      <c r="O96" s="194"/>
      <c r="P96" s="192"/>
    </row>
    <row r="97" spans="2:16" ht="18" hidden="1" customHeight="1">
      <c r="B97" s="242">
        <v>95</v>
      </c>
      <c r="C97" s="243" t="s">
        <v>238</v>
      </c>
      <c r="D97" s="244" t="s">
        <v>69</v>
      </c>
      <c r="E97" s="254" t="s">
        <v>68</v>
      </c>
      <c r="F97" s="244" t="s">
        <v>70</v>
      </c>
      <c r="G97" s="246" t="s">
        <v>28</v>
      </c>
      <c r="H97" s="271">
        <v>44291</v>
      </c>
      <c r="I97" s="246" t="s">
        <v>211</v>
      </c>
      <c r="J97" s="248">
        <v>166485</v>
      </c>
      <c r="K97" s="256">
        <v>0.5</v>
      </c>
      <c r="L97" s="250">
        <v>83242</v>
      </c>
      <c r="M97" s="251">
        <f>ROUND(L97*12%,0)</f>
        <v>9989</v>
      </c>
      <c r="N97" s="252">
        <f t="shared" si="5"/>
        <v>73253</v>
      </c>
      <c r="O97" s="197"/>
      <c r="P97" s="192"/>
    </row>
    <row r="98" spans="2:16" ht="18" hidden="1" customHeight="1">
      <c r="B98" s="242">
        <v>96</v>
      </c>
      <c r="C98" s="243" t="s">
        <v>238</v>
      </c>
      <c r="D98" s="244" t="s">
        <v>69</v>
      </c>
      <c r="E98" s="254" t="s">
        <v>68</v>
      </c>
      <c r="F98" s="244" t="s">
        <v>70</v>
      </c>
      <c r="G98" s="246" t="s">
        <v>29</v>
      </c>
      <c r="H98" s="271">
        <v>44410</v>
      </c>
      <c r="I98" s="246" t="s">
        <v>211</v>
      </c>
      <c r="J98" s="248">
        <v>58838</v>
      </c>
      <c r="K98" s="256">
        <v>0.5</v>
      </c>
      <c r="L98" s="250">
        <v>29419</v>
      </c>
      <c r="M98" s="250">
        <f>L98*10%</f>
        <v>2941.9</v>
      </c>
      <c r="N98" s="252">
        <f t="shared" si="5"/>
        <v>26477.1</v>
      </c>
      <c r="O98" s="197"/>
      <c r="P98" s="192"/>
    </row>
    <row r="99" spans="2:16" ht="18" hidden="1" customHeight="1">
      <c r="B99" s="242">
        <v>97</v>
      </c>
      <c r="C99" s="243"/>
      <c r="D99" s="244" t="s">
        <v>182</v>
      </c>
      <c r="E99" s="254" t="s">
        <v>62</v>
      </c>
      <c r="F99" s="255" t="s">
        <v>95</v>
      </c>
      <c r="G99" s="246" t="s">
        <v>179</v>
      </c>
      <c r="H99" s="247">
        <v>44545</v>
      </c>
      <c r="I99" s="246" t="s">
        <v>211</v>
      </c>
      <c r="J99" s="248">
        <v>2032480</v>
      </c>
      <c r="K99" s="256">
        <v>0.5</v>
      </c>
      <c r="L99" s="250">
        <v>1016240</v>
      </c>
      <c r="M99" s="251">
        <f>L99*10%</f>
        <v>101624</v>
      </c>
      <c r="N99" s="252">
        <f t="shared" ref="N99:N130" si="6">L99-M99</f>
        <v>914616</v>
      </c>
      <c r="O99" s="72" t="s">
        <v>85</v>
      </c>
      <c r="P99" s="192"/>
    </row>
    <row r="100" spans="2:16" ht="18" hidden="1" customHeight="1">
      <c r="B100" s="242">
        <v>98</v>
      </c>
      <c r="C100" s="243" t="s">
        <v>238</v>
      </c>
      <c r="D100" s="244" t="s">
        <v>182</v>
      </c>
      <c r="E100" s="254" t="s">
        <v>62</v>
      </c>
      <c r="F100" s="255" t="s">
        <v>95</v>
      </c>
      <c r="G100" s="246" t="s">
        <v>152</v>
      </c>
      <c r="H100" s="247">
        <v>44180</v>
      </c>
      <c r="I100" s="246" t="s">
        <v>211</v>
      </c>
      <c r="J100" s="248">
        <v>380802</v>
      </c>
      <c r="K100" s="256">
        <v>0.5</v>
      </c>
      <c r="L100" s="250">
        <v>190401</v>
      </c>
      <c r="M100" s="251">
        <f>ROUND(L100*12%,0)</f>
        <v>22848</v>
      </c>
      <c r="N100" s="252">
        <f t="shared" si="6"/>
        <v>167553</v>
      </c>
      <c r="O100" s="197"/>
      <c r="P100" s="192"/>
    </row>
    <row r="101" spans="2:16" ht="18" hidden="1" customHeight="1">
      <c r="B101" s="242">
        <v>99</v>
      </c>
      <c r="C101" s="243" t="s">
        <v>238</v>
      </c>
      <c r="D101" s="244" t="s">
        <v>182</v>
      </c>
      <c r="E101" s="254" t="s">
        <v>62</v>
      </c>
      <c r="F101" s="255" t="s">
        <v>95</v>
      </c>
      <c r="G101" s="246" t="s">
        <v>153</v>
      </c>
      <c r="H101" s="247">
        <v>44545</v>
      </c>
      <c r="I101" s="246" t="s">
        <v>211</v>
      </c>
      <c r="J101" s="248">
        <v>473038</v>
      </c>
      <c r="K101" s="256">
        <v>0.5</v>
      </c>
      <c r="L101" s="250">
        <v>236519</v>
      </c>
      <c r="M101" s="250">
        <f>L101*10%</f>
        <v>23651.9</v>
      </c>
      <c r="N101" s="252">
        <f t="shared" si="6"/>
        <v>212867.1</v>
      </c>
      <c r="O101" s="197"/>
      <c r="P101" s="192"/>
    </row>
    <row r="102" spans="2:16" ht="18" hidden="1" customHeight="1">
      <c r="B102" s="242">
        <v>100</v>
      </c>
      <c r="C102" s="243" t="s">
        <v>238</v>
      </c>
      <c r="D102" s="244" t="s">
        <v>182</v>
      </c>
      <c r="E102" s="254" t="s">
        <v>62</v>
      </c>
      <c r="F102" s="255" t="s">
        <v>95</v>
      </c>
      <c r="G102" s="246" t="s">
        <v>74</v>
      </c>
      <c r="H102" s="247">
        <v>44180</v>
      </c>
      <c r="I102" s="246" t="s">
        <v>211</v>
      </c>
      <c r="J102" s="248">
        <v>90132</v>
      </c>
      <c r="K102" s="256">
        <v>0.5</v>
      </c>
      <c r="L102" s="250">
        <v>45066</v>
      </c>
      <c r="M102" s="250">
        <f>L102*10%</f>
        <v>4506.6000000000004</v>
      </c>
      <c r="N102" s="252">
        <f t="shared" si="6"/>
        <v>40559.4</v>
      </c>
      <c r="O102" s="197"/>
      <c r="P102" s="192"/>
    </row>
    <row r="103" spans="2:16" ht="18" hidden="1" customHeight="1">
      <c r="B103" s="242">
        <v>101</v>
      </c>
      <c r="C103" s="243"/>
      <c r="D103" s="244" t="s">
        <v>182</v>
      </c>
      <c r="E103" s="254" t="s">
        <v>62</v>
      </c>
      <c r="F103" s="255" t="s">
        <v>95</v>
      </c>
      <c r="G103" s="246" t="s">
        <v>180</v>
      </c>
      <c r="H103" s="247">
        <v>44545</v>
      </c>
      <c r="I103" s="246" t="s">
        <v>211</v>
      </c>
      <c r="J103" s="248">
        <v>1370086</v>
      </c>
      <c r="K103" s="256">
        <v>0.5</v>
      </c>
      <c r="L103" s="250">
        <v>685043</v>
      </c>
      <c r="M103" s="250">
        <v>0</v>
      </c>
      <c r="N103" s="252">
        <f t="shared" si="6"/>
        <v>685043</v>
      </c>
      <c r="O103" s="197"/>
      <c r="P103" s="192"/>
    </row>
    <row r="104" spans="2:16" ht="18" hidden="1" customHeight="1">
      <c r="B104" s="242">
        <v>102</v>
      </c>
      <c r="C104" s="243"/>
      <c r="D104" s="244" t="s">
        <v>182</v>
      </c>
      <c r="E104" s="254" t="s">
        <v>62</v>
      </c>
      <c r="F104" s="255" t="s">
        <v>95</v>
      </c>
      <c r="G104" s="246" t="s">
        <v>139</v>
      </c>
      <c r="H104" s="247">
        <v>44545</v>
      </c>
      <c r="I104" s="246" t="s">
        <v>211</v>
      </c>
      <c r="J104" s="248">
        <v>119780</v>
      </c>
      <c r="K104" s="256">
        <v>0.5</v>
      </c>
      <c r="L104" s="250">
        <v>59890</v>
      </c>
      <c r="M104" s="251">
        <v>0</v>
      </c>
      <c r="N104" s="252">
        <f t="shared" si="6"/>
        <v>59890</v>
      </c>
      <c r="O104" s="197"/>
      <c r="P104" s="192"/>
    </row>
    <row r="105" spans="2:16" ht="18" hidden="1" customHeight="1">
      <c r="B105" s="202">
        <v>103</v>
      </c>
      <c r="C105" s="203"/>
      <c r="D105" s="204" t="s">
        <v>182</v>
      </c>
      <c r="E105" s="205" t="s">
        <v>33</v>
      </c>
      <c r="F105" s="220" t="s">
        <v>95</v>
      </c>
      <c r="G105" s="206" t="s">
        <v>231</v>
      </c>
      <c r="H105" s="207">
        <v>44180</v>
      </c>
      <c r="I105" s="206" t="s">
        <v>211</v>
      </c>
      <c r="J105" s="213">
        <v>56397</v>
      </c>
      <c r="K105" s="221">
        <v>0.5</v>
      </c>
      <c r="L105" s="210">
        <v>28198.5</v>
      </c>
      <c r="M105" s="211">
        <v>0</v>
      </c>
      <c r="N105" s="212">
        <f t="shared" si="6"/>
        <v>28198.5</v>
      </c>
      <c r="O105" s="197"/>
      <c r="P105" s="192" t="s">
        <v>158</v>
      </c>
    </row>
    <row r="106" spans="2:16" ht="18" hidden="1" customHeight="1">
      <c r="B106" s="242">
        <v>104</v>
      </c>
      <c r="C106" s="243" t="s">
        <v>238</v>
      </c>
      <c r="D106" s="244" t="s">
        <v>182</v>
      </c>
      <c r="E106" s="254" t="s">
        <v>62</v>
      </c>
      <c r="F106" s="255" t="s">
        <v>95</v>
      </c>
      <c r="G106" s="246" t="s">
        <v>151</v>
      </c>
      <c r="H106" s="247">
        <v>44545</v>
      </c>
      <c r="I106" s="246" t="s">
        <v>211</v>
      </c>
      <c r="J106" s="248">
        <v>442392</v>
      </c>
      <c r="K106" s="256">
        <v>0.5</v>
      </c>
      <c r="L106" s="250">
        <v>221196</v>
      </c>
      <c r="M106" s="250">
        <f t="shared" ref="M106:M111" si="7">L106*10%</f>
        <v>22119.600000000002</v>
      </c>
      <c r="N106" s="252">
        <f t="shared" si="6"/>
        <v>199076.4</v>
      </c>
      <c r="O106" s="197"/>
      <c r="P106" s="192"/>
    </row>
    <row r="107" spans="2:16" ht="18" hidden="1" customHeight="1">
      <c r="B107" s="242">
        <v>105</v>
      </c>
      <c r="C107" s="243" t="s">
        <v>238</v>
      </c>
      <c r="D107" s="244" t="s">
        <v>182</v>
      </c>
      <c r="E107" s="254" t="s">
        <v>62</v>
      </c>
      <c r="F107" s="255" t="s">
        <v>95</v>
      </c>
      <c r="G107" s="246" t="s">
        <v>225</v>
      </c>
      <c r="H107" s="247">
        <v>44357</v>
      </c>
      <c r="I107" s="246" t="s">
        <v>211</v>
      </c>
      <c r="J107" s="248">
        <v>110500</v>
      </c>
      <c r="K107" s="256">
        <v>0.5</v>
      </c>
      <c r="L107" s="250">
        <v>55250</v>
      </c>
      <c r="M107" s="250">
        <f t="shared" si="7"/>
        <v>5525</v>
      </c>
      <c r="N107" s="252">
        <f t="shared" si="6"/>
        <v>49725</v>
      </c>
      <c r="O107" s="197"/>
      <c r="P107" s="192"/>
    </row>
    <row r="108" spans="2:16" ht="18" hidden="1" customHeight="1">
      <c r="B108" s="202">
        <v>106</v>
      </c>
      <c r="C108" s="203" t="s">
        <v>238</v>
      </c>
      <c r="D108" s="204" t="s">
        <v>182</v>
      </c>
      <c r="E108" s="205" t="s">
        <v>33</v>
      </c>
      <c r="F108" s="220" t="s">
        <v>95</v>
      </c>
      <c r="G108" s="206" t="s">
        <v>204</v>
      </c>
      <c r="H108" s="207">
        <v>44365</v>
      </c>
      <c r="I108" s="206" t="s">
        <v>211</v>
      </c>
      <c r="J108" s="213">
        <v>509067</v>
      </c>
      <c r="K108" s="221">
        <v>0.5</v>
      </c>
      <c r="L108" s="210">
        <v>254533.5</v>
      </c>
      <c r="M108" s="211">
        <f t="shared" si="7"/>
        <v>25453.350000000002</v>
      </c>
      <c r="N108" s="212">
        <f t="shared" si="6"/>
        <v>229080.15</v>
      </c>
      <c r="O108" s="194"/>
      <c r="P108" s="192" t="s">
        <v>158</v>
      </c>
    </row>
    <row r="109" spans="2:16" ht="18" hidden="1" customHeight="1">
      <c r="B109" s="242">
        <v>107</v>
      </c>
      <c r="C109" s="243" t="s">
        <v>238</v>
      </c>
      <c r="D109" s="244" t="s">
        <v>182</v>
      </c>
      <c r="E109" s="254" t="s">
        <v>62</v>
      </c>
      <c r="F109" s="255" t="s">
        <v>95</v>
      </c>
      <c r="G109" s="246" t="s">
        <v>226</v>
      </c>
      <c r="H109" s="247">
        <v>44371</v>
      </c>
      <c r="I109" s="246" t="s">
        <v>211</v>
      </c>
      <c r="J109" s="248">
        <v>12976</v>
      </c>
      <c r="K109" s="256">
        <v>0.5</v>
      </c>
      <c r="L109" s="250">
        <v>6488</v>
      </c>
      <c r="M109" s="250">
        <f t="shared" si="7"/>
        <v>648.80000000000007</v>
      </c>
      <c r="N109" s="252">
        <f t="shared" si="6"/>
        <v>5839.2</v>
      </c>
      <c r="O109" s="195"/>
      <c r="P109" s="192"/>
    </row>
    <row r="110" spans="2:16" ht="18" hidden="1" customHeight="1">
      <c r="B110" s="242">
        <v>108</v>
      </c>
      <c r="C110" s="243" t="s">
        <v>238</v>
      </c>
      <c r="D110" s="244" t="s">
        <v>182</v>
      </c>
      <c r="E110" s="254" t="s">
        <v>62</v>
      </c>
      <c r="F110" s="255" t="s">
        <v>95</v>
      </c>
      <c r="G110" s="246" t="s">
        <v>191</v>
      </c>
      <c r="H110" s="247">
        <v>44372</v>
      </c>
      <c r="I110" s="246" t="s">
        <v>211</v>
      </c>
      <c r="J110" s="248">
        <v>3675674</v>
      </c>
      <c r="K110" s="256">
        <v>0.5</v>
      </c>
      <c r="L110" s="250">
        <v>1837837</v>
      </c>
      <c r="M110" s="251">
        <f t="shared" si="7"/>
        <v>183783.7</v>
      </c>
      <c r="N110" s="252">
        <f t="shared" si="6"/>
        <v>1654053.3</v>
      </c>
      <c r="O110" s="194"/>
      <c r="P110" s="192"/>
    </row>
    <row r="111" spans="2:16" ht="18" hidden="1" customHeight="1">
      <c r="B111" s="202">
        <v>109</v>
      </c>
      <c r="C111" s="203" t="s">
        <v>238</v>
      </c>
      <c r="D111" s="204" t="s">
        <v>182</v>
      </c>
      <c r="E111" s="205" t="s">
        <v>62</v>
      </c>
      <c r="F111" s="220" t="s">
        <v>95</v>
      </c>
      <c r="G111" s="206" t="s">
        <v>59</v>
      </c>
      <c r="H111" s="207">
        <v>44392</v>
      </c>
      <c r="I111" s="206" t="s">
        <v>211</v>
      </c>
      <c r="J111" s="213">
        <v>9270618</v>
      </c>
      <c r="K111" s="221">
        <v>0.5</v>
      </c>
      <c r="L111" s="210">
        <v>4635309</v>
      </c>
      <c r="M111" s="210">
        <f t="shared" si="7"/>
        <v>463530.9</v>
      </c>
      <c r="N111" s="212">
        <f t="shared" si="6"/>
        <v>4171778.1</v>
      </c>
      <c r="O111" s="194"/>
      <c r="P111" s="192" t="s">
        <v>158</v>
      </c>
    </row>
    <row r="112" spans="2:16" ht="18" hidden="1" customHeight="1">
      <c r="B112" s="242">
        <v>110</v>
      </c>
      <c r="C112" s="243" t="s">
        <v>238</v>
      </c>
      <c r="D112" s="244" t="s">
        <v>182</v>
      </c>
      <c r="E112" s="254" t="s">
        <v>62</v>
      </c>
      <c r="F112" s="255" t="s">
        <v>228</v>
      </c>
      <c r="G112" s="246" t="s">
        <v>227</v>
      </c>
      <c r="H112" s="273">
        <v>44439</v>
      </c>
      <c r="I112" s="246" t="s">
        <v>211</v>
      </c>
      <c r="J112" s="248">
        <v>10077</v>
      </c>
      <c r="K112" s="256">
        <v>0.5</v>
      </c>
      <c r="L112" s="250">
        <v>5038.5</v>
      </c>
      <c r="M112" s="251">
        <f>ROUND(L112*10%,0)</f>
        <v>504</v>
      </c>
      <c r="N112" s="252">
        <f t="shared" si="6"/>
        <v>4534.5</v>
      </c>
      <c r="O112" s="194"/>
      <c r="P112" s="192" t="s">
        <v>192</v>
      </c>
    </row>
    <row r="113" spans="2:16" ht="18" hidden="1" customHeight="1">
      <c r="B113" s="202">
        <v>111</v>
      </c>
      <c r="C113" s="203"/>
      <c r="D113" s="204" t="s">
        <v>182</v>
      </c>
      <c r="E113" s="205" t="s">
        <v>33</v>
      </c>
      <c r="F113" s="220" t="s">
        <v>228</v>
      </c>
      <c r="G113" s="206" t="s">
        <v>202</v>
      </c>
      <c r="H113" s="227">
        <v>44463</v>
      </c>
      <c r="I113" s="206" t="s">
        <v>211</v>
      </c>
      <c r="J113" s="213">
        <v>32346</v>
      </c>
      <c r="K113" s="221">
        <v>0.5</v>
      </c>
      <c r="L113" s="210">
        <v>16173</v>
      </c>
      <c r="M113" s="211">
        <v>0</v>
      </c>
      <c r="N113" s="212">
        <f t="shared" si="6"/>
        <v>16173</v>
      </c>
      <c r="O113" s="194"/>
      <c r="P113" s="192" t="s">
        <v>158</v>
      </c>
    </row>
    <row r="114" spans="2:16" ht="18" hidden="1" customHeight="1">
      <c r="B114" s="242">
        <v>112</v>
      </c>
      <c r="C114" s="243" t="s">
        <v>238</v>
      </c>
      <c r="D114" s="244" t="s">
        <v>182</v>
      </c>
      <c r="E114" s="254" t="s">
        <v>97</v>
      </c>
      <c r="F114" s="244" t="s">
        <v>96</v>
      </c>
      <c r="G114" s="246" t="s">
        <v>54</v>
      </c>
      <c r="H114" s="247">
        <v>44271</v>
      </c>
      <c r="I114" s="246" t="s">
        <v>211</v>
      </c>
      <c r="J114" s="248">
        <v>612900</v>
      </c>
      <c r="K114" s="256">
        <v>0.5</v>
      </c>
      <c r="L114" s="250">
        <v>306450</v>
      </c>
      <c r="M114" s="250">
        <f>L114*10%</f>
        <v>30645</v>
      </c>
      <c r="N114" s="252">
        <f t="shared" si="6"/>
        <v>275805</v>
      </c>
      <c r="O114" s="194"/>
      <c r="P114" s="192"/>
    </row>
    <row r="115" spans="2:16" ht="18" hidden="1" customHeight="1">
      <c r="B115" s="242">
        <v>113</v>
      </c>
      <c r="C115" s="243" t="s">
        <v>238</v>
      </c>
      <c r="D115" s="244" t="s">
        <v>182</v>
      </c>
      <c r="E115" s="254" t="s">
        <v>97</v>
      </c>
      <c r="F115" s="244" t="s">
        <v>96</v>
      </c>
      <c r="G115" s="246" t="s">
        <v>29</v>
      </c>
      <c r="H115" s="247">
        <v>44273</v>
      </c>
      <c r="I115" s="246" t="s">
        <v>211</v>
      </c>
      <c r="J115" s="248">
        <v>1228320</v>
      </c>
      <c r="K115" s="256">
        <v>0.5</v>
      </c>
      <c r="L115" s="250">
        <v>614160</v>
      </c>
      <c r="M115" s="250">
        <f>L115*10%</f>
        <v>61416</v>
      </c>
      <c r="N115" s="252">
        <f t="shared" si="6"/>
        <v>552744</v>
      </c>
      <c r="O115" s="194"/>
      <c r="P115" s="192"/>
    </row>
    <row r="116" spans="2:16" ht="18" hidden="1" customHeight="1">
      <c r="B116" s="242">
        <v>114</v>
      </c>
      <c r="C116" s="243" t="s">
        <v>238</v>
      </c>
      <c r="D116" s="244" t="s">
        <v>182</v>
      </c>
      <c r="E116" s="254" t="s">
        <v>97</v>
      </c>
      <c r="F116" s="244" t="s">
        <v>96</v>
      </c>
      <c r="G116" s="246" t="s">
        <v>152</v>
      </c>
      <c r="H116" s="247">
        <v>44280</v>
      </c>
      <c r="I116" s="246" t="s">
        <v>211</v>
      </c>
      <c r="J116" s="248">
        <v>1848060</v>
      </c>
      <c r="K116" s="256">
        <v>0.5</v>
      </c>
      <c r="L116" s="250">
        <v>924030</v>
      </c>
      <c r="M116" s="251">
        <f>ROUND(L116*12%,0)</f>
        <v>110884</v>
      </c>
      <c r="N116" s="252">
        <f t="shared" si="6"/>
        <v>813146</v>
      </c>
      <c r="O116" s="194"/>
      <c r="P116" s="192"/>
    </row>
    <row r="117" spans="2:16" ht="18" hidden="1" customHeight="1">
      <c r="B117" s="242">
        <v>115</v>
      </c>
      <c r="C117" s="243"/>
      <c r="D117" s="244" t="s">
        <v>182</v>
      </c>
      <c r="E117" s="254" t="s">
        <v>62</v>
      </c>
      <c r="F117" s="244" t="s">
        <v>96</v>
      </c>
      <c r="G117" s="246" t="s">
        <v>42</v>
      </c>
      <c r="H117" s="247">
        <v>44287</v>
      </c>
      <c r="I117" s="246" t="s">
        <v>211</v>
      </c>
      <c r="J117" s="248">
        <v>9677940</v>
      </c>
      <c r="K117" s="256">
        <v>0.5</v>
      </c>
      <c r="L117" s="250">
        <v>4838970</v>
      </c>
      <c r="M117" s="251">
        <f>L117*10%</f>
        <v>483897</v>
      </c>
      <c r="N117" s="252">
        <f t="shared" si="6"/>
        <v>4355073</v>
      </c>
      <c r="O117" s="72" t="s">
        <v>85</v>
      </c>
      <c r="P117" s="192"/>
    </row>
    <row r="118" spans="2:16" ht="18" hidden="1" customHeight="1">
      <c r="B118" s="242">
        <v>116</v>
      </c>
      <c r="C118" s="243" t="s">
        <v>238</v>
      </c>
      <c r="D118" s="244" t="s">
        <v>182</v>
      </c>
      <c r="E118" s="254" t="s">
        <v>33</v>
      </c>
      <c r="F118" s="246" t="s">
        <v>96</v>
      </c>
      <c r="G118" s="246" t="s">
        <v>30</v>
      </c>
      <c r="H118" s="247">
        <v>44357</v>
      </c>
      <c r="I118" s="246" t="s">
        <v>211</v>
      </c>
      <c r="J118" s="248">
        <v>3572820</v>
      </c>
      <c r="K118" s="256">
        <v>0.5</v>
      </c>
      <c r="L118" s="250">
        <v>1786410</v>
      </c>
      <c r="M118" s="250">
        <f>L118*10%</f>
        <v>178641</v>
      </c>
      <c r="N118" s="252">
        <f t="shared" si="6"/>
        <v>1607769</v>
      </c>
      <c r="O118" s="194"/>
      <c r="P118" s="192"/>
    </row>
    <row r="119" spans="2:16" ht="18" hidden="1" customHeight="1">
      <c r="B119" s="202">
        <v>117</v>
      </c>
      <c r="C119" s="203"/>
      <c r="D119" s="204" t="s">
        <v>182</v>
      </c>
      <c r="E119" s="205" t="s">
        <v>62</v>
      </c>
      <c r="F119" s="206" t="s">
        <v>96</v>
      </c>
      <c r="G119" s="206" t="s">
        <v>147</v>
      </c>
      <c r="H119" s="207">
        <v>44271</v>
      </c>
      <c r="I119" s="206" t="s">
        <v>211</v>
      </c>
      <c r="J119" s="213">
        <v>2919240</v>
      </c>
      <c r="K119" s="221">
        <v>0.5</v>
      </c>
      <c r="L119" s="210">
        <v>1459620</v>
      </c>
      <c r="M119" s="211">
        <v>0</v>
      </c>
      <c r="N119" s="212">
        <f t="shared" si="6"/>
        <v>1459620</v>
      </c>
      <c r="O119" s="195"/>
      <c r="P119" s="192" t="s">
        <v>158</v>
      </c>
    </row>
    <row r="120" spans="2:16" ht="18" hidden="1" customHeight="1">
      <c r="B120" s="242">
        <v>118</v>
      </c>
      <c r="C120" s="243" t="s">
        <v>238</v>
      </c>
      <c r="D120" s="244" t="s">
        <v>182</v>
      </c>
      <c r="E120" s="254" t="s">
        <v>62</v>
      </c>
      <c r="F120" s="246" t="s">
        <v>96</v>
      </c>
      <c r="G120" s="246" t="s">
        <v>225</v>
      </c>
      <c r="H120" s="247">
        <v>44358</v>
      </c>
      <c r="I120" s="246" t="s">
        <v>211</v>
      </c>
      <c r="J120" s="248">
        <v>857700</v>
      </c>
      <c r="K120" s="256">
        <v>0.5</v>
      </c>
      <c r="L120" s="250">
        <v>428850</v>
      </c>
      <c r="M120" s="250">
        <f>L120*10%</f>
        <v>42885</v>
      </c>
      <c r="N120" s="252">
        <f t="shared" si="6"/>
        <v>385965</v>
      </c>
      <c r="O120" s="194"/>
      <c r="P120" s="192"/>
    </row>
    <row r="121" spans="2:16" ht="18" hidden="1" customHeight="1">
      <c r="B121" s="242">
        <v>119</v>
      </c>
      <c r="C121" s="243" t="s">
        <v>238</v>
      </c>
      <c r="D121" s="244" t="s">
        <v>182</v>
      </c>
      <c r="E121" s="254" t="s">
        <v>62</v>
      </c>
      <c r="F121" s="244" t="s">
        <v>96</v>
      </c>
      <c r="G121" s="246" t="s">
        <v>191</v>
      </c>
      <c r="H121" s="247">
        <v>44392</v>
      </c>
      <c r="I121" s="246" t="s">
        <v>211</v>
      </c>
      <c r="J121" s="248">
        <v>9512640</v>
      </c>
      <c r="K121" s="256">
        <v>0.5</v>
      </c>
      <c r="L121" s="250">
        <v>4756320</v>
      </c>
      <c r="M121" s="251">
        <f>L121*10%</f>
        <v>475632</v>
      </c>
      <c r="N121" s="252">
        <f t="shared" si="6"/>
        <v>4280688</v>
      </c>
      <c r="O121" s="194"/>
      <c r="P121" s="192"/>
    </row>
    <row r="122" spans="2:16" ht="18" hidden="1" customHeight="1">
      <c r="B122" s="202">
        <v>120</v>
      </c>
      <c r="C122" s="203" t="s">
        <v>238</v>
      </c>
      <c r="D122" s="204" t="s">
        <v>229</v>
      </c>
      <c r="E122" s="230" t="s">
        <v>9</v>
      </c>
      <c r="F122" s="204" t="s">
        <v>230</v>
      </c>
      <c r="G122" s="206" t="s">
        <v>212</v>
      </c>
      <c r="H122" s="231">
        <v>44408</v>
      </c>
      <c r="I122" s="206" t="s">
        <v>163</v>
      </c>
      <c r="J122" s="213">
        <v>76339859</v>
      </c>
      <c r="K122" s="232">
        <v>0.245</v>
      </c>
      <c r="L122" s="210">
        <v>16832938</v>
      </c>
      <c r="M122" s="211">
        <f>L122*10%</f>
        <v>1683293.8</v>
      </c>
      <c r="N122" s="212">
        <f t="shared" si="6"/>
        <v>15149644.199999999</v>
      </c>
      <c r="O122" s="194"/>
      <c r="P122" s="192" t="s">
        <v>158</v>
      </c>
    </row>
    <row r="123" spans="2:16" ht="18" hidden="1" customHeight="1">
      <c r="B123" s="202">
        <v>121</v>
      </c>
      <c r="C123" s="203" t="s">
        <v>238</v>
      </c>
      <c r="D123" s="204" t="s">
        <v>229</v>
      </c>
      <c r="E123" s="230" t="s">
        <v>9</v>
      </c>
      <c r="F123" s="204" t="s">
        <v>230</v>
      </c>
      <c r="G123" s="206" t="s">
        <v>212</v>
      </c>
      <c r="H123" s="231">
        <v>44408</v>
      </c>
      <c r="I123" s="206" t="s">
        <v>164</v>
      </c>
      <c r="J123" s="213">
        <v>27733746</v>
      </c>
      <c r="K123" s="232">
        <v>0.245</v>
      </c>
      <c r="L123" s="210">
        <v>6115291</v>
      </c>
      <c r="M123" s="211">
        <f>L123*10%</f>
        <v>611529.1</v>
      </c>
      <c r="N123" s="212">
        <f t="shared" si="6"/>
        <v>5503761.9000000004</v>
      </c>
      <c r="O123" s="194"/>
      <c r="P123" s="192" t="s">
        <v>158</v>
      </c>
    </row>
    <row r="124" spans="2:16" ht="18" hidden="1" customHeight="1">
      <c r="B124" s="242">
        <v>122</v>
      </c>
      <c r="C124" s="243"/>
      <c r="D124" s="244" t="s">
        <v>72</v>
      </c>
      <c r="E124" s="254" t="s">
        <v>9</v>
      </c>
      <c r="F124" s="244" t="s">
        <v>73</v>
      </c>
      <c r="G124" s="246" t="s">
        <v>42</v>
      </c>
      <c r="H124" s="247">
        <v>44198</v>
      </c>
      <c r="I124" s="246" t="s">
        <v>164</v>
      </c>
      <c r="J124" s="248">
        <v>71620782</v>
      </c>
      <c r="K124" s="249">
        <v>0.224</v>
      </c>
      <c r="L124" s="250">
        <v>14438755</v>
      </c>
      <c r="M124" s="251">
        <f>L124*10%</f>
        <v>1443875.5</v>
      </c>
      <c r="N124" s="252">
        <f t="shared" si="6"/>
        <v>12994879.5</v>
      </c>
      <c r="O124" s="72" t="s">
        <v>85</v>
      </c>
      <c r="P124" s="192"/>
    </row>
    <row r="125" spans="2:16" ht="18" hidden="1" customHeight="1">
      <c r="B125" s="242">
        <v>123</v>
      </c>
      <c r="C125" s="243" t="s">
        <v>238</v>
      </c>
      <c r="D125" s="244" t="s">
        <v>72</v>
      </c>
      <c r="E125" s="254" t="s">
        <v>9</v>
      </c>
      <c r="F125" s="244" t="s">
        <v>73</v>
      </c>
      <c r="G125" s="246" t="s">
        <v>28</v>
      </c>
      <c r="H125" s="247">
        <v>44228</v>
      </c>
      <c r="I125" s="246" t="s">
        <v>164</v>
      </c>
      <c r="J125" s="248">
        <v>13501573</v>
      </c>
      <c r="K125" s="249">
        <v>0.224</v>
      </c>
      <c r="L125" s="250">
        <v>2721925</v>
      </c>
      <c r="M125" s="251">
        <f>ROUND(L125*12%,0)</f>
        <v>326631</v>
      </c>
      <c r="N125" s="252">
        <f t="shared" si="6"/>
        <v>2395294</v>
      </c>
      <c r="O125" s="194"/>
      <c r="P125" s="192"/>
    </row>
    <row r="126" spans="2:16" ht="18" hidden="1" customHeight="1">
      <c r="B126" s="242">
        <v>124</v>
      </c>
      <c r="C126" s="243" t="s">
        <v>238</v>
      </c>
      <c r="D126" s="244" t="s">
        <v>72</v>
      </c>
      <c r="E126" s="254" t="s">
        <v>9</v>
      </c>
      <c r="F126" s="244" t="s">
        <v>73</v>
      </c>
      <c r="G126" s="246" t="s">
        <v>54</v>
      </c>
      <c r="H126" s="247">
        <v>44265</v>
      </c>
      <c r="I126" s="246" t="s">
        <v>164</v>
      </c>
      <c r="J126" s="248">
        <v>1948824</v>
      </c>
      <c r="K126" s="249">
        <v>0.224</v>
      </c>
      <c r="L126" s="250">
        <v>392888</v>
      </c>
      <c r="M126" s="250">
        <f>L126*10%</f>
        <v>39288.800000000003</v>
      </c>
      <c r="N126" s="252">
        <f t="shared" si="6"/>
        <v>353599.2</v>
      </c>
      <c r="O126" s="194"/>
      <c r="P126" s="192"/>
    </row>
    <row r="127" spans="2:16" ht="18" hidden="1" customHeight="1">
      <c r="B127" s="242">
        <v>125</v>
      </c>
      <c r="C127" s="243" t="s">
        <v>238</v>
      </c>
      <c r="D127" s="244" t="s">
        <v>72</v>
      </c>
      <c r="E127" s="254" t="s">
        <v>9</v>
      </c>
      <c r="F127" s="244" t="s">
        <v>73</v>
      </c>
      <c r="G127" s="246" t="s">
        <v>29</v>
      </c>
      <c r="H127" s="247">
        <v>44315</v>
      </c>
      <c r="I127" s="246" t="s">
        <v>164</v>
      </c>
      <c r="J127" s="248">
        <v>8921973</v>
      </c>
      <c r="K127" s="249">
        <v>0.224</v>
      </c>
      <c r="L127" s="250">
        <v>1798673</v>
      </c>
      <c r="M127" s="250">
        <f>L127*10%</f>
        <v>179867.30000000002</v>
      </c>
      <c r="N127" s="252">
        <f t="shared" si="6"/>
        <v>1618805.7</v>
      </c>
      <c r="O127" s="194"/>
      <c r="P127" s="192"/>
    </row>
    <row r="128" spans="2:16" ht="18" hidden="1" customHeight="1">
      <c r="B128" s="242">
        <v>126</v>
      </c>
      <c r="C128" s="243" t="s">
        <v>238</v>
      </c>
      <c r="D128" s="244" t="s">
        <v>72</v>
      </c>
      <c r="E128" s="254" t="s">
        <v>9</v>
      </c>
      <c r="F128" s="244" t="s">
        <v>73</v>
      </c>
      <c r="G128" s="246" t="s">
        <v>30</v>
      </c>
      <c r="H128" s="247">
        <v>44359</v>
      </c>
      <c r="I128" s="246" t="s">
        <v>164</v>
      </c>
      <c r="J128" s="248">
        <v>24470629</v>
      </c>
      <c r="K128" s="249">
        <v>0.224</v>
      </c>
      <c r="L128" s="250">
        <v>4933279</v>
      </c>
      <c r="M128" s="250">
        <f>L128*10%</f>
        <v>493327.9</v>
      </c>
      <c r="N128" s="252">
        <f t="shared" si="6"/>
        <v>4439951.0999999996</v>
      </c>
      <c r="O128" s="194"/>
      <c r="P128" s="201"/>
    </row>
    <row r="129" spans="2:16" ht="18" hidden="1" customHeight="1">
      <c r="B129" s="202">
        <v>127</v>
      </c>
      <c r="C129" s="203" t="s">
        <v>238</v>
      </c>
      <c r="D129" s="204" t="s">
        <v>72</v>
      </c>
      <c r="E129" s="205" t="s">
        <v>9</v>
      </c>
      <c r="F129" s="204" t="s">
        <v>73</v>
      </c>
      <c r="G129" s="206" t="s">
        <v>43</v>
      </c>
      <c r="H129" s="207">
        <v>44378</v>
      </c>
      <c r="I129" s="206" t="s">
        <v>164</v>
      </c>
      <c r="J129" s="213">
        <v>232121966</v>
      </c>
      <c r="K129" s="209">
        <v>0.24</v>
      </c>
      <c r="L129" s="210">
        <v>50138355</v>
      </c>
      <c r="M129" s="211">
        <f>L129*10%</f>
        <v>5013835.5</v>
      </c>
      <c r="N129" s="212">
        <f t="shared" si="6"/>
        <v>45124519.5</v>
      </c>
      <c r="O129" s="194"/>
      <c r="P129" s="192" t="s">
        <v>158</v>
      </c>
    </row>
    <row r="130" spans="2:16" ht="18" hidden="1" customHeight="1">
      <c r="B130" s="223">
        <v>128</v>
      </c>
      <c r="C130" s="206"/>
      <c r="D130" s="204" t="s">
        <v>72</v>
      </c>
      <c r="E130" s="205" t="s">
        <v>9</v>
      </c>
      <c r="F130" s="204" t="s">
        <v>73</v>
      </c>
      <c r="G130" s="206" t="s">
        <v>147</v>
      </c>
      <c r="H130" s="207">
        <v>44435</v>
      </c>
      <c r="I130" s="206" t="s">
        <v>164</v>
      </c>
      <c r="J130" s="213">
        <v>19510954</v>
      </c>
      <c r="K130" s="209">
        <v>0.224</v>
      </c>
      <c r="L130" s="210">
        <v>3933411</v>
      </c>
      <c r="M130" s="211">
        <v>0</v>
      </c>
      <c r="N130" s="212">
        <f t="shared" si="6"/>
        <v>3933411</v>
      </c>
      <c r="O130" s="194"/>
      <c r="P130" s="192" t="s">
        <v>158</v>
      </c>
    </row>
    <row r="131" spans="2:16" ht="18" hidden="1" customHeight="1">
      <c r="B131" s="257">
        <v>129</v>
      </c>
      <c r="C131" s="243" t="s">
        <v>238</v>
      </c>
      <c r="D131" s="244" t="s">
        <v>79</v>
      </c>
      <c r="E131" s="254" t="s">
        <v>9</v>
      </c>
      <c r="F131" s="244" t="s">
        <v>235</v>
      </c>
      <c r="G131" s="246" t="s">
        <v>29</v>
      </c>
      <c r="H131" s="247">
        <v>44223</v>
      </c>
      <c r="I131" s="246" t="s">
        <v>234</v>
      </c>
      <c r="J131" s="248">
        <v>1955516</v>
      </c>
      <c r="K131" s="249">
        <v>0.6</v>
      </c>
      <c r="L131" s="250">
        <v>996341</v>
      </c>
      <c r="M131" s="250">
        <f>L131*10%</f>
        <v>99634.1</v>
      </c>
      <c r="N131" s="252">
        <f t="shared" ref="N131:N148" si="8">L131-M131</f>
        <v>896706.9</v>
      </c>
      <c r="O131" s="194"/>
      <c r="P131" s="201"/>
    </row>
    <row r="132" spans="2:16" ht="18" hidden="1" customHeight="1">
      <c r="B132" s="257">
        <v>130</v>
      </c>
      <c r="C132" s="243" t="s">
        <v>238</v>
      </c>
      <c r="D132" s="244" t="s">
        <v>79</v>
      </c>
      <c r="E132" s="254" t="s">
        <v>9</v>
      </c>
      <c r="F132" s="244" t="s">
        <v>235</v>
      </c>
      <c r="G132" s="246" t="s">
        <v>28</v>
      </c>
      <c r="H132" s="247">
        <v>44253</v>
      </c>
      <c r="I132" s="246" t="s">
        <v>234</v>
      </c>
      <c r="J132" s="248">
        <v>2648080</v>
      </c>
      <c r="K132" s="249">
        <v>0.6</v>
      </c>
      <c r="L132" s="250">
        <v>1349251</v>
      </c>
      <c r="M132" s="251">
        <f>ROUND(L132*12%,0)</f>
        <v>161910</v>
      </c>
      <c r="N132" s="252">
        <f t="shared" si="8"/>
        <v>1187341</v>
      </c>
      <c r="O132" s="194"/>
      <c r="P132" s="201"/>
    </row>
    <row r="133" spans="2:16" ht="18" hidden="1" customHeight="1">
      <c r="B133" s="257">
        <v>131</v>
      </c>
      <c r="C133" s="243" t="s">
        <v>238</v>
      </c>
      <c r="D133" s="244" t="s">
        <v>79</v>
      </c>
      <c r="E133" s="254" t="s">
        <v>9</v>
      </c>
      <c r="F133" s="244" t="s">
        <v>235</v>
      </c>
      <c r="G133" s="246" t="s">
        <v>54</v>
      </c>
      <c r="H133" s="247">
        <v>44247</v>
      </c>
      <c r="I133" s="246" t="s">
        <v>234</v>
      </c>
      <c r="J133" s="248">
        <v>938366</v>
      </c>
      <c r="K133" s="249">
        <v>0.5</v>
      </c>
      <c r="L133" s="250">
        <v>398533</v>
      </c>
      <c r="M133" s="250">
        <f>L133*10%</f>
        <v>39853.300000000003</v>
      </c>
      <c r="N133" s="252">
        <f t="shared" si="8"/>
        <v>358679.7</v>
      </c>
      <c r="O133" s="194"/>
      <c r="P133" s="201"/>
    </row>
    <row r="134" spans="2:16" ht="18" hidden="1" customHeight="1">
      <c r="B134" s="257">
        <v>132</v>
      </c>
      <c r="C134" s="243" t="s">
        <v>238</v>
      </c>
      <c r="D134" s="244" t="s">
        <v>79</v>
      </c>
      <c r="E134" s="254" t="s">
        <v>9</v>
      </c>
      <c r="F134" s="244" t="s">
        <v>235</v>
      </c>
      <c r="G134" s="246" t="s">
        <v>30</v>
      </c>
      <c r="H134" s="247">
        <v>44281</v>
      </c>
      <c r="I134" s="246" t="s">
        <v>234</v>
      </c>
      <c r="J134" s="248">
        <v>5845469</v>
      </c>
      <c r="K134" s="249">
        <v>0.5</v>
      </c>
      <c r="L134" s="250">
        <v>2497103</v>
      </c>
      <c r="M134" s="250">
        <f>L134*10%</f>
        <v>249710.30000000002</v>
      </c>
      <c r="N134" s="252">
        <f t="shared" si="8"/>
        <v>2247392.7000000002</v>
      </c>
      <c r="O134" s="194"/>
      <c r="P134" s="201"/>
    </row>
    <row r="135" spans="2:16" ht="18" hidden="1" customHeight="1">
      <c r="B135" s="257">
        <v>133</v>
      </c>
      <c r="C135" s="246"/>
      <c r="D135" s="244" t="s">
        <v>79</v>
      </c>
      <c r="E135" s="254" t="s">
        <v>9</v>
      </c>
      <c r="F135" s="244" t="s">
        <v>235</v>
      </c>
      <c r="G135" s="246" t="s">
        <v>36</v>
      </c>
      <c r="H135" s="247">
        <v>44293</v>
      </c>
      <c r="I135" s="246" t="s">
        <v>234</v>
      </c>
      <c r="J135" s="248">
        <v>6705412</v>
      </c>
      <c r="K135" s="249">
        <v>0.5</v>
      </c>
      <c r="L135" s="250">
        <v>2893660</v>
      </c>
      <c r="M135" s="250">
        <v>0</v>
      </c>
      <c r="N135" s="252">
        <f t="shared" si="8"/>
        <v>2893660</v>
      </c>
      <c r="O135" s="194"/>
      <c r="P135" s="201"/>
    </row>
    <row r="136" spans="2:16" ht="18" hidden="1" customHeight="1">
      <c r="B136" s="257">
        <v>134</v>
      </c>
      <c r="C136" s="246"/>
      <c r="D136" s="244" t="s">
        <v>79</v>
      </c>
      <c r="E136" s="254" t="s">
        <v>9</v>
      </c>
      <c r="F136" s="244" t="s">
        <v>235</v>
      </c>
      <c r="G136" s="246" t="s">
        <v>42</v>
      </c>
      <c r="H136" s="247">
        <v>44163</v>
      </c>
      <c r="I136" s="246" t="s">
        <v>234</v>
      </c>
      <c r="J136" s="248">
        <v>19850990</v>
      </c>
      <c r="K136" s="249">
        <v>0.5</v>
      </c>
      <c r="L136" s="250">
        <v>8451904</v>
      </c>
      <c r="M136" s="251">
        <f>L136*10%</f>
        <v>845190.4</v>
      </c>
      <c r="N136" s="252">
        <f t="shared" si="8"/>
        <v>7606713.5999999996</v>
      </c>
      <c r="O136" s="72" t="s">
        <v>85</v>
      </c>
      <c r="P136" s="201"/>
    </row>
    <row r="137" spans="2:16" ht="18" hidden="1" customHeight="1">
      <c r="B137" s="257">
        <v>135</v>
      </c>
      <c r="C137" s="243" t="s">
        <v>238</v>
      </c>
      <c r="D137" s="244" t="s">
        <v>79</v>
      </c>
      <c r="E137" s="254" t="s">
        <v>9</v>
      </c>
      <c r="F137" s="244" t="s">
        <v>235</v>
      </c>
      <c r="G137" s="246" t="s">
        <v>29</v>
      </c>
      <c r="H137" s="247">
        <v>44223</v>
      </c>
      <c r="I137" s="246" t="s">
        <v>236</v>
      </c>
      <c r="J137" s="248">
        <v>2198490</v>
      </c>
      <c r="K137" s="249">
        <v>0.6</v>
      </c>
      <c r="L137" s="250">
        <v>1120104</v>
      </c>
      <c r="M137" s="250">
        <f>L137*10%</f>
        <v>112010.40000000001</v>
      </c>
      <c r="N137" s="252">
        <f t="shared" si="8"/>
        <v>1008093.6</v>
      </c>
      <c r="O137" s="194"/>
      <c r="P137" s="201"/>
    </row>
    <row r="138" spans="2:16" ht="18" hidden="1" customHeight="1">
      <c r="B138" s="257">
        <v>136</v>
      </c>
      <c r="C138" s="243" t="s">
        <v>238</v>
      </c>
      <c r="D138" s="244" t="s">
        <v>79</v>
      </c>
      <c r="E138" s="254" t="s">
        <v>9</v>
      </c>
      <c r="F138" s="244" t="s">
        <v>235</v>
      </c>
      <c r="G138" s="246" t="s">
        <v>28</v>
      </c>
      <c r="H138" s="247">
        <v>44253</v>
      </c>
      <c r="I138" s="246" t="s">
        <v>236</v>
      </c>
      <c r="J138" s="248">
        <v>3968088</v>
      </c>
      <c r="K138" s="249">
        <v>0.6</v>
      </c>
      <c r="L138" s="250">
        <v>2021906</v>
      </c>
      <c r="M138" s="251">
        <f>ROUND(L138*12%,0)</f>
        <v>242629</v>
      </c>
      <c r="N138" s="252">
        <f t="shared" si="8"/>
        <v>1779277</v>
      </c>
      <c r="O138" s="194"/>
      <c r="P138" s="201"/>
    </row>
    <row r="139" spans="2:16" ht="18" hidden="1" customHeight="1">
      <c r="B139" s="257">
        <v>137</v>
      </c>
      <c r="C139" s="243" t="s">
        <v>238</v>
      </c>
      <c r="D139" s="244" t="s">
        <v>79</v>
      </c>
      <c r="E139" s="254" t="s">
        <v>9</v>
      </c>
      <c r="F139" s="244" t="s">
        <v>235</v>
      </c>
      <c r="G139" s="246" t="s">
        <v>54</v>
      </c>
      <c r="H139" s="247">
        <v>44247</v>
      </c>
      <c r="I139" s="246" t="s">
        <v>236</v>
      </c>
      <c r="J139" s="248">
        <v>1136494</v>
      </c>
      <c r="K139" s="249">
        <v>0.5</v>
      </c>
      <c r="L139" s="250">
        <v>482750</v>
      </c>
      <c r="M139" s="250">
        <f>L139*10%</f>
        <v>48275</v>
      </c>
      <c r="N139" s="252">
        <f t="shared" si="8"/>
        <v>434475</v>
      </c>
      <c r="O139" s="194"/>
      <c r="P139" s="201"/>
    </row>
    <row r="140" spans="2:16" ht="18" hidden="1" customHeight="1">
      <c r="B140" s="257">
        <v>138</v>
      </c>
      <c r="C140" s="243" t="s">
        <v>238</v>
      </c>
      <c r="D140" s="244" t="s">
        <v>79</v>
      </c>
      <c r="E140" s="254" t="s">
        <v>9</v>
      </c>
      <c r="F140" s="244" t="s">
        <v>235</v>
      </c>
      <c r="G140" s="246" t="s">
        <v>30</v>
      </c>
      <c r="H140" s="247">
        <v>44281</v>
      </c>
      <c r="I140" s="246" t="s">
        <v>236</v>
      </c>
      <c r="J140" s="248">
        <v>8294459</v>
      </c>
      <c r="K140" s="249">
        <v>0.5</v>
      </c>
      <c r="L140" s="250">
        <v>3522351</v>
      </c>
      <c r="M140" s="250">
        <f>L140*10%</f>
        <v>352235.10000000003</v>
      </c>
      <c r="N140" s="252">
        <f t="shared" si="8"/>
        <v>3170115.9</v>
      </c>
      <c r="O140" s="194"/>
      <c r="P140" s="201"/>
    </row>
    <row r="141" spans="2:16" ht="18" hidden="1" customHeight="1">
      <c r="B141" s="257">
        <v>139</v>
      </c>
      <c r="C141" s="246"/>
      <c r="D141" s="244" t="s">
        <v>79</v>
      </c>
      <c r="E141" s="254" t="s">
        <v>9</v>
      </c>
      <c r="F141" s="244" t="s">
        <v>235</v>
      </c>
      <c r="G141" s="246" t="s">
        <v>36</v>
      </c>
      <c r="H141" s="247">
        <v>44293</v>
      </c>
      <c r="I141" s="246" t="s">
        <v>236</v>
      </c>
      <c r="J141" s="248">
        <v>7824067</v>
      </c>
      <c r="K141" s="249">
        <v>0.5</v>
      </c>
      <c r="L141" s="250">
        <v>3352964</v>
      </c>
      <c r="M141" s="250">
        <v>0</v>
      </c>
      <c r="N141" s="252">
        <f t="shared" si="8"/>
        <v>3352964</v>
      </c>
      <c r="O141" s="194"/>
      <c r="P141" s="201"/>
    </row>
    <row r="142" spans="2:16" ht="18" hidden="1" customHeight="1">
      <c r="B142" s="257">
        <v>140</v>
      </c>
      <c r="C142" s="246"/>
      <c r="D142" s="244" t="s">
        <v>79</v>
      </c>
      <c r="E142" s="254" t="s">
        <v>9</v>
      </c>
      <c r="F142" s="244" t="s">
        <v>235</v>
      </c>
      <c r="G142" s="246" t="s">
        <v>42</v>
      </c>
      <c r="H142" s="247">
        <v>44163</v>
      </c>
      <c r="I142" s="246" t="s">
        <v>236</v>
      </c>
      <c r="J142" s="248">
        <v>26366993</v>
      </c>
      <c r="K142" s="249">
        <v>0.5</v>
      </c>
      <c r="L142" s="250">
        <v>11234435</v>
      </c>
      <c r="M142" s="251">
        <f>L142*10%</f>
        <v>1123443.5</v>
      </c>
      <c r="N142" s="252">
        <f t="shared" si="8"/>
        <v>10110991.5</v>
      </c>
      <c r="O142" s="72" t="s">
        <v>85</v>
      </c>
      <c r="P142" s="201"/>
    </row>
    <row r="143" spans="2:16" ht="18" hidden="1" customHeight="1">
      <c r="B143" s="257">
        <v>141</v>
      </c>
      <c r="C143" s="243" t="s">
        <v>238</v>
      </c>
      <c r="D143" s="244" t="s">
        <v>79</v>
      </c>
      <c r="E143" s="254" t="s">
        <v>9</v>
      </c>
      <c r="F143" s="244" t="s">
        <v>235</v>
      </c>
      <c r="G143" s="246" t="s">
        <v>29</v>
      </c>
      <c r="H143" s="247">
        <v>44223</v>
      </c>
      <c r="I143" s="246" t="s">
        <v>14</v>
      </c>
      <c r="J143" s="248">
        <v>2579811</v>
      </c>
      <c r="K143" s="249">
        <v>0.6</v>
      </c>
      <c r="L143" s="250">
        <v>1314379</v>
      </c>
      <c r="M143" s="250">
        <f>L143*10%</f>
        <v>131437.9</v>
      </c>
      <c r="N143" s="252">
        <f t="shared" si="8"/>
        <v>1182941.1000000001</v>
      </c>
      <c r="O143" s="194"/>
      <c r="P143" s="201"/>
    </row>
    <row r="144" spans="2:16" ht="18" hidden="1" customHeight="1">
      <c r="B144" s="257">
        <v>142</v>
      </c>
      <c r="C144" s="243" t="s">
        <v>238</v>
      </c>
      <c r="D144" s="244" t="s">
        <v>79</v>
      </c>
      <c r="E144" s="254" t="s">
        <v>9</v>
      </c>
      <c r="F144" s="244" t="s">
        <v>235</v>
      </c>
      <c r="G144" s="246" t="s">
        <v>28</v>
      </c>
      <c r="H144" s="247">
        <v>44253</v>
      </c>
      <c r="I144" s="246" t="s">
        <v>14</v>
      </c>
      <c r="J144" s="248">
        <v>3573002</v>
      </c>
      <c r="K144" s="249">
        <v>0.6</v>
      </c>
      <c r="L144" s="250">
        <v>1820425</v>
      </c>
      <c r="M144" s="251">
        <f>ROUND(L144*12%,0)</f>
        <v>218451</v>
      </c>
      <c r="N144" s="252">
        <f t="shared" si="8"/>
        <v>1601974</v>
      </c>
      <c r="O144" s="194"/>
      <c r="P144" s="201"/>
    </row>
    <row r="145" spans="2:16" ht="18" hidden="1" customHeight="1">
      <c r="B145" s="257">
        <v>143</v>
      </c>
      <c r="C145" s="243" t="s">
        <v>238</v>
      </c>
      <c r="D145" s="244" t="s">
        <v>79</v>
      </c>
      <c r="E145" s="254" t="s">
        <v>9</v>
      </c>
      <c r="F145" s="244" t="s">
        <v>235</v>
      </c>
      <c r="G145" s="246" t="s">
        <v>54</v>
      </c>
      <c r="H145" s="247">
        <v>44247</v>
      </c>
      <c r="I145" s="246" t="s">
        <v>14</v>
      </c>
      <c r="J145" s="248">
        <v>2088458</v>
      </c>
      <c r="K145" s="249">
        <v>0.5</v>
      </c>
      <c r="L145" s="250">
        <v>888103</v>
      </c>
      <c r="M145" s="250">
        <f>L145*10%</f>
        <v>88810.3</v>
      </c>
      <c r="N145" s="252">
        <f t="shared" si="8"/>
        <v>799292.7</v>
      </c>
      <c r="O145" s="194"/>
      <c r="P145" s="201"/>
    </row>
    <row r="146" spans="2:16" ht="18" hidden="1" customHeight="1">
      <c r="B146" s="257">
        <v>144</v>
      </c>
      <c r="C146" s="243" t="s">
        <v>238</v>
      </c>
      <c r="D146" s="244" t="s">
        <v>79</v>
      </c>
      <c r="E146" s="254" t="s">
        <v>9</v>
      </c>
      <c r="F146" s="244" t="s">
        <v>235</v>
      </c>
      <c r="G146" s="246" t="s">
        <v>30</v>
      </c>
      <c r="H146" s="247">
        <v>44281</v>
      </c>
      <c r="I146" s="246" t="s">
        <v>14</v>
      </c>
      <c r="J146" s="248">
        <v>3899659</v>
      </c>
      <c r="K146" s="249">
        <v>0.5</v>
      </c>
      <c r="L146" s="250">
        <v>1656067</v>
      </c>
      <c r="M146" s="250">
        <f>L146*10%</f>
        <v>165606.70000000001</v>
      </c>
      <c r="N146" s="252">
        <f t="shared" si="8"/>
        <v>1490460.3</v>
      </c>
      <c r="O146" s="194"/>
      <c r="P146" s="201"/>
    </row>
    <row r="147" spans="2:16" ht="18" hidden="1" customHeight="1">
      <c r="B147" s="257">
        <v>145</v>
      </c>
      <c r="C147" s="246"/>
      <c r="D147" s="244" t="s">
        <v>79</v>
      </c>
      <c r="E147" s="254" t="s">
        <v>9</v>
      </c>
      <c r="F147" s="244" t="s">
        <v>235</v>
      </c>
      <c r="G147" s="246" t="s">
        <v>36</v>
      </c>
      <c r="H147" s="247">
        <v>44293</v>
      </c>
      <c r="I147" s="246" t="s">
        <v>14</v>
      </c>
      <c r="J147" s="248">
        <v>2842113</v>
      </c>
      <c r="K147" s="249">
        <v>0.5</v>
      </c>
      <c r="L147" s="250">
        <v>1209225</v>
      </c>
      <c r="M147" s="250">
        <v>0</v>
      </c>
      <c r="N147" s="252">
        <f t="shared" si="8"/>
        <v>1209225</v>
      </c>
      <c r="O147" s="194"/>
      <c r="P147" s="201"/>
    </row>
    <row r="148" spans="2:16" ht="18" hidden="1" customHeight="1">
      <c r="B148" s="257">
        <v>146</v>
      </c>
      <c r="C148" s="246"/>
      <c r="D148" s="244" t="s">
        <v>79</v>
      </c>
      <c r="E148" s="254" t="s">
        <v>9</v>
      </c>
      <c r="F148" s="244" t="s">
        <v>235</v>
      </c>
      <c r="G148" s="246" t="s">
        <v>42</v>
      </c>
      <c r="H148" s="247">
        <v>44163</v>
      </c>
      <c r="I148" s="246" t="s">
        <v>14</v>
      </c>
      <c r="J148" s="248">
        <v>22783291</v>
      </c>
      <c r="K148" s="249">
        <v>0.5</v>
      </c>
      <c r="L148" s="250">
        <v>9687874</v>
      </c>
      <c r="M148" s="251">
        <f>L148*10%</f>
        <v>968787.4</v>
      </c>
      <c r="N148" s="252">
        <f t="shared" si="8"/>
        <v>8719086.5999999996</v>
      </c>
      <c r="O148" s="72" t="s">
        <v>85</v>
      </c>
      <c r="P148" s="201"/>
    </row>
    <row r="149" spans="2:16" ht="18" hidden="1" customHeight="1">
      <c r="B149" s="257">
        <v>147</v>
      </c>
      <c r="C149" s="243" t="s">
        <v>238</v>
      </c>
      <c r="D149" s="244" t="s">
        <v>79</v>
      </c>
      <c r="E149" s="254" t="s">
        <v>9</v>
      </c>
      <c r="F149" s="244" t="s">
        <v>235</v>
      </c>
      <c r="G149" s="246" t="s">
        <v>29</v>
      </c>
      <c r="H149" s="247">
        <v>44223</v>
      </c>
      <c r="I149" s="246" t="s">
        <v>16</v>
      </c>
      <c r="J149" s="248">
        <v>2469493</v>
      </c>
      <c r="K149" s="249">
        <v>0.6</v>
      </c>
      <c r="L149" s="250">
        <v>1258241</v>
      </c>
      <c r="M149" s="250">
        <f>L149*10%</f>
        <v>125824.1</v>
      </c>
      <c r="N149" s="252">
        <f t="shared" ref="N149:N160" si="9">L149-M149</f>
        <v>1132416.8999999999</v>
      </c>
      <c r="O149" s="194"/>
      <c r="P149" s="201"/>
    </row>
    <row r="150" spans="2:16" ht="18" hidden="1" customHeight="1">
      <c r="B150" s="257">
        <v>148</v>
      </c>
      <c r="C150" s="243" t="s">
        <v>238</v>
      </c>
      <c r="D150" s="244" t="s">
        <v>79</v>
      </c>
      <c r="E150" s="254" t="s">
        <v>9</v>
      </c>
      <c r="F150" s="244" t="s">
        <v>235</v>
      </c>
      <c r="G150" s="246" t="s">
        <v>28</v>
      </c>
      <c r="H150" s="247">
        <v>44253</v>
      </c>
      <c r="I150" s="246" t="s">
        <v>16</v>
      </c>
      <c r="J150" s="248">
        <v>3865520</v>
      </c>
      <c r="K150" s="249">
        <v>0.6</v>
      </c>
      <c r="L150" s="250">
        <v>1971806</v>
      </c>
      <c r="M150" s="251">
        <f>ROUND(L150*12%,0)</f>
        <v>236617</v>
      </c>
      <c r="N150" s="252">
        <f t="shared" si="9"/>
        <v>1735189</v>
      </c>
      <c r="O150" s="194"/>
      <c r="P150" s="201"/>
    </row>
    <row r="151" spans="2:16" ht="18" hidden="1" customHeight="1">
      <c r="B151" s="257">
        <v>149</v>
      </c>
      <c r="C151" s="243" t="s">
        <v>238</v>
      </c>
      <c r="D151" s="244" t="s">
        <v>79</v>
      </c>
      <c r="E151" s="254" t="s">
        <v>9</v>
      </c>
      <c r="F151" s="244" t="s">
        <v>235</v>
      </c>
      <c r="G151" s="246" t="s">
        <v>54</v>
      </c>
      <c r="H151" s="247">
        <v>44247</v>
      </c>
      <c r="I151" s="246" t="s">
        <v>16</v>
      </c>
      <c r="J151" s="248">
        <v>1197745</v>
      </c>
      <c r="K151" s="249">
        <v>0.5</v>
      </c>
      <c r="L151" s="250">
        <v>509119</v>
      </c>
      <c r="M151" s="250">
        <f>L151*10%</f>
        <v>50911.9</v>
      </c>
      <c r="N151" s="252">
        <f t="shared" si="9"/>
        <v>458207.1</v>
      </c>
      <c r="O151" s="194"/>
      <c r="P151" s="201"/>
    </row>
    <row r="152" spans="2:16" ht="18" hidden="1" customHeight="1">
      <c r="B152" s="257">
        <v>150</v>
      </c>
      <c r="C152" s="243" t="s">
        <v>238</v>
      </c>
      <c r="D152" s="244" t="s">
        <v>79</v>
      </c>
      <c r="E152" s="254" t="s">
        <v>9</v>
      </c>
      <c r="F152" s="244" t="s">
        <v>235</v>
      </c>
      <c r="G152" s="246" t="s">
        <v>30</v>
      </c>
      <c r="H152" s="247">
        <v>44281</v>
      </c>
      <c r="I152" s="246" t="s">
        <v>16</v>
      </c>
      <c r="J152" s="248">
        <v>4149657</v>
      </c>
      <c r="K152" s="249">
        <v>0.5</v>
      </c>
      <c r="L152" s="250">
        <v>1762178</v>
      </c>
      <c r="M152" s="250">
        <f>L152*10%</f>
        <v>176217.80000000002</v>
      </c>
      <c r="N152" s="252">
        <f t="shared" si="9"/>
        <v>1585960.2</v>
      </c>
      <c r="O152" s="194"/>
      <c r="P152" s="201"/>
    </row>
    <row r="153" spans="2:16" ht="18" hidden="1" customHeight="1">
      <c r="B153" s="257">
        <v>151</v>
      </c>
      <c r="C153" s="246"/>
      <c r="D153" s="244" t="s">
        <v>79</v>
      </c>
      <c r="E153" s="254" t="s">
        <v>9</v>
      </c>
      <c r="F153" s="244" t="s">
        <v>235</v>
      </c>
      <c r="G153" s="246" t="s">
        <v>36</v>
      </c>
      <c r="H153" s="247">
        <v>44293</v>
      </c>
      <c r="I153" s="246" t="s">
        <v>16</v>
      </c>
      <c r="J153" s="248">
        <v>3198174</v>
      </c>
      <c r="K153" s="249">
        <v>0.5</v>
      </c>
      <c r="L153" s="250">
        <v>1360135</v>
      </c>
      <c r="M153" s="250">
        <v>0</v>
      </c>
      <c r="N153" s="252">
        <f t="shared" si="9"/>
        <v>1360135</v>
      </c>
      <c r="O153" s="194"/>
      <c r="P153" s="201"/>
    </row>
    <row r="154" spans="2:16" ht="18" hidden="1" customHeight="1">
      <c r="B154" s="257">
        <v>152</v>
      </c>
      <c r="C154" s="246"/>
      <c r="D154" s="244" t="s">
        <v>79</v>
      </c>
      <c r="E154" s="254" t="s">
        <v>9</v>
      </c>
      <c r="F154" s="244" t="s">
        <v>235</v>
      </c>
      <c r="G154" s="246" t="s">
        <v>42</v>
      </c>
      <c r="H154" s="247">
        <v>44163</v>
      </c>
      <c r="I154" s="246" t="s">
        <v>16</v>
      </c>
      <c r="J154" s="248">
        <v>7740822</v>
      </c>
      <c r="K154" s="249">
        <v>0.5</v>
      </c>
      <c r="L154" s="250">
        <v>3290994</v>
      </c>
      <c r="M154" s="251">
        <f>L154*10%</f>
        <v>329099.40000000002</v>
      </c>
      <c r="N154" s="252">
        <f t="shared" si="9"/>
        <v>2961894.6</v>
      </c>
      <c r="O154" s="72" t="s">
        <v>85</v>
      </c>
      <c r="P154" s="201"/>
    </row>
    <row r="155" spans="2:16" ht="18" hidden="1" customHeight="1">
      <c r="B155" s="257">
        <v>153</v>
      </c>
      <c r="C155" s="243" t="s">
        <v>238</v>
      </c>
      <c r="D155" s="244" t="s">
        <v>79</v>
      </c>
      <c r="E155" s="254" t="s">
        <v>9</v>
      </c>
      <c r="F155" s="244" t="s">
        <v>235</v>
      </c>
      <c r="G155" s="246" t="s">
        <v>29</v>
      </c>
      <c r="H155" s="258">
        <v>44223</v>
      </c>
      <c r="I155" s="246" t="s">
        <v>116</v>
      </c>
      <c r="J155" s="248">
        <v>2067600</v>
      </c>
      <c r="K155" s="249">
        <v>0.6</v>
      </c>
      <c r="L155" s="250">
        <v>1053436</v>
      </c>
      <c r="M155" s="250">
        <f>L155*10%</f>
        <v>105343.6</v>
      </c>
      <c r="N155" s="252">
        <f t="shared" si="9"/>
        <v>948092.4</v>
      </c>
      <c r="O155" s="194"/>
      <c r="P155" s="201"/>
    </row>
    <row r="156" spans="2:16" ht="18" hidden="1" customHeight="1">
      <c r="B156" s="257">
        <v>154</v>
      </c>
      <c r="C156" s="243" t="s">
        <v>238</v>
      </c>
      <c r="D156" s="244" t="s">
        <v>79</v>
      </c>
      <c r="E156" s="254" t="s">
        <v>9</v>
      </c>
      <c r="F156" s="244" t="s">
        <v>235</v>
      </c>
      <c r="G156" s="246" t="s">
        <v>28</v>
      </c>
      <c r="H156" s="258">
        <v>44253</v>
      </c>
      <c r="I156" s="246" t="s">
        <v>116</v>
      </c>
      <c r="J156" s="248">
        <v>3387156</v>
      </c>
      <c r="K156" s="249">
        <v>0.6</v>
      </c>
      <c r="L156" s="250">
        <v>1726845</v>
      </c>
      <c r="M156" s="251">
        <f>ROUND(L156*12%,0)</f>
        <v>207221</v>
      </c>
      <c r="N156" s="252">
        <f t="shared" si="9"/>
        <v>1519624</v>
      </c>
      <c r="O156" s="194"/>
      <c r="P156" s="201"/>
    </row>
    <row r="157" spans="2:16" ht="18" hidden="1" customHeight="1">
      <c r="B157" s="257">
        <v>155</v>
      </c>
      <c r="C157" s="243" t="s">
        <v>238</v>
      </c>
      <c r="D157" s="244" t="s">
        <v>79</v>
      </c>
      <c r="E157" s="254" t="s">
        <v>9</v>
      </c>
      <c r="F157" s="244" t="s">
        <v>235</v>
      </c>
      <c r="G157" s="246" t="s">
        <v>54</v>
      </c>
      <c r="H157" s="258">
        <v>44247</v>
      </c>
      <c r="I157" s="246" t="s">
        <v>116</v>
      </c>
      <c r="J157" s="248">
        <v>209849</v>
      </c>
      <c r="K157" s="249">
        <v>0.5</v>
      </c>
      <c r="L157" s="250">
        <v>89211</v>
      </c>
      <c r="M157" s="250">
        <f>L157*10%</f>
        <v>8921.1</v>
      </c>
      <c r="N157" s="252">
        <f t="shared" si="9"/>
        <v>80289.899999999994</v>
      </c>
      <c r="O157" s="194"/>
      <c r="P157" s="201"/>
    </row>
    <row r="158" spans="2:16" ht="18" hidden="1" customHeight="1">
      <c r="B158" s="257">
        <v>156</v>
      </c>
      <c r="C158" s="243" t="s">
        <v>238</v>
      </c>
      <c r="D158" s="244" t="s">
        <v>79</v>
      </c>
      <c r="E158" s="254" t="s">
        <v>9</v>
      </c>
      <c r="F158" s="244" t="s">
        <v>235</v>
      </c>
      <c r="G158" s="246" t="s">
        <v>30</v>
      </c>
      <c r="H158" s="258">
        <v>44281</v>
      </c>
      <c r="I158" s="246" t="s">
        <v>116</v>
      </c>
      <c r="J158" s="248">
        <v>2287177</v>
      </c>
      <c r="K158" s="249">
        <v>0.5</v>
      </c>
      <c r="L158" s="250">
        <v>972119</v>
      </c>
      <c r="M158" s="250">
        <f>L158*10%</f>
        <v>97211.900000000009</v>
      </c>
      <c r="N158" s="252">
        <f t="shared" si="9"/>
        <v>874907.1</v>
      </c>
      <c r="O158" s="194"/>
      <c r="P158" s="201"/>
    </row>
    <row r="159" spans="2:16" ht="18" hidden="1" customHeight="1">
      <c r="B159" s="257">
        <v>157</v>
      </c>
      <c r="C159" s="246"/>
      <c r="D159" s="244" t="s">
        <v>79</v>
      </c>
      <c r="E159" s="254" t="s">
        <v>9</v>
      </c>
      <c r="F159" s="244" t="s">
        <v>235</v>
      </c>
      <c r="G159" s="246" t="s">
        <v>36</v>
      </c>
      <c r="H159" s="258">
        <v>44293</v>
      </c>
      <c r="I159" s="246" t="s">
        <v>116</v>
      </c>
      <c r="J159" s="248">
        <v>599247</v>
      </c>
      <c r="K159" s="249">
        <v>0.5</v>
      </c>
      <c r="L159" s="250">
        <v>254575</v>
      </c>
      <c r="M159" s="250">
        <v>0</v>
      </c>
      <c r="N159" s="252">
        <f t="shared" si="9"/>
        <v>254575</v>
      </c>
      <c r="O159" s="194"/>
      <c r="P159" s="201"/>
    </row>
    <row r="160" spans="2:16" ht="18" hidden="1" customHeight="1">
      <c r="B160" s="257">
        <v>158</v>
      </c>
      <c r="C160" s="246"/>
      <c r="D160" s="244" t="s">
        <v>79</v>
      </c>
      <c r="E160" s="254" t="s">
        <v>9</v>
      </c>
      <c r="F160" s="244" t="s">
        <v>235</v>
      </c>
      <c r="G160" s="246" t="s">
        <v>42</v>
      </c>
      <c r="H160" s="258">
        <v>44163</v>
      </c>
      <c r="I160" s="246" t="s">
        <v>116</v>
      </c>
      <c r="J160" s="248">
        <v>4684196</v>
      </c>
      <c r="K160" s="249">
        <v>0.5</v>
      </c>
      <c r="L160" s="250">
        <v>1993402</v>
      </c>
      <c r="M160" s="251">
        <f>L160*10%</f>
        <v>199340.2</v>
      </c>
      <c r="N160" s="252">
        <f t="shared" si="9"/>
        <v>1794061.8</v>
      </c>
      <c r="O160" s="72" t="s">
        <v>85</v>
      </c>
      <c r="P160" s="201"/>
    </row>
    <row r="161" spans="2:16" ht="18" hidden="1" customHeight="1">
      <c r="B161" s="257">
        <v>159</v>
      </c>
      <c r="C161" s="243" t="s">
        <v>238</v>
      </c>
      <c r="D161" s="244" t="s">
        <v>79</v>
      </c>
      <c r="E161" s="254" t="s">
        <v>9</v>
      </c>
      <c r="F161" s="244" t="s">
        <v>235</v>
      </c>
      <c r="G161" s="246" t="s">
        <v>29</v>
      </c>
      <c r="H161" s="258">
        <v>44223</v>
      </c>
      <c r="I161" s="246" t="s">
        <v>164</v>
      </c>
      <c r="J161" s="248">
        <v>1691706</v>
      </c>
      <c r="K161" s="259">
        <v>0.6</v>
      </c>
      <c r="L161" s="250">
        <v>861890</v>
      </c>
      <c r="M161" s="250">
        <f>L161*10%</f>
        <v>86189</v>
      </c>
      <c r="N161" s="252">
        <f t="shared" ref="N161:N166" si="10">L161-M161</f>
        <v>775701</v>
      </c>
      <c r="O161" s="194"/>
      <c r="P161" s="201"/>
    </row>
    <row r="162" spans="2:16" ht="18" hidden="1" customHeight="1">
      <c r="B162" s="257">
        <v>160</v>
      </c>
      <c r="C162" s="243" t="s">
        <v>238</v>
      </c>
      <c r="D162" s="244" t="s">
        <v>79</v>
      </c>
      <c r="E162" s="254" t="s">
        <v>9</v>
      </c>
      <c r="F162" s="244" t="s">
        <v>235</v>
      </c>
      <c r="G162" s="246" t="s">
        <v>28</v>
      </c>
      <c r="H162" s="258">
        <v>44253</v>
      </c>
      <c r="I162" s="246" t="s">
        <v>164</v>
      </c>
      <c r="J162" s="248">
        <v>3619187</v>
      </c>
      <c r="K162" s="259">
        <v>0.6</v>
      </c>
      <c r="L162" s="250">
        <v>1845147</v>
      </c>
      <c r="M162" s="251">
        <f>ROUND(L162*12%,0)</f>
        <v>221418</v>
      </c>
      <c r="N162" s="252">
        <f t="shared" si="10"/>
        <v>1623729</v>
      </c>
      <c r="O162" s="194"/>
      <c r="P162" s="201"/>
    </row>
    <row r="163" spans="2:16" ht="18" hidden="1" customHeight="1">
      <c r="B163" s="257">
        <v>161</v>
      </c>
      <c r="C163" s="243" t="s">
        <v>238</v>
      </c>
      <c r="D163" s="244" t="s">
        <v>79</v>
      </c>
      <c r="E163" s="254" t="s">
        <v>9</v>
      </c>
      <c r="F163" s="244" t="s">
        <v>235</v>
      </c>
      <c r="G163" s="246" t="s">
        <v>54</v>
      </c>
      <c r="H163" s="258">
        <v>44247</v>
      </c>
      <c r="I163" s="246" t="s">
        <v>164</v>
      </c>
      <c r="J163" s="248">
        <v>157178</v>
      </c>
      <c r="K163" s="259">
        <v>0.5</v>
      </c>
      <c r="L163" s="250">
        <v>66727</v>
      </c>
      <c r="M163" s="250">
        <f>L163*10%</f>
        <v>6672.7000000000007</v>
      </c>
      <c r="N163" s="252">
        <f t="shared" si="10"/>
        <v>60054.3</v>
      </c>
      <c r="O163" s="194"/>
      <c r="P163" s="201"/>
    </row>
    <row r="164" spans="2:16" ht="18" hidden="1" customHeight="1">
      <c r="B164" s="257">
        <v>162</v>
      </c>
      <c r="C164" s="243" t="s">
        <v>238</v>
      </c>
      <c r="D164" s="244" t="s">
        <v>79</v>
      </c>
      <c r="E164" s="254" t="s">
        <v>9</v>
      </c>
      <c r="F164" s="244" t="s">
        <v>235</v>
      </c>
      <c r="G164" s="246" t="s">
        <v>30</v>
      </c>
      <c r="H164" s="258">
        <v>44281</v>
      </c>
      <c r="I164" s="246" t="s">
        <v>164</v>
      </c>
      <c r="J164" s="248">
        <v>2249676</v>
      </c>
      <c r="K164" s="259">
        <v>0.5</v>
      </c>
      <c r="L164" s="250">
        <v>955581</v>
      </c>
      <c r="M164" s="250">
        <f>L164*10%</f>
        <v>95558.1</v>
      </c>
      <c r="N164" s="252">
        <f t="shared" si="10"/>
        <v>860022.9</v>
      </c>
      <c r="O164" s="194"/>
      <c r="P164" s="201"/>
    </row>
    <row r="165" spans="2:16" ht="18" hidden="1" customHeight="1">
      <c r="B165" s="257">
        <v>163</v>
      </c>
      <c r="C165" s="246"/>
      <c r="D165" s="244" t="s">
        <v>79</v>
      </c>
      <c r="E165" s="254" t="s">
        <v>9</v>
      </c>
      <c r="F165" s="244" t="s">
        <v>235</v>
      </c>
      <c r="G165" s="246" t="s">
        <v>36</v>
      </c>
      <c r="H165" s="258">
        <v>44293</v>
      </c>
      <c r="I165" s="246" t="s">
        <v>164</v>
      </c>
      <c r="J165" s="248">
        <v>224392</v>
      </c>
      <c r="K165" s="259">
        <v>0.5</v>
      </c>
      <c r="L165" s="250">
        <v>95278</v>
      </c>
      <c r="M165" s="250">
        <v>0</v>
      </c>
      <c r="N165" s="252">
        <f t="shared" si="10"/>
        <v>95278</v>
      </c>
      <c r="O165" s="194"/>
      <c r="P165" s="201"/>
    </row>
    <row r="166" spans="2:16" ht="18" hidden="1" customHeight="1">
      <c r="B166" s="257">
        <v>164</v>
      </c>
      <c r="C166" s="246"/>
      <c r="D166" s="244" t="s">
        <v>79</v>
      </c>
      <c r="E166" s="254" t="s">
        <v>9</v>
      </c>
      <c r="F166" s="244" t="s">
        <v>235</v>
      </c>
      <c r="G166" s="246" t="s">
        <v>42</v>
      </c>
      <c r="H166" s="258">
        <v>44163</v>
      </c>
      <c r="I166" s="246" t="s">
        <v>164</v>
      </c>
      <c r="J166" s="248">
        <v>1931076</v>
      </c>
      <c r="K166" s="259">
        <v>0.5</v>
      </c>
      <c r="L166" s="250">
        <v>821248</v>
      </c>
      <c r="M166" s="251">
        <f>L166*10%</f>
        <v>82124.800000000003</v>
      </c>
      <c r="N166" s="252">
        <f t="shared" si="10"/>
        <v>739123.19999999995</v>
      </c>
      <c r="O166" s="72" t="s">
        <v>85</v>
      </c>
      <c r="P166" s="201"/>
    </row>
    <row r="167" spans="2:16">
      <c r="L167" s="268">
        <f>SUBTOTAL(9,L5:L166)</f>
        <v>1867749</v>
      </c>
      <c r="M167" s="268">
        <f>SUBTOTAL(9,M5:M166)</f>
        <v>186774.9</v>
      </c>
      <c r="N167" s="268">
        <f>SUBTOTAL(9,N5:N166)</f>
        <v>1680974.1</v>
      </c>
    </row>
  </sheetData>
  <autoFilter ref="B4:P166" xr:uid="{00000000-0001-0000-0000-000000000000}">
    <filterColumn colId="5">
      <filters>
        <filter val="황제의 가면"/>
      </filters>
    </filterColumn>
  </autoFilter>
  <mergeCells count="1">
    <mergeCell ref="O2:P2"/>
  </mergeCells>
  <phoneticPr fontId="1" type="noConversion"/>
  <pageMargins left="0.7" right="0.7" top="0.75" bottom="0.75" header="0.3" footer="0.3"/>
  <pageSetup paperSize="9" orientation="portrait" r:id="rId1"/>
  <ignoredErrors>
    <ignoredError sqref="M15 M50 M91 M100 M125 M132 M138 M144" formula="1"/>
  </ignoredErrors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0DB6-2306-4717-8AD7-388B53D52966}">
  <dimension ref="B1:O126"/>
  <sheetViews>
    <sheetView showGridLines="0" zoomScaleNormal="100" workbookViewId="0">
      <pane xSplit="6" ySplit="4" topLeftCell="G5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12.3984375" style="7" customWidth="1"/>
    <col min="4" max="4" width="6.69921875" style="7" customWidth="1"/>
    <col min="5" max="5" width="16.8984375" style="7" customWidth="1"/>
    <col min="6" max="6" width="28" customWidth="1"/>
    <col min="7" max="7" width="14.59765625" customWidth="1"/>
    <col min="8" max="8" width="13.59765625" customWidth="1"/>
    <col min="9" max="9" width="11.3984375" customWidth="1"/>
    <col min="10" max="10" width="13.59765625" style="7" customWidth="1"/>
    <col min="11" max="13" width="13.59765625" customWidth="1"/>
    <col min="14" max="14" width="37.59765625" style="18" customWidth="1"/>
    <col min="15" max="15" width="43" style="184" customWidth="1"/>
    <col min="16" max="16" width="28.19921875" customWidth="1"/>
  </cols>
  <sheetData>
    <row r="1" spans="2:15" ht="16.5" customHeight="1"/>
    <row r="2" spans="2:15" ht="30" customHeight="1" thickBot="1">
      <c r="B2" s="4" t="s">
        <v>162</v>
      </c>
      <c r="C2" s="4"/>
      <c r="D2" s="4"/>
      <c r="E2" s="4"/>
      <c r="J2"/>
    </row>
    <row r="3" spans="2:15" s="6" customFormat="1" ht="18.600000000000001" thickTop="1" thickBot="1">
      <c r="B3" s="8"/>
      <c r="C3" s="8"/>
      <c r="D3" s="8"/>
      <c r="E3" s="8"/>
      <c r="J3" s="8"/>
      <c r="K3" s="173">
        <f>SUM(K5:K499)</f>
        <v>501603973.8635484</v>
      </c>
      <c r="L3" s="173">
        <f>SUM(L5:L499)</f>
        <v>46426271.822909683</v>
      </c>
      <c r="M3" s="173">
        <f>SUM(M5:M499)</f>
        <v>455177702.04063904</v>
      </c>
      <c r="N3" s="19"/>
      <c r="O3" s="185"/>
    </row>
    <row r="4" spans="2:15" s="9" customFormat="1" ht="24" customHeight="1" thickBot="1">
      <c r="B4" s="10" t="s">
        <v>7</v>
      </c>
      <c r="C4" s="1" t="s">
        <v>76</v>
      </c>
      <c r="D4" s="3" t="s">
        <v>3</v>
      </c>
      <c r="E4" s="1" t="s">
        <v>0</v>
      </c>
      <c r="F4" s="2" t="s">
        <v>4</v>
      </c>
      <c r="G4" s="3" t="s">
        <v>5</v>
      </c>
      <c r="H4" s="3" t="s">
        <v>6</v>
      </c>
      <c r="I4" s="3" t="s">
        <v>2</v>
      </c>
      <c r="J4" s="5" t="s">
        <v>1</v>
      </c>
      <c r="K4" s="5" t="s">
        <v>88</v>
      </c>
      <c r="L4" s="17" t="s">
        <v>75</v>
      </c>
      <c r="M4" s="16" t="s">
        <v>83</v>
      </c>
      <c r="N4" s="20" t="s">
        <v>82</v>
      </c>
      <c r="O4" s="179" t="s">
        <v>101</v>
      </c>
    </row>
    <row r="5" spans="2:15" ht="18" customHeight="1">
      <c r="B5" s="76">
        <v>1</v>
      </c>
      <c r="C5" s="78" t="s">
        <v>78</v>
      </c>
      <c r="D5" s="78" t="s">
        <v>20</v>
      </c>
      <c r="E5" s="78" t="s">
        <v>117</v>
      </c>
      <c r="F5" s="98" t="s">
        <v>19</v>
      </c>
      <c r="G5" s="88">
        <v>44300</v>
      </c>
      <c r="H5" s="82" t="s">
        <v>163</v>
      </c>
      <c r="I5" s="177">
        <v>2535001.08</v>
      </c>
      <c r="J5" s="178">
        <v>0.70033027362655009</v>
      </c>
      <c r="K5" s="127">
        <v>1775338</v>
      </c>
      <c r="L5" s="86">
        <v>0</v>
      </c>
      <c r="M5" s="87">
        <f>K5-L5</f>
        <v>1775338</v>
      </c>
      <c r="N5" s="72"/>
      <c r="O5" s="172" t="s">
        <v>158</v>
      </c>
    </row>
    <row r="6" spans="2:15" ht="18" customHeight="1">
      <c r="B6" s="129">
        <v>2</v>
      </c>
      <c r="C6" s="131" t="s">
        <v>78</v>
      </c>
      <c r="D6" s="131" t="s">
        <v>9</v>
      </c>
      <c r="E6" s="131" t="s">
        <v>118</v>
      </c>
      <c r="F6" s="132" t="s">
        <v>36</v>
      </c>
      <c r="G6" s="133">
        <v>43810</v>
      </c>
      <c r="H6" s="130" t="s">
        <v>164</v>
      </c>
      <c r="I6" s="168">
        <v>11963700</v>
      </c>
      <c r="J6" s="135" t="s">
        <v>165</v>
      </c>
      <c r="K6" s="153">
        <v>4853277</v>
      </c>
      <c r="L6" s="153">
        <v>0</v>
      </c>
      <c r="M6" s="154">
        <f t="shared" ref="M6:M50" si="0">K6-L6</f>
        <v>4853277</v>
      </c>
      <c r="N6" s="21"/>
      <c r="O6" s="172"/>
    </row>
    <row r="7" spans="2:15" ht="18" customHeight="1">
      <c r="B7" s="129">
        <v>3</v>
      </c>
      <c r="C7" s="131" t="s">
        <v>78</v>
      </c>
      <c r="D7" s="131" t="s">
        <v>9</v>
      </c>
      <c r="E7" s="131" t="s">
        <v>118</v>
      </c>
      <c r="F7" s="132" t="s">
        <v>139</v>
      </c>
      <c r="G7" s="133">
        <v>43852</v>
      </c>
      <c r="H7" s="130" t="s">
        <v>164</v>
      </c>
      <c r="I7" s="152">
        <v>954180</v>
      </c>
      <c r="J7" s="135" t="s">
        <v>165</v>
      </c>
      <c r="K7" s="153">
        <v>365391</v>
      </c>
      <c r="L7" s="153">
        <v>0</v>
      </c>
      <c r="M7" s="154">
        <f t="shared" si="0"/>
        <v>365391</v>
      </c>
      <c r="N7" s="23"/>
      <c r="O7" s="172"/>
    </row>
    <row r="8" spans="2:15" ht="18" customHeight="1">
      <c r="B8" s="76">
        <v>4</v>
      </c>
      <c r="C8" s="78" t="s">
        <v>78</v>
      </c>
      <c r="D8" s="78" t="s">
        <v>115</v>
      </c>
      <c r="E8" s="78" t="s">
        <v>118</v>
      </c>
      <c r="F8" s="98" t="s">
        <v>19</v>
      </c>
      <c r="G8" s="88">
        <v>44328</v>
      </c>
      <c r="H8" s="82" t="s">
        <v>164</v>
      </c>
      <c r="I8" s="126">
        <v>1092780</v>
      </c>
      <c r="J8" s="99" t="s">
        <v>166</v>
      </c>
      <c r="K8" s="127">
        <v>523314</v>
      </c>
      <c r="L8" s="127">
        <v>0</v>
      </c>
      <c r="M8" s="87">
        <f t="shared" si="0"/>
        <v>523314</v>
      </c>
      <c r="N8" s="21"/>
      <c r="O8" s="172" t="s">
        <v>158</v>
      </c>
    </row>
    <row r="9" spans="2:15" ht="18" customHeight="1">
      <c r="B9" s="76">
        <v>5</v>
      </c>
      <c r="C9" s="78" t="s">
        <v>78</v>
      </c>
      <c r="D9" s="78" t="s">
        <v>20</v>
      </c>
      <c r="E9" s="78" t="s">
        <v>21</v>
      </c>
      <c r="F9" s="98" t="s">
        <v>19</v>
      </c>
      <c r="G9" s="88">
        <v>44328</v>
      </c>
      <c r="H9" s="82" t="s">
        <v>164</v>
      </c>
      <c r="I9" s="126">
        <v>25800</v>
      </c>
      <c r="J9" s="99">
        <v>0.7</v>
      </c>
      <c r="K9" s="127">
        <v>18060</v>
      </c>
      <c r="L9" s="86">
        <v>0</v>
      </c>
      <c r="M9" s="87">
        <f t="shared" si="0"/>
        <v>18060</v>
      </c>
      <c r="N9" s="23"/>
      <c r="O9" s="172" t="s">
        <v>158</v>
      </c>
    </row>
    <row r="10" spans="2:15" ht="18" customHeight="1">
      <c r="B10" s="76">
        <v>6</v>
      </c>
      <c r="C10" s="78" t="s">
        <v>78</v>
      </c>
      <c r="D10" s="78" t="s">
        <v>115</v>
      </c>
      <c r="E10" s="78" t="s">
        <v>167</v>
      </c>
      <c r="F10" s="98" t="s">
        <v>19</v>
      </c>
      <c r="G10" s="88">
        <v>44441</v>
      </c>
      <c r="H10" s="82" t="s">
        <v>164</v>
      </c>
      <c r="I10" s="126">
        <v>0</v>
      </c>
      <c r="J10" s="99" t="s">
        <v>168</v>
      </c>
      <c r="K10" s="127">
        <v>695000</v>
      </c>
      <c r="L10" s="127">
        <v>0</v>
      </c>
      <c r="M10" s="87">
        <f t="shared" si="0"/>
        <v>695000</v>
      </c>
      <c r="N10" s="23"/>
      <c r="O10" s="172" t="s">
        <v>158</v>
      </c>
    </row>
    <row r="11" spans="2:15" ht="18" customHeight="1">
      <c r="B11" s="129">
        <v>7</v>
      </c>
      <c r="C11" s="131" t="s">
        <v>78</v>
      </c>
      <c r="D11" s="131" t="s">
        <v>62</v>
      </c>
      <c r="E11" s="131" t="s">
        <v>169</v>
      </c>
      <c r="F11" s="132" t="s">
        <v>11</v>
      </c>
      <c r="G11" s="133">
        <v>44308</v>
      </c>
      <c r="H11" s="130" t="s">
        <v>164</v>
      </c>
      <c r="I11" s="152">
        <v>6320983</v>
      </c>
      <c r="J11" s="135">
        <v>0.6000000316406483</v>
      </c>
      <c r="K11" s="153">
        <v>3792590</v>
      </c>
      <c r="L11" s="153">
        <v>0</v>
      </c>
      <c r="M11" s="154">
        <f t="shared" si="0"/>
        <v>3792590</v>
      </c>
      <c r="N11" s="23"/>
      <c r="O11" s="172"/>
    </row>
    <row r="12" spans="2:15" ht="18" customHeight="1">
      <c r="B12" s="129">
        <v>8</v>
      </c>
      <c r="C12" s="131" t="s">
        <v>78</v>
      </c>
      <c r="D12" s="131" t="s">
        <v>62</v>
      </c>
      <c r="E12" s="131" t="s">
        <v>169</v>
      </c>
      <c r="F12" s="132" t="s">
        <v>10</v>
      </c>
      <c r="G12" s="133">
        <v>44309</v>
      </c>
      <c r="H12" s="130" t="s">
        <v>164</v>
      </c>
      <c r="I12" s="170">
        <v>109831868</v>
      </c>
      <c r="J12" s="135">
        <v>0.60000000182096513</v>
      </c>
      <c r="K12" s="153">
        <v>65899121</v>
      </c>
      <c r="L12" s="136">
        <f>K12*10%</f>
        <v>6589912.1000000006</v>
      </c>
      <c r="M12" s="154">
        <f t="shared" si="0"/>
        <v>59309208.899999999</v>
      </c>
      <c r="N12" s="23"/>
      <c r="O12" s="172"/>
    </row>
    <row r="13" spans="2:15" ht="18" customHeight="1">
      <c r="B13" s="129">
        <v>9</v>
      </c>
      <c r="C13" s="131" t="s">
        <v>78</v>
      </c>
      <c r="D13" s="131" t="s">
        <v>62</v>
      </c>
      <c r="E13" s="131" t="s">
        <v>169</v>
      </c>
      <c r="F13" s="132" t="s">
        <v>12</v>
      </c>
      <c r="G13" s="133">
        <v>44240</v>
      </c>
      <c r="H13" s="130" t="s">
        <v>164</v>
      </c>
      <c r="I13" s="134">
        <v>348765</v>
      </c>
      <c r="J13" s="135">
        <v>0.6</v>
      </c>
      <c r="K13" s="153">
        <v>209259</v>
      </c>
      <c r="L13" s="153">
        <f>K13*10%</f>
        <v>20925.900000000001</v>
      </c>
      <c r="M13" s="154">
        <f t="shared" si="0"/>
        <v>188333.1</v>
      </c>
      <c r="N13" s="23"/>
      <c r="O13" s="172"/>
    </row>
    <row r="14" spans="2:15" ht="18" customHeight="1">
      <c r="B14" s="129">
        <v>10</v>
      </c>
      <c r="C14" s="131" t="s">
        <v>78</v>
      </c>
      <c r="D14" s="131" t="s">
        <v>62</v>
      </c>
      <c r="E14" s="131" t="s">
        <v>169</v>
      </c>
      <c r="F14" s="132" t="s">
        <v>17</v>
      </c>
      <c r="G14" s="133">
        <v>44391</v>
      </c>
      <c r="H14" s="130" t="s">
        <v>164</v>
      </c>
      <c r="I14" s="134">
        <v>57017636</v>
      </c>
      <c r="J14" s="135">
        <v>0.60000000701537326</v>
      </c>
      <c r="K14" s="136">
        <v>34210582</v>
      </c>
      <c r="L14" s="183">
        <f>K14*12%</f>
        <v>4105269.84</v>
      </c>
      <c r="M14" s="154">
        <f t="shared" si="0"/>
        <v>30105312.16</v>
      </c>
      <c r="N14" s="73"/>
      <c r="O14" s="172"/>
    </row>
    <row r="15" spans="2:15" ht="18" customHeight="1">
      <c r="B15" s="76">
        <v>11</v>
      </c>
      <c r="C15" s="78" t="s">
        <v>78</v>
      </c>
      <c r="D15" s="78" t="s">
        <v>33</v>
      </c>
      <c r="E15" s="78" t="s">
        <v>169</v>
      </c>
      <c r="F15" s="98" t="s">
        <v>40</v>
      </c>
      <c r="G15" s="88">
        <v>44428</v>
      </c>
      <c r="H15" s="82" t="s">
        <v>164</v>
      </c>
      <c r="I15" s="89">
        <v>654155</v>
      </c>
      <c r="J15" s="99">
        <v>0.6999992356551582</v>
      </c>
      <c r="K15" s="91">
        <v>457908</v>
      </c>
      <c r="L15" s="100">
        <f>K15*10%</f>
        <v>45790.8</v>
      </c>
      <c r="M15" s="87">
        <f t="shared" si="0"/>
        <v>412117.2</v>
      </c>
      <c r="N15" s="73"/>
      <c r="O15" s="172" t="s">
        <v>158</v>
      </c>
    </row>
    <row r="16" spans="2:15" ht="18" customHeight="1">
      <c r="B16" s="129">
        <v>12</v>
      </c>
      <c r="C16" s="131" t="s">
        <v>78</v>
      </c>
      <c r="D16" s="131" t="s">
        <v>62</v>
      </c>
      <c r="E16" s="131" t="s">
        <v>170</v>
      </c>
      <c r="F16" s="132" t="s">
        <v>28</v>
      </c>
      <c r="G16" s="133">
        <v>44409</v>
      </c>
      <c r="H16" s="130" t="s">
        <v>163</v>
      </c>
      <c r="I16" s="134">
        <v>6457153</v>
      </c>
      <c r="J16" s="135">
        <v>0.55000013163696138</v>
      </c>
      <c r="K16" s="136">
        <v>3551435</v>
      </c>
      <c r="L16" s="136">
        <f>K16*12%</f>
        <v>426172.2</v>
      </c>
      <c r="M16" s="154">
        <f t="shared" si="0"/>
        <v>3125262.8</v>
      </c>
      <c r="N16" s="21"/>
      <c r="O16" s="172"/>
    </row>
    <row r="17" spans="2:15" ht="18" customHeight="1">
      <c r="B17" s="129">
        <v>13</v>
      </c>
      <c r="C17" s="131" t="s">
        <v>78</v>
      </c>
      <c r="D17" s="131" t="s">
        <v>62</v>
      </c>
      <c r="E17" s="131" t="s">
        <v>170</v>
      </c>
      <c r="F17" s="131" t="s">
        <v>42</v>
      </c>
      <c r="G17" s="133">
        <v>44409</v>
      </c>
      <c r="H17" s="130" t="s">
        <v>163</v>
      </c>
      <c r="I17" s="134">
        <v>17723860</v>
      </c>
      <c r="J17" s="135">
        <v>0.55000000000000004</v>
      </c>
      <c r="K17" s="136">
        <v>9748123</v>
      </c>
      <c r="L17" s="136">
        <f>K17*10%</f>
        <v>974812.3</v>
      </c>
      <c r="M17" s="154">
        <f t="shared" si="0"/>
        <v>8773310.6999999993</v>
      </c>
      <c r="N17" s="72" t="s">
        <v>144</v>
      </c>
      <c r="O17" s="172"/>
    </row>
    <row r="18" spans="2:15" ht="18" customHeight="1">
      <c r="B18" s="129">
        <v>14</v>
      </c>
      <c r="C18" s="131" t="s">
        <v>78</v>
      </c>
      <c r="D18" s="131" t="s">
        <v>62</v>
      </c>
      <c r="E18" s="131" t="s">
        <v>170</v>
      </c>
      <c r="F18" s="131" t="s">
        <v>54</v>
      </c>
      <c r="G18" s="133">
        <v>44409</v>
      </c>
      <c r="H18" s="130" t="s">
        <v>163</v>
      </c>
      <c r="I18" s="134">
        <v>906561</v>
      </c>
      <c r="J18" s="135">
        <v>0.55000049638137971</v>
      </c>
      <c r="K18" s="136">
        <v>498609</v>
      </c>
      <c r="L18" s="153">
        <f>K18*10%</f>
        <v>49860.9</v>
      </c>
      <c r="M18" s="154">
        <f t="shared" si="0"/>
        <v>448748.1</v>
      </c>
      <c r="N18" s="21"/>
      <c r="O18" s="172"/>
    </row>
    <row r="19" spans="2:15" ht="18" customHeight="1">
      <c r="B19" s="76">
        <v>15</v>
      </c>
      <c r="C19" s="78" t="s">
        <v>78</v>
      </c>
      <c r="D19" s="78" t="s">
        <v>62</v>
      </c>
      <c r="E19" s="78" t="s">
        <v>170</v>
      </c>
      <c r="F19" s="78" t="s">
        <v>46</v>
      </c>
      <c r="G19" s="88">
        <v>44409</v>
      </c>
      <c r="H19" s="82" t="s">
        <v>163</v>
      </c>
      <c r="I19" s="89">
        <v>2016216</v>
      </c>
      <c r="J19" s="99">
        <v>0.55000009919572113</v>
      </c>
      <c r="K19" s="91">
        <v>1108919</v>
      </c>
      <c r="L19" s="91">
        <f>K19*10%</f>
        <v>110891.90000000001</v>
      </c>
      <c r="M19" s="87">
        <f t="shared" si="0"/>
        <v>998027.1</v>
      </c>
      <c r="N19" s="21"/>
      <c r="O19" s="172" t="s">
        <v>158</v>
      </c>
    </row>
    <row r="20" spans="2:15" ht="18" customHeight="1">
      <c r="B20" s="129">
        <v>16</v>
      </c>
      <c r="C20" s="131" t="s">
        <v>78</v>
      </c>
      <c r="D20" s="131" t="s">
        <v>62</v>
      </c>
      <c r="E20" s="131" t="s">
        <v>170</v>
      </c>
      <c r="F20" s="131" t="s">
        <v>30</v>
      </c>
      <c r="G20" s="133">
        <v>44409</v>
      </c>
      <c r="H20" s="130" t="s">
        <v>163</v>
      </c>
      <c r="I20" s="134">
        <v>6279192</v>
      </c>
      <c r="J20" s="135">
        <v>0.55000006370246368</v>
      </c>
      <c r="K20" s="136">
        <v>3453556</v>
      </c>
      <c r="L20" s="153">
        <f>K20*10%</f>
        <v>345355.60000000003</v>
      </c>
      <c r="M20" s="154">
        <f t="shared" si="0"/>
        <v>3108200.4</v>
      </c>
      <c r="N20" s="21"/>
      <c r="O20" s="172"/>
    </row>
    <row r="21" spans="2:15" ht="18" customHeight="1">
      <c r="B21" s="76">
        <v>17</v>
      </c>
      <c r="C21" s="78" t="s">
        <v>78</v>
      </c>
      <c r="D21" s="78" t="s">
        <v>62</v>
      </c>
      <c r="E21" s="78" t="s">
        <v>170</v>
      </c>
      <c r="F21" s="78" t="s">
        <v>53</v>
      </c>
      <c r="G21" s="88">
        <v>44409</v>
      </c>
      <c r="H21" s="82" t="s">
        <v>163</v>
      </c>
      <c r="I21" s="89">
        <v>4466038</v>
      </c>
      <c r="J21" s="99">
        <v>0.55000002239121115</v>
      </c>
      <c r="K21" s="91">
        <v>2456321</v>
      </c>
      <c r="L21" s="86">
        <v>0</v>
      </c>
      <c r="M21" s="87">
        <f t="shared" si="0"/>
        <v>2456321</v>
      </c>
      <c r="N21" s="72"/>
      <c r="O21" s="172" t="s">
        <v>158</v>
      </c>
    </row>
    <row r="22" spans="2:15" ht="18" customHeight="1">
      <c r="B22" s="129">
        <v>18</v>
      </c>
      <c r="C22" s="131" t="s">
        <v>78</v>
      </c>
      <c r="D22" s="131" t="s">
        <v>62</v>
      </c>
      <c r="E22" s="131" t="s">
        <v>170</v>
      </c>
      <c r="F22" s="131" t="s">
        <v>28</v>
      </c>
      <c r="G22" s="133">
        <v>44409</v>
      </c>
      <c r="H22" s="130" t="s">
        <v>164</v>
      </c>
      <c r="I22" s="134">
        <v>3423164</v>
      </c>
      <c r="J22" s="135">
        <v>0.55000023370192019</v>
      </c>
      <c r="K22" s="136">
        <v>1882741</v>
      </c>
      <c r="L22" s="136">
        <f>K22*12%</f>
        <v>225928.91999999998</v>
      </c>
      <c r="M22" s="154">
        <f t="shared" si="0"/>
        <v>1656812.08</v>
      </c>
      <c r="N22" s="21"/>
      <c r="O22" s="172"/>
    </row>
    <row r="23" spans="2:15" ht="18" customHeight="1">
      <c r="B23" s="129">
        <v>19</v>
      </c>
      <c r="C23" s="131" t="s">
        <v>78</v>
      </c>
      <c r="D23" s="131" t="s">
        <v>62</v>
      </c>
      <c r="E23" s="131" t="s">
        <v>170</v>
      </c>
      <c r="F23" s="131" t="s">
        <v>42</v>
      </c>
      <c r="G23" s="133">
        <v>44409</v>
      </c>
      <c r="H23" s="130" t="s">
        <v>164</v>
      </c>
      <c r="I23" s="134">
        <v>21284993</v>
      </c>
      <c r="J23" s="135">
        <v>0.55000003993423907</v>
      </c>
      <c r="K23" s="136">
        <v>11706747</v>
      </c>
      <c r="L23" s="136">
        <f>K23*10%</f>
        <v>1170674.7</v>
      </c>
      <c r="M23" s="154">
        <f t="shared" si="0"/>
        <v>10536072.300000001</v>
      </c>
      <c r="N23" s="72" t="s">
        <v>144</v>
      </c>
      <c r="O23" s="172"/>
    </row>
    <row r="24" spans="2:15" ht="18" customHeight="1">
      <c r="B24" s="129">
        <v>20</v>
      </c>
      <c r="C24" s="131" t="s">
        <v>78</v>
      </c>
      <c r="D24" s="131" t="s">
        <v>62</v>
      </c>
      <c r="E24" s="131" t="s">
        <v>170</v>
      </c>
      <c r="F24" s="131" t="s">
        <v>74</v>
      </c>
      <c r="G24" s="133">
        <v>44409</v>
      </c>
      <c r="H24" s="130" t="s">
        <v>164</v>
      </c>
      <c r="I24" s="134">
        <v>629830</v>
      </c>
      <c r="J24" s="135">
        <v>0.55000238159503356</v>
      </c>
      <c r="K24" s="136">
        <v>346408</v>
      </c>
      <c r="L24" s="153">
        <f>K24*10%</f>
        <v>34640.800000000003</v>
      </c>
      <c r="M24" s="154">
        <f t="shared" si="0"/>
        <v>311767.2</v>
      </c>
      <c r="N24" s="21"/>
      <c r="O24" s="172"/>
    </row>
    <row r="25" spans="2:15" ht="18" customHeight="1">
      <c r="B25" s="76">
        <v>21</v>
      </c>
      <c r="C25" s="78" t="s">
        <v>78</v>
      </c>
      <c r="D25" s="78" t="s">
        <v>62</v>
      </c>
      <c r="E25" s="78" t="s">
        <v>170</v>
      </c>
      <c r="F25" s="78" t="s">
        <v>46</v>
      </c>
      <c r="G25" s="88">
        <v>44409</v>
      </c>
      <c r="H25" s="82" t="s">
        <v>164</v>
      </c>
      <c r="I25" s="89">
        <v>1343433</v>
      </c>
      <c r="J25" s="99">
        <v>0.54999988834575297</v>
      </c>
      <c r="K25" s="91">
        <v>738888</v>
      </c>
      <c r="L25" s="91">
        <f>K25*10%</f>
        <v>73888.800000000003</v>
      </c>
      <c r="M25" s="87">
        <f t="shared" si="0"/>
        <v>664999.19999999995</v>
      </c>
      <c r="N25" s="21"/>
      <c r="O25" s="172" t="s">
        <v>158</v>
      </c>
    </row>
    <row r="26" spans="2:15" ht="18" customHeight="1">
      <c r="B26" s="129">
        <v>22</v>
      </c>
      <c r="C26" s="131" t="s">
        <v>78</v>
      </c>
      <c r="D26" s="131" t="s">
        <v>62</v>
      </c>
      <c r="E26" s="131" t="s">
        <v>170</v>
      </c>
      <c r="F26" s="131" t="s">
        <v>30</v>
      </c>
      <c r="G26" s="133">
        <v>44409</v>
      </c>
      <c r="H26" s="130" t="s">
        <v>164</v>
      </c>
      <c r="I26" s="134">
        <v>3752394</v>
      </c>
      <c r="J26" s="135">
        <v>0.54999981345242532</v>
      </c>
      <c r="K26" s="136">
        <v>2063816</v>
      </c>
      <c r="L26" s="153">
        <f>K26*10%</f>
        <v>206381.6</v>
      </c>
      <c r="M26" s="154">
        <f t="shared" si="0"/>
        <v>1857434.4</v>
      </c>
      <c r="N26" s="21"/>
      <c r="O26" s="172"/>
    </row>
    <row r="27" spans="2:15" ht="18" customHeight="1">
      <c r="B27" s="76">
        <v>23</v>
      </c>
      <c r="C27" s="78" t="s">
        <v>78</v>
      </c>
      <c r="D27" s="78" t="s">
        <v>62</v>
      </c>
      <c r="E27" s="78" t="s">
        <v>170</v>
      </c>
      <c r="F27" s="78" t="s">
        <v>53</v>
      </c>
      <c r="G27" s="88">
        <v>44409</v>
      </c>
      <c r="H27" s="82" t="s">
        <v>164</v>
      </c>
      <c r="I27" s="89">
        <v>3452858</v>
      </c>
      <c r="J27" s="99">
        <v>0.55000002896151534</v>
      </c>
      <c r="K27" s="91">
        <v>1899072</v>
      </c>
      <c r="L27" s="127">
        <v>0</v>
      </c>
      <c r="M27" s="87">
        <f t="shared" si="0"/>
        <v>1899072</v>
      </c>
      <c r="N27" s="21"/>
      <c r="O27" s="172" t="s">
        <v>158</v>
      </c>
    </row>
    <row r="28" spans="2:15" ht="18" customHeight="1">
      <c r="B28" s="76">
        <v>24</v>
      </c>
      <c r="C28" s="78" t="s">
        <v>78</v>
      </c>
      <c r="D28" s="78" t="s">
        <v>62</v>
      </c>
      <c r="E28" s="78" t="s">
        <v>170</v>
      </c>
      <c r="F28" s="78" t="s">
        <v>43</v>
      </c>
      <c r="G28" s="88">
        <v>44465</v>
      </c>
      <c r="H28" s="82" t="s">
        <v>164</v>
      </c>
      <c r="I28" s="89">
        <v>6486265</v>
      </c>
      <c r="J28" s="99">
        <v>0.55000003854298274</v>
      </c>
      <c r="K28" s="91">
        <v>3567446</v>
      </c>
      <c r="L28" s="91">
        <f t="shared" ref="L28:L33" si="1">K28*10%</f>
        <v>356744.60000000003</v>
      </c>
      <c r="M28" s="87">
        <f t="shared" si="0"/>
        <v>3210701.4</v>
      </c>
      <c r="N28" s="21"/>
      <c r="O28" s="172" t="s">
        <v>158</v>
      </c>
    </row>
    <row r="29" spans="2:15" ht="18" customHeight="1">
      <c r="B29" s="76">
        <v>25</v>
      </c>
      <c r="C29" s="78" t="s">
        <v>78</v>
      </c>
      <c r="D29" s="78" t="s">
        <v>33</v>
      </c>
      <c r="E29" s="78" t="s">
        <v>44</v>
      </c>
      <c r="F29" s="78" t="s">
        <v>39</v>
      </c>
      <c r="G29" s="88">
        <v>44327</v>
      </c>
      <c r="H29" s="82" t="s">
        <v>164</v>
      </c>
      <c r="I29" s="89">
        <v>996170</v>
      </c>
      <c r="J29" s="99" t="s">
        <v>171</v>
      </c>
      <c r="K29" s="91">
        <v>693412</v>
      </c>
      <c r="L29" s="91">
        <f t="shared" si="1"/>
        <v>69341.2</v>
      </c>
      <c r="M29" s="87">
        <f t="shared" si="0"/>
        <v>624070.80000000005</v>
      </c>
      <c r="N29" s="21"/>
      <c r="O29" s="172" t="s">
        <v>158</v>
      </c>
    </row>
    <row r="30" spans="2:15" ht="18" customHeight="1">
      <c r="B30" s="76">
        <v>26</v>
      </c>
      <c r="C30" s="78" t="s">
        <v>78</v>
      </c>
      <c r="D30" s="78" t="s">
        <v>33</v>
      </c>
      <c r="E30" s="78" t="s">
        <v>44</v>
      </c>
      <c r="F30" s="78" t="s">
        <v>40</v>
      </c>
      <c r="G30" s="88">
        <v>44328</v>
      </c>
      <c r="H30" s="82" t="s">
        <v>164</v>
      </c>
      <c r="I30" s="89">
        <v>1326428</v>
      </c>
      <c r="J30" s="99" t="s">
        <v>171</v>
      </c>
      <c r="K30" s="91">
        <v>919948</v>
      </c>
      <c r="L30" s="100">
        <f t="shared" si="1"/>
        <v>91994.8</v>
      </c>
      <c r="M30" s="87">
        <f t="shared" si="0"/>
        <v>827953.2</v>
      </c>
      <c r="N30" s="21"/>
      <c r="O30" s="172" t="s">
        <v>158</v>
      </c>
    </row>
    <row r="31" spans="2:15" ht="18" customHeight="1">
      <c r="B31" s="76">
        <v>27</v>
      </c>
      <c r="C31" s="78" t="s">
        <v>78</v>
      </c>
      <c r="D31" s="78" t="s">
        <v>33</v>
      </c>
      <c r="E31" s="78" t="s">
        <v>44</v>
      </c>
      <c r="F31" s="78" t="s">
        <v>38</v>
      </c>
      <c r="G31" s="88">
        <v>44329</v>
      </c>
      <c r="H31" s="82" t="s">
        <v>164</v>
      </c>
      <c r="I31" s="89">
        <v>2024560</v>
      </c>
      <c r="J31" s="99" t="s">
        <v>171</v>
      </c>
      <c r="K31" s="91">
        <v>1405446</v>
      </c>
      <c r="L31" s="100">
        <f t="shared" si="1"/>
        <v>140544.6</v>
      </c>
      <c r="M31" s="87">
        <f t="shared" si="0"/>
        <v>1264901.3999999999</v>
      </c>
      <c r="N31" s="72"/>
      <c r="O31" s="172" t="s">
        <v>158</v>
      </c>
    </row>
    <row r="32" spans="2:15" ht="18" customHeight="1">
      <c r="B32" s="76">
        <v>28</v>
      </c>
      <c r="C32" s="78" t="s">
        <v>78</v>
      </c>
      <c r="D32" s="78" t="s">
        <v>62</v>
      </c>
      <c r="E32" s="78" t="s">
        <v>44</v>
      </c>
      <c r="F32" s="78" t="s">
        <v>46</v>
      </c>
      <c r="G32" s="88">
        <v>44246</v>
      </c>
      <c r="H32" s="82" t="s">
        <v>164</v>
      </c>
      <c r="I32" s="89">
        <v>273150</v>
      </c>
      <c r="J32" s="99">
        <v>0.55000000000000004</v>
      </c>
      <c r="K32" s="91">
        <v>150233</v>
      </c>
      <c r="L32" s="91">
        <f t="shared" si="1"/>
        <v>15023.300000000001</v>
      </c>
      <c r="M32" s="87">
        <f t="shared" si="0"/>
        <v>135209.70000000001</v>
      </c>
      <c r="N32" s="21"/>
      <c r="O32" s="172" t="s">
        <v>158</v>
      </c>
    </row>
    <row r="33" spans="2:15" ht="18" customHeight="1">
      <c r="B33" s="76">
        <v>29</v>
      </c>
      <c r="C33" s="78" t="s">
        <v>78</v>
      </c>
      <c r="D33" s="78" t="s">
        <v>62</v>
      </c>
      <c r="E33" s="78" t="s">
        <v>44</v>
      </c>
      <c r="F33" s="78" t="s">
        <v>47</v>
      </c>
      <c r="G33" s="88">
        <v>44152</v>
      </c>
      <c r="H33" s="82" t="s">
        <v>164</v>
      </c>
      <c r="I33" s="89">
        <v>578420</v>
      </c>
      <c r="J33" s="99">
        <v>0.55000000000000004</v>
      </c>
      <c r="K33" s="91">
        <v>318131</v>
      </c>
      <c r="L33" s="91">
        <f t="shared" si="1"/>
        <v>31813.100000000002</v>
      </c>
      <c r="M33" s="87">
        <f t="shared" si="0"/>
        <v>286317.90000000002</v>
      </c>
      <c r="N33" s="21"/>
      <c r="O33" s="172" t="s">
        <v>158</v>
      </c>
    </row>
    <row r="34" spans="2:15" ht="18" customHeight="1">
      <c r="B34" s="76">
        <v>30</v>
      </c>
      <c r="C34" s="78" t="s">
        <v>78</v>
      </c>
      <c r="D34" s="78" t="s">
        <v>62</v>
      </c>
      <c r="E34" s="78" t="s">
        <v>61</v>
      </c>
      <c r="F34" s="78" t="s">
        <v>60</v>
      </c>
      <c r="G34" s="88">
        <v>44333</v>
      </c>
      <c r="H34" s="82" t="s">
        <v>164</v>
      </c>
      <c r="I34" s="89">
        <v>927984</v>
      </c>
      <c r="J34" s="99">
        <v>0.5</v>
      </c>
      <c r="K34" s="91">
        <v>463992</v>
      </c>
      <c r="L34" s="91">
        <v>0</v>
      </c>
      <c r="M34" s="87">
        <f t="shared" si="0"/>
        <v>463992</v>
      </c>
      <c r="N34" s="21"/>
      <c r="O34" s="172" t="s">
        <v>158</v>
      </c>
    </row>
    <row r="35" spans="2:15" ht="18" customHeight="1">
      <c r="B35" s="76">
        <v>31</v>
      </c>
      <c r="C35" s="78" t="s">
        <v>78</v>
      </c>
      <c r="D35" s="78" t="s">
        <v>33</v>
      </c>
      <c r="E35" s="78" t="s">
        <v>172</v>
      </c>
      <c r="F35" s="78" t="s">
        <v>40</v>
      </c>
      <c r="G35" s="88">
        <v>44379</v>
      </c>
      <c r="H35" s="82" t="s">
        <v>164</v>
      </c>
      <c r="I35" s="89">
        <v>1139010</v>
      </c>
      <c r="J35" s="90">
        <v>0.6</v>
      </c>
      <c r="K35" s="91">
        <v>683406</v>
      </c>
      <c r="L35" s="100">
        <f>K35*10%</f>
        <v>68340.600000000006</v>
      </c>
      <c r="M35" s="87">
        <f t="shared" si="0"/>
        <v>615065.4</v>
      </c>
      <c r="N35" s="72"/>
      <c r="O35" s="172" t="s">
        <v>158</v>
      </c>
    </row>
    <row r="36" spans="2:15" ht="18" customHeight="1">
      <c r="B36" s="76">
        <v>32</v>
      </c>
      <c r="C36" s="78" t="s">
        <v>78</v>
      </c>
      <c r="D36" s="78" t="s">
        <v>33</v>
      </c>
      <c r="E36" s="78" t="s">
        <v>172</v>
      </c>
      <c r="F36" s="78" t="s">
        <v>39</v>
      </c>
      <c r="G36" s="88">
        <v>44385</v>
      </c>
      <c r="H36" s="82" t="s">
        <v>164</v>
      </c>
      <c r="I36" s="89">
        <v>266025</v>
      </c>
      <c r="J36" s="90">
        <v>0.6</v>
      </c>
      <c r="K36" s="91">
        <v>159615</v>
      </c>
      <c r="L36" s="91">
        <f>K36*10%</f>
        <v>15961.5</v>
      </c>
      <c r="M36" s="87">
        <f t="shared" si="0"/>
        <v>143653.5</v>
      </c>
      <c r="N36" s="21"/>
      <c r="O36" s="172" t="s">
        <v>158</v>
      </c>
    </row>
    <row r="37" spans="2:15" ht="18" customHeight="1">
      <c r="B37" s="76">
        <v>33</v>
      </c>
      <c r="C37" s="78" t="s">
        <v>78</v>
      </c>
      <c r="D37" s="78" t="s">
        <v>33</v>
      </c>
      <c r="E37" s="78" t="s">
        <v>172</v>
      </c>
      <c r="F37" s="78" t="s">
        <v>38</v>
      </c>
      <c r="G37" s="88">
        <v>44362</v>
      </c>
      <c r="H37" s="82" t="s">
        <v>164</v>
      </c>
      <c r="I37" s="89">
        <v>932107.5</v>
      </c>
      <c r="J37" s="90">
        <v>0.6</v>
      </c>
      <c r="K37" s="91">
        <v>559264</v>
      </c>
      <c r="L37" s="86">
        <f>K37*10%</f>
        <v>55926.400000000001</v>
      </c>
      <c r="M37" s="87">
        <f t="shared" si="0"/>
        <v>503337.6</v>
      </c>
      <c r="N37" s="21"/>
      <c r="O37" s="172" t="s">
        <v>158</v>
      </c>
    </row>
    <row r="38" spans="2:15" ht="18" customHeight="1">
      <c r="B38" s="76">
        <v>34</v>
      </c>
      <c r="C38" s="78" t="s">
        <v>78</v>
      </c>
      <c r="D38" s="78" t="s">
        <v>62</v>
      </c>
      <c r="E38" s="78" t="s">
        <v>175</v>
      </c>
      <c r="F38" s="78" t="s">
        <v>43</v>
      </c>
      <c r="G38" s="88">
        <v>44268</v>
      </c>
      <c r="H38" s="82" t="s">
        <v>164</v>
      </c>
      <c r="I38" s="89">
        <v>13480539.8792</v>
      </c>
      <c r="J38" s="90">
        <v>0.55000000000000004</v>
      </c>
      <c r="K38" s="91">
        <v>7414298</v>
      </c>
      <c r="L38" s="91">
        <f>K38*10%</f>
        <v>741429.8</v>
      </c>
      <c r="M38" s="87">
        <f t="shared" si="0"/>
        <v>6672868.2000000002</v>
      </c>
      <c r="N38" s="21"/>
      <c r="O38" s="172" t="s">
        <v>158</v>
      </c>
    </row>
    <row r="39" spans="2:15" ht="18" customHeight="1">
      <c r="B39" s="76">
        <v>35</v>
      </c>
      <c r="C39" s="78" t="s">
        <v>78</v>
      </c>
      <c r="D39" s="78" t="s">
        <v>62</v>
      </c>
      <c r="E39" s="78" t="s">
        <v>176</v>
      </c>
      <c r="F39" s="78" t="s">
        <v>53</v>
      </c>
      <c r="G39" s="88">
        <v>44224</v>
      </c>
      <c r="H39" s="82" t="s">
        <v>164</v>
      </c>
      <c r="I39" s="89">
        <v>2901700</v>
      </c>
      <c r="J39" s="90">
        <v>0.55000000000000004</v>
      </c>
      <c r="K39" s="91">
        <v>1595935</v>
      </c>
      <c r="L39" s="91">
        <v>0</v>
      </c>
      <c r="M39" s="87">
        <f t="shared" si="0"/>
        <v>1595935</v>
      </c>
      <c r="N39" s="21"/>
      <c r="O39" s="172" t="s">
        <v>158</v>
      </c>
    </row>
    <row r="40" spans="2:15" ht="18" customHeight="1">
      <c r="B40" s="129">
        <v>36</v>
      </c>
      <c r="C40" s="131" t="s">
        <v>78</v>
      </c>
      <c r="D40" s="131" t="s">
        <v>62</v>
      </c>
      <c r="E40" s="131" t="s">
        <v>176</v>
      </c>
      <c r="F40" s="131" t="s">
        <v>30</v>
      </c>
      <c r="G40" s="133">
        <v>44199</v>
      </c>
      <c r="H40" s="130" t="s">
        <v>164</v>
      </c>
      <c r="I40" s="134">
        <v>7684502</v>
      </c>
      <c r="J40" s="150">
        <v>0.55000000000000004</v>
      </c>
      <c r="K40" s="136">
        <v>4226477</v>
      </c>
      <c r="L40" s="153">
        <v>22648</v>
      </c>
      <c r="M40" s="154">
        <f t="shared" si="0"/>
        <v>4203829</v>
      </c>
      <c r="N40" s="21" t="s">
        <v>106</v>
      </c>
      <c r="O40" s="172"/>
    </row>
    <row r="41" spans="2:15" ht="18" customHeight="1">
      <c r="B41" s="129">
        <v>37</v>
      </c>
      <c r="C41" s="131" t="s">
        <v>78</v>
      </c>
      <c r="D41" s="131" t="s">
        <v>62</v>
      </c>
      <c r="E41" s="131" t="s">
        <v>176</v>
      </c>
      <c r="F41" s="131" t="s">
        <v>29</v>
      </c>
      <c r="G41" s="133">
        <v>44040</v>
      </c>
      <c r="H41" s="130" t="s">
        <v>164</v>
      </c>
      <c r="I41" s="134">
        <v>2530860</v>
      </c>
      <c r="J41" s="150">
        <v>0.55000000000000004</v>
      </c>
      <c r="K41" s="136">
        <v>1391974</v>
      </c>
      <c r="L41" s="144">
        <f>K41*10%</f>
        <v>139197.4</v>
      </c>
      <c r="M41" s="154">
        <f t="shared" si="0"/>
        <v>1252776.6000000001</v>
      </c>
      <c r="N41" s="21"/>
      <c r="O41" s="172"/>
    </row>
    <row r="42" spans="2:15" ht="18" customHeight="1">
      <c r="B42" s="129">
        <v>38</v>
      </c>
      <c r="C42" s="131" t="s">
        <v>78</v>
      </c>
      <c r="D42" s="131" t="s">
        <v>62</v>
      </c>
      <c r="E42" s="131" t="s">
        <v>176</v>
      </c>
      <c r="F42" s="131" t="s">
        <v>28</v>
      </c>
      <c r="G42" s="133">
        <v>43994</v>
      </c>
      <c r="H42" s="130" t="s">
        <v>164</v>
      </c>
      <c r="I42" s="134">
        <v>19193523</v>
      </c>
      <c r="J42" s="150">
        <v>0.55000000000000004</v>
      </c>
      <c r="K42" s="136">
        <v>10556438</v>
      </c>
      <c r="L42" s="136">
        <v>786773</v>
      </c>
      <c r="M42" s="154">
        <f t="shared" si="0"/>
        <v>9769665</v>
      </c>
      <c r="N42" s="21" t="s">
        <v>106</v>
      </c>
      <c r="O42" s="172"/>
    </row>
    <row r="43" spans="2:15" ht="18" customHeight="1">
      <c r="B43" s="129">
        <v>39</v>
      </c>
      <c r="C43" s="131" t="s">
        <v>78</v>
      </c>
      <c r="D43" s="131" t="s">
        <v>62</v>
      </c>
      <c r="E43" s="131" t="s">
        <v>176</v>
      </c>
      <c r="F43" s="131" t="s">
        <v>54</v>
      </c>
      <c r="G43" s="133">
        <v>44098</v>
      </c>
      <c r="H43" s="130" t="s">
        <v>164</v>
      </c>
      <c r="I43" s="134">
        <v>1000460</v>
      </c>
      <c r="J43" s="150">
        <v>0.55000000000000004</v>
      </c>
      <c r="K43" s="136">
        <v>550253</v>
      </c>
      <c r="L43" s="153">
        <f t="shared" ref="L43:L50" si="2">K43*10%</f>
        <v>55025.3</v>
      </c>
      <c r="M43" s="154">
        <f t="shared" si="0"/>
        <v>495227.7</v>
      </c>
      <c r="N43" s="21"/>
      <c r="O43" s="172"/>
    </row>
    <row r="44" spans="2:15" ht="18" customHeight="1">
      <c r="B44" s="129">
        <v>40</v>
      </c>
      <c r="C44" s="131" t="s">
        <v>78</v>
      </c>
      <c r="D44" s="131" t="s">
        <v>62</v>
      </c>
      <c r="E44" s="131" t="s">
        <v>176</v>
      </c>
      <c r="F44" s="131" t="s">
        <v>55</v>
      </c>
      <c r="G44" s="133">
        <v>44320</v>
      </c>
      <c r="H44" s="130" t="s">
        <v>164</v>
      </c>
      <c r="I44" s="134">
        <v>598726</v>
      </c>
      <c r="J44" s="150">
        <v>0.55000000000000004</v>
      </c>
      <c r="K44" s="136">
        <v>329299</v>
      </c>
      <c r="L44" s="153">
        <f t="shared" si="2"/>
        <v>32929.9</v>
      </c>
      <c r="M44" s="154">
        <f t="shared" si="0"/>
        <v>296369.09999999998</v>
      </c>
      <c r="N44" s="21"/>
      <c r="O44" s="172"/>
    </row>
    <row r="45" spans="2:15" ht="18" customHeight="1">
      <c r="B45" s="129">
        <v>41</v>
      </c>
      <c r="C45" s="131" t="s">
        <v>78</v>
      </c>
      <c r="D45" s="131" t="s">
        <v>62</v>
      </c>
      <c r="E45" s="131" t="s">
        <v>176</v>
      </c>
      <c r="F45" s="131" t="s">
        <v>42</v>
      </c>
      <c r="G45" s="133">
        <v>44074</v>
      </c>
      <c r="H45" s="130" t="s">
        <v>164</v>
      </c>
      <c r="I45" s="134">
        <v>92711085.018399999</v>
      </c>
      <c r="J45" s="150">
        <v>0.55000000000000004</v>
      </c>
      <c r="K45" s="136">
        <v>50991096</v>
      </c>
      <c r="L45" s="136">
        <f t="shared" si="2"/>
        <v>5099109.6000000006</v>
      </c>
      <c r="M45" s="154">
        <f t="shared" si="0"/>
        <v>45891986.399999999</v>
      </c>
      <c r="N45" s="72" t="s">
        <v>144</v>
      </c>
      <c r="O45" s="172"/>
    </row>
    <row r="46" spans="2:15" ht="18" customHeight="1">
      <c r="B46" s="129">
        <v>42</v>
      </c>
      <c r="C46" s="131" t="s">
        <v>78</v>
      </c>
      <c r="D46" s="131" t="s">
        <v>62</v>
      </c>
      <c r="E46" s="131" t="s">
        <v>176</v>
      </c>
      <c r="F46" s="131" t="s">
        <v>191</v>
      </c>
      <c r="G46" s="133">
        <v>44372</v>
      </c>
      <c r="H46" s="130" t="s">
        <v>164</v>
      </c>
      <c r="I46" s="134">
        <v>12344552.919399999</v>
      </c>
      <c r="J46" s="150">
        <v>0.6</v>
      </c>
      <c r="K46" s="136">
        <v>7406733</v>
      </c>
      <c r="L46" s="136">
        <f t="shared" si="2"/>
        <v>740673.3</v>
      </c>
      <c r="M46" s="154">
        <f t="shared" si="0"/>
        <v>6666059.7000000002</v>
      </c>
      <c r="N46" s="21"/>
      <c r="O46" s="172"/>
    </row>
    <row r="47" spans="2:15" ht="18" customHeight="1">
      <c r="B47" s="129">
        <v>43</v>
      </c>
      <c r="C47" s="131" t="s">
        <v>78</v>
      </c>
      <c r="D47" s="131" t="s">
        <v>62</v>
      </c>
      <c r="E47" s="131" t="s">
        <v>176</v>
      </c>
      <c r="F47" s="131" t="s">
        <v>57</v>
      </c>
      <c r="G47" s="133">
        <v>44331</v>
      </c>
      <c r="H47" s="130" t="s">
        <v>164</v>
      </c>
      <c r="I47" s="134">
        <v>3945212</v>
      </c>
      <c r="J47" s="150">
        <v>0.55000000000000004</v>
      </c>
      <c r="K47" s="136">
        <v>2169867</v>
      </c>
      <c r="L47" s="153">
        <f t="shared" si="2"/>
        <v>216986.7</v>
      </c>
      <c r="M47" s="154">
        <f t="shared" si="0"/>
        <v>1952880.3</v>
      </c>
      <c r="N47" s="21"/>
      <c r="O47" s="172"/>
    </row>
    <row r="48" spans="2:15" ht="18" customHeight="1">
      <c r="B48" s="76">
        <v>44</v>
      </c>
      <c r="C48" s="78" t="s">
        <v>78</v>
      </c>
      <c r="D48" s="78" t="s">
        <v>62</v>
      </c>
      <c r="E48" s="78" t="s">
        <v>176</v>
      </c>
      <c r="F48" s="78" t="s">
        <v>59</v>
      </c>
      <c r="G48" s="88">
        <v>44392</v>
      </c>
      <c r="H48" s="82" t="s">
        <v>164</v>
      </c>
      <c r="I48" s="89">
        <v>35169115.959700003</v>
      </c>
      <c r="J48" s="90">
        <v>0.55000000000000004</v>
      </c>
      <c r="K48" s="91">
        <v>19343015</v>
      </c>
      <c r="L48" s="86">
        <f t="shared" si="2"/>
        <v>1934301.5</v>
      </c>
      <c r="M48" s="87">
        <f t="shared" si="0"/>
        <v>17408713.5</v>
      </c>
      <c r="N48" s="72"/>
      <c r="O48" s="172" t="s">
        <v>158</v>
      </c>
    </row>
    <row r="49" spans="2:15" ht="18" customHeight="1">
      <c r="B49" s="129">
        <v>45</v>
      </c>
      <c r="C49" s="131" t="s">
        <v>78</v>
      </c>
      <c r="D49" s="131" t="s">
        <v>62</v>
      </c>
      <c r="E49" s="131" t="s">
        <v>176</v>
      </c>
      <c r="F49" s="131" t="s">
        <v>173</v>
      </c>
      <c r="G49" s="133">
        <v>44457</v>
      </c>
      <c r="H49" s="130" t="s">
        <v>164</v>
      </c>
      <c r="I49" s="134">
        <v>59679649.956200004</v>
      </c>
      <c r="J49" s="150">
        <v>0.6</v>
      </c>
      <c r="K49" s="136">
        <v>35807790</v>
      </c>
      <c r="L49" s="136">
        <f t="shared" si="2"/>
        <v>3580779</v>
      </c>
      <c r="M49" s="137">
        <f t="shared" si="0"/>
        <v>32227011</v>
      </c>
      <c r="N49" s="21"/>
      <c r="O49" s="172" t="s">
        <v>192</v>
      </c>
    </row>
    <row r="50" spans="2:15" ht="18" customHeight="1">
      <c r="B50" s="76">
        <v>46</v>
      </c>
      <c r="C50" s="78" t="s">
        <v>78</v>
      </c>
      <c r="D50" s="78" t="s">
        <v>62</v>
      </c>
      <c r="E50" s="78" t="s">
        <v>176</v>
      </c>
      <c r="F50" s="78" t="s">
        <v>174</v>
      </c>
      <c r="G50" s="88">
        <v>44469</v>
      </c>
      <c r="H50" s="82" t="s">
        <v>164</v>
      </c>
      <c r="I50" s="89">
        <v>150700</v>
      </c>
      <c r="J50" s="90">
        <v>0.55000000000000004</v>
      </c>
      <c r="K50" s="91">
        <v>82885</v>
      </c>
      <c r="L50" s="91">
        <f t="shared" si="2"/>
        <v>8288.5</v>
      </c>
      <c r="M50" s="87">
        <f t="shared" si="0"/>
        <v>74596.5</v>
      </c>
      <c r="N50" s="21"/>
      <c r="O50" s="172" t="s">
        <v>158</v>
      </c>
    </row>
    <row r="51" spans="2:15" ht="18" customHeight="1">
      <c r="B51" s="76">
        <v>47</v>
      </c>
      <c r="C51" s="78" t="s">
        <v>78</v>
      </c>
      <c r="D51" s="78" t="s">
        <v>33</v>
      </c>
      <c r="E51" s="78" t="s">
        <v>176</v>
      </c>
      <c r="F51" s="78" t="s">
        <v>58</v>
      </c>
      <c r="G51" s="88">
        <v>44328</v>
      </c>
      <c r="H51" s="82" t="s">
        <v>164</v>
      </c>
      <c r="I51" s="89">
        <v>658840</v>
      </c>
      <c r="J51" s="99" t="s">
        <v>171</v>
      </c>
      <c r="K51" s="91">
        <v>457444</v>
      </c>
      <c r="L51" s="91">
        <v>0</v>
      </c>
      <c r="M51" s="87">
        <f t="shared" ref="M51:M117" si="3">K51-L51</f>
        <v>457444</v>
      </c>
      <c r="N51" s="21"/>
      <c r="O51" s="172" t="s">
        <v>158</v>
      </c>
    </row>
    <row r="52" spans="2:15" ht="18" customHeight="1">
      <c r="B52" s="129">
        <v>48</v>
      </c>
      <c r="C52" s="131" t="s">
        <v>32</v>
      </c>
      <c r="D52" s="131" t="s">
        <v>33</v>
      </c>
      <c r="E52" s="131" t="s">
        <v>31</v>
      </c>
      <c r="F52" s="131" t="s">
        <v>28</v>
      </c>
      <c r="G52" s="133">
        <v>44096</v>
      </c>
      <c r="H52" s="130" t="s">
        <v>163</v>
      </c>
      <c r="I52" s="134">
        <v>522559</v>
      </c>
      <c r="J52" s="135">
        <v>0.4</v>
      </c>
      <c r="K52" s="136">
        <v>198570</v>
      </c>
      <c r="L52" s="136">
        <f>K52*12%</f>
        <v>23828.399999999998</v>
      </c>
      <c r="M52" s="154">
        <f t="shared" si="3"/>
        <v>174741.6</v>
      </c>
      <c r="N52" s="21"/>
      <c r="O52" s="172"/>
    </row>
    <row r="53" spans="2:15" ht="18" customHeight="1">
      <c r="B53" s="129">
        <v>49</v>
      </c>
      <c r="C53" s="131" t="s">
        <v>32</v>
      </c>
      <c r="D53" s="131" t="s">
        <v>33</v>
      </c>
      <c r="E53" s="131" t="s">
        <v>31</v>
      </c>
      <c r="F53" s="131" t="s">
        <v>30</v>
      </c>
      <c r="G53" s="133">
        <v>44239</v>
      </c>
      <c r="H53" s="130" t="s">
        <v>163</v>
      </c>
      <c r="I53" s="134">
        <v>2001067</v>
      </c>
      <c r="J53" s="150">
        <v>0.4</v>
      </c>
      <c r="K53" s="136">
        <v>760410</v>
      </c>
      <c r="L53" s="153">
        <f t="shared" ref="L53:L58" si="4">K53*10%</f>
        <v>76041</v>
      </c>
      <c r="M53" s="154">
        <f t="shared" si="3"/>
        <v>684369</v>
      </c>
      <c r="N53" s="72"/>
      <c r="O53" s="172"/>
    </row>
    <row r="54" spans="2:15" ht="18" customHeight="1">
      <c r="B54" s="129">
        <v>50</v>
      </c>
      <c r="C54" s="131" t="s">
        <v>32</v>
      </c>
      <c r="D54" s="131" t="s">
        <v>33</v>
      </c>
      <c r="E54" s="131" t="s">
        <v>31</v>
      </c>
      <c r="F54" s="131" t="s">
        <v>29</v>
      </c>
      <c r="G54" s="133">
        <v>44137</v>
      </c>
      <c r="H54" s="130" t="s">
        <v>163</v>
      </c>
      <c r="I54" s="134">
        <v>1099857</v>
      </c>
      <c r="J54" s="150">
        <v>0.4</v>
      </c>
      <c r="K54" s="136">
        <v>417947</v>
      </c>
      <c r="L54" s="144">
        <f t="shared" si="4"/>
        <v>41794.700000000004</v>
      </c>
      <c r="M54" s="154">
        <f t="shared" si="3"/>
        <v>376152.3</v>
      </c>
      <c r="N54" s="21"/>
      <c r="O54" s="172"/>
    </row>
    <row r="55" spans="2:15" ht="18" customHeight="1">
      <c r="B55" s="129">
        <v>51</v>
      </c>
      <c r="C55" s="131" t="s">
        <v>32</v>
      </c>
      <c r="D55" s="131" t="s">
        <v>62</v>
      </c>
      <c r="E55" s="131" t="s">
        <v>178</v>
      </c>
      <c r="F55" s="131" t="s">
        <v>42</v>
      </c>
      <c r="G55" s="133">
        <v>44354</v>
      </c>
      <c r="H55" s="130" t="s">
        <v>163</v>
      </c>
      <c r="I55" s="134">
        <v>66809541</v>
      </c>
      <c r="J55" s="135">
        <v>0.28000000000000003</v>
      </c>
      <c r="K55" s="136">
        <v>18706672</v>
      </c>
      <c r="L55" s="136">
        <f t="shared" si="4"/>
        <v>1870667.2000000002</v>
      </c>
      <c r="M55" s="154">
        <f t="shared" si="3"/>
        <v>16836004.800000001</v>
      </c>
      <c r="N55" s="72" t="s">
        <v>85</v>
      </c>
      <c r="O55" s="172"/>
    </row>
    <row r="56" spans="2:15" ht="18" customHeight="1">
      <c r="B56" s="129">
        <v>52</v>
      </c>
      <c r="C56" s="163" t="s">
        <v>177</v>
      </c>
      <c r="D56" s="131" t="s">
        <v>62</v>
      </c>
      <c r="E56" s="131" t="s">
        <v>71</v>
      </c>
      <c r="F56" s="131" t="s">
        <v>42</v>
      </c>
      <c r="G56" s="133">
        <v>44419</v>
      </c>
      <c r="H56" s="130" t="s">
        <v>163</v>
      </c>
      <c r="I56" s="134">
        <v>20137740</v>
      </c>
      <c r="J56" s="150">
        <v>0.28000000000000003</v>
      </c>
      <c r="K56" s="136">
        <v>5638568</v>
      </c>
      <c r="L56" s="136">
        <f t="shared" si="4"/>
        <v>563856.80000000005</v>
      </c>
      <c r="M56" s="154">
        <f t="shared" si="3"/>
        <v>5074711.2</v>
      </c>
      <c r="N56" s="72" t="s">
        <v>85</v>
      </c>
      <c r="O56" s="172"/>
    </row>
    <row r="57" spans="2:15" ht="18" customHeight="1">
      <c r="B57" s="129">
        <v>53</v>
      </c>
      <c r="C57" s="131" t="s">
        <v>32</v>
      </c>
      <c r="D57" s="131" t="s">
        <v>62</v>
      </c>
      <c r="E57" s="131" t="s">
        <v>178</v>
      </c>
      <c r="F57" s="131" t="s">
        <v>42</v>
      </c>
      <c r="G57" s="133">
        <v>44354</v>
      </c>
      <c r="H57" s="130" t="s">
        <v>164</v>
      </c>
      <c r="I57" s="134">
        <v>37865712</v>
      </c>
      <c r="J57" s="150">
        <v>0.28000000000000003</v>
      </c>
      <c r="K57" s="136">
        <v>10602400</v>
      </c>
      <c r="L57" s="136">
        <f t="shared" si="4"/>
        <v>1060240</v>
      </c>
      <c r="M57" s="154">
        <f t="shared" si="3"/>
        <v>9542160</v>
      </c>
      <c r="N57" s="72" t="s">
        <v>85</v>
      </c>
      <c r="O57" s="172"/>
    </row>
    <row r="58" spans="2:15" ht="18" customHeight="1">
      <c r="B58" s="129">
        <v>54</v>
      </c>
      <c r="C58" s="163" t="s">
        <v>177</v>
      </c>
      <c r="D58" s="131" t="s">
        <v>62</v>
      </c>
      <c r="E58" s="131" t="s">
        <v>71</v>
      </c>
      <c r="F58" s="131" t="s">
        <v>42</v>
      </c>
      <c r="G58" s="133">
        <v>44419</v>
      </c>
      <c r="H58" s="130" t="s">
        <v>164</v>
      </c>
      <c r="I58" s="134">
        <v>11734026</v>
      </c>
      <c r="J58" s="150">
        <v>0.28000000000000003</v>
      </c>
      <c r="K58" s="136">
        <v>3285527</v>
      </c>
      <c r="L58" s="136">
        <f t="shared" si="4"/>
        <v>328552.7</v>
      </c>
      <c r="M58" s="154">
        <f t="shared" si="3"/>
        <v>2956974.3</v>
      </c>
      <c r="N58" s="72" t="s">
        <v>85</v>
      </c>
      <c r="O58" s="172"/>
    </row>
    <row r="59" spans="2:15" ht="18" customHeight="1">
      <c r="B59" s="129">
        <v>55</v>
      </c>
      <c r="C59" s="131" t="s">
        <v>32</v>
      </c>
      <c r="D59" s="131" t="s">
        <v>62</v>
      </c>
      <c r="E59" s="131" t="s">
        <v>35</v>
      </c>
      <c r="F59" s="131" t="s">
        <v>36</v>
      </c>
      <c r="G59" s="133">
        <v>44106</v>
      </c>
      <c r="H59" s="130" t="s">
        <v>163</v>
      </c>
      <c r="I59" s="134">
        <v>2647006</v>
      </c>
      <c r="J59" s="150">
        <v>0.4</v>
      </c>
      <c r="K59" s="136">
        <v>1005862</v>
      </c>
      <c r="L59" s="153">
        <v>0</v>
      </c>
      <c r="M59" s="154">
        <f t="shared" si="3"/>
        <v>1005862</v>
      </c>
      <c r="N59" s="21"/>
      <c r="O59" s="172"/>
    </row>
    <row r="60" spans="2:15" ht="18" customHeight="1">
      <c r="B60" s="129">
        <v>56</v>
      </c>
      <c r="C60" s="131" t="s">
        <v>32</v>
      </c>
      <c r="D60" s="131" t="s">
        <v>62</v>
      </c>
      <c r="E60" s="131" t="s">
        <v>35</v>
      </c>
      <c r="F60" s="131" t="s">
        <v>37</v>
      </c>
      <c r="G60" s="133">
        <v>44113</v>
      </c>
      <c r="H60" s="130" t="s">
        <v>163</v>
      </c>
      <c r="I60" s="134">
        <v>127594</v>
      </c>
      <c r="J60" s="150">
        <v>0.4</v>
      </c>
      <c r="K60" s="148">
        <v>48486</v>
      </c>
      <c r="L60" s="153">
        <v>0</v>
      </c>
      <c r="M60" s="154">
        <f t="shared" si="3"/>
        <v>48486</v>
      </c>
      <c r="N60" s="25"/>
      <c r="O60" s="172"/>
    </row>
    <row r="61" spans="2:15" ht="18" customHeight="1">
      <c r="B61" s="76">
        <v>57</v>
      </c>
      <c r="C61" s="78" t="s">
        <v>32</v>
      </c>
      <c r="D61" s="78" t="s">
        <v>33</v>
      </c>
      <c r="E61" s="78" t="s">
        <v>35</v>
      </c>
      <c r="F61" s="80" t="s">
        <v>38</v>
      </c>
      <c r="G61" s="81">
        <v>44386</v>
      </c>
      <c r="H61" s="82" t="s">
        <v>163</v>
      </c>
      <c r="I61" s="83">
        <v>1595506</v>
      </c>
      <c r="J61" s="90">
        <v>0.4</v>
      </c>
      <c r="K61" s="85">
        <v>606292</v>
      </c>
      <c r="L61" s="86">
        <f>K61*10%</f>
        <v>60629.200000000004</v>
      </c>
      <c r="M61" s="87">
        <f t="shared" si="3"/>
        <v>545662.80000000005</v>
      </c>
      <c r="N61" s="25"/>
      <c r="O61" s="172" t="s">
        <v>158</v>
      </c>
    </row>
    <row r="62" spans="2:15" ht="18" customHeight="1">
      <c r="B62" s="129">
        <v>58</v>
      </c>
      <c r="C62" s="131" t="s">
        <v>128</v>
      </c>
      <c r="D62" s="131" t="s">
        <v>68</v>
      </c>
      <c r="E62" s="131" t="s">
        <v>127</v>
      </c>
      <c r="F62" s="139" t="s">
        <v>42</v>
      </c>
      <c r="G62" s="140">
        <v>44293</v>
      </c>
      <c r="H62" s="130" t="s">
        <v>163</v>
      </c>
      <c r="I62" s="141">
        <v>99249</v>
      </c>
      <c r="J62" s="182">
        <v>0.5</v>
      </c>
      <c r="K62" s="143">
        <v>49624.734193548386</v>
      </c>
      <c r="L62" s="136">
        <f>K62*10%</f>
        <v>4962.4734193548393</v>
      </c>
      <c r="M62" s="154">
        <f t="shared" si="3"/>
        <v>44662.26077419355</v>
      </c>
      <c r="N62" s="72" t="s">
        <v>85</v>
      </c>
      <c r="O62" s="172"/>
    </row>
    <row r="63" spans="2:15" ht="18" customHeight="1">
      <c r="B63" s="129">
        <v>59</v>
      </c>
      <c r="C63" s="131" t="s">
        <v>128</v>
      </c>
      <c r="D63" s="131" t="s">
        <v>68</v>
      </c>
      <c r="E63" s="131" t="s">
        <v>127</v>
      </c>
      <c r="F63" s="139" t="s">
        <v>74</v>
      </c>
      <c r="G63" s="140">
        <v>44341</v>
      </c>
      <c r="H63" s="130" t="s">
        <v>163</v>
      </c>
      <c r="I63" s="165">
        <v>54542</v>
      </c>
      <c r="J63" s="142">
        <v>0.5</v>
      </c>
      <c r="K63" s="143">
        <v>27271.250322580647</v>
      </c>
      <c r="L63" s="153">
        <f>K63*10%</f>
        <v>2727.1250322580649</v>
      </c>
      <c r="M63" s="154">
        <f t="shared" si="3"/>
        <v>24544.125290322583</v>
      </c>
      <c r="N63" s="72"/>
      <c r="O63" s="172"/>
    </row>
    <row r="64" spans="2:15" ht="18" customHeight="1">
      <c r="B64" s="129">
        <v>60</v>
      </c>
      <c r="C64" s="131" t="s">
        <v>128</v>
      </c>
      <c r="D64" s="131" t="s">
        <v>68</v>
      </c>
      <c r="E64" s="131" t="s">
        <v>127</v>
      </c>
      <c r="F64" s="131" t="s">
        <v>28</v>
      </c>
      <c r="G64" s="140">
        <v>44291</v>
      </c>
      <c r="H64" s="130" t="s">
        <v>163</v>
      </c>
      <c r="I64" s="165">
        <v>94033</v>
      </c>
      <c r="J64" s="142">
        <v>0.5</v>
      </c>
      <c r="K64" s="143">
        <v>47016.827741935485</v>
      </c>
      <c r="L64" s="136">
        <f>K64*12%</f>
        <v>5642.0193290322577</v>
      </c>
      <c r="M64" s="154">
        <f t="shared" si="3"/>
        <v>41374.808412903229</v>
      </c>
      <c r="N64" s="25"/>
      <c r="O64" s="172"/>
    </row>
    <row r="65" spans="2:15" ht="18" customHeight="1">
      <c r="B65" s="129">
        <v>61</v>
      </c>
      <c r="C65" s="131" t="s">
        <v>128</v>
      </c>
      <c r="D65" s="131" t="s">
        <v>68</v>
      </c>
      <c r="E65" s="131" t="s">
        <v>127</v>
      </c>
      <c r="F65" s="139" t="s">
        <v>29</v>
      </c>
      <c r="G65" s="140">
        <v>44410</v>
      </c>
      <c r="H65" s="130" t="s">
        <v>163</v>
      </c>
      <c r="I65" s="165">
        <v>68029</v>
      </c>
      <c r="J65" s="142">
        <v>0.5</v>
      </c>
      <c r="K65" s="143">
        <v>34014.551290322583</v>
      </c>
      <c r="L65" s="144">
        <f>K65*10%</f>
        <v>3401.4551290322584</v>
      </c>
      <c r="M65" s="154">
        <f t="shared" si="3"/>
        <v>30613.096161290323</v>
      </c>
      <c r="N65" s="25"/>
      <c r="O65" s="172"/>
    </row>
    <row r="66" spans="2:15" ht="18" customHeight="1">
      <c r="B66" s="129">
        <v>62</v>
      </c>
      <c r="C66" s="138" t="s">
        <v>182</v>
      </c>
      <c r="D66" s="138" t="s">
        <v>62</v>
      </c>
      <c r="E66" s="138" t="s">
        <v>95</v>
      </c>
      <c r="F66" s="139" t="s">
        <v>42</v>
      </c>
      <c r="G66" s="140">
        <v>44545</v>
      </c>
      <c r="H66" s="130" t="s">
        <v>163</v>
      </c>
      <c r="I66" s="165">
        <v>357134</v>
      </c>
      <c r="J66" s="142">
        <v>0.5</v>
      </c>
      <c r="K66" s="143">
        <v>178567</v>
      </c>
      <c r="L66" s="136">
        <f>K66*10%</f>
        <v>17856.7</v>
      </c>
      <c r="M66" s="154">
        <f t="shared" si="3"/>
        <v>160710.29999999999</v>
      </c>
      <c r="N66" s="72" t="s">
        <v>85</v>
      </c>
      <c r="O66" s="172"/>
    </row>
    <row r="67" spans="2:15" ht="18" customHeight="1">
      <c r="B67" s="129">
        <v>63</v>
      </c>
      <c r="C67" s="138" t="s">
        <v>182</v>
      </c>
      <c r="D67" s="138" t="s">
        <v>62</v>
      </c>
      <c r="E67" s="138" t="s">
        <v>95</v>
      </c>
      <c r="F67" s="139" t="s">
        <v>152</v>
      </c>
      <c r="G67" s="140">
        <v>44180</v>
      </c>
      <c r="H67" s="130" t="s">
        <v>163</v>
      </c>
      <c r="I67" s="141">
        <v>282993</v>
      </c>
      <c r="J67" s="142">
        <v>0.5</v>
      </c>
      <c r="K67" s="143">
        <v>141496.5</v>
      </c>
      <c r="L67" s="136">
        <f>K67*12%</f>
        <v>16979.579999999998</v>
      </c>
      <c r="M67" s="154">
        <f t="shared" si="3"/>
        <v>124516.92</v>
      </c>
      <c r="N67" s="25"/>
      <c r="O67" s="172"/>
    </row>
    <row r="68" spans="2:15" ht="18" customHeight="1">
      <c r="B68" s="129">
        <v>64</v>
      </c>
      <c r="C68" s="138" t="s">
        <v>182</v>
      </c>
      <c r="D68" s="138" t="s">
        <v>62</v>
      </c>
      <c r="E68" s="138" t="s">
        <v>95</v>
      </c>
      <c r="F68" s="139" t="s">
        <v>29</v>
      </c>
      <c r="G68" s="140">
        <v>44545</v>
      </c>
      <c r="H68" s="130" t="s">
        <v>163</v>
      </c>
      <c r="I68" s="141">
        <v>150159</v>
      </c>
      <c r="J68" s="142">
        <v>0.5</v>
      </c>
      <c r="K68" s="143">
        <v>75079.5</v>
      </c>
      <c r="L68" s="144">
        <f>K68*10%</f>
        <v>7507.9500000000007</v>
      </c>
      <c r="M68" s="154">
        <f t="shared" si="3"/>
        <v>67571.55</v>
      </c>
      <c r="N68" s="25"/>
      <c r="O68" s="172"/>
    </row>
    <row r="69" spans="2:15" ht="18" customHeight="1">
      <c r="B69" s="129">
        <v>65</v>
      </c>
      <c r="C69" s="138" t="s">
        <v>182</v>
      </c>
      <c r="D69" s="138" t="s">
        <v>62</v>
      </c>
      <c r="E69" s="138" t="s">
        <v>95</v>
      </c>
      <c r="F69" s="139" t="s">
        <v>54</v>
      </c>
      <c r="G69" s="140">
        <v>44180</v>
      </c>
      <c r="H69" s="130" t="s">
        <v>163</v>
      </c>
      <c r="I69" s="151">
        <v>69816</v>
      </c>
      <c r="J69" s="147">
        <v>0.5</v>
      </c>
      <c r="K69" s="143">
        <v>34908</v>
      </c>
      <c r="L69" s="153">
        <f>K69*10%</f>
        <v>3490.8</v>
      </c>
      <c r="M69" s="154">
        <f t="shared" si="3"/>
        <v>31417.200000000001</v>
      </c>
      <c r="N69" s="25"/>
      <c r="O69" s="172"/>
    </row>
    <row r="70" spans="2:15" ht="18" customHeight="1">
      <c r="B70" s="129">
        <v>66</v>
      </c>
      <c r="C70" s="138" t="s">
        <v>182</v>
      </c>
      <c r="D70" s="138" t="s">
        <v>62</v>
      </c>
      <c r="E70" s="138" t="s">
        <v>95</v>
      </c>
      <c r="F70" s="138" t="s">
        <v>36</v>
      </c>
      <c r="G70" s="140">
        <v>44545</v>
      </c>
      <c r="H70" s="130" t="s">
        <v>163</v>
      </c>
      <c r="I70" s="151">
        <v>1550727</v>
      </c>
      <c r="J70" s="147">
        <v>0.5</v>
      </c>
      <c r="K70" s="143">
        <v>775363.5</v>
      </c>
      <c r="L70" s="153">
        <v>0</v>
      </c>
      <c r="M70" s="154">
        <f t="shared" si="3"/>
        <v>775363.5</v>
      </c>
      <c r="N70" s="25"/>
      <c r="O70" s="172"/>
    </row>
    <row r="71" spans="2:15" ht="18" customHeight="1">
      <c r="B71" s="129">
        <v>67</v>
      </c>
      <c r="C71" s="138" t="s">
        <v>182</v>
      </c>
      <c r="D71" s="138" t="s">
        <v>62</v>
      </c>
      <c r="E71" s="138" t="s">
        <v>95</v>
      </c>
      <c r="F71" s="138" t="s">
        <v>139</v>
      </c>
      <c r="G71" s="140">
        <v>44545</v>
      </c>
      <c r="H71" s="130" t="s">
        <v>163</v>
      </c>
      <c r="I71" s="146">
        <v>115297</v>
      </c>
      <c r="J71" s="147">
        <v>0.5</v>
      </c>
      <c r="K71" s="143">
        <v>57648.5</v>
      </c>
      <c r="L71" s="136">
        <v>0</v>
      </c>
      <c r="M71" s="154">
        <f t="shared" si="3"/>
        <v>57648.5</v>
      </c>
      <c r="N71" s="25"/>
      <c r="O71" s="172"/>
    </row>
    <row r="72" spans="2:15" ht="18" customHeight="1">
      <c r="B72" s="76">
        <v>68</v>
      </c>
      <c r="C72" s="79" t="s">
        <v>182</v>
      </c>
      <c r="D72" s="79" t="s">
        <v>33</v>
      </c>
      <c r="E72" s="79" t="s">
        <v>95</v>
      </c>
      <c r="F72" s="79" t="s">
        <v>147</v>
      </c>
      <c r="G72" s="81">
        <v>44180</v>
      </c>
      <c r="H72" s="82" t="s">
        <v>163</v>
      </c>
      <c r="I72" s="94">
        <v>56125</v>
      </c>
      <c r="J72" s="95">
        <v>0.5</v>
      </c>
      <c r="K72" s="85">
        <v>28062.5</v>
      </c>
      <c r="L72" s="102">
        <v>0</v>
      </c>
      <c r="M72" s="87">
        <f t="shared" si="3"/>
        <v>28062.5</v>
      </c>
      <c r="N72" s="25"/>
      <c r="O72" s="172" t="s">
        <v>158</v>
      </c>
    </row>
    <row r="73" spans="2:15" ht="18" customHeight="1">
      <c r="B73" s="129">
        <v>69</v>
      </c>
      <c r="C73" s="138" t="s">
        <v>182</v>
      </c>
      <c r="D73" s="138" t="s">
        <v>62</v>
      </c>
      <c r="E73" s="138" t="s">
        <v>95</v>
      </c>
      <c r="F73" s="138" t="s">
        <v>30</v>
      </c>
      <c r="G73" s="140">
        <v>44545</v>
      </c>
      <c r="H73" s="130" t="s">
        <v>163</v>
      </c>
      <c r="I73" s="151">
        <v>446444</v>
      </c>
      <c r="J73" s="147">
        <v>0.5</v>
      </c>
      <c r="K73" s="143">
        <v>223222</v>
      </c>
      <c r="L73" s="144">
        <f t="shared" ref="L73:L78" si="5">K73*10%</f>
        <v>22322.2</v>
      </c>
      <c r="M73" s="154">
        <f t="shared" si="3"/>
        <v>200899.8</v>
      </c>
      <c r="N73" s="21"/>
      <c r="O73" s="172"/>
    </row>
    <row r="74" spans="2:15" ht="18" customHeight="1">
      <c r="B74" s="129">
        <v>70</v>
      </c>
      <c r="C74" s="138" t="s">
        <v>182</v>
      </c>
      <c r="D74" s="138" t="s">
        <v>62</v>
      </c>
      <c r="E74" s="138" t="s">
        <v>95</v>
      </c>
      <c r="F74" s="138" t="s">
        <v>57</v>
      </c>
      <c r="G74" s="140">
        <v>44357</v>
      </c>
      <c r="H74" s="130" t="s">
        <v>163</v>
      </c>
      <c r="I74" s="151">
        <v>111558</v>
      </c>
      <c r="J74" s="147">
        <v>0.5</v>
      </c>
      <c r="K74" s="143">
        <v>55779</v>
      </c>
      <c r="L74" s="153">
        <f t="shared" si="5"/>
        <v>5577.9000000000005</v>
      </c>
      <c r="M74" s="154">
        <f t="shared" si="3"/>
        <v>50201.1</v>
      </c>
      <c r="N74" s="21"/>
      <c r="O74" s="172"/>
    </row>
    <row r="75" spans="2:15" ht="18" customHeight="1">
      <c r="B75" s="76">
        <v>71</v>
      </c>
      <c r="C75" s="79" t="s">
        <v>182</v>
      </c>
      <c r="D75" s="79" t="s">
        <v>33</v>
      </c>
      <c r="E75" s="79" t="s">
        <v>95</v>
      </c>
      <c r="F75" s="78" t="s">
        <v>40</v>
      </c>
      <c r="G75" s="81">
        <v>44365</v>
      </c>
      <c r="H75" s="82" t="s">
        <v>163</v>
      </c>
      <c r="I75" s="117">
        <v>638251</v>
      </c>
      <c r="J75" s="95">
        <v>0.5</v>
      </c>
      <c r="K75" s="85">
        <v>319125.5</v>
      </c>
      <c r="L75" s="100">
        <f t="shared" si="5"/>
        <v>31912.550000000003</v>
      </c>
      <c r="M75" s="87">
        <f t="shared" si="3"/>
        <v>287212.95</v>
      </c>
      <c r="N75" s="21"/>
      <c r="O75" s="172" t="s">
        <v>158</v>
      </c>
    </row>
    <row r="76" spans="2:15" ht="18" customHeight="1">
      <c r="B76" s="129">
        <v>72</v>
      </c>
      <c r="C76" s="138" t="s">
        <v>182</v>
      </c>
      <c r="D76" s="138" t="s">
        <v>62</v>
      </c>
      <c r="E76" s="138" t="s">
        <v>95</v>
      </c>
      <c r="F76" s="138" t="s">
        <v>55</v>
      </c>
      <c r="G76" s="140">
        <v>44371</v>
      </c>
      <c r="H76" s="130" t="s">
        <v>163</v>
      </c>
      <c r="I76" s="151">
        <v>17724</v>
      </c>
      <c r="J76" s="147">
        <v>0.5</v>
      </c>
      <c r="K76" s="143">
        <v>8862</v>
      </c>
      <c r="L76" s="153">
        <f t="shared" si="5"/>
        <v>886.2</v>
      </c>
      <c r="M76" s="154">
        <f t="shared" si="3"/>
        <v>7975.8</v>
      </c>
      <c r="N76" s="21"/>
      <c r="O76" s="172"/>
    </row>
    <row r="77" spans="2:15" ht="18" customHeight="1">
      <c r="B77" s="129">
        <v>73</v>
      </c>
      <c r="C77" s="138" t="s">
        <v>182</v>
      </c>
      <c r="D77" s="138" t="s">
        <v>62</v>
      </c>
      <c r="E77" s="138" t="s">
        <v>95</v>
      </c>
      <c r="F77" s="138" t="s">
        <v>191</v>
      </c>
      <c r="G77" s="140">
        <v>44372</v>
      </c>
      <c r="H77" s="130" t="s">
        <v>163</v>
      </c>
      <c r="I77" s="151">
        <v>3617889</v>
      </c>
      <c r="J77" s="147">
        <v>0.5</v>
      </c>
      <c r="K77" s="143">
        <v>1808944.5</v>
      </c>
      <c r="L77" s="136">
        <f t="shared" si="5"/>
        <v>180894.45</v>
      </c>
      <c r="M77" s="154">
        <f t="shared" si="3"/>
        <v>1628050.05</v>
      </c>
      <c r="N77" s="21"/>
      <c r="O77" s="172"/>
    </row>
    <row r="78" spans="2:15" ht="18" customHeight="1">
      <c r="B78" s="76">
        <v>74</v>
      </c>
      <c r="C78" s="79" t="s">
        <v>182</v>
      </c>
      <c r="D78" s="79" t="s">
        <v>62</v>
      </c>
      <c r="E78" s="79" t="s">
        <v>95</v>
      </c>
      <c r="F78" s="78" t="s">
        <v>59</v>
      </c>
      <c r="G78" s="81">
        <v>44392</v>
      </c>
      <c r="H78" s="82" t="s">
        <v>163</v>
      </c>
      <c r="I78" s="117">
        <v>7205560</v>
      </c>
      <c r="J78" s="95">
        <v>0.5</v>
      </c>
      <c r="K78" s="85">
        <v>3602780</v>
      </c>
      <c r="L78" s="86">
        <f t="shared" si="5"/>
        <v>360278</v>
      </c>
      <c r="M78" s="87">
        <f t="shared" si="3"/>
        <v>3242502</v>
      </c>
      <c r="N78" s="21"/>
      <c r="O78" s="172" t="s">
        <v>158</v>
      </c>
    </row>
    <row r="79" spans="2:15" ht="18" customHeight="1">
      <c r="B79" s="129">
        <v>76</v>
      </c>
      <c r="C79" s="138" t="s">
        <v>182</v>
      </c>
      <c r="D79" s="138" t="s">
        <v>97</v>
      </c>
      <c r="E79" s="138" t="s">
        <v>96</v>
      </c>
      <c r="F79" s="138" t="s">
        <v>54</v>
      </c>
      <c r="G79" s="145">
        <v>44271</v>
      </c>
      <c r="H79" s="130" t="s">
        <v>163</v>
      </c>
      <c r="I79" s="146">
        <v>1503120</v>
      </c>
      <c r="J79" s="147">
        <v>0.5</v>
      </c>
      <c r="K79" s="148">
        <v>751560</v>
      </c>
      <c r="L79" s="153">
        <f>K79*10%</f>
        <v>75156</v>
      </c>
      <c r="M79" s="154">
        <f t="shared" si="3"/>
        <v>676404</v>
      </c>
      <c r="N79" s="21"/>
      <c r="O79" s="172"/>
    </row>
    <row r="80" spans="2:15" ht="18" customHeight="1">
      <c r="B80" s="129">
        <v>77</v>
      </c>
      <c r="C80" s="138" t="s">
        <v>182</v>
      </c>
      <c r="D80" s="138" t="s">
        <v>97</v>
      </c>
      <c r="E80" s="138" t="s">
        <v>96</v>
      </c>
      <c r="F80" s="138" t="s">
        <v>29</v>
      </c>
      <c r="G80" s="145">
        <v>44273</v>
      </c>
      <c r="H80" s="130" t="s">
        <v>163</v>
      </c>
      <c r="I80" s="146">
        <v>1506060</v>
      </c>
      <c r="J80" s="147">
        <v>0.5</v>
      </c>
      <c r="K80" s="148">
        <v>753030</v>
      </c>
      <c r="L80" s="144">
        <f>K80*10%</f>
        <v>75303</v>
      </c>
      <c r="M80" s="154">
        <f t="shared" si="3"/>
        <v>677727</v>
      </c>
      <c r="N80" s="21"/>
      <c r="O80" s="172"/>
    </row>
    <row r="81" spans="2:15" ht="18" customHeight="1">
      <c r="B81" s="129">
        <v>78</v>
      </c>
      <c r="C81" s="138" t="s">
        <v>182</v>
      </c>
      <c r="D81" s="138" t="s">
        <v>97</v>
      </c>
      <c r="E81" s="138" t="s">
        <v>96</v>
      </c>
      <c r="F81" s="138" t="s">
        <v>28</v>
      </c>
      <c r="G81" s="145">
        <v>44280</v>
      </c>
      <c r="H81" s="130" t="s">
        <v>163</v>
      </c>
      <c r="I81" s="146">
        <v>2776860</v>
      </c>
      <c r="J81" s="147">
        <v>0.5</v>
      </c>
      <c r="K81" s="148">
        <v>1388430</v>
      </c>
      <c r="L81" s="136">
        <f>K81*12%</f>
        <v>166611.6</v>
      </c>
      <c r="M81" s="154">
        <f t="shared" si="3"/>
        <v>1221818.3999999999</v>
      </c>
      <c r="N81" s="21"/>
      <c r="O81" s="172"/>
    </row>
    <row r="82" spans="2:15" ht="18" customHeight="1">
      <c r="B82" s="129">
        <v>79</v>
      </c>
      <c r="C82" s="138" t="s">
        <v>182</v>
      </c>
      <c r="D82" s="138" t="s">
        <v>62</v>
      </c>
      <c r="E82" s="138" t="s">
        <v>96</v>
      </c>
      <c r="F82" s="138" t="s">
        <v>42</v>
      </c>
      <c r="G82" s="145">
        <v>44287</v>
      </c>
      <c r="H82" s="130" t="s">
        <v>163</v>
      </c>
      <c r="I82" s="146">
        <v>10994880</v>
      </c>
      <c r="J82" s="147">
        <v>0.5</v>
      </c>
      <c r="K82" s="148">
        <v>5497440</v>
      </c>
      <c r="L82" s="136">
        <f>K82*10%</f>
        <v>549744</v>
      </c>
      <c r="M82" s="154">
        <f t="shared" si="3"/>
        <v>4947696</v>
      </c>
      <c r="N82" s="72" t="s">
        <v>85</v>
      </c>
      <c r="O82" s="172"/>
    </row>
    <row r="83" spans="2:15" ht="18" customHeight="1">
      <c r="B83" s="129">
        <v>80</v>
      </c>
      <c r="C83" s="138" t="s">
        <v>182</v>
      </c>
      <c r="D83" s="138" t="s">
        <v>33</v>
      </c>
      <c r="E83" s="131" t="s">
        <v>96</v>
      </c>
      <c r="F83" s="138" t="s">
        <v>30</v>
      </c>
      <c r="G83" s="145">
        <v>44357</v>
      </c>
      <c r="H83" s="130" t="s">
        <v>163</v>
      </c>
      <c r="I83" s="146">
        <v>4677660</v>
      </c>
      <c r="J83" s="147">
        <v>0.5</v>
      </c>
      <c r="K83" s="148">
        <v>2338830</v>
      </c>
      <c r="L83" s="180">
        <f>K83*10%</f>
        <v>233883</v>
      </c>
      <c r="M83" s="154">
        <f t="shared" si="3"/>
        <v>2104947</v>
      </c>
      <c r="N83" s="21"/>
      <c r="O83" s="172"/>
    </row>
    <row r="84" spans="2:15" ht="18" customHeight="1">
      <c r="B84" s="76">
        <v>81</v>
      </c>
      <c r="C84" s="79" t="s">
        <v>182</v>
      </c>
      <c r="D84" s="79" t="s">
        <v>62</v>
      </c>
      <c r="E84" s="78" t="s">
        <v>96</v>
      </c>
      <c r="F84" s="79" t="s">
        <v>147</v>
      </c>
      <c r="G84" s="93">
        <v>44271</v>
      </c>
      <c r="H84" s="82" t="s">
        <v>163</v>
      </c>
      <c r="I84" s="94">
        <v>4941540</v>
      </c>
      <c r="J84" s="95">
        <v>0.5</v>
      </c>
      <c r="K84" s="96">
        <v>2470770</v>
      </c>
      <c r="L84" s="175">
        <v>0</v>
      </c>
      <c r="M84" s="87">
        <f t="shared" si="3"/>
        <v>2470770</v>
      </c>
      <c r="N84" s="21"/>
      <c r="O84" s="172" t="s">
        <v>158</v>
      </c>
    </row>
    <row r="85" spans="2:15" ht="18" customHeight="1">
      <c r="B85" s="129">
        <v>82</v>
      </c>
      <c r="C85" s="138" t="s">
        <v>182</v>
      </c>
      <c r="D85" s="138" t="s">
        <v>62</v>
      </c>
      <c r="E85" s="131" t="s">
        <v>96</v>
      </c>
      <c r="F85" s="138" t="s">
        <v>57</v>
      </c>
      <c r="G85" s="145">
        <v>44358</v>
      </c>
      <c r="H85" s="130" t="s">
        <v>163</v>
      </c>
      <c r="I85" s="146">
        <v>1544520</v>
      </c>
      <c r="J85" s="147">
        <v>0.5</v>
      </c>
      <c r="K85" s="148">
        <v>772260</v>
      </c>
      <c r="L85" s="153">
        <f>K85*10%</f>
        <v>77226</v>
      </c>
      <c r="M85" s="154">
        <f t="shared" si="3"/>
        <v>695034</v>
      </c>
      <c r="N85" s="21"/>
      <c r="O85" s="172"/>
    </row>
    <row r="86" spans="2:15" ht="18" customHeight="1">
      <c r="B86" s="129">
        <v>83</v>
      </c>
      <c r="C86" s="138" t="s">
        <v>182</v>
      </c>
      <c r="D86" s="138" t="s">
        <v>62</v>
      </c>
      <c r="E86" s="138" t="s">
        <v>96</v>
      </c>
      <c r="F86" s="138" t="s">
        <v>181</v>
      </c>
      <c r="G86" s="145">
        <v>44392</v>
      </c>
      <c r="H86" s="130" t="s">
        <v>163</v>
      </c>
      <c r="I86" s="146">
        <v>8382960</v>
      </c>
      <c r="J86" s="147">
        <v>0.5</v>
      </c>
      <c r="K86" s="148">
        <v>4191480</v>
      </c>
      <c r="L86" s="136">
        <f>K86*10%</f>
        <v>419148</v>
      </c>
      <c r="M86" s="154">
        <f t="shared" si="3"/>
        <v>3772332</v>
      </c>
      <c r="N86" s="21"/>
      <c r="O86" s="172"/>
    </row>
    <row r="87" spans="2:15" ht="18" customHeight="1">
      <c r="B87" s="129">
        <v>84</v>
      </c>
      <c r="C87" s="138" t="s">
        <v>130</v>
      </c>
      <c r="D87" s="138" t="s">
        <v>62</v>
      </c>
      <c r="E87" s="138" t="s">
        <v>73</v>
      </c>
      <c r="F87" s="138" t="s">
        <v>42</v>
      </c>
      <c r="G87" s="145">
        <v>44198</v>
      </c>
      <c r="H87" s="130" t="s">
        <v>163</v>
      </c>
      <c r="I87" s="146">
        <v>103998652</v>
      </c>
      <c r="J87" s="181">
        <v>0.224</v>
      </c>
      <c r="K87" s="148">
        <v>20966133</v>
      </c>
      <c r="L87" s="136">
        <f>K87*10%</f>
        <v>2096613.3</v>
      </c>
      <c r="M87" s="154">
        <f t="shared" si="3"/>
        <v>18869519.699999999</v>
      </c>
      <c r="N87" s="72" t="s">
        <v>85</v>
      </c>
      <c r="O87" s="172"/>
    </row>
    <row r="88" spans="2:15" ht="18" customHeight="1">
      <c r="B88" s="129">
        <v>85</v>
      </c>
      <c r="C88" s="138" t="s">
        <v>130</v>
      </c>
      <c r="D88" s="138" t="s">
        <v>62</v>
      </c>
      <c r="E88" s="138" t="s">
        <v>73</v>
      </c>
      <c r="F88" s="138" t="s">
        <v>28</v>
      </c>
      <c r="G88" s="145">
        <v>44228</v>
      </c>
      <c r="H88" s="130" t="s">
        <v>163</v>
      </c>
      <c r="I88" s="146">
        <v>19126013</v>
      </c>
      <c r="J88" s="181">
        <v>0.224</v>
      </c>
      <c r="K88" s="148">
        <v>3855808</v>
      </c>
      <c r="L88" s="136">
        <f>K88*12%</f>
        <v>462696.95999999996</v>
      </c>
      <c r="M88" s="154">
        <f t="shared" si="3"/>
        <v>3393111.04</v>
      </c>
      <c r="N88" s="21"/>
      <c r="O88" s="172"/>
    </row>
    <row r="89" spans="2:15" ht="18" customHeight="1">
      <c r="B89" s="129">
        <v>86</v>
      </c>
      <c r="C89" s="138" t="s">
        <v>130</v>
      </c>
      <c r="D89" s="138" t="s">
        <v>62</v>
      </c>
      <c r="E89" s="138" t="s">
        <v>73</v>
      </c>
      <c r="F89" s="138" t="s">
        <v>54</v>
      </c>
      <c r="G89" s="145">
        <v>44265</v>
      </c>
      <c r="H89" s="130" t="s">
        <v>163</v>
      </c>
      <c r="I89" s="146">
        <v>2226120</v>
      </c>
      <c r="J89" s="181">
        <v>0.224</v>
      </c>
      <c r="K89" s="148">
        <v>448793</v>
      </c>
      <c r="L89" s="153">
        <f>K89*10%</f>
        <v>44879.3</v>
      </c>
      <c r="M89" s="154">
        <f t="shared" si="3"/>
        <v>403913.7</v>
      </c>
      <c r="N89" s="21"/>
      <c r="O89" s="172"/>
    </row>
    <row r="90" spans="2:15" ht="18" customHeight="1">
      <c r="B90" s="129">
        <v>87</v>
      </c>
      <c r="C90" s="138" t="s">
        <v>130</v>
      </c>
      <c r="D90" s="138" t="s">
        <v>62</v>
      </c>
      <c r="E90" s="138" t="s">
        <v>73</v>
      </c>
      <c r="F90" s="138" t="s">
        <v>29</v>
      </c>
      <c r="G90" s="145">
        <v>44315</v>
      </c>
      <c r="H90" s="130" t="s">
        <v>163</v>
      </c>
      <c r="I90" s="146">
        <v>10090263</v>
      </c>
      <c r="J90" s="181">
        <v>0.224</v>
      </c>
      <c r="K90" s="148">
        <v>2034200</v>
      </c>
      <c r="L90" s="144">
        <f>K90*10%</f>
        <v>203420</v>
      </c>
      <c r="M90" s="154">
        <f t="shared" si="3"/>
        <v>1830780</v>
      </c>
      <c r="N90" s="21"/>
      <c r="O90" s="172"/>
    </row>
    <row r="91" spans="2:15" ht="18" customHeight="1">
      <c r="B91" s="129">
        <v>88</v>
      </c>
      <c r="C91" s="138" t="s">
        <v>130</v>
      </c>
      <c r="D91" s="138" t="s">
        <v>62</v>
      </c>
      <c r="E91" s="138" t="s">
        <v>73</v>
      </c>
      <c r="F91" s="138" t="s">
        <v>30</v>
      </c>
      <c r="G91" s="145">
        <v>44359</v>
      </c>
      <c r="H91" s="130" t="s">
        <v>163</v>
      </c>
      <c r="I91" s="146">
        <v>25426723</v>
      </c>
      <c r="J91" s="181">
        <v>0.224</v>
      </c>
      <c r="K91" s="148">
        <v>5126034</v>
      </c>
      <c r="L91" s="153">
        <f>K91*10%</f>
        <v>512603.4</v>
      </c>
      <c r="M91" s="154">
        <f t="shared" si="3"/>
        <v>4613430.5999999996</v>
      </c>
      <c r="N91" s="21"/>
      <c r="O91" s="172"/>
    </row>
    <row r="92" spans="2:15" ht="18" customHeight="1">
      <c r="B92" s="76">
        <v>89</v>
      </c>
      <c r="C92" s="79" t="s">
        <v>130</v>
      </c>
      <c r="D92" s="79" t="s">
        <v>62</v>
      </c>
      <c r="E92" s="79" t="s">
        <v>73</v>
      </c>
      <c r="F92" s="79" t="s">
        <v>43</v>
      </c>
      <c r="G92" s="93">
        <v>44378</v>
      </c>
      <c r="H92" s="82" t="s">
        <v>163</v>
      </c>
      <c r="I92" s="94">
        <v>261414658</v>
      </c>
      <c r="J92" s="176">
        <v>0.24</v>
      </c>
      <c r="K92" s="96">
        <v>56465575</v>
      </c>
      <c r="L92" s="91">
        <f>K92*10%</f>
        <v>5646557.5</v>
      </c>
      <c r="M92" s="87">
        <f t="shared" si="3"/>
        <v>50819017.5</v>
      </c>
      <c r="N92" s="21"/>
      <c r="O92" s="172" t="s">
        <v>158</v>
      </c>
    </row>
    <row r="93" spans="2:15" ht="18" customHeight="1">
      <c r="B93" s="76">
        <v>90</v>
      </c>
      <c r="C93" s="79" t="s">
        <v>130</v>
      </c>
      <c r="D93" s="79" t="s">
        <v>62</v>
      </c>
      <c r="E93" s="79" t="s">
        <v>73</v>
      </c>
      <c r="F93" s="79" t="s">
        <v>53</v>
      </c>
      <c r="G93" s="93">
        <v>44435</v>
      </c>
      <c r="H93" s="82" t="s">
        <v>163</v>
      </c>
      <c r="I93" s="94">
        <v>21739461</v>
      </c>
      <c r="J93" s="176">
        <v>0.224</v>
      </c>
      <c r="K93" s="96">
        <v>4368586</v>
      </c>
      <c r="L93" s="91">
        <v>0</v>
      </c>
      <c r="M93" s="87">
        <f t="shared" si="3"/>
        <v>4368586</v>
      </c>
      <c r="N93" s="21"/>
      <c r="O93" s="172" t="s">
        <v>158</v>
      </c>
    </row>
    <row r="94" spans="2:15" ht="18" customHeight="1">
      <c r="B94" s="129">
        <v>91</v>
      </c>
      <c r="C94" s="138" t="s">
        <v>24</v>
      </c>
      <c r="D94" s="138" t="s">
        <v>62</v>
      </c>
      <c r="E94" s="138" t="s">
        <v>114</v>
      </c>
      <c r="F94" s="138" t="s">
        <v>42</v>
      </c>
      <c r="G94" s="145">
        <v>44114</v>
      </c>
      <c r="H94" s="130" t="s">
        <v>163</v>
      </c>
      <c r="I94" s="146">
        <v>412913</v>
      </c>
      <c r="J94" s="147">
        <v>0.8</v>
      </c>
      <c r="K94" s="148">
        <v>330330</v>
      </c>
      <c r="L94" s="136">
        <f>K94*10%</f>
        <v>33033</v>
      </c>
      <c r="M94" s="154">
        <f t="shared" si="3"/>
        <v>297297</v>
      </c>
      <c r="N94" s="72" t="s">
        <v>85</v>
      </c>
      <c r="O94" s="172"/>
    </row>
    <row r="95" spans="2:15" ht="18" customHeight="1">
      <c r="B95" s="129">
        <v>92</v>
      </c>
      <c r="C95" s="138" t="s">
        <v>24</v>
      </c>
      <c r="D95" s="138" t="s">
        <v>62</v>
      </c>
      <c r="E95" s="138" t="s">
        <v>114</v>
      </c>
      <c r="F95" s="138" t="s">
        <v>29</v>
      </c>
      <c r="G95" s="145">
        <v>44122</v>
      </c>
      <c r="H95" s="130" t="s">
        <v>163</v>
      </c>
      <c r="I95" s="146">
        <v>208144</v>
      </c>
      <c r="J95" s="147">
        <v>0.8</v>
      </c>
      <c r="K95" s="148">
        <v>166515</v>
      </c>
      <c r="L95" s="144">
        <f>K95*10%</f>
        <v>16651.5</v>
      </c>
      <c r="M95" s="154">
        <f t="shared" si="3"/>
        <v>149863.5</v>
      </c>
      <c r="N95" s="21"/>
      <c r="O95" s="172"/>
    </row>
    <row r="96" spans="2:15" ht="18" customHeight="1">
      <c r="B96" s="129">
        <v>93</v>
      </c>
      <c r="C96" s="138" t="s">
        <v>24</v>
      </c>
      <c r="D96" s="138" t="s">
        <v>62</v>
      </c>
      <c r="E96" s="138" t="s">
        <v>114</v>
      </c>
      <c r="F96" s="138" t="s">
        <v>28</v>
      </c>
      <c r="G96" s="145">
        <v>44250</v>
      </c>
      <c r="H96" s="130" t="s">
        <v>163</v>
      </c>
      <c r="I96" s="146">
        <v>380780</v>
      </c>
      <c r="J96" s="147">
        <v>0.8</v>
      </c>
      <c r="K96" s="148">
        <v>304624</v>
      </c>
      <c r="L96" s="136">
        <f>K96*12%</f>
        <v>36554.879999999997</v>
      </c>
      <c r="M96" s="154">
        <f t="shared" si="3"/>
        <v>268069.12</v>
      </c>
      <c r="N96" s="21"/>
      <c r="O96" s="172"/>
    </row>
    <row r="97" spans="2:15" ht="18" customHeight="1">
      <c r="B97" s="129">
        <v>94</v>
      </c>
      <c r="C97" s="138" t="s">
        <v>24</v>
      </c>
      <c r="D97" s="138" t="s">
        <v>62</v>
      </c>
      <c r="E97" s="138" t="s">
        <v>114</v>
      </c>
      <c r="F97" s="138" t="s">
        <v>30</v>
      </c>
      <c r="G97" s="145">
        <v>44265</v>
      </c>
      <c r="H97" s="130" t="s">
        <v>163</v>
      </c>
      <c r="I97" s="146">
        <v>331856</v>
      </c>
      <c r="J97" s="147">
        <v>0.8</v>
      </c>
      <c r="K97" s="148">
        <v>265484</v>
      </c>
      <c r="L97" s="153">
        <f t="shared" ref="L97:L104" si="6">K97*10%</f>
        <v>26548.400000000001</v>
      </c>
      <c r="M97" s="154">
        <f t="shared" si="3"/>
        <v>238935.6</v>
      </c>
      <c r="N97" s="21"/>
      <c r="O97" s="172"/>
    </row>
    <row r="98" spans="2:15" ht="18" customHeight="1">
      <c r="B98" s="76">
        <v>95</v>
      </c>
      <c r="C98" s="79" t="s">
        <v>24</v>
      </c>
      <c r="D98" s="79" t="s">
        <v>62</v>
      </c>
      <c r="E98" s="79" t="s">
        <v>114</v>
      </c>
      <c r="F98" s="79" t="s">
        <v>43</v>
      </c>
      <c r="G98" s="93">
        <v>44327</v>
      </c>
      <c r="H98" s="82" t="s">
        <v>163</v>
      </c>
      <c r="I98" s="94">
        <v>1439213</v>
      </c>
      <c r="J98" s="95">
        <v>0.8</v>
      </c>
      <c r="K98" s="96">
        <v>1151370</v>
      </c>
      <c r="L98" s="91">
        <f t="shared" si="6"/>
        <v>115137</v>
      </c>
      <c r="M98" s="87">
        <f t="shared" si="3"/>
        <v>1036233</v>
      </c>
      <c r="N98" s="36"/>
      <c r="O98" s="172" t="s">
        <v>158</v>
      </c>
    </row>
    <row r="99" spans="2:15" ht="18" customHeight="1">
      <c r="B99" s="129">
        <v>96</v>
      </c>
      <c r="C99" s="138" t="s">
        <v>22</v>
      </c>
      <c r="D99" s="138" t="s">
        <v>62</v>
      </c>
      <c r="E99" s="138" t="s">
        <v>184</v>
      </c>
      <c r="F99" s="138" t="s">
        <v>10</v>
      </c>
      <c r="G99" s="145">
        <v>44356</v>
      </c>
      <c r="H99" s="130" t="s">
        <v>164</v>
      </c>
      <c r="I99" s="146">
        <v>1572556.6666666667</v>
      </c>
      <c r="J99" s="147">
        <v>0.3</v>
      </c>
      <c r="K99" s="148">
        <v>471767</v>
      </c>
      <c r="L99" s="136">
        <f t="shared" si="6"/>
        <v>47176.700000000004</v>
      </c>
      <c r="M99" s="154">
        <f t="shared" si="3"/>
        <v>424590.3</v>
      </c>
      <c r="N99" s="171" t="s">
        <v>185</v>
      </c>
      <c r="O99" s="172"/>
    </row>
    <row r="100" spans="2:15" ht="18" customHeight="1">
      <c r="B100" s="129">
        <v>97</v>
      </c>
      <c r="C100" s="138" t="s">
        <v>27</v>
      </c>
      <c r="D100" s="138" t="s">
        <v>62</v>
      </c>
      <c r="E100" s="138" t="s">
        <v>184</v>
      </c>
      <c r="F100" s="138" t="s">
        <v>10</v>
      </c>
      <c r="G100" s="145">
        <v>44395</v>
      </c>
      <c r="H100" s="130" t="s">
        <v>164</v>
      </c>
      <c r="I100" s="146">
        <v>17656280</v>
      </c>
      <c r="J100" s="147">
        <v>0.3</v>
      </c>
      <c r="K100" s="148">
        <v>5296884</v>
      </c>
      <c r="L100" s="136">
        <f t="shared" si="6"/>
        <v>529688.4</v>
      </c>
      <c r="M100" s="154">
        <f t="shared" si="3"/>
        <v>4767195.5999999996</v>
      </c>
      <c r="N100" s="171" t="s">
        <v>186</v>
      </c>
      <c r="O100" s="172"/>
    </row>
    <row r="101" spans="2:15" ht="18" customHeight="1">
      <c r="B101" s="129">
        <v>98</v>
      </c>
      <c r="C101" s="138" t="s">
        <v>25</v>
      </c>
      <c r="D101" s="138" t="s">
        <v>62</v>
      </c>
      <c r="E101" s="138" t="s">
        <v>184</v>
      </c>
      <c r="F101" s="138" t="s">
        <v>10</v>
      </c>
      <c r="G101" s="145">
        <v>44396</v>
      </c>
      <c r="H101" s="130" t="s">
        <v>164</v>
      </c>
      <c r="I101" s="146">
        <v>14718766.666666668</v>
      </c>
      <c r="J101" s="147">
        <v>0.3</v>
      </c>
      <c r="K101" s="148">
        <v>4415630</v>
      </c>
      <c r="L101" s="136">
        <f t="shared" si="6"/>
        <v>441563</v>
      </c>
      <c r="M101" s="154">
        <f t="shared" si="3"/>
        <v>3974067</v>
      </c>
      <c r="N101" s="171" t="s">
        <v>186</v>
      </c>
      <c r="O101" s="172"/>
    </row>
    <row r="102" spans="2:15" ht="18" customHeight="1">
      <c r="B102" s="129">
        <v>99</v>
      </c>
      <c r="C102" s="138" t="s">
        <v>23</v>
      </c>
      <c r="D102" s="138" t="s">
        <v>62</v>
      </c>
      <c r="E102" s="138" t="s">
        <v>184</v>
      </c>
      <c r="F102" s="138" t="s">
        <v>10</v>
      </c>
      <c r="G102" s="145">
        <v>44356</v>
      </c>
      <c r="H102" s="130" t="s">
        <v>164</v>
      </c>
      <c r="I102" s="146">
        <v>8409390</v>
      </c>
      <c r="J102" s="147">
        <v>0.3</v>
      </c>
      <c r="K102" s="148">
        <v>2522817</v>
      </c>
      <c r="L102" s="136">
        <f t="shared" si="6"/>
        <v>252281.7</v>
      </c>
      <c r="M102" s="154">
        <f t="shared" si="3"/>
        <v>2270535.2999999998</v>
      </c>
      <c r="N102" s="171" t="s">
        <v>186</v>
      </c>
      <c r="O102" s="172"/>
    </row>
    <row r="103" spans="2:15" ht="18" customHeight="1">
      <c r="B103" s="129">
        <v>100</v>
      </c>
      <c r="C103" s="138" t="s">
        <v>24</v>
      </c>
      <c r="D103" s="138" t="s">
        <v>62</v>
      </c>
      <c r="E103" s="138" t="s">
        <v>184</v>
      </c>
      <c r="F103" s="138" t="s">
        <v>10</v>
      </c>
      <c r="G103" s="145">
        <v>44366</v>
      </c>
      <c r="H103" s="130" t="s">
        <v>164</v>
      </c>
      <c r="I103" s="146">
        <v>13517550</v>
      </c>
      <c r="J103" s="147">
        <v>0.3</v>
      </c>
      <c r="K103" s="148">
        <v>4055265</v>
      </c>
      <c r="L103" s="136">
        <f t="shared" si="6"/>
        <v>405526.5</v>
      </c>
      <c r="M103" s="154">
        <f t="shared" si="3"/>
        <v>3649738.5</v>
      </c>
      <c r="N103" s="171" t="s">
        <v>186</v>
      </c>
      <c r="O103" s="172"/>
    </row>
    <row r="104" spans="2:15" ht="18" customHeight="1">
      <c r="B104" s="129">
        <v>101</v>
      </c>
      <c r="C104" s="138" t="s">
        <v>183</v>
      </c>
      <c r="D104" s="138" t="s">
        <v>62</v>
      </c>
      <c r="E104" s="138" t="s">
        <v>184</v>
      </c>
      <c r="F104" s="138" t="s">
        <v>10</v>
      </c>
      <c r="G104" s="145">
        <v>44456</v>
      </c>
      <c r="H104" s="130" t="s">
        <v>164</v>
      </c>
      <c r="I104" s="146">
        <v>92140</v>
      </c>
      <c r="J104" s="147">
        <v>0.3</v>
      </c>
      <c r="K104" s="148">
        <v>27642</v>
      </c>
      <c r="L104" s="136">
        <f t="shared" si="6"/>
        <v>2764.2000000000003</v>
      </c>
      <c r="M104" s="154">
        <f t="shared" si="3"/>
        <v>24877.8</v>
      </c>
      <c r="N104" s="171" t="s">
        <v>186</v>
      </c>
      <c r="O104" s="172"/>
    </row>
    <row r="105" spans="2:15" ht="18" customHeight="1">
      <c r="B105" s="129">
        <v>102</v>
      </c>
      <c r="C105" s="138" t="s">
        <v>22</v>
      </c>
      <c r="D105" s="138" t="s">
        <v>62</v>
      </c>
      <c r="E105" s="138" t="s">
        <v>184</v>
      </c>
      <c r="F105" s="138" t="s">
        <v>11</v>
      </c>
      <c r="G105" s="145">
        <v>44381</v>
      </c>
      <c r="H105" s="130" t="s">
        <v>164</v>
      </c>
      <c r="I105" s="146">
        <v>112026.66666666667</v>
      </c>
      <c r="J105" s="147">
        <v>0.3</v>
      </c>
      <c r="K105" s="148">
        <v>33608</v>
      </c>
      <c r="L105" s="136">
        <v>0</v>
      </c>
      <c r="M105" s="154">
        <f t="shared" si="3"/>
        <v>33608</v>
      </c>
      <c r="N105" s="171" t="s">
        <v>185</v>
      </c>
      <c r="O105" s="172"/>
    </row>
    <row r="106" spans="2:15" ht="18" customHeight="1">
      <c r="B106" s="129">
        <v>103</v>
      </c>
      <c r="C106" s="138" t="s">
        <v>27</v>
      </c>
      <c r="D106" s="138" t="s">
        <v>62</v>
      </c>
      <c r="E106" s="138" t="s">
        <v>184</v>
      </c>
      <c r="F106" s="138" t="s">
        <v>11</v>
      </c>
      <c r="G106" s="145">
        <v>44420</v>
      </c>
      <c r="H106" s="130" t="s">
        <v>164</v>
      </c>
      <c r="I106" s="146">
        <v>5729926.666666667</v>
      </c>
      <c r="J106" s="147">
        <v>0.3</v>
      </c>
      <c r="K106" s="148">
        <v>1718978</v>
      </c>
      <c r="L106" s="136">
        <v>0</v>
      </c>
      <c r="M106" s="154">
        <f t="shared" si="3"/>
        <v>1718978</v>
      </c>
      <c r="N106" s="171" t="s">
        <v>186</v>
      </c>
      <c r="O106" s="172"/>
    </row>
    <row r="107" spans="2:15" ht="18" customHeight="1">
      <c r="B107" s="129">
        <v>104</v>
      </c>
      <c r="C107" s="138" t="s">
        <v>32</v>
      </c>
      <c r="D107" s="138" t="s">
        <v>9</v>
      </c>
      <c r="E107" s="138" t="s">
        <v>184</v>
      </c>
      <c r="F107" s="138" t="s">
        <v>135</v>
      </c>
      <c r="G107" s="145">
        <v>44370</v>
      </c>
      <c r="H107" s="130" t="s">
        <v>164</v>
      </c>
      <c r="I107" s="146">
        <v>360760</v>
      </c>
      <c r="J107" s="147">
        <v>0.3</v>
      </c>
      <c r="K107" s="148">
        <v>108228</v>
      </c>
      <c r="L107" s="136">
        <v>0</v>
      </c>
      <c r="M107" s="154">
        <f t="shared" si="3"/>
        <v>108228</v>
      </c>
      <c r="N107" s="171" t="s">
        <v>186</v>
      </c>
      <c r="O107" s="172"/>
    </row>
    <row r="108" spans="2:15" ht="18" customHeight="1">
      <c r="B108" s="129">
        <v>105</v>
      </c>
      <c r="C108" s="138" t="s">
        <v>79</v>
      </c>
      <c r="D108" s="138" t="s">
        <v>9</v>
      </c>
      <c r="E108" s="138" t="s">
        <v>184</v>
      </c>
      <c r="F108" s="138" t="s">
        <v>136</v>
      </c>
      <c r="G108" s="145">
        <v>44364</v>
      </c>
      <c r="H108" s="130" t="s">
        <v>164</v>
      </c>
      <c r="I108" s="146">
        <v>28380</v>
      </c>
      <c r="J108" s="147">
        <v>0.3</v>
      </c>
      <c r="K108" s="148">
        <v>8514</v>
      </c>
      <c r="L108" s="153">
        <f>K108*10%</f>
        <v>851.40000000000009</v>
      </c>
      <c r="M108" s="154">
        <f t="shared" si="3"/>
        <v>7662.6</v>
      </c>
      <c r="N108" s="171" t="s">
        <v>185</v>
      </c>
      <c r="O108" s="172"/>
    </row>
    <row r="109" spans="2:15" ht="18" customHeight="1">
      <c r="B109" s="129">
        <v>106</v>
      </c>
      <c r="C109" s="138" t="s">
        <v>189</v>
      </c>
      <c r="D109" s="138" t="s">
        <v>9</v>
      </c>
      <c r="E109" s="138" t="s">
        <v>184</v>
      </c>
      <c r="F109" s="138" t="s">
        <v>190</v>
      </c>
      <c r="G109" s="145">
        <v>44466</v>
      </c>
      <c r="H109" s="130" t="s">
        <v>164</v>
      </c>
      <c r="I109" s="146">
        <v>3094156.666666667</v>
      </c>
      <c r="J109" s="147">
        <v>0.3</v>
      </c>
      <c r="K109" s="148">
        <v>928247</v>
      </c>
      <c r="L109" s="183">
        <f>K109*12%</f>
        <v>111389.64</v>
      </c>
      <c r="M109" s="154">
        <f t="shared" si="3"/>
        <v>816857.36</v>
      </c>
      <c r="N109" s="171" t="s">
        <v>186</v>
      </c>
      <c r="O109" s="172"/>
    </row>
    <row r="110" spans="2:15" ht="18" customHeight="1">
      <c r="B110" s="129">
        <v>107</v>
      </c>
      <c r="C110" s="138" t="s">
        <v>66</v>
      </c>
      <c r="D110" s="138" t="s">
        <v>64</v>
      </c>
      <c r="E110" s="138" t="s">
        <v>65</v>
      </c>
      <c r="F110" s="138" t="s">
        <v>152</v>
      </c>
      <c r="G110" s="145">
        <v>44235</v>
      </c>
      <c r="H110" s="130" t="s">
        <v>164</v>
      </c>
      <c r="I110" s="146">
        <f t="shared" ref="I110:I125" si="7">ROUND(K110/J110,0)</f>
        <v>869673</v>
      </c>
      <c r="J110" s="147">
        <v>0.4</v>
      </c>
      <c r="K110" s="148">
        <v>347869</v>
      </c>
      <c r="L110" s="136">
        <f>K110*12%</f>
        <v>41744.28</v>
      </c>
      <c r="M110" s="154">
        <f t="shared" si="3"/>
        <v>306124.71999999997</v>
      </c>
      <c r="N110" s="36"/>
      <c r="O110" s="172"/>
    </row>
    <row r="111" spans="2:15" ht="18" customHeight="1">
      <c r="B111" s="129">
        <v>108</v>
      </c>
      <c r="C111" s="138" t="s">
        <v>66</v>
      </c>
      <c r="D111" s="138" t="s">
        <v>64</v>
      </c>
      <c r="E111" s="138" t="s">
        <v>65</v>
      </c>
      <c r="F111" s="138" t="s">
        <v>179</v>
      </c>
      <c r="G111" s="145">
        <v>44198</v>
      </c>
      <c r="H111" s="130" t="s">
        <v>164</v>
      </c>
      <c r="I111" s="146">
        <f t="shared" si="7"/>
        <v>694953</v>
      </c>
      <c r="J111" s="147">
        <v>0.4</v>
      </c>
      <c r="K111" s="148">
        <v>277981</v>
      </c>
      <c r="L111" s="136">
        <f>K111*10%</f>
        <v>27798.100000000002</v>
      </c>
      <c r="M111" s="154">
        <f t="shared" si="3"/>
        <v>250182.9</v>
      </c>
      <c r="N111" s="72" t="s">
        <v>85</v>
      </c>
      <c r="O111" s="172"/>
    </row>
    <row r="112" spans="2:15" ht="18" customHeight="1">
      <c r="B112" s="76">
        <v>109</v>
      </c>
      <c r="C112" s="79" t="s">
        <v>66</v>
      </c>
      <c r="D112" s="79" t="s">
        <v>64</v>
      </c>
      <c r="E112" s="79" t="s">
        <v>65</v>
      </c>
      <c r="F112" s="79" t="s">
        <v>147</v>
      </c>
      <c r="G112" s="93">
        <v>44288</v>
      </c>
      <c r="H112" s="82" t="s">
        <v>164</v>
      </c>
      <c r="I112" s="94">
        <f t="shared" si="7"/>
        <v>407393</v>
      </c>
      <c r="J112" s="95">
        <v>0.4</v>
      </c>
      <c r="K112" s="96">
        <v>162957</v>
      </c>
      <c r="L112" s="91">
        <v>0</v>
      </c>
      <c r="M112" s="87">
        <f t="shared" si="3"/>
        <v>162957</v>
      </c>
      <c r="N112" s="36"/>
      <c r="O112" s="172" t="s">
        <v>158</v>
      </c>
    </row>
    <row r="113" spans="2:15" ht="18" customHeight="1">
      <c r="B113" s="76">
        <v>110</v>
      </c>
      <c r="C113" s="79" t="s">
        <v>66</v>
      </c>
      <c r="D113" s="79" t="s">
        <v>64</v>
      </c>
      <c r="E113" s="79" t="s">
        <v>65</v>
      </c>
      <c r="F113" s="79" t="s">
        <v>187</v>
      </c>
      <c r="G113" s="93">
        <v>44289</v>
      </c>
      <c r="H113" s="82" t="s">
        <v>164</v>
      </c>
      <c r="I113" s="94">
        <f t="shared" si="7"/>
        <v>1540885</v>
      </c>
      <c r="J113" s="95">
        <v>0.4</v>
      </c>
      <c r="K113" s="96">
        <v>616354</v>
      </c>
      <c r="L113" s="91">
        <v>0</v>
      </c>
      <c r="M113" s="87">
        <f t="shared" si="3"/>
        <v>616354</v>
      </c>
      <c r="N113" s="36"/>
      <c r="O113" s="172" t="s">
        <v>158</v>
      </c>
    </row>
    <row r="114" spans="2:15" ht="18" customHeight="1">
      <c r="B114" s="129">
        <v>111</v>
      </c>
      <c r="C114" s="138" t="s">
        <v>66</v>
      </c>
      <c r="D114" s="138" t="s">
        <v>64</v>
      </c>
      <c r="E114" s="138" t="s">
        <v>65</v>
      </c>
      <c r="F114" s="138" t="s">
        <v>74</v>
      </c>
      <c r="G114" s="145">
        <v>44246</v>
      </c>
      <c r="H114" s="130" t="s">
        <v>164</v>
      </c>
      <c r="I114" s="146">
        <f t="shared" si="7"/>
        <v>378693</v>
      </c>
      <c r="J114" s="147">
        <v>0.4</v>
      </c>
      <c r="K114" s="148">
        <v>151477</v>
      </c>
      <c r="L114" s="153">
        <f>K114*10%</f>
        <v>15147.7</v>
      </c>
      <c r="M114" s="154">
        <f t="shared" si="3"/>
        <v>136329.29999999999</v>
      </c>
      <c r="N114" s="36"/>
      <c r="O114" s="172"/>
    </row>
    <row r="115" spans="2:15" ht="18" customHeight="1">
      <c r="B115" s="76">
        <v>112</v>
      </c>
      <c r="C115" s="79" t="s">
        <v>66</v>
      </c>
      <c r="D115" s="79" t="s">
        <v>64</v>
      </c>
      <c r="E115" s="79" t="s">
        <v>65</v>
      </c>
      <c r="F115" s="79" t="s">
        <v>188</v>
      </c>
      <c r="G115" s="93">
        <v>44415</v>
      </c>
      <c r="H115" s="82" t="s">
        <v>164</v>
      </c>
      <c r="I115" s="94">
        <f t="shared" si="7"/>
        <v>754353</v>
      </c>
      <c r="J115" s="95">
        <v>0.4</v>
      </c>
      <c r="K115" s="96">
        <v>301741</v>
      </c>
      <c r="L115" s="91">
        <v>0</v>
      </c>
      <c r="M115" s="87">
        <f t="shared" si="3"/>
        <v>301741</v>
      </c>
      <c r="N115" s="36"/>
      <c r="O115" s="172" t="s">
        <v>158</v>
      </c>
    </row>
    <row r="116" spans="2:15" ht="18" customHeight="1">
      <c r="B116" s="129">
        <v>113</v>
      </c>
      <c r="C116" s="138" t="s">
        <v>67</v>
      </c>
      <c r="D116" s="138" t="s">
        <v>9</v>
      </c>
      <c r="E116" s="138" t="s">
        <v>65</v>
      </c>
      <c r="F116" s="138" t="s">
        <v>152</v>
      </c>
      <c r="G116" s="145">
        <v>44105</v>
      </c>
      <c r="H116" s="130" t="s">
        <v>164</v>
      </c>
      <c r="I116" s="146">
        <f t="shared" si="7"/>
        <v>1564900</v>
      </c>
      <c r="J116" s="147">
        <v>0.4</v>
      </c>
      <c r="K116" s="148">
        <v>625960</v>
      </c>
      <c r="L116" s="136">
        <f>K116*12%</f>
        <v>75115.199999999997</v>
      </c>
      <c r="M116" s="154">
        <f t="shared" si="3"/>
        <v>550844.80000000005</v>
      </c>
      <c r="N116" s="36"/>
      <c r="O116" s="172"/>
    </row>
    <row r="117" spans="2:15" ht="18" customHeight="1">
      <c r="B117" s="129">
        <v>114</v>
      </c>
      <c r="C117" s="138" t="s">
        <v>67</v>
      </c>
      <c r="D117" s="138" t="s">
        <v>9</v>
      </c>
      <c r="E117" s="138" t="s">
        <v>65</v>
      </c>
      <c r="F117" s="138" t="s">
        <v>153</v>
      </c>
      <c r="G117" s="145">
        <v>44111</v>
      </c>
      <c r="H117" s="130" t="s">
        <v>164</v>
      </c>
      <c r="I117" s="146">
        <f t="shared" si="7"/>
        <v>1675155</v>
      </c>
      <c r="J117" s="147">
        <v>0.4</v>
      </c>
      <c r="K117" s="148">
        <v>670062</v>
      </c>
      <c r="L117" s="144">
        <f>K117*10%</f>
        <v>67006.2</v>
      </c>
      <c r="M117" s="154">
        <f t="shared" si="3"/>
        <v>603055.80000000005</v>
      </c>
      <c r="N117" s="36"/>
      <c r="O117" s="172"/>
    </row>
    <row r="118" spans="2:15" ht="18" customHeight="1">
      <c r="B118" s="129">
        <v>115</v>
      </c>
      <c r="C118" s="138" t="s">
        <v>67</v>
      </c>
      <c r="D118" s="138" t="s">
        <v>9</v>
      </c>
      <c r="E118" s="138" t="s">
        <v>65</v>
      </c>
      <c r="F118" s="138" t="s">
        <v>139</v>
      </c>
      <c r="G118" s="145">
        <v>43921</v>
      </c>
      <c r="H118" s="130" t="s">
        <v>164</v>
      </c>
      <c r="I118" s="146">
        <f>ROUND(K118/J118,0)</f>
        <v>163523</v>
      </c>
      <c r="J118" s="147">
        <v>0.4</v>
      </c>
      <c r="K118" s="148">
        <v>65409</v>
      </c>
      <c r="L118" s="136">
        <v>0</v>
      </c>
      <c r="M118" s="154">
        <f t="shared" ref="M118:M125" si="8">K118-L118</f>
        <v>65409</v>
      </c>
      <c r="N118" s="36"/>
      <c r="O118" s="172" t="s">
        <v>193</v>
      </c>
    </row>
    <row r="119" spans="2:15" ht="18" customHeight="1">
      <c r="B119" s="129">
        <v>116</v>
      </c>
      <c r="C119" s="138" t="s">
        <v>67</v>
      </c>
      <c r="D119" s="138" t="s">
        <v>9</v>
      </c>
      <c r="E119" s="138" t="s">
        <v>65</v>
      </c>
      <c r="F119" s="138" t="s">
        <v>180</v>
      </c>
      <c r="G119" s="145">
        <v>43941</v>
      </c>
      <c r="H119" s="130" t="s">
        <v>164</v>
      </c>
      <c r="I119" s="146">
        <f t="shared" si="7"/>
        <v>1782000</v>
      </c>
      <c r="J119" s="147">
        <v>0.4</v>
      </c>
      <c r="K119" s="148">
        <v>712800</v>
      </c>
      <c r="L119" s="136">
        <v>0</v>
      </c>
      <c r="M119" s="154">
        <f t="shared" si="8"/>
        <v>712800</v>
      </c>
      <c r="N119" s="36"/>
      <c r="O119" s="172"/>
    </row>
    <row r="120" spans="2:15" ht="18" customHeight="1">
      <c r="B120" s="129">
        <v>117</v>
      </c>
      <c r="C120" s="138" t="s">
        <v>67</v>
      </c>
      <c r="D120" s="138" t="s">
        <v>64</v>
      </c>
      <c r="E120" s="138" t="s">
        <v>65</v>
      </c>
      <c r="F120" s="138" t="s">
        <v>151</v>
      </c>
      <c r="G120" s="145">
        <v>44258</v>
      </c>
      <c r="H120" s="130" t="s">
        <v>164</v>
      </c>
      <c r="I120" s="146">
        <f t="shared" si="7"/>
        <v>2469235</v>
      </c>
      <c r="J120" s="147">
        <v>0.4</v>
      </c>
      <c r="K120" s="148">
        <v>987694</v>
      </c>
      <c r="L120" s="153">
        <f>K120*10%</f>
        <v>98769.400000000009</v>
      </c>
      <c r="M120" s="154">
        <f t="shared" si="8"/>
        <v>888924.6</v>
      </c>
      <c r="N120" s="36"/>
      <c r="O120" s="172"/>
    </row>
    <row r="121" spans="2:15" ht="18" customHeight="1">
      <c r="B121" s="129">
        <v>118</v>
      </c>
      <c r="C121" s="138" t="s">
        <v>67</v>
      </c>
      <c r="D121" s="138" t="s">
        <v>64</v>
      </c>
      <c r="E121" s="138" t="s">
        <v>65</v>
      </c>
      <c r="F121" s="138" t="s">
        <v>179</v>
      </c>
      <c r="G121" s="145">
        <v>44233</v>
      </c>
      <c r="H121" s="130" t="s">
        <v>164</v>
      </c>
      <c r="I121" s="146">
        <f t="shared" si="7"/>
        <v>5506180</v>
      </c>
      <c r="J121" s="147">
        <v>0.4</v>
      </c>
      <c r="K121" s="148">
        <v>2202472</v>
      </c>
      <c r="L121" s="136">
        <f>K121*10%</f>
        <v>220247.2</v>
      </c>
      <c r="M121" s="154">
        <f t="shared" si="8"/>
        <v>1982224.8</v>
      </c>
      <c r="N121" s="72" t="s">
        <v>85</v>
      </c>
      <c r="O121" s="172"/>
    </row>
    <row r="122" spans="2:15" ht="18" customHeight="1">
      <c r="B122" s="129">
        <v>119</v>
      </c>
      <c r="C122" s="138" t="s">
        <v>67</v>
      </c>
      <c r="D122" s="138" t="s">
        <v>64</v>
      </c>
      <c r="E122" s="138" t="s">
        <v>65</v>
      </c>
      <c r="F122" s="138" t="s">
        <v>74</v>
      </c>
      <c r="G122" s="145">
        <v>44254</v>
      </c>
      <c r="H122" s="130" t="s">
        <v>164</v>
      </c>
      <c r="I122" s="146">
        <f t="shared" si="7"/>
        <v>576188</v>
      </c>
      <c r="J122" s="147">
        <v>0.4</v>
      </c>
      <c r="K122" s="148">
        <v>230475</v>
      </c>
      <c r="L122" s="153">
        <f>K122*10%</f>
        <v>23047.5</v>
      </c>
      <c r="M122" s="154">
        <f t="shared" si="8"/>
        <v>207427.5</v>
      </c>
      <c r="N122" s="36"/>
      <c r="O122" s="172"/>
    </row>
    <row r="123" spans="2:15" ht="18" customHeight="1">
      <c r="B123" s="76">
        <v>120</v>
      </c>
      <c r="C123" s="79" t="s">
        <v>67</v>
      </c>
      <c r="D123" s="79" t="s">
        <v>64</v>
      </c>
      <c r="E123" s="79" t="s">
        <v>65</v>
      </c>
      <c r="F123" s="79" t="s">
        <v>147</v>
      </c>
      <c r="G123" s="93">
        <v>44260</v>
      </c>
      <c r="H123" s="82" t="s">
        <v>164</v>
      </c>
      <c r="I123" s="94">
        <f t="shared" si="7"/>
        <v>786120</v>
      </c>
      <c r="J123" s="95">
        <v>0.4</v>
      </c>
      <c r="K123" s="96">
        <v>314448</v>
      </c>
      <c r="L123" s="91">
        <v>0</v>
      </c>
      <c r="M123" s="87">
        <f t="shared" si="8"/>
        <v>314448</v>
      </c>
      <c r="N123" s="36"/>
      <c r="O123" s="172" t="s">
        <v>158</v>
      </c>
    </row>
    <row r="124" spans="2:15" ht="18" customHeight="1">
      <c r="B124" s="76">
        <v>121</v>
      </c>
      <c r="C124" s="79" t="s">
        <v>67</v>
      </c>
      <c r="D124" s="79" t="s">
        <v>64</v>
      </c>
      <c r="E124" s="79" t="s">
        <v>65</v>
      </c>
      <c r="F124" s="79" t="s">
        <v>187</v>
      </c>
      <c r="G124" s="93">
        <v>44289</v>
      </c>
      <c r="H124" s="82" t="s">
        <v>164</v>
      </c>
      <c r="I124" s="94">
        <f t="shared" si="7"/>
        <v>3637215</v>
      </c>
      <c r="J124" s="95">
        <v>0.4</v>
      </c>
      <c r="K124" s="96">
        <v>1454886</v>
      </c>
      <c r="L124" s="91">
        <v>0</v>
      </c>
      <c r="M124" s="87">
        <f t="shared" si="8"/>
        <v>1454886</v>
      </c>
      <c r="N124" s="36"/>
      <c r="O124" s="172" t="s">
        <v>158</v>
      </c>
    </row>
    <row r="125" spans="2:15" ht="18" customHeight="1">
      <c r="B125" s="76">
        <v>122</v>
      </c>
      <c r="C125" s="79" t="s">
        <v>67</v>
      </c>
      <c r="D125" s="79" t="s">
        <v>64</v>
      </c>
      <c r="E125" s="79" t="s">
        <v>65</v>
      </c>
      <c r="F125" s="79" t="s">
        <v>188</v>
      </c>
      <c r="G125" s="93">
        <v>44449</v>
      </c>
      <c r="H125" s="82" t="s">
        <v>164</v>
      </c>
      <c r="I125" s="94">
        <f t="shared" si="7"/>
        <v>17522963</v>
      </c>
      <c r="J125" s="95">
        <v>0.4</v>
      </c>
      <c r="K125" s="96">
        <v>7009185</v>
      </c>
      <c r="L125" s="100">
        <v>0</v>
      </c>
      <c r="M125" s="87">
        <f t="shared" si="8"/>
        <v>7009185</v>
      </c>
      <c r="N125" s="36"/>
      <c r="O125" s="172" t="s">
        <v>158</v>
      </c>
    </row>
    <row r="126" spans="2:15" ht="18" customHeight="1">
      <c r="L126" s="174"/>
    </row>
  </sheetData>
  <autoFilter ref="B4:O125" xr:uid="{00000000-0001-0000-0000-000000000000}"/>
  <phoneticPr fontId="1" type="noConversion"/>
  <pageMargins left="0.7" right="0.7" top="0.75" bottom="0.75" header="0.3" footer="0.3"/>
  <pageSetup paperSize="9" orientation="portrait" r:id="rId1"/>
  <ignoredErrors>
    <ignoredError sqref="L64 L14:L16 L96 L67 L81 L88" formula="1"/>
  </ignoredErrors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C3AC-4027-4D5A-B156-65E7F6DBE7EB}">
  <dimension ref="A1:P107"/>
  <sheetViews>
    <sheetView showGridLines="0" zoomScaleNormal="100" workbookViewId="0">
      <pane xSplit="7" ySplit="4" topLeftCell="H5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13.3984375" style="7" customWidth="1"/>
    <col min="4" max="5" width="8.59765625" style="7" customWidth="1"/>
    <col min="6" max="6" width="22.19921875" customWidth="1"/>
    <col min="7" max="7" width="28" customWidth="1"/>
    <col min="8" max="10" width="13.59765625" customWidth="1"/>
    <col min="11" max="11" width="13.59765625" style="7" customWidth="1"/>
    <col min="12" max="14" width="13.59765625" customWidth="1"/>
    <col min="15" max="15" width="37.59765625" style="18" customWidth="1"/>
    <col min="16" max="16" width="43" customWidth="1"/>
    <col min="17" max="17" width="28.19921875" customWidth="1"/>
  </cols>
  <sheetData>
    <row r="1" spans="2:16" ht="16.5" customHeight="1"/>
    <row r="2" spans="2:16" ht="30" customHeight="1" thickBot="1">
      <c r="B2" s="4" t="s">
        <v>112</v>
      </c>
      <c r="C2" s="4"/>
      <c r="D2" s="4"/>
      <c r="E2" s="4"/>
      <c r="F2" s="4"/>
      <c r="K2"/>
    </row>
    <row r="3" spans="2:16" s="6" customFormat="1" ht="16.8" thickTop="1" thickBot="1">
      <c r="B3" s="8"/>
      <c r="C3" s="8"/>
      <c r="D3" s="8"/>
      <c r="E3" s="8"/>
      <c r="K3" s="8"/>
      <c r="L3" s="14">
        <f>SUM(L5:L439)</f>
        <v>435873286.76838708</v>
      </c>
      <c r="M3" s="14">
        <f>SUM(M5:M439)</f>
        <v>41288477.984670952</v>
      </c>
      <c r="N3" s="14">
        <f>SUM(N5:N4939)</f>
        <v>394561764.7837162</v>
      </c>
      <c r="O3" s="19"/>
    </row>
    <row r="4" spans="2:16" s="9" customFormat="1" ht="24" customHeight="1" thickBot="1">
      <c r="B4" s="10" t="s">
        <v>7</v>
      </c>
      <c r="C4" s="15" t="s">
        <v>92</v>
      </c>
      <c r="D4" s="1" t="s">
        <v>76</v>
      </c>
      <c r="E4" s="3" t="s">
        <v>3</v>
      </c>
      <c r="F4" s="1" t="s">
        <v>0</v>
      </c>
      <c r="G4" s="2" t="s">
        <v>4</v>
      </c>
      <c r="H4" s="3" t="s">
        <v>5</v>
      </c>
      <c r="I4" s="3" t="s">
        <v>6</v>
      </c>
      <c r="J4" s="3" t="s">
        <v>2</v>
      </c>
      <c r="K4" s="5" t="s">
        <v>1</v>
      </c>
      <c r="L4" s="5" t="s">
        <v>88</v>
      </c>
      <c r="M4" s="17" t="s">
        <v>75</v>
      </c>
      <c r="N4" s="16" t="s">
        <v>83</v>
      </c>
      <c r="O4" s="20" t="s">
        <v>82</v>
      </c>
      <c r="P4" s="11" t="s">
        <v>101</v>
      </c>
    </row>
    <row r="5" spans="2:16" ht="18" customHeight="1">
      <c r="B5" s="129">
        <v>1</v>
      </c>
      <c r="C5" s="156" t="s">
        <v>143</v>
      </c>
      <c r="D5" s="131" t="s">
        <v>24</v>
      </c>
      <c r="E5" s="131" t="s">
        <v>9</v>
      </c>
      <c r="F5" s="131" t="s">
        <v>114</v>
      </c>
      <c r="G5" s="157" t="s">
        <v>42</v>
      </c>
      <c r="H5" s="158">
        <v>44114</v>
      </c>
      <c r="I5" s="130" t="s">
        <v>113</v>
      </c>
      <c r="J5" s="159">
        <v>312630</v>
      </c>
      <c r="K5" s="160">
        <v>0.8</v>
      </c>
      <c r="L5" s="153">
        <v>250104</v>
      </c>
      <c r="M5" s="144">
        <f>L5*10%</f>
        <v>25010.400000000001</v>
      </c>
      <c r="N5" s="154">
        <f t="shared" ref="N5:N15" si="0">L5-M5</f>
        <v>225093.6</v>
      </c>
      <c r="O5" s="72" t="s">
        <v>85</v>
      </c>
      <c r="P5" s="12"/>
    </row>
    <row r="6" spans="2:16" ht="18" customHeight="1">
      <c r="B6" s="129">
        <v>2</v>
      </c>
      <c r="C6" s="130" t="s">
        <v>134</v>
      </c>
      <c r="D6" s="131" t="s">
        <v>24</v>
      </c>
      <c r="E6" s="131" t="s">
        <v>9</v>
      </c>
      <c r="F6" s="131" t="s">
        <v>114</v>
      </c>
      <c r="G6" s="132" t="s">
        <v>29</v>
      </c>
      <c r="H6" s="133">
        <v>44122</v>
      </c>
      <c r="I6" s="130" t="s">
        <v>113</v>
      </c>
      <c r="J6" s="168">
        <v>239118</v>
      </c>
      <c r="K6" s="135">
        <v>0.8</v>
      </c>
      <c r="L6" s="153">
        <v>191294</v>
      </c>
      <c r="M6" s="153">
        <f>L6*10%</f>
        <v>19129.400000000001</v>
      </c>
      <c r="N6" s="154">
        <f t="shared" si="0"/>
        <v>172164.6</v>
      </c>
      <c r="O6" s="21"/>
      <c r="P6" s="12"/>
    </row>
    <row r="7" spans="2:16" ht="18" customHeight="1">
      <c r="B7" s="129">
        <v>3</v>
      </c>
      <c r="C7" s="130" t="s">
        <v>133</v>
      </c>
      <c r="D7" s="131" t="s">
        <v>24</v>
      </c>
      <c r="E7" s="131" t="s">
        <v>9</v>
      </c>
      <c r="F7" s="131" t="s">
        <v>114</v>
      </c>
      <c r="G7" s="132" t="s">
        <v>28</v>
      </c>
      <c r="H7" s="133">
        <v>44250</v>
      </c>
      <c r="I7" s="130" t="s">
        <v>113</v>
      </c>
      <c r="J7" s="152">
        <v>322520</v>
      </c>
      <c r="K7" s="135">
        <v>0.8</v>
      </c>
      <c r="L7" s="153">
        <v>258016</v>
      </c>
      <c r="M7" s="153">
        <f>L7*12%</f>
        <v>30961.919999999998</v>
      </c>
      <c r="N7" s="154">
        <f t="shared" si="0"/>
        <v>227054.08000000002</v>
      </c>
      <c r="O7" s="23"/>
      <c r="P7" s="13" t="s">
        <v>160</v>
      </c>
    </row>
    <row r="8" spans="2:16" ht="18" customHeight="1">
      <c r="B8" s="129">
        <v>4</v>
      </c>
      <c r="C8" s="130" t="s">
        <v>134</v>
      </c>
      <c r="D8" s="131" t="s">
        <v>24</v>
      </c>
      <c r="E8" s="131" t="s">
        <v>9</v>
      </c>
      <c r="F8" s="131" t="s">
        <v>114</v>
      </c>
      <c r="G8" s="132" t="s">
        <v>30</v>
      </c>
      <c r="H8" s="133">
        <v>44265</v>
      </c>
      <c r="I8" s="130" t="s">
        <v>113</v>
      </c>
      <c r="J8" s="152">
        <v>591180</v>
      </c>
      <c r="K8" s="135">
        <v>0.8</v>
      </c>
      <c r="L8" s="153">
        <v>472944</v>
      </c>
      <c r="M8" s="153">
        <f>L8*10%</f>
        <v>47294.400000000001</v>
      </c>
      <c r="N8" s="154">
        <f t="shared" si="0"/>
        <v>425649.6</v>
      </c>
      <c r="O8" s="21"/>
      <c r="P8" s="12"/>
    </row>
    <row r="9" spans="2:16" ht="18" customHeight="1">
      <c r="B9" s="76">
        <v>5</v>
      </c>
      <c r="C9" s="82" t="s">
        <v>134</v>
      </c>
      <c r="D9" s="78" t="s">
        <v>24</v>
      </c>
      <c r="E9" s="78" t="s">
        <v>9</v>
      </c>
      <c r="F9" s="78" t="s">
        <v>114</v>
      </c>
      <c r="G9" s="98" t="s">
        <v>43</v>
      </c>
      <c r="H9" s="88">
        <v>44327</v>
      </c>
      <c r="I9" s="82" t="s">
        <v>113</v>
      </c>
      <c r="J9" s="126">
        <v>1712101</v>
      </c>
      <c r="K9" s="99">
        <v>0.8</v>
      </c>
      <c r="L9" s="127">
        <v>1369680</v>
      </c>
      <c r="M9" s="86">
        <f>L9*10%</f>
        <v>136968</v>
      </c>
      <c r="N9" s="87">
        <f t="shared" si="0"/>
        <v>1232712</v>
      </c>
      <c r="O9" s="23"/>
      <c r="P9" s="12" t="s">
        <v>158</v>
      </c>
    </row>
    <row r="10" spans="2:16" ht="18" customHeight="1">
      <c r="B10" s="129">
        <v>6</v>
      </c>
      <c r="C10" s="130" t="s">
        <v>150</v>
      </c>
      <c r="D10" s="131" t="s">
        <v>78</v>
      </c>
      <c r="E10" s="131" t="s">
        <v>9</v>
      </c>
      <c r="F10" s="131" t="s">
        <v>8</v>
      </c>
      <c r="G10" s="132" t="s">
        <v>11</v>
      </c>
      <c r="H10" s="133">
        <v>44308</v>
      </c>
      <c r="I10" s="130" t="s">
        <v>116</v>
      </c>
      <c r="J10" s="152">
        <v>6711389.2999999998</v>
      </c>
      <c r="K10" s="135">
        <v>0.59999991357974125</v>
      </c>
      <c r="L10" s="153">
        <v>4026833</v>
      </c>
      <c r="M10" s="153">
        <v>0</v>
      </c>
      <c r="N10" s="154">
        <f t="shared" si="0"/>
        <v>4026833</v>
      </c>
      <c r="O10" s="23"/>
      <c r="P10" s="12"/>
    </row>
    <row r="11" spans="2:16" ht="18" customHeight="1">
      <c r="B11" s="129">
        <v>7</v>
      </c>
      <c r="C11" s="130" t="s">
        <v>134</v>
      </c>
      <c r="D11" s="131" t="s">
        <v>78</v>
      </c>
      <c r="E11" s="131" t="s">
        <v>9</v>
      </c>
      <c r="F11" s="131" t="s">
        <v>8</v>
      </c>
      <c r="G11" s="132" t="s">
        <v>10</v>
      </c>
      <c r="H11" s="133">
        <v>44309</v>
      </c>
      <c r="I11" s="130" t="s">
        <v>116</v>
      </c>
      <c r="J11" s="152">
        <v>95639957.200000003</v>
      </c>
      <c r="K11" s="135">
        <v>0.59999999665411807</v>
      </c>
      <c r="L11" s="153">
        <v>57383974</v>
      </c>
      <c r="M11" s="153">
        <f>L11*10%</f>
        <v>5738397.4000000004</v>
      </c>
      <c r="N11" s="137">
        <f t="shared" si="0"/>
        <v>51645576.600000001</v>
      </c>
      <c r="O11" s="23"/>
      <c r="P11" s="13"/>
    </row>
    <row r="12" spans="2:16" ht="18" customHeight="1">
      <c r="B12" s="129">
        <v>8</v>
      </c>
      <c r="C12" s="130" t="s">
        <v>134</v>
      </c>
      <c r="D12" s="131" t="s">
        <v>78</v>
      </c>
      <c r="E12" s="131" t="s">
        <v>9</v>
      </c>
      <c r="F12" s="131" t="s">
        <v>8</v>
      </c>
      <c r="G12" s="132" t="s">
        <v>12</v>
      </c>
      <c r="H12" s="133">
        <v>44240</v>
      </c>
      <c r="I12" s="130" t="s">
        <v>116</v>
      </c>
      <c r="J12" s="170">
        <v>396784</v>
      </c>
      <c r="K12" s="135">
        <v>0.59999899189483452</v>
      </c>
      <c r="L12" s="153">
        <v>238070</v>
      </c>
      <c r="M12" s="153">
        <f>L12*10%</f>
        <v>23807</v>
      </c>
      <c r="N12" s="166">
        <f t="shared" si="0"/>
        <v>214263</v>
      </c>
      <c r="O12" s="23"/>
      <c r="P12" s="12"/>
    </row>
    <row r="13" spans="2:16" ht="18" customHeight="1">
      <c r="B13" s="129">
        <v>9</v>
      </c>
      <c r="C13" s="130" t="s">
        <v>134</v>
      </c>
      <c r="D13" s="131" t="s">
        <v>78</v>
      </c>
      <c r="E13" s="131" t="s">
        <v>9</v>
      </c>
      <c r="F13" s="131" t="s">
        <v>8</v>
      </c>
      <c r="G13" s="132" t="s">
        <v>17</v>
      </c>
      <c r="H13" s="133">
        <v>44391</v>
      </c>
      <c r="I13" s="130" t="s">
        <v>116</v>
      </c>
      <c r="J13" s="134">
        <v>68762202.700000003</v>
      </c>
      <c r="K13" s="135">
        <v>0.60000000552629185</v>
      </c>
      <c r="L13" s="153">
        <v>41257322</v>
      </c>
      <c r="M13" s="153">
        <f>L13*12%</f>
        <v>4950878.6399999997</v>
      </c>
      <c r="N13" s="166">
        <f t="shared" si="0"/>
        <v>36306443.359999999</v>
      </c>
      <c r="O13" s="23" t="s">
        <v>157</v>
      </c>
      <c r="P13" s="167" t="s">
        <v>161</v>
      </c>
    </row>
    <row r="14" spans="2:16" ht="18" customHeight="1">
      <c r="B14" s="76">
        <v>10</v>
      </c>
      <c r="C14" s="82" t="s">
        <v>140</v>
      </c>
      <c r="D14" s="78" t="s">
        <v>78</v>
      </c>
      <c r="E14" s="78" t="s">
        <v>115</v>
      </c>
      <c r="F14" s="78" t="s">
        <v>8</v>
      </c>
      <c r="G14" s="98" t="s">
        <v>40</v>
      </c>
      <c r="H14" s="88">
        <v>44428</v>
      </c>
      <c r="I14" s="82" t="s">
        <v>116</v>
      </c>
      <c r="J14" s="89">
        <v>366697.2</v>
      </c>
      <c r="K14" s="99">
        <v>0.69999989091817438</v>
      </c>
      <c r="L14" s="91">
        <v>256688</v>
      </c>
      <c r="M14" s="100">
        <f>L14*10%</f>
        <v>25668.800000000003</v>
      </c>
      <c r="N14" s="101">
        <f t="shared" si="0"/>
        <v>231019.2</v>
      </c>
      <c r="O14" s="73"/>
      <c r="P14" s="12" t="s">
        <v>158</v>
      </c>
    </row>
    <row r="15" spans="2:16" ht="18" customHeight="1">
      <c r="B15" s="76">
        <v>11</v>
      </c>
      <c r="C15" s="82" t="s">
        <v>145</v>
      </c>
      <c r="D15" s="78" t="s">
        <v>78</v>
      </c>
      <c r="E15" s="78" t="s">
        <v>115</v>
      </c>
      <c r="F15" s="78" t="s">
        <v>117</v>
      </c>
      <c r="G15" s="98" t="s">
        <v>19</v>
      </c>
      <c r="H15" s="88">
        <v>44300</v>
      </c>
      <c r="I15" s="82" t="s">
        <v>113</v>
      </c>
      <c r="J15" s="89">
        <v>1423752</v>
      </c>
      <c r="K15" s="99">
        <v>0.70042279835252208</v>
      </c>
      <c r="L15" s="91">
        <v>997228.36</v>
      </c>
      <c r="M15" s="100">
        <v>0</v>
      </c>
      <c r="N15" s="101">
        <f t="shared" si="0"/>
        <v>997228.36</v>
      </c>
      <c r="O15" s="73"/>
      <c r="P15" s="12" t="s">
        <v>158</v>
      </c>
    </row>
    <row r="16" spans="2:16" ht="18" customHeight="1">
      <c r="B16" s="129">
        <v>12</v>
      </c>
      <c r="C16" s="130" t="s">
        <v>155</v>
      </c>
      <c r="D16" s="131" t="s">
        <v>78</v>
      </c>
      <c r="E16" s="131" t="s">
        <v>9</v>
      </c>
      <c r="F16" s="131" t="s">
        <v>118</v>
      </c>
      <c r="G16" s="132" t="s">
        <v>36</v>
      </c>
      <c r="H16" s="133">
        <v>43810</v>
      </c>
      <c r="I16" s="130" t="s">
        <v>116</v>
      </c>
      <c r="J16" s="134">
        <v>2355480</v>
      </c>
      <c r="K16" s="135" t="s">
        <v>119</v>
      </c>
      <c r="L16" s="136">
        <v>940410</v>
      </c>
      <c r="M16" s="136">
        <v>0</v>
      </c>
      <c r="N16" s="137">
        <f>L16-M16</f>
        <v>940410</v>
      </c>
      <c r="O16" s="21"/>
      <c r="P16" s="12"/>
    </row>
    <row r="17" spans="1:16" ht="18" customHeight="1">
      <c r="B17" s="129">
        <v>13</v>
      </c>
      <c r="C17" s="130" t="s">
        <v>155</v>
      </c>
      <c r="D17" s="131" t="s">
        <v>78</v>
      </c>
      <c r="E17" s="131" t="s">
        <v>9</v>
      </c>
      <c r="F17" s="131" t="s">
        <v>118</v>
      </c>
      <c r="G17" s="131" t="s">
        <v>139</v>
      </c>
      <c r="H17" s="133">
        <v>43852</v>
      </c>
      <c r="I17" s="130" t="s">
        <v>116</v>
      </c>
      <c r="J17" s="134">
        <v>145800</v>
      </c>
      <c r="K17" s="135" t="s">
        <v>119</v>
      </c>
      <c r="L17" s="136">
        <v>58968</v>
      </c>
      <c r="M17" s="136">
        <v>0</v>
      </c>
      <c r="N17" s="137">
        <f>L17-M17</f>
        <v>58968</v>
      </c>
      <c r="O17" s="21"/>
      <c r="P17" s="12"/>
    </row>
    <row r="18" spans="1:16" ht="18" customHeight="1">
      <c r="B18" s="76">
        <v>14</v>
      </c>
      <c r="C18" s="82" t="s">
        <v>145</v>
      </c>
      <c r="D18" s="78" t="s">
        <v>78</v>
      </c>
      <c r="E18" s="78" t="s">
        <v>115</v>
      </c>
      <c r="F18" s="78" t="s">
        <v>118</v>
      </c>
      <c r="G18" s="78" t="s">
        <v>19</v>
      </c>
      <c r="H18" s="88">
        <v>44328</v>
      </c>
      <c r="I18" s="82" t="s">
        <v>116</v>
      </c>
      <c r="J18" s="89">
        <v>1471860</v>
      </c>
      <c r="K18" s="99" t="s">
        <v>120</v>
      </c>
      <c r="L18" s="91">
        <v>692442</v>
      </c>
      <c r="M18" s="91">
        <v>0</v>
      </c>
      <c r="N18" s="101">
        <f t="shared" ref="N18:N29" si="1">L18-M18</f>
        <v>692442</v>
      </c>
      <c r="O18" s="21"/>
      <c r="P18" s="12" t="s">
        <v>158</v>
      </c>
    </row>
    <row r="19" spans="1:16" ht="18" customHeight="1">
      <c r="B19" s="76">
        <v>15</v>
      </c>
      <c r="C19" s="82" t="s">
        <v>145</v>
      </c>
      <c r="D19" s="78" t="s">
        <v>78</v>
      </c>
      <c r="E19" s="78" t="s">
        <v>115</v>
      </c>
      <c r="F19" s="78" t="s">
        <v>21</v>
      </c>
      <c r="G19" s="78" t="s">
        <v>19</v>
      </c>
      <c r="H19" s="88">
        <v>44328</v>
      </c>
      <c r="I19" s="82" t="s">
        <v>116</v>
      </c>
      <c r="J19" s="89">
        <v>133500</v>
      </c>
      <c r="K19" s="99">
        <v>0.7</v>
      </c>
      <c r="L19" s="91">
        <v>93450</v>
      </c>
      <c r="M19" s="91">
        <v>0</v>
      </c>
      <c r="N19" s="101">
        <f t="shared" si="1"/>
        <v>93450</v>
      </c>
      <c r="O19" s="21"/>
      <c r="P19" s="12" t="s">
        <v>158</v>
      </c>
    </row>
    <row r="20" spans="1:16" ht="18" customHeight="1">
      <c r="A20" s="128"/>
      <c r="B20" s="129">
        <v>16</v>
      </c>
      <c r="C20" s="149" t="s">
        <v>133</v>
      </c>
      <c r="D20" s="131" t="s">
        <v>66</v>
      </c>
      <c r="E20" s="131" t="s">
        <v>64</v>
      </c>
      <c r="F20" s="131" t="s">
        <v>122</v>
      </c>
      <c r="G20" s="131" t="s">
        <v>28</v>
      </c>
      <c r="H20" s="133">
        <v>44235</v>
      </c>
      <c r="I20" s="130" t="s">
        <v>116</v>
      </c>
      <c r="J20" s="134">
        <v>1111953</v>
      </c>
      <c r="K20" s="135">
        <v>0.4</v>
      </c>
      <c r="L20" s="136">
        <v>444781</v>
      </c>
      <c r="M20" s="153">
        <f>L20*12%</f>
        <v>53373.72</v>
      </c>
      <c r="N20" s="154">
        <f t="shared" si="1"/>
        <v>391407.28</v>
      </c>
      <c r="O20" s="21"/>
      <c r="P20" s="13" t="s">
        <v>160</v>
      </c>
    </row>
    <row r="21" spans="1:16" ht="18" customHeight="1">
      <c r="B21" s="129">
        <v>17</v>
      </c>
      <c r="C21" s="161" t="s">
        <v>143</v>
      </c>
      <c r="D21" s="131" t="s">
        <v>66</v>
      </c>
      <c r="E21" s="131" t="s">
        <v>64</v>
      </c>
      <c r="F21" s="131" t="s">
        <v>122</v>
      </c>
      <c r="G21" s="131" t="s">
        <v>42</v>
      </c>
      <c r="H21" s="133">
        <v>44198</v>
      </c>
      <c r="I21" s="130" t="s">
        <v>116</v>
      </c>
      <c r="J21" s="134">
        <v>1002700</v>
      </c>
      <c r="K21" s="135">
        <v>0.4</v>
      </c>
      <c r="L21" s="136">
        <v>401080</v>
      </c>
      <c r="M21" s="144">
        <f>L21*10%</f>
        <v>40108</v>
      </c>
      <c r="N21" s="154">
        <f t="shared" si="1"/>
        <v>360972</v>
      </c>
      <c r="O21" s="72" t="s">
        <v>85</v>
      </c>
      <c r="P21" s="13"/>
    </row>
    <row r="22" spans="1:16" ht="18" customHeight="1">
      <c r="B22" s="76">
        <v>18</v>
      </c>
      <c r="C22" s="98" t="s">
        <v>145</v>
      </c>
      <c r="D22" s="78" t="s">
        <v>66</v>
      </c>
      <c r="E22" s="78" t="s">
        <v>64</v>
      </c>
      <c r="F22" s="78" t="s">
        <v>122</v>
      </c>
      <c r="G22" s="78" t="s">
        <v>53</v>
      </c>
      <c r="H22" s="88">
        <v>44288</v>
      </c>
      <c r="I22" s="82" t="s">
        <v>116</v>
      </c>
      <c r="J22" s="89">
        <v>354593</v>
      </c>
      <c r="K22" s="99">
        <v>0.4</v>
      </c>
      <c r="L22" s="91">
        <v>141837</v>
      </c>
      <c r="M22" s="91">
        <v>0</v>
      </c>
      <c r="N22" s="92">
        <f t="shared" si="1"/>
        <v>141837</v>
      </c>
      <c r="O22" s="21"/>
      <c r="P22" s="12" t="s">
        <v>158</v>
      </c>
    </row>
    <row r="23" spans="1:16" ht="18" customHeight="1">
      <c r="B23" s="76">
        <v>19</v>
      </c>
      <c r="C23" s="82" t="s">
        <v>145</v>
      </c>
      <c r="D23" s="78" t="s">
        <v>66</v>
      </c>
      <c r="E23" s="78" t="s">
        <v>64</v>
      </c>
      <c r="F23" s="78" t="s">
        <v>122</v>
      </c>
      <c r="G23" s="78" t="s">
        <v>63</v>
      </c>
      <c r="H23" s="88">
        <v>44289</v>
      </c>
      <c r="I23" s="82" t="s">
        <v>116</v>
      </c>
      <c r="J23" s="89">
        <v>1525270</v>
      </c>
      <c r="K23" s="99">
        <v>0.4</v>
      </c>
      <c r="L23" s="91">
        <v>610108</v>
      </c>
      <c r="M23" s="91">
        <v>0</v>
      </c>
      <c r="N23" s="92">
        <f t="shared" si="1"/>
        <v>610108</v>
      </c>
      <c r="O23" s="21"/>
      <c r="P23" s="12" t="s">
        <v>158</v>
      </c>
    </row>
    <row r="24" spans="1:16" ht="18" customHeight="1">
      <c r="B24" s="103">
        <v>20</v>
      </c>
      <c r="C24" s="104" t="s">
        <v>133</v>
      </c>
      <c r="D24" s="105" t="s">
        <v>66</v>
      </c>
      <c r="E24" s="105" t="s">
        <v>64</v>
      </c>
      <c r="F24" s="105" t="s">
        <v>122</v>
      </c>
      <c r="G24" s="105" t="s">
        <v>54</v>
      </c>
      <c r="H24" s="107">
        <v>44246</v>
      </c>
      <c r="I24" s="104" t="s">
        <v>116</v>
      </c>
      <c r="J24" s="108">
        <v>389315</v>
      </c>
      <c r="K24" s="109">
        <v>0.4</v>
      </c>
      <c r="L24" s="110">
        <v>155726</v>
      </c>
      <c r="M24" s="120">
        <f>L24*10%</f>
        <v>15572.6</v>
      </c>
      <c r="N24" s="124">
        <f t="shared" si="1"/>
        <v>140153.4</v>
      </c>
      <c r="O24" s="21"/>
      <c r="P24" s="13" t="s">
        <v>159</v>
      </c>
    </row>
    <row r="25" spans="1:16" ht="18" customHeight="1">
      <c r="B25" s="76">
        <v>21</v>
      </c>
      <c r="C25" s="82" t="s">
        <v>149</v>
      </c>
      <c r="D25" s="78" t="s">
        <v>66</v>
      </c>
      <c r="E25" s="78" t="s">
        <v>64</v>
      </c>
      <c r="F25" s="78" t="s">
        <v>122</v>
      </c>
      <c r="G25" s="78" t="s">
        <v>121</v>
      </c>
      <c r="H25" s="88">
        <v>44415</v>
      </c>
      <c r="I25" s="82" t="s">
        <v>116</v>
      </c>
      <c r="J25" s="89">
        <v>1504310</v>
      </c>
      <c r="K25" s="99">
        <v>0.4</v>
      </c>
      <c r="L25" s="91">
        <v>601724</v>
      </c>
      <c r="M25" s="91">
        <v>0</v>
      </c>
      <c r="N25" s="92">
        <f t="shared" si="1"/>
        <v>601724</v>
      </c>
      <c r="O25" s="21"/>
      <c r="P25" s="12" t="s">
        <v>158</v>
      </c>
    </row>
    <row r="26" spans="1:16" ht="18" customHeight="1">
      <c r="B26" s="129">
        <v>22</v>
      </c>
      <c r="C26" s="130" t="s">
        <v>133</v>
      </c>
      <c r="D26" s="131" t="s">
        <v>123</v>
      </c>
      <c r="E26" s="131" t="s">
        <v>9</v>
      </c>
      <c r="F26" s="131" t="s">
        <v>122</v>
      </c>
      <c r="G26" s="131" t="s">
        <v>28</v>
      </c>
      <c r="H26" s="133">
        <v>44105</v>
      </c>
      <c r="I26" s="130" t="s">
        <v>116</v>
      </c>
      <c r="J26" s="134">
        <v>1371405</v>
      </c>
      <c r="K26" s="135">
        <v>0.4</v>
      </c>
      <c r="L26" s="136">
        <v>548562</v>
      </c>
      <c r="M26" s="153">
        <f>L26*12%</f>
        <v>65827.44</v>
      </c>
      <c r="N26" s="154">
        <f t="shared" si="1"/>
        <v>482734.56</v>
      </c>
      <c r="O26" s="21"/>
      <c r="P26" s="12"/>
    </row>
    <row r="27" spans="1:16" ht="18" customHeight="1">
      <c r="B27" s="129">
        <v>23</v>
      </c>
      <c r="C27" s="130" t="s">
        <v>133</v>
      </c>
      <c r="D27" s="131" t="s">
        <v>123</v>
      </c>
      <c r="E27" s="131" t="s">
        <v>9</v>
      </c>
      <c r="F27" s="131" t="s">
        <v>122</v>
      </c>
      <c r="G27" s="131" t="s">
        <v>29</v>
      </c>
      <c r="H27" s="133">
        <v>44111</v>
      </c>
      <c r="I27" s="130" t="s">
        <v>116</v>
      </c>
      <c r="J27" s="134">
        <v>1663330</v>
      </c>
      <c r="K27" s="135">
        <v>0.4</v>
      </c>
      <c r="L27" s="136">
        <v>665332</v>
      </c>
      <c r="M27" s="153">
        <f>L27*10%</f>
        <v>66533.2</v>
      </c>
      <c r="N27" s="154">
        <f t="shared" si="1"/>
        <v>598798.80000000005</v>
      </c>
      <c r="O27" s="21"/>
      <c r="P27" s="12"/>
    </row>
    <row r="28" spans="1:16" ht="18" customHeight="1">
      <c r="B28" s="129">
        <v>24</v>
      </c>
      <c r="C28" s="130" t="s">
        <v>155</v>
      </c>
      <c r="D28" s="131" t="s">
        <v>123</v>
      </c>
      <c r="E28" s="131" t="s">
        <v>9</v>
      </c>
      <c r="F28" s="131" t="s">
        <v>122</v>
      </c>
      <c r="G28" s="131" t="s">
        <v>139</v>
      </c>
      <c r="H28" s="133">
        <v>43921</v>
      </c>
      <c r="I28" s="130" t="s">
        <v>116</v>
      </c>
      <c r="J28" s="134">
        <v>153105</v>
      </c>
      <c r="K28" s="135">
        <v>0.4</v>
      </c>
      <c r="L28" s="136">
        <v>61242</v>
      </c>
      <c r="M28" s="136">
        <v>0</v>
      </c>
      <c r="N28" s="137">
        <f t="shared" si="1"/>
        <v>61242</v>
      </c>
      <c r="O28" s="21"/>
      <c r="P28" s="12"/>
    </row>
    <row r="29" spans="1:16" ht="18" customHeight="1">
      <c r="B29" s="129">
        <v>25</v>
      </c>
      <c r="C29" s="130" t="s">
        <v>155</v>
      </c>
      <c r="D29" s="131" t="s">
        <v>123</v>
      </c>
      <c r="E29" s="131" t="s">
        <v>9</v>
      </c>
      <c r="F29" s="131" t="s">
        <v>122</v>
      </c>
      <c r="G29" s="131" t="s">
        <v>36</v>
      </c>
      <c r="H29" s="133">
        <v>43941</v>
      </c>
      <c r="I29" s="130" t="s">
        <v>116</v>
      </c>
      <c r="J29" s="134">
        <v>2272498</v>
      </c>
      <c r="K29" s="135">
        <v>0.4</v>
      </c>
      <c r="L29" s="136">
        <v>908999</v>
      </c>
      <c r="M29" s="136">
        <v>0</v>
      </c>
      <c r="N29" s="137">
        <f t="shared" si="1"/>
        <v>908999</v>
      </c>
      <c r="O29" s="21"/>
      <c r="P29" s="12"/>
    </row>
    <row r="30" spans="1:16" ht="18" customHeight="1">
      <c r="B30" s="129">
        <v>26</v>
      </c>
      <c r="C30" s="149" t="s">
        <v>134</v>
      </c>
      <c r="D30" s="131" t="s">
        <v>123</v>
      </c>
      <c r="E30" s="131" t="s">
        <v>64</v>
      </c>
      <c r="F30" s="131" t="s">
        <v>122</v>
      </c>
      <c r="G30" s="131" t="s">
        <v>30</v>
      </c>
      <c r="H30" s="133">
        <v>44258</v>
      </c>
      <c r="I30" s="130" t="s">
        <v>116</v>
      </c>
      <c r="J30" s="134">
        <v>3041200</v>
      </c>
      <c r="K30" s="135">
        <v>0.4</v>
      </c>
      <c r="L30" s="136">
        <v>1216480</v>
      </c>
      <c r="M30" s="153">
        <f>L30*10%</f>
        <v>121648</v>
      </c>
      <c r="N30" s="154">
        <f t="shared" ref="N30:N40" si="2">L30-M30</f>
        <v>1094832</v>
      </c>
      <c r="O30" s="21"/>
      <c r="P30" s="12"/>
    </row>
    <row r="31" spans="1:16" ht="18" customHeight="1">
      <c r="B31" s="129">
        <v>27</v>
      </c>
      <c r="C31" s="161" t="s">
        <v>143</v>
      </c>
      <c r="D31" s="131" t="s">
        <v>123</v>
      </c>
      <c r="E31" s="131" t="s">
        <v>64</v>
      </c>
      <c r="F31" s="131" t="s">
        <v>122</v>
      </c>
      <c r="G31" s="131" t="s">
        <v>42</v>
      </c>
      <c r="H31" s="133">
        <v>44233</v>
      </c>
      <c r="I31" s="130" t="s">
        <v>116</v>
      </c>
      <c r="J31" s="134">
        <v>7475420</v>
      </c>
      <c r="K31" s="135">
        <v>0.4</v>
      </c>
      <c r="L31" s="136">
        <v>2990168</v>
      </c>
      <c r="M31" s="144">
        <f>L31*10%</f>
        <v>299016.8</v>
      </c>
      <c r="N31" s="154">
        <f t="shared" si="2"/>
        <v>2691151.2</v>
      </c>
      <c r="O31" s="72" t="s">
        <v>85</v>
      </c>
      <c r="P31" s="12"/>
    </row>
    <row r="32" spans="1:16" ht="18" customHeight="1">
      <c r="B32" s="103">
        <v>28</v>
      </c>
      <c r="C32" s="106" t="s">
        <v>133</v>
      </c>
      <c r="D32" s="105" t="s">
        <v>123</v>
      </c>
      <c r="E32" s="105" t="s">
        <v>64</v>
      </c>
      <c r="F32" s="105" t="s">
        <v>122</v>
      </c>
      <c r="G32" s="105" t="s">
        <v>54</v>
      </c>
      <c r="H32" s="107">
        <v>44254</v>
      </c>
      <c r="I32" s="104" t="s">
        <v>116</v>
      </c>
      <c r="J32" s="108">
        <v>1113163</v>
      </c>
      <c r="K32" s="109">
        <v>0.4</v>
      </c>
      <c r="L32" s="110">
        <v>445265</v>
      </c>
      <c r="M32" s="110">
        <f>L32*10%</f>
        <v>44526.5</v>
      </c>
      <c r="N32" s="111">
        <f t="shared" si="2"/>
        <v>400738.5</v>
      </c>
      <c r="O32" s="21"/>
      <c r="P32" s="12"/>
    </row>
    <row r="33" spans="2:16" ht="18" customHeight="1">
      <c r="B33" s="76">
        <v>29</v>
      </c>
      <c r="C33" s="98" t="s">
        <v>145</v>
      </c>
      <c r="D33" s="78" t="s">
        <v>123</v>
      </c>
      <c r="E33" s="78" t="s">
        <v>64</v>
      </c>
      <c r="F33" s="78" t="s">
        <v>122</v>
      </c>
      <c r="G33" s="78" t="s">
        <v>53</v>
      </c>
      <c r="H33" s="88">
        <v>44260</v>
      </c>
      <c r="I33" s="82" t="s">
        <v>116</v>
      </c>
      <c r="J33" s="89">
        <v>877333</v>
      </c>
      <c r="K33" s="99">
        <v>0.4</v>
      </c>
      <c r="L33" s="91">
        <v>350933</v>
      </c>
      <c r="M33" s="91">
        <v>0</v>
      </c>
      <c r="N33" s="92">
        <f t="shared" si="2"/>
        <v>350933</v>
      </c>
      <c r="O33" s="21"/>
      <c r="P33" s="12" t="s">
        <v>158</v>
      </c>
    </row>
    <row r="34" spans="2:16" ht="18" customHeight="1">
      <c r="B34" s="76">
        <v>30</v>
      </c>
      <c r="C34" s="82" t="s">
        <v>145</v>
      </c>
      <c r="D34" s="78" t="s">
        <v>123</v>
      </c>
      <c r="E34" s="78" t="s">
        <v>64</v>
      </c>
      <c r="F34" s="78" t="s">
        <v>122</v>
      </c>
      <c r="G34" s="78" t="s">
        <v>63</v>
      </c>
      <c r="H34" s="88">
        <v>44289</v>
      </c>
      <c r="I34" s="82" t="s">
        <v>116</v>
      </c>
      <c r="J34" s="89">
        <v>5127220</v>
      </c>
      <c r="K34" s="99">
        <v>0.4</v>
      </c>
      <c r="L34" s="91">
        <v>2050888</v>
      </c>
      <c r="M34" s="91">
        <v>0</v>
      </c>
      <c r="N34" s="92">
        <f t="shared" si="2"/>
        <v>2050888</v>
      </c>
      <c r="O34" s="21"/>
      <c r="P34" s="12" t="s">
        <v>158</v>
      </c>
    </row>
    <row r="35" spans="2:16" ht="18" customHeight="1">
      <c r="B35" s="129">
        <v>31</v>
      </c>
      <c r="C35" s="132" t="s">
        <v>143</v>
      </c>
      <c r="D35" s="131" t="s">
        <v>32</v>
      </c>
      <c r="E35" s="131" t="s">
        <v>9</v>
      </c>
      <c r="F35" s="131" t="s">
        <v>71</v>
      </c>
      <c r="G35" s="131" t="s">
        <v>42</v>
      </c>
      <c r="H35" s="133">
        <v>44354</v>
      </c>
      <c r="I35" s="130" t="s">
        <v>113</v>
      </c>
      <c r="J35" s="134">
        <v>63201531</v>
      </c>
      <c r="K35" s="150">
        <v>0.28000000000000003</v>
      </c>
      <c r="L35" s="136">
        <v>17696429</v>
      </c>
      <c r="M35" s="144">
        <f t="shared" ref="M35:M41" si="3">L35*10%</f>
        <v>1769642.9000000001</v>
      </c>
      <c r="N35" s="154">
        <f t="shared" si="2"/>
        <v>15926786.1</v>
      </c>
      <c r="O35" s="72" t="s">
        <v>85</v>
      </c>
      <c r="P35" s="12"/>
    </row>
    <row r="36" spans="2:16" ht="18" customHeight="1">
      <c r="B36" s="76">
        <v>32</v>
      </c>
      <c r="C36" s="82" t="s">
        <v>142</v>
      </c>
      <c r="D36" s="78" t="s">
        <v>78</v>
      </c>
      <c r="E36" s="78" t="s">
        <v>115</v>
      </c>
      <c r="F36" s="78" t="s">
        <v>44</v>
      </c>
      <c r="G36" s="78" t="s">
        <v>39</v>
      </c>
      <c r="H36" s="88">
        <v>44327</v>
      </c>
      <c r="I36" s="82" t="s">
        <v>116</v>
      </c>
      <c r="J36" s="89">
        <v>1593800</v>
      </c>
      <c r="K36" s="90" t="s">
        <v>124</v>
      </c>
      <c r="L36" s="91">
        <v>1109620</v>
      </c>
      <c r="M36" s="91">
        <f t="shared" si="3"/>
        <v>110962</v>
      </c>
      <c r="N36" s="92">
        <f t="shared" si="2"/>
        <v>998658</v>
      </c>
      <c r="O36" s="21"/>
      <c r="P36" s="12" t="s">
        <v>158</v>
      </c>
    </row>
    <row r="37" spans="2:16" ht="18" customHeight="1">
      <c r="B37" s="76">
        <v>33</v>
      </c>
      <c r="C37" s="82" t="s">
        <v>140</v>
      </c>
      <c r="D37" s="78" t="s">
        <v>78</v>
      </c>
      <c r="E37" s="78" t="s">
        <v>115</v>
      </c>
      <c r="F37" s="78" t="s">
        <v>44</v>
      </c>
      <c r="G37" s="78" t="s">
        <v>40</v>
      </c>
      <c r="H37" s="88">
        <v>44328</v>
      </c>
      <c r="I37" s="82" t="s">
        <v>116</v>
      </c>
      <c r="J37" s="89">
        <v>4289660</v>
      </c>
      <c r="K37" s="90" t="s">
        <v>124</v>
      </c>
      <c r="L37" s="91">
        <v>2988316</v>
      </c>
      <c r="M37" s="100">
        <f t="shared" si="3"/>
        <v>298831.60000000003</v>
      </c>
      <c r="N37" s="101">
        <f t="shared" si="2"/>
        <v>2689484.4</v>
      </c>
      <c r="O37" s="21"/>
      <c r="P37" s="12" t="s">
        <v>158</v>
      </c>
    </row>
    <row r="38" spans="2:16" ht="18" customHeight="1">
      <c r="B38" s="76">
        <v>34</v>
      </c>
      <c r="C38" s="82" t="s">
        <v>140</v>
      </c>
      <c r="D38" s="78" t="s">
        <v>78</v>
      </c>
      <c r="E38" s="78" t="s">
        <v>115</v>
      </c>
      <c r="F38" s="78" t="s">
        <v>44</v>
      </c>
      <c r="G38" s="78" t="s">
        <v>38</v>
      </c>
      <c r="H38" s="88">
        <v>44329</v>
      </c>
      <c r="I38" s="82" t="s">
        <v>116</v>
      </c>
      <c r="J38" s="89">
        <v>3270634</v>
      </c>
      <c r="K38" s="90" t="s">
        <v>124</v>
      </c>
      <c r="L38" s="91">
        <v>2274543</v>
      </c>
      <c r="M38" s="91">
        <f t="shared" si="3"/>
        <v>227454.30000000002</v>
      </c>
      <c r="N38" s="92">
        <f t="shared" si="2"/>
        <v>2047088.7</v>
      </c>
      <c r="O38" s="21"/>
      <c r="P38" s="12" t="s">
        <v>158</v>
      </c>
    </row>
    <row r="39" spans="2:16" ht="18" customHeight="1">
      <c r="B39" s="76">
        <v>35</v>
      </c>
      <c r="C39" s="82" t="s">
        <v>149</v>
      </c>
      <c r="D39" s="78" t="s">
        <v>78</v>
      </c>
      <c r="E39" s="78" t="s">
        <v>9</v>
      </c>
      <c r="F39" s="78" t="s">
        <v>44</v>
      </c>
      <c r="G39" s="78" t="s">
        <v>46</v>
      </c>
      <c r="H39" s="88">
        <v>44246</v>
      </c>
      <c r="I39" s="82" t="s">
        <v>116</v>
      </c>
      <c r="J39" s="89">
        <v>951040</v>
      </c>
      <c r="K39" s="90">
        <v>0.55000000000000004</v>
      </c>
      <c r="L39" s="91">
        <v>523072</v>
      </c>
      <c r="M39" s="91">
        <f t="shared" si="3"/>
        <v>52307.200000000004</v>
      </c>
      <c r="N39" s="92">
        <f t="shared" si="2"/>
        <v>470764.79999999999</v>
      </c>
      <c r="O39" s="21"/>
      <c r="P39" s="75" t="s">
        <v>158</v>
      </c>
    </row>
    <row r="40" spans="2:16" ht="18" customHeight="1">
      <c r="B40" s="76">
        <v>36</v>
      </c>
      <c r="C40" s="82" t="s">
        <v>149</v>
      </c>
      <c r="D40" s="78" t="s">
        <v>78</v>
      </c>
      <c r="E40" s="78" t="s">
        <v>9</v>
      </c>
      <c r="F40" s="78" t="s">
        <v>44</v>
      </c>
      <c r="G40" s="78" t="s">
        <v>47</v>
      </c>
      <c r="H40" s="88">
        <v>44152</v>
      </c>
      <c r="I40" s="82" t="s">
        <v>116</v>
      </c>
      <c r="J40" s="89">
        <v>921430</v>
      </c>
      <c r="K40" s="90">
        <v>0.55000000000000004</v>
      </c>
      <c r="L40" s="91">
        <v>506787</v>
      </c>
      <c r="M40" s="91">
        <f t="shared" si="3"/>
        <v>50678.700000000004</v>
      </c>
      <c r="N40" s="92">
        <f t="shared" si="2"/>
        <v>456108.3</v>
      </c>
      <c r="O40" s="21"/>
      <c r="P40" s="12" t="s">
        <v>158</v>
      </c>
    </row>
    <row r="41" spans="2:16" ht="18" customHeight="1">
      <c r="B41" s="76">
        <v>37</v>
      </c>
      <c r="C41" s="82" t="s">
        <v>134</v>
      </c>
      <c r="D41" s="78" t="s">
        <v>78</v>
      </c>
      <c r="E41" s="78" t="s">
        <v>9</v>
      </c>
      <c r="F41" s="78" t="s">
        <v>125</v>
      </c>
      <c r="G41" s="78" t="s">
        <v>43</v>
      </c>
      <c r="H41" s="88">
        <v>44268</v>
      </c>
      <c r="I41" s="82" t="s">
        <v>116</v>
      </c>
      <c r="J41" s="89">
        <v>26232645.917199999</v>
      </c>
      <c r="K41" s="90">
        <v>0.55000000000000004</v>
      </c>
      <c r="L41" s="91">
        <v>14427957</v>
      </c>
      <c r="M41" s="86">
        <f t="shared" si="3"/>
        <v>1442795.7000000002</v>
      </c>
      <c r="N41" s="87">
        <f t="shared" ref="N41:N46" si="4">L41-M41</f>
        <v>12985161.300000001</v>
      </c>
      <c r="O41" s="21"/>
      <c r="P41" s="12" t="s">
        <v>158</v>
      </c>
    </row>
    <row r="42" spans="2:16" ht="18" customHeight="1">
      <c r="B42" s="76">
        <v>38</v>
      </c>
      <c r="C42" s="98" t="s">
        <v>145</v>
      </c>
      <c r="D42" s="78" t="s">
        <v>78</v>
      </c>
      <c r="E42" s="78" t="s">
        <v>9</v>
      </c>
      <c r="F42" s="78" t="s">
        <v>126</v>
      </c>
      <c r="G42" s="78" t="s">
        <v>53</v>
      </c>
      <c r="H42" s="88">
        <v>44224</v>
      </c>
      <c r="I42" s="82" t="s">
        <v>116</v>
      </c>
      <c r="J42" s="89">
        <v>13213461</v>
      </c>
      <c r="K42" s="90">
        <v>0.55000000000000004</v>
      </c>
      <c r="L42" s="91">
        <v>7267404</v>
      </c>
      <c r="M42" s="91">
        <v>0</v>
      </c>
      <c r="N42" s="92">
        <f t="shared" si="4"/>
        <v>7267404</v>
      </c>
      <c r="O42" s="21"/>
      <c r="P42" s="12" t="s">
        <v>158</v>
      </c>
    </row>
    <row r="43" spans="2:16" ht="18" customHeight="1">
      <c r="B43" s="129">
        <v>39</v>
      </c>
      <c r="C43" s="130" t="s">
        <v>134</v>
      </c>
      <c r="D43" s="131" t="s">
        <v>78</v>
      </c>
      <c r="E43" s="131" t="s">
        <v>9</v>
      </c>
      <c r="F43" s="131" t="s">
        <v>126</v>
      </c>
      <c r="G43" s="131" t="s">
        <v>30</v>
      </c>
      <c r="H43" s="133">
        <v>44199</v>
      </c>
      <c r="I43" s="130" t="s">
        <v>116</v>
      </c>
      <c r="J43" s="134">
        <v>9153783.9540999997</v>
      </c>
      <c r="K43" s="150">
        <v>0.55000000000000004</v>
      </c>
      <c r="L43" s="136">
        <v>5034582</v>
      </c>
      <c r="M43" s="153">
        <v>103458</v>
      </c>
      <c r="N43" s="154">
        <f t="shared" si="4"/>
        <v>4931124</v>
      </c>
      <c r="O43" s="21" t="s">
        <v>106</v>
      </c>
      <c r="P43" s="12"/>
    </row>
    <row r="44" spans="2:16" ht="18" customHeight="1">
      <c r="B44" s="129">
        <v>40</v>
      </c>
      <c r="C44" s="130" t="s">
        <v>134</v>
      </c>
      <c r="D44" s="131" t="s">
        <v>78</v>
      </c>
      <c r="E44" s="131" t="s">
        <v>9</v>
      </c>
      <c r="F44" s="131" t="s">
        <v>126</v>
      </c>
      <c r="G44" s="131" t="s">
        <v>29</v>
      </c>
      <c r="H44" s="133">
        <v>44040</v>
      </c>
      <c r="I44" s="130" t="s">
        <v>116</v>
      </c>
      <c r="J44" s="134">
        <v>4586509</v>
      </c>
      <c r="K44" s="150">
        <v>0.55000000000000004</v>
      </c>
      <c r="L44" s="136">
        <v>2522581</v>
      </c>
      <c r="M44" s="153">
        <f>L44*10%</f>
        <v>252258.1</v>
      </c>
      <c r="N44" s="154">
        <f t="shared" si="4"/>
        <v>2270322.9</v>
      </c>
      <c r="O44" s="21"/>
      <c r="P44" s="12"/>
    </row>
    <row r="45" spans="2:16" ht="18" customHeight="1">
      <c r="B45" s="129">
        <v>41</v>
      </c>
      <c r="C45" s="130" t="s">
        <v>133</v>
      </c>
      <c r="D45" s="131" t="s">
        <v>78</v>
      </c>
      <c r="E45" s="131" t="s">
        <v>9</v>
      </c>
      <c r="F45" s="131" t="s">
        <v>126</v>
      </c>
      <c r="G45" s="131" t="s">
        <v>28</v>
      </c>
      <c r="H45" s="133">
        <v>43994</v>
      </c>
      <c r="I45" s="130" t="s">
        <v>116</v>
      </c>
      <c r="J45" s="134">
        <v>19563574</v>
      </c>
      <c r="K45" s="150">
        <v>0.55000000000000004</v>
      </c>
      <c r="L45" s="136">
        <v>10759968</v>
      </c>
      <c r="M45" s="153">
        <v>691196</v>
      </c>
      <c r="N45" s="154">
        <f t="shared" si="4"/>
        <v>10068772</v>
      </c>
      <c r="O45" s="21" t="s">
        <v>106</v>
      </c>
      <c r="P45" s="12"/>
    </row>
    <row r="46" spans="2:16" ht="18" customHeight="1">
      <c r="B46" s="103">
        <v>42</v>
      </c>
      <c r="C46" s="104" t="s">
        <v>134</v>
      </c>
      <c r="D46" s="105" t="s">
        <v>78</v>
      </c>
      <c r="E46" s="105" t="s">
        <v>9</v>
      </c>
      <c r="F46" s="105" t="s">
        <v>126</v>
      </c>
      <c r="G46" s="105" t="s">
        <v>54</v>
      </c>
      <c r="H46" s="107">
        <v>44098</v>
      </c>
      <c r="I46" s="104" t="s">
        <v>116</v>
      </c>
      <c r="J46" s="108">
        <v>1967310</v>
      </c>
      <c r="K46" s="118">
        <v>0.55000000000000004</v>
      </c>
      <c r="L46" s="110">
        <v>1082022</v>
      </c>
      <c r="M46" s="110">
        <f t="shared" ref="M46:M51" si="5">L46*10%</f>
        <v>108202.20000000001</v>
      </c>
      <c r="N46" s="111">
        <f t="shared" si="4"/>
        <v>973819.8</v>
      </c>
      <c r="O46" s="21"/>
      <c r="P46" s="12"/>
    </row>
    <row r="47" spans="2:16" ht="18" customHeight="1">
      <c r="B47" s="129">
        <v>43</v>
      </c>
      <c r="C47" s="149" t="s">
        <v>134</v>
      </c>
      <c r="D47" s="131" t="s">
        <v>78</v>
      </c>
      <c r="E47" s="131" t="s">
        <v>9</v>
      </c>
      <c r="F47" s="131" t="s">
        <v>126</v>
      </c>
      <c r="G47" s="131" t="s">
        <v>55</v>
      </c>
      <c r="H47" s="133">
        <v>44320</v>
      </c>
      <c r="I47" s="130" t="s">
        <v>116</v>
      </c>
      <c r="J47" s="134">
        <v>512720</v>
      </c>
      <c r="K47" s="150">
        <v>0.55000000000000004</v>
      </c>
      <c r="L47" s="136">
        <v>281996</v>
      </c>
      <c r="M47" s="136">
        <f t="shared" si="5"/>
        <v>28199.600000000002</v>
      </c>
      <c r="N47" s="137">
        <f>L47-M47</f>
        <v>253796.4</v>
      </c>
      <c r="O47" s="21"/>
      <c r="P47" s="13"/>
    </row>
    <row r="48" spans="2:16" ht="18" customHeight="1">
      <c r="B48" s="129">
        <v>44</v>
      </c>
      <c r="C48" s="162" t="s">
        <v>143</v>
      </c>
      <c r="D48" s="131" t="s">
        <v>78</v>
      </c>
      <c r="E48" s="131" t="s">
        <v>9</v>
      </c>
      <c r="F48" s="131" t="s">
        <v>126</v>
      </c>
      <c r="G48" s="131" t="s">
        <v>42</v>
      </c>
      <c r="H48" s="133">
        <v>44074</v>
      </c>
      <c r="I48" s="130" t="s">
        <v>116</v>
      </c>
      <c r="J48" s="134">
        <v>21291276.861399997</v>
      </c>
      <c r="K48" s="150">
        <v>0.55000000000000004</v>
      </c>
      <c r="L48" s="136">
        <v>11710202</v>
      </c>
      <c r="M48" s="144">
        <f t="shared" si="5"/>
        <v>1171020.2</v>
      </c>
      <c r="N48" s="154">
        <f t="shared" ref="N48:N60" si="6">L48-M48</f>
        <v>10539181.800000001</v>
      </c>
      <c r="O48" s="72" t="s">
        <v>144</v>
      </c>
      <c r="P48" s="12"/>
    </row>
    <row r="49" spans="2:16" ht="18" customHeight="1">
      <c r="B49" s="129">
        <v>45</v>
      </c>
      <c r="C49" s="130" t="s">
        <v>133</v>
      </c>
      <c r="D49" s="131" t="s">
        <v>78</v>
      </c>
      <c r="E49" s="131" t="s">
        <v>9</v>
      </c>
      <c r="F49" s="131" t="s">
        <v>126</v>
      </c>
      <c r="G49" s="131" t="s">
        <v>56</v>
      </c>
      <c r="H49" s="133">
        <v>44372</v>
      </c>
      <c r="I49" s="130" t="s">
        <v>116</v>
      </c>
      <c r="J49" s="134">
        <v>14383511.9541</v>
      </c>
      <c r="K49" s="150">
        <v>0.6</v>
      </c>
      <c r="L49" s="136">
        <v>8630107</v>
      </c>
      <c r="M49" s="136">
        <f t="shared" si="5"/>
        <v>863010.70000000007</v>
      </c>
      <c r="N49" s="137">
        <f t="shared" si="6"/>
        <v>7767096.2999999998</v>
      </c>
      <c r="O49" s="21"/>
      <c r="P49" s="13"/>
    </row>
    <row r="50" spans="2:16" ht="18" customHeight="1">
      <c r="B50" s="129">
        <v>46</v>
      </c>
      <c r="C50" s="130" t="s">
        <v>134</v>
      </c>
      <c r="D50" s="131" t="s">
        <v>78</v>
      </c>
      <c r="E50" s="131" t="s">
        <v>9</v>
      </c>
      <c r="F50" s="131" t="s">
        <v>126</v>
      </c>
      <c r="G50" s="131" t="s">
        <v>57</v>
      </c>
      <c r="H50" s="133">
        <v>44331</v>
      </c>
      <c r="I50" s="130" t="s">
        <v>116</v>
      </c>
      <c r="J50" s="134">
        <v>4970190</v>
      </c>
      <c r="K50" s="150">
        <v>0.55000000000000004</v>
      </c>
      <c r="L50" s="136">
        <v>2733605</v>
      </c>
      <c r="M50" s="136">
        <f t="shared" si="5"/>
        <v>273360.5</v>
      </c>
      <c r="N50" s="137">
        <f t="shared" si="6"/>
        <v>2460244.5</v>
      </c>
      <c r="O50" s="21"/>
      <c r="P50" s="12"/>
    </row>
    <row r="51" spans="2:16" ht="18" customHeight="1">
      <c r="B51" s="76">
        <v>47</v>
      </c>
      <c r="C51" s="82" t="s">
        <v>134</v>
      </c>
      <c r="D51" s="78" t="s">
        <v>78</v>
      </c>
      <c r="E51" s="78" t="s">
        <v>9</v>
      </c>
      <c r="F51" s="78" t="s">
        <v>126</v>
      </c>
      <c r="G51" s="78" t="s">
        <v>59</v>
      </c>
      <c r="H51" s="88">
        <v>44392</v>
      </c>
      <c r="I51" s="82" t="s">
        <v>116</v>
      </c>
      <c r="J51" s="89">
        <v>26163027.7247</v>
      </c>
      <c r="K51" s="90">
        <v>0.55000000000000004</v>
      </c>
      <c r="L51" s="91">
        <v>14389666</v>
      </c>
      <c r="M51" s="91">
        <f t="shared" si="5"/>
        <v>1438966.6</v>
      </c>
      <c r="N51" s="92">
        <f t="shared" si="6"/>
        <v>12950699.4</v>
      </c>
      <c r="O51" s="21"/>
      <c r="P51" s="12" t="s">
        <v>158</v>
      </c>
    </row>
    <row r="52" spans="2:16" ht="18" customHeight="1">
      <c r="B52" s="76">
        <v>48</v>
      </c>
      <c r="C52" s="82" t="s">
        <v>145</v>
      </c>
      <c r="D52" s="78" t="s">
        <v>78</v>
      </c>
      <c r="E52" s="78" t="s">
        <v>115</v>
      </c>
      <c r="F52" s="78" t="s">
        <v>126</v>
      </c>
      <c r="G52" s="78" t="s">
        <v>58</v>
      </c>
      <c r="H52" s="88">
        <v>44328</v>
      </c>
      <c r="I52" s="82" t="s">
        <v>116</v>
      </c>
      <c r="J52" s="89">
        <v>733580</v>
      </c>
      <c r="K52" s="90" t="s">
        <v>124</v>
      </c>
      <c r="L52" s="91">
        <v>509788</v>
      </c>
      <c r="M52" s="91">
        <v>0</v>
      </c>
      <c r="N52" s="101">
        <f t="shared" si="6"/>
        <v>509788</v>
      </c>
      <c r="O52" s="21"/>
      <c r="P52" s="12" t="s">
        <v>158</v>
      </c>
    </row>
    <row r="53" spans="2:16" ht="18" customHeight="1">
      <c r="B53" s="129">
        <v>49</v>
      </c>
      <c r="C53" s="162" t="s">
        <v>143</v>
      </c>
      <c r="D53" s="131" t="s">
        <v>128</v>
      </c>
      <c r="E53" s="131" t="s">
        <v>68</v>
      </c>
      <c r="F53" s="131" t="s">
        <v>127</v>
      </c>
      <c r="G53" s="131" t="s">
        <v>42</v>
      </c>
      <c r="H53" s="133">
        <v>44293</v>
      </c>
      <c r="I53" s="130" t="s">
        <v>113</v>
      </c>
      <c r="J53" s="134">
        <v>50508.725806451614</v>
      </c>
      <c r="K53" s="150">
        <v>0.5</v>
      </c>
      <c r="L53" s="136">
        <v>25254.362903225807</v>
      </c>
      <c r="M53" s="144">
        <f>L53*10%</f>
        <v>2525.436290322581</v>
      </c>
      <c r="N53" s="154">
        <f t="shared" si="6"/>
        <v>22728.926612903226</v>
      </c>
      <c r="O53" s="72" t="s">
        <v>85</v>
      </c>
      <c r="P53" s="12"/>
    </row>
    <row r="54" spans="2:16" ht="18" customHeight="1">
      <c r="B54" s="103">
        <v>50</v>
      </c>
      <c r="C54" s="104" t="s">
        <v>133</v>
      </c>
      <c r="D54" s="105" t="s">
        <v>128</v>
      </c>
      <c r="E54" s="105" t="s">
        <v>68</v>
      </c>
      <c r="F54" s="105" t="s">
        <v>127</v>
      </c>
      <c r="G54" s="105" t="s">
        <v>54</v>
      </c>
      <c r="H54" s="107">
        <v>44341</v>
      </c>
      <c r="I54" s="104" t="s">
        <v>113</v>
      </c>
      <c r="J54" s="108">
        <v>41828.707741935483</v>
      </c>
      <c r="K54" s="118">
        <v>0.5</v>
      </c>
      <c r="L54" s="110">
        <v>20914.353870967741</v>
      </c>
      <c r="M54" s="110">
        <f>L54*10%</f>
        <v>2091.4353870967743</v>
      </c>
      <c r="N54" s="111">
        <f t="shared" si="6"/>
        <v>18822.918483870966</v>
      </c>
      <c r="O54" s="21"/>
      <c r="P54" s="12"/>
    </row>
    <row r="55" spans="2:16" ht="18" customHeight="1">
      <c r="B55" s="129">
        <v>51</v>
      </c>
      <c r="C55" s="149" t="s">
        <v>133</v>
      </c>
      <c r="D55" s="131" t="s">
        <v>128</v>
      </c>
      <c r="E55" s="131" t="s">
        <v>68</v>
      </c>
      <c r="F55" s="131" t="s">
        <v>127</v>
      </c>
      <c r="G55" s="131" t="s">
        <v>28</v>
      </c>
      <c r="H55" s="133">
        <v>44291</v>
      </c>
      <c r="I55" s="130" t="s">
        <v>113</v>
      </c>
      <c r="J55" s="134">
        <v>35019.38322580645</v>
      </c>
      <c r="K55" s="150">
        <v>0.5</v>
      </c>
      <c r="L55" s="136">
        <v>17509.691612903225</v>
      </c>
      <c r="M55" s="153">
        <f>L55*12%</f>
        <v>2101.162993548387</v>
      </c>
      <c r="N55" s="154">
        <f t="shared" si="6"/>
        <v>15408.528619354838</v>
      </c>
      <c r="O55" s="21"/>
      <c r="P55" s="12"/>
    </row>
    <row r="56" spans="2:16" ht="18" customHeight="1">
      <c r="B56" s="129">
        <v>52</v>
      </c>
      <c r="C56" s="162" t="s">
        <v>143</v>
      </c>
      <c r="D56" s="163" t="s">
        <v>130</v>
      </c>
      <c r="E56" s="131" t="s">
        <v>9</v>
      </c>
      <c r="F56" s="131" t="s">
        <v>129</v>
      </c>
      <c r="G56" s="131" t="s">
        <v>42</v>
      </c>
      <c r="H56" s="133">
        <v>44198</v>
      </c>
      <c r="I56" s="130" t="s">
        <v>113</v>
      </c>
      <c r="J56" s="134">
        <v>108404522</v>
      </c>
      <c r="K56" s="164">
        <v>0.224</v>
      </c>
      <c r="L56" s="136">
        <v>21854358</v>
      </c>
      <c r="M56" s="144">
        <f>L56*10%</f>
        <v>2185435.8000000003</v>
      </c>
      <c r="N56" s="154">
        <f t="shared" si="6"/>
        <v>19668922.199999999</v>
      </c>
      <c r="O56" s="72" t="s">
        <v>85</v>
      </c>
      <c r="P56" s="12"/>
    </row>
    <row r="57" spans="2:16" ht="18" customHeight="1">
      <c r="B57" s="129">
        <v>53</v>
      </c>
      <c r="C57" s="130" t="s">
        <v>133</v>
      </c>
      <c r="D57" s="169" t="s">
        <v>130</v>
      </c>
      <c r="E57" s="131" t="s">
        <v>9</v>
      </c>
      <c r="F57" s="131" t="s">
        <v>129</v>
      </c>
      <c r="G57" s="131" t="s">
        <v>28</v>
      </c>
      <c r="H57" s="133">
        <v>44228</v>
      </c>
      <c r="I57" s="130" t="s">
        <v>113</v>
      </c>
      <c r="J57" s="134">
        <v>21302967</v>
      </c>
      <c r="K57" s="164">
        <v>0.224</v>
      </c>
      <c r="L57" s="136">
        <v>4294688</v>
      </c>
      <c r="M57" s="153">
        <f>L57*12%</f>
        <v>515362.56</v>
      </c>
      <c r="N57" s="154">
        <f t="shared" si="6"/>
        <v>3779325.44</v>
      </c>
      <c r="O57" s="21"/>
      <c r="P57" s="12"/>
    </row>
    <row r="58" spans="2:16" ht="18" customHeight="1">
      <c r="B58" s="103">
        <v>54</v>
      </c>
      <c r="C58" s="104" t="s">
        <v>133</v>
      </c>
      <c r="D58" s="105" t="s">
        <v>130</v>
      </c>
      <c r="E58" s="105" t="s">
        <v>9</v>
      </c>
      <c r="F58" s="105" t="s">
        <v>129</v>
      </c>
      <c r="G58" s="105" t="s">
        <v>54</v>
      </c>
      <c r="H58" s="107">
        <v>44265</v>
      </c>
      <c r="I58" s="104" t="s">
        <v>113</v>
      </c>
      <c r="J58" s="108">
        <v>2939670</v>
      </c>
      <c r="K58" s="121">
        <v>0.224</v>
      </c>
      <c r="L58" s="110">
        <v>592641</v>
      </c>
      <c r="M58" s="110">
        <f>L58*10%</f>
        <v>59264.100000000006</v>
      </c>
      <c r="N58" s="111">
        <f t="shared" si="6"/>
        <v>533376.9</v>
      </c>
      <c r="O58" s="21"/>
      <c r="P58" s="12"/>
    </row>
    <row r="59" spans="2:16" ht="18" customHeight="1">
      <c r="B59" s="129">
        <v>55</v>
      </c>
      <c r="C59" s="130" t="s">
        <v>133</v>
      </c>
      <c r="D59" s="131" t="s">
        <v>130</v>
      </c>
      <c r="E59" s="131" t="s">
        <v>9</v>
      </c>
      <c r="F59" s="131" t="s">
        <v>129</v>
      </c>
      <c r="G59" s="131" t="s">
        <v>29</v>
      </c>
      <c r="H59" s="133">
        <v>44315</v>
      </c>
      <c r="I59" s="130" t="s">
        <v>113</v>
      </c>
      <c r="J59" s="134">
        <v>13479644</v>
      </c>
      <c r="K59" s="164">
        <v>0.224</v>
      </c>
      <c r="L59" s="136">
        <v>2717496</v>
      </c>
      <c r="M59" s="153">
        <f>L59*10%</f>
        <v>271749.60000000003</v>
      </c>
      <c r="N59" s="154">
        <f t="shared" si="6"/>
        <v>2445746.4</v>
      </c>
      <c r="O59" s="21"/>
      <c r="P59" s="12"/>
    </row>
    <row r="60" spans="2:16" ht="18" customHeight="1">
      <c r="B60" s="129">
        <v>56</v>
      </c>
      <c r="C60" s="130" t="s">
        <v>134</v>
      </c>
      <c r="D60" s="131" t="s">
        <v>130</v>
      </c>
      <c r="E60" s="131" t="s">
        <v>9</v>
      </c>
      <c r="F60" s="131" t="s">
        <v>129</v>
      </c>
      <c r="G60" s="131" t="s">
        <v>30</v>
      </c>
      <c r="H60" s="133">
        <v>44359</v>
      </c>
      <c r="I60" s="130" t="s">
        <v>113</v>
      </c>
      <c r="J60" s="134">
        <v>36753771</v>
      </c>
      <c r="K60" s="155">
        <v>0.224</v>
      </c>
      <c r="L60" s="148">
        <v>7409569</v>
      </c>
      <c r="M60" s="153">
        <f>L60*10%</f>
        <v>740956.9</v>
      </c>
      <c r="N60" s="154">
        <f t="shared" si="6"/>
        <v>6668612.0999999996</v>
      </c>
      <c r="O60" s="25"/>
      <c r="P60" s="13"/>
    </row>
    <row r="61" spans="2:16" ht="18" customHeight="1">
      <c r="B61" s="76">
        <v>57</v>
      </c>
      <c r="C61" s="82" t="s">
        <v>134</v>
      </c>
      <c r="D61" s="78" t="s">
        <v>130</v>
      </c>
      <c r="E61" s="78" t="s">
        <v>9</v>
      </c>
      <c r="F61" s="78" t="s">
        <v>129</v>
      </c>
      <c r="G61" s="80" t="s">
        <v>43</v>
      </c>
      <c r="H61" s="81">
        <v>44378</v>
      </c>
      <c r="I61" s="82" t="s">
        <v>113</v>
      </c>
      <c r="J61" s="83">
        <v>527695751</v>
      </c>
      <c r="K61" s="84">
        <v>0.24</v>
      </c>
      <c r="L61" s="85">
        <v>113952618</v>
      </c>
      <c r="M61" s="86">
        <f>L61*10%</f>
        <v>11395261.800000001</v>
      </c>
      <c r="N61" s="87">
        <f t="shared" ref="N61:N66" si="7">L61-M61</f>
        <v>102557356.2</v>
      </c>
      <c r="O61" s="25"/>
      <c r="P61" s="12" t="s">
        <v>158</v>
      </c>
    </row>
    <row r="62" spans="2:16" ht="18" customHeight="1">
      <c r="B62" s="76">
        <v>58</v>
      </c>
      <c r="C62" s="77" t="s">
        <v>155</v>
      </c>
      <c r="D62" s="78" t="s">
        <v>78</v>
      </c>
      <c r="E62" s="78" t="s">
        <v>9</v>
      </c>
      <c r="F62" s="79" t="s">
        <v>131</v>
      </c>
      <c r="G62" s="80" t="s">
        <v>60</v>
      </c>
      <c r="H62" s="81">
        <v>44333</v>
      </c>
      <c r="I62" s="82" t="s">
        <v>116</v>
      </c>
      <c r="J62" s="83">
        <v>287160</v>
      </c>
      <c r="K62" s="84">
        <v>0.5</v>
      </c>
      <c r="L62" s="85">
        <v>143580</v>
      </c>
      <c r="M62" s="86">
        <v>0</v>
      </c>
      <c r="N62" s="87">
        <f t="shared" si="7"/>
        <v>143580</v>
      </c>
      <c r="O62" s="25"/>
      <c r="P62" s="75" t="s">
        <v>158</v>
      </c>
    </row>
    <row r="63" spans="2:16" ht="18" customHeight="1">
      <c r="B63" s="129">
        <v>59</v>
      </c>
      <c r="C63" s="162" t="s">
        <v>143</v>
      </c>
      <c r="D63" s="138" t="s">
        <v>132</v>
      </c>
      <c r="E63" s="138" t="s">
        <v>62</v>
      </c>
      <c r="F63" s="138" t="s">
        <v>95</v>
      </c>
      <c r="G63" s="139" t="s">
        <v>42</v>
      </c>
      <c r="H63" s="140">
        <v>44545</v>
      </c>
      <c r="I63" s="130" t="s">
        <v>113</v>
      </c>
      <c r="J63" s="165">
        <v>376538</v>
      </c>
      <c r="K63" s="142">
        <v>0.5</v>
      </c>
      <c r="L63" s="143">
        <v>188269</v>
      </c>
      <c r="M63" s="144">
        <f>L63*10%</f>
        <v>18826.900000000001</v>
      </c>
      <c r="N63" s="154">
        <f t="shared" si="7"/>
        <v>169442.1</v>
      </c>
      <c r="O63" s="72" t="s">
        <v>85</v>
      </c>
      <c r="P63" s="13"/>
    </row>
    <row r="64" spans="2:16" ht="18" customHeight="1">
      <c r="B64" s="129">
        <v>60</v>
      </c>
      <c r="C64" s="130" t="s">
        <v>133</v>
      </c>
      <c r="D64" s="138" t="s">
        <v>132</v>
      </c>
      <c r="E64" s="138" t="s">
        <v>62</v>
      </c>
      <c r="F64" s="138" t="s">
        <v>95</v>
      </c>
      <c r="G64" s="131" t="s">
        <v>28</v>
      </c>
      <c r="H64" s="140">
        <v>44180</v>
      </c>
      <c r="I64" s="130" t="s">
        <v>113</v>
      </c>
      <c r="J64" s="165">
        <v>406820</v>
      </c>
      <c r="K64" s="142">
        <v>0.5</v>
      </c>
      <c r="L64" s="143">
        <v>203410</v>
      </c>
      <c r="M64" s="153">
        <f>L64*12%</f>
        <v>24409.200000000001</v>
      </c>
      <c r="N64" s="154">
        <f t="shared" si="7"/>
        <v>179000.8</v>
      </c>
      <c r="O64" s="25"/>
      <c r="P64" s="13"/>
    </row>
    <row r="65" spans="2:16" ht="18" customHeight="1">
      <c r="B65" s="129">
        <v>61</v>
      </c>
      <c r="C65" s="130" t="s">
        <v>133</v>
      </c>
      <c r="D65" s="138" t="s">
        <v>132</v>
      </c>
      <c r="E65" s="138" t="s">
        <v>62</v>
      </c>
      <c r="F65" s="138" t="s">
        <v>95</v>
      </c>
      <c r="G65" s="139" t="s">
        <v>29</v>
      </c>
      <c r="H65" s="140">
        <v>44545</v>
      </c>
      <c r="I65" s="130" t="s">
        <v>113</v>
      </c>
      <c r="J65" s="165">
        <v>304211</v>
      </c>
      <c r="K65" s="142">
        <v>0.5</v>
      </c>
      <c r="L65" s="143">
        <v>152105.5</v>
      </c>
      <c r="M65" s="153">
        <f>L65*10%</f>
        <v>15210.550000000001</v>
      </c>
      <c r="N65" s="154">
        <f t="shared" si="7"/>
        <v>136894.95000000001</v>
      </c>
      <c r="O65" s="25"/>
      <c r="P65" s="13"/>
    </row>
    <row r="66" spans="2:16" ht="18" customHeight="1">
      <c r="B66" s="103">
        <v>62</v>
      </c>
      <c r="C66" s="104" t="s">
        <v>133</v>
      </c>
      <c r="D66" s="112" t="s">
        <v>132</v>
      </c>
      <c r="E66" s="112" t="s">
        <v>62</v>
      </c>
      <c r="F66" s="112" t="s">
        <v>95</v>
      </c>
      <c r="G66" s="113" t="s">
        <v>54</v>
      </c>
      <c r="H66" s="140">
        <v>44180</v>
      </c>
      <c r="I66" s="104" t="s">
        <v>113</v>
      </c>
      <c r="J66" s="122">
        <v>73405</v>
      </c>
      <c r="K66" s="123">
        <v>0.5</v>
      </c>
      <c r="L66" s="114">
        <v>36702.5</v>
      </c>
      <c r="M66" s="110">
        <f>L66*10%</f>
        <v>3670.25</v>
      </c>
      <c r="N66" s="111">
        <f t="shared" si="7"/>
        <v>33032.25</v>
      </c>
      <c r="O66" s="25"/>
      <c r="P66" s="13"/>
    </row>
    <row r="67" spans="2:16" ht="18" customHeight="1">
      <c r="B67" s="129">
        <v>63</v>
      </c>
      <c r="C67" s="130" t="s">
        <v>155</v>
      </c>
      <c r="D67" s="138" t="s">
        <v>132</v>
      </c>
      <c r="E67" s="138" t="s">
        <v>62</v>
      </c>
      <c r="F67" s="138" t="s">
        <v>95</v>
      </c>
      <c r="G67" s="139" t="s">
        <v>36</v>
      </c>
      <c r="H67" s="140">
        <v>44545</v>
      </c>
      <c r="I67" s="130" t="s">
        <v>113</v>
      </c>
      <c r="J67" s="141">
        <v>383353</v>
      </c>
      <c r="K67" s="142">
        <v>0.5</v>
      </c>
      <c r="L67" s="143">
        <v>191676.5</v>
      </c>
      <c r="M67" s="144">
        <v>0</v>
      </c>
      <c r="N67" s="137">
        <f t="shared" ref="N67:N73" si="8">L67-M67</f>
        <v>191676.5</v>
      </c>
      <c r="O67" s="25"/>
      <c r="P67" s="13"/>
    </row>
    <row r="68" spans="2:16" ht="18" customHeight="1">
      <c r="B68" s="129">
        <v>64</v>
      </c>
      <c r="C68" s="130" t="s">
        <v>155</v>
      </c>
      <c r="D68" s="138" t="s">
        <v>132</v>
      </c>
      <c r="E68" s="138" t="s">
        <v>62</v>
      </c>
      <c r="F68" s="138" t="s">
        <v>95</v>
      </c>
      <c r="G68" s="139" t="s">
        <v>139</v>
      </c>
      <c r="H68" s="140">
        <v>44545</v>
      </c>
      <c r="I68" s="130" t="s">
        <v>113</v>
      </c>
      <c r="J68" s="141">
        <v>108346</v>
      </c>
      <c r="K68" s="142">
        <v>0.5</v>
      </c>
      <c r="L68" s="143">
        <v>54173</v>
      </c>
      <c r="M68" s="144">
        <v>0</v>
      </c>
      <c r="N68" s="137">
        <f t="shared" si="8"/>
        <v>54173</v>
      </c>
      <c r="O68" s="25"/>
      <c r="P68" s="13"/>
    </row>
    <row r="69" spans="2:16" ht="18" customHeight="1">
      <c r="B69" s="76">
        <v>65</v>
      </c>
      <c r="C69" s="98" t="s">
        <v>145</v>
      </c>
      <c r="D69" s="79" t="s">
        <v>132</v>
      </c>
      <c r="E69" s="79" t="s">
        <v>33</v>
      </c>
      <c r="F69" s="79" t="s">
        <v>95</v>
      </c>
      <c r="G69" s="80" t="s">
        <v>147</v>
      </c>
      <c r="H69" s="93">
        <v>44180</v>
      </c>
      <c r="I69" s="82" t="s">
        <v>113</v>
      </c>
      <c r="J69" s="117">
        <v>22100</v>
      </c>
      <c r="K69" s="95">
        <v>0.5</v>
      </c>
      <c r="L69" s="85">
        <v>11050</v>
      </c>
      <c r="M69" s="86">
        <v>0</v>
      </c>
      <c r="N69" s="92">
        <f t="shared" si="8"/>
        <v>11050</v>
      </c>
      <c r="O69" s="25"/>
      <c r="P69" s="12" t="s">
        <v>158</v>
      </c>
    </row>
    <row r="70" spans="2:16" ht="18" customHeight="1">
      <c r="B70" s="129">
        <v>66</v>
      </c>
      <c r="C70" s="130" t="s">
        <v>134</v>
      </c>
      <c r="D70" s="138" t="s">
        <v>132</v>
      </c>
      <c r="E70" s="138" t="s">
        <v>62</v>
      </c>
      <c r="F70" s="138" t="s">
        <v>95</v>
      </c>
      <c r="G70" s="138" t="s">
        <v>30</v>
      </c>
      <c r="H70" s="145">
        <v>44545</v>
      </c>
      <c r="I70" s="130" t="s">
        <v>113</v>
      </c>
      <c r="J70" s="151">
        <v>688247</v>
      </c>
      <c r="K70" s="147">
        <v>0.5</v>
      </c>
      <c r="L70" s="143">
        <v>344123.5</v>
      </c>
      <c r="M70" s="153">
        <f t="shared" ref="M70:M77" si="9">L70*10%</f>
        <v>34412.35</v>
      </c>
      <c r="N70" s="154">
        <f t="shared" si="8"/>
        <v>309711.15000000002</v>
      </c>
      <c r="O70" s="25"/>
      <c r="P70" s="13"/>
    </row>
    <row r="71" spans="2:16" ht="18" customHeight="1">
      <c r="B71" s="129">
        <v>67</v>
      </c>
      <c r="C71" s="130" t="s">
        <v>133</v>
      </c>
      <c r="D71" s="138" t="s">
        <v>132</v>
      </c>
      <c r="E71" s="138" t="s">
        <v>62</v>
      </c>
      <c r="F71" s="138" t="s">
        <v>95</v>
      </c>
      <c r="G71" s="138" t="s">
        <v>57</v>
      </c>
      <c r="H71" s="145">
        <v>44357</v>
      </c>
      <c r="I71" s="130" t="s">
        <v>113</v>
      </c>
      <c r="J71" s="146">
        <v>101531</v>
      </c>
      <c r="K71" s="147">
        <v>0.5</v>
      </c>
      <c r="L71" s="143">
        <v>50765.5</v>
      </c>
      <c r="M71" s="136">
        <f t="shared" si="9"/>
        <v>5076.55</v>
      </c>
      <c r="N71" s="137">
        <f t="shared" si="8"/>
        <v>45688.95</v>
      </c>
      <c r="O71" s="25"/>
      <c r="P71" s="13"/>
    </row>
    <row r="72" spans="2:16" ht="18" customHeight="1">
      <c r="B72" s="76">
        <v>68</v>
      </c>
      <c r="C72" s="82" t="s">
        <v>140</v>
      </c>
      <c r="D72" s="79" t="s">
        <v>132</v>
      </c>
      <c r="E72" s="79" t="s">
        <v>33</v>
      </c>
      <c r="F72" s="79" t="s">
        <v>95</v>
      </c>
      <c r="G72" s="79" t="s">
        <v>40</v>
      </c>
      <c r="H72" s="93">
        <v>44365</v>
      </c>
      <c r="I72" s="82" t="s">
        <v>113</v>
      </c>
      <c r="J72" s="94">
        <v>1198256</v>
      </c>
      <c r="K72" s="95">
        <v>0.5</v>
      </c>
      <c r="L72" s="85">
        <v>599128</v>
      </c>
      <c r="M72" s="100">
        <f t="shared" si="9"/>
        <v>59912.800000000003</v>
      </c>
      <c r="N72" s="101">
        <f t="shared" si="8"/>
        <v>539215.19999999995</v>
      </c>
      <c r="O72" s="25"/>
      <c r="P72" s="12" t="s">
        <v>158</v>
      </c>
    </row>
    <row r="73" spans="2:16" ht="18" customHeight="1">
      <c r="B73" s="129">
        <v>69</v>
      </c>
      <c r="C73" s="130" t="s">
        <v>133</v>
      </c>
      <c r="D73" s="138" t="s">
        <v>132</v>
      </c>
      <c r="E73" s="138" t="s">
        <v>62</v>
      </c>
      <c r="F73" s="138" t="s">
        <v>95</v>
      </c>
      <c r="G73" s="138" t="s">
        <v>55</v>
      </c>
      <c r="H73" s="145">
        <v>44371</v>
      </c>
      <c r="I73" s="130" t="s">
        <v>113</v>
      </c>
      <c r="J73" s="151">
        <v>48280</v>
      </c>
      <c r="K73" s="147">
        <v>0.5</v>
      </c>
      <c r="L73" s="143">
        <v>24140</v>
      </c>
      <c r="M73" s="136">
        <f>L73*10%</f>
        <v>2414</v>
      </c>
      <c r="N73" s="137">
        <f t="shared" si="8"/>
        <v>21726</v>
      </c>
      <c r="O73" s="21"/>
      <c r="P73" s="13"/>
    </row>
    <row r="74" spans="2:16" ht="18" customHeight="1">
      <c r="B74" s="129">
        <v>70</v>
      </c>
      <c r="C74" s="130" t="s">
        <v>133</v>
      </c>
      <c r="D74" s="138" t="s">
        <v>132</v>
      </c>
      <c r="E74" s="138" t="s">
        <v>62</v>
      </c>
      <c r="F74" s="138" t="s">
        <v>95</v>
      </c>
      <c r="G74" s="138" t="s">
        <v>56</v>
      </c>
      <c r="H74" s="145">
        <v>44372</v>
      </c>
      <c r="I74" s="130" t="s">
        <v>113</v>
      </c>
      <c r="J74" s="151">
        <v>6768091</v>
      </c>
      <c r="K74" s="147">
        <v>0.5</v>
      </c>
      <c r="L74" s="143">
        <v>3384045.5</v>
      </c>
      <c r="M74" s="136">
        <f t="shared" si="9"/>
        <v>338404.55000000005</v>
      </c>
      <c r="N74" s="137">
        <f t="shared" ref="N74:N80" si="10">L74-M74</f>
        <v>3045640.95</v>
      </c>
      <c r="O74" s="21"/>
      <c r="P74" s="13"/>
    </row>
    <row r="75" spans="2:16" ht="18" customHeight="1">
      <c r="B75" s="76">
        <v>71</v>
      </c>
      <c r="C75" s="82" t="s">
        <v>133</v>
      </c>
      <c r="D75" s="79" t="s">
        <v>132</v>
      </c>
      <c r="E75" s="79" t="s">
        <v>62</v>
      </c>
      <c r="F75" s="79" t="s">
        <v>95</v>
      </c>
      <c r="G75" s="78" t="s">
        <v>59</v>
      </c>
      <c r="H75" s="125">
        <v>44392</v>
      </c>
      <c r="I75" s="82" t="s">
        <v>113</v>
      </c>
      <c r="J75" s="117">
        <v>5869376</v>
      </c>
      <c r="K75" s="95">
        <v>0.5</v>
      </c>
      <c r="L75" s="85">
        <v>2934688</v>
      </c>
      <c r="M75" s="91">
        <f t="shared" si="9"/>
        <v>293468.79999999999</v>
      </c>
      <c r="N75" s="92">
        <f t="shared" si="10"/>
        <v>2641219.2000000002</v>
      </c>
      <c r="O75" s="21"/>
      <c r="P75" s="12" t="s">
        <v>158</v>
      </c>
    </row>
    <row r="76" spans="2:16" ht="18" customHeight="1">
      <c r="B76" s="103">
        <v>72</v>
      </c>
      <c r="C76" s="104" t="s">
        <v>133</v>
      </c>
      <c r="D76" s="112" t="s">
        <v>132</v>
      </c>
      <c r="E76" s="112" t="s">
        <v>97</v>
      </c>
      <c r="F76" s="112" t="s">
        <v>96</v>
      </c>
      <c r="G76" s="112" t="s">
        <v>54</v>
      </c>
      <c r="H76" s="115">
        <v>44271</v>
      </c>
      <c r="I76" s="104" t="s">
        <v>113</v>
      </c>
      <c r="J76" s="119">
        <v>983820</v>
      </c>
      <c r="K76" s="116">
        <v>0.5</v>
      </c>
      <c r="L76" s="114">
        <v>491910</v>
      </c>
      <c r="M76" s="110">
        <f>L76*10%</f>
        <v>49191</v>
      </c>
      <c r="N76" s="111">
        <f t="shared" si="10"/>
        <v>442719</v>
      </c>
      <c r="O76" s="21"/>
      <c r="P76" s="13"/>
    </row>
    <row r="77" spans="2:16" ht="18" customHeight="1">
      <c r="B77" s="129">
        <v>73</v>
      </c>
      <c r="C77" s="130" t="s">
        <v>133</v>
      </c>
      <c r="D77" s="138" t="s">
        <v>132</v>
      </c>
      <c r="E77" s="138" t="s">
        <v>97</v>
      </c>
      <c r="F77" s="138" t="s">
        <v>96</v>
      </c>
      <c r="G77" s="138" t="s">
        <v>29</v>
      </c>
      <c r="H77" s="145">
        <v>44273</v>
      </c>
      <c r="I77" s="130" t="s">
        <v>113</v>
      </c>
      <c r="J77" s="151">
        <v>1621080</v>
      </c>
      <c r="K77" s="147">
        <v>0.5</v>
      </c>
      <c r="L77" s="143">
        <v>810540</v>
      </c>
      <c r="M77" s="153">
        <f t="shared" si="9"/>
        <v>81054</v>
      </c>
      <c r="N77" s="154">
        <f t="shared" si="10"/>
        <v>729486</v>
      </c>
      <c r="O77" s="21"/>
      <c r="P77" s="13"/>
    </row>
    <row r="78" spans="2:16" ht="18" customHeight="1">
      <c r="B78" s="129">
        <v>74</v>
      </c>
      <c r="C78" s="149" t="s">
        <v>133</v>
      </c>
      <c r="D78" s="138" t="s">
        <v>132</v>
      </c>
      <c r="E78" s="138" t="s">
        <v>97</v>
      </c>
      <c r="F78" s="138" t="s">
        <v>96</v>
      </c>
      <c r="G78" s="138" t="s">
        <v>28</v>
      </c>
      <c r="H78" s="145">
        <v>44280</v>
      </c>
      <c r="I78" s="130" t="s">
        <v>113</v>
      </c>
      <c r="J78" s="151">
        <v>2941200</v>
      </c>
      <c r="K78" s="147">
        <v>0.5</v>
      </c>
      <c r="L78" s="143">
        <v>1470600</v>
      </c>
      <c r="M78" s="153">
        <f>L78*12%</f>
        <v>176472</v>
      </c>
      <c r="N78" s="154">
        <f t="shared" si="10"/>
        <v>1294128</v>
      </c>
      <c r="O78" s="21"/>
      <c r="P78" s="13"/>
    </row>
    <row r="79" spans="2:16" ht="18" customHeight="1">
      <c r="B79" s="129">
        <v>79</v>
      </c>
      <c r="C79" s="162" t="s">
        <v>143</v>
      </c>
      <c r="D79" s="138" t="s">
        <v>132</v>
      </c>
      <c r="E79" s="138" t="s">
        <v>97</v>
      </c>
      <c r="F79" s="138" t="s">
        <v>96</v>
      </c>
      <c r="G79" s="138" t="s">
        <v>42</v>
      </c>
      <c r="H79" s="145">
        <v>44287</v>
      </c>
      <c r="I79" s="130" t="s">
        <v>113</v>
      </c>
      <c r="J79" s="146">
        <v>11344320</v>
      </c>
      <c r="K79" s="147">
        <v>0.5</v>
      </c>
      <c r="L79" s="148">
        <v>5672160</v>
      </c>
      <c r="M79" s="144">
        <f>L79*10%</f>
        <v>567216</v>
      </c>
      <c r="N79" s="154">
        <f t="shared" si="10"/>
        <v>5104944</v>
      </c>
      <c r="O79" s="72" t="s">
        <v>85</v>
      </c>
      <c r="P79" s="12"/>
    </row>
    <row r="80" spans="2:16" ht="18" customHeight="1">
      <c r="B80" s="129">
        <v>80</v>
      </c>
      <c r="C80" s="130" t="s">
        <v>134</v>
      </c>
      <c r="D80" s="138" t="s">
        <v>132</v>
      </c>
      <c r="E80" s="138" t="s">
        <v>62</v>
      </c>
      <c r="F80" s="138" t="s">
        <v>96</v>
      </c>
      <c r="G80" s="138" t="s">
        <v>30</v>
      </c>
      <c r="H80" s="145">
        <v>44357</v>
      </c>
      <c r="I80" s="130" t="s">
        <v>113</v>
      </c>
      <c r="J80" s="146">
        <v>10339380</v>
      </c>
      <c r="K80" s="147">
        <v>0.5</v>
      </c>
      <c r="L80" s="148">
        <v>5169690</v>
      </c>
      <c r="M80" s="153">
        <f>L80*10%</f>
        <v>516969</v>
      </c>
      <c r="N80" s="154">
        <f t="shared" si="10"/>
        <v>4652721</v>
      </c>
      <c r="O80" s="21"/>
      <c r="P80" s="12"/>
    </row>
    <row r="81" spans="2:16" ht="18" customHeight="1">
      <c r="B81" s="76">
        <v>81</v>
      </c>
      <c r="C81" s="98" t="s">
        <v>145</v>
      </c>
      <c r="D81" s="79" t="s">
        <v>132</v>
      </c>
      <c r="E81" s="79" t="s">
        <v>33</v>
      </c>
      <c r="F81" s="79" t="s">
        <v>96</v>
      </c>
      <c r="G81" s="79" t="s">
        <v>147</v>
      </c>
      <c r="H81" s="93">
        <v>44271</v>
      </c>
      <c r="I81" s="82" t="s">
        <v>113</v>
      </c>
      <c r="J81" s="94">
        <v>3606840</v>
      </c>
      <c r="K81" s="95">
        <v>0.5</v>
      </c>
      <c r="L81" s="96">
        <v>1803420</v>
      </c>
      <c r="M81" s="91">
        <v>0</v>
      </c>
      <c r="N81" s="92">
        <f>L81-M81</f>
        <v>1803420</v>
      </c>
      <c r="O81" s="21"/>
      <c r="P81" s="12" t="s">
        <v>158</v>
      </c>
    </row>
    <row r="82" spans="2:16" ht="18" customHeight="1">
      <c r="B82" s="129">
        <v>82</v>
      </c>
      <c r="C82" s="130" t="s">
        <v>133</v>
      </c>
      <c r="D82" s="138" t="s">
        <v>132</v>
      </c>
      <c r="E82" s="138" t="s">
        <v>62</v>
      </c>
      <c r="F82" s="138" t="s">
        <v>96</v>
      </c>
      <c r="G82" s="138" t="s">
        <v>57</v>
      </c>
      <c r="H82" s="145">
        <v>44358</v>
      </c>
      <c r="I82" s="130" t="s">
        <v>113</v>
      </c>
      <c r="J82" s="146">
        <v>3744360</v>
      </c>
      <c r="K82" s="147">
        <v>0.5</v>
      </c>
      <c r="L82" s="148">
        <v>1872180</v>
      </c>
      <c r="M82" s="136">
        <f>L82*10%</f>
        <v>187218</v>
      </c>
      <c r="N82" s="137">
        <f t="shared" ref="N82:N91" si="11">L82-M82</f>
        <v>1684962</v>
      </c>
      <c r="O82" s="21"/>
      <c r="P82" s="12"/>
    </row>
    <row r="83" spans="2:16" ht="18" customHeight="1">
      <c r="B83" s="129">
        <v>83</v>
      </c>
      <c r="C83" s="130" t="s">
        <v>133</v>
      </c>
      <c r="D83" s="138" t="s">
        <v>132</v>
      </c>
      <c r="E83" s="138" t="s">
        <v>62</v>
      </c>
      <c r="F83" s="138" t="s">
        <v>96</v>
      </c>
      <c r="G83" s="138" t="s">
        <v>146</v>
      </c>
      <c r="H83" s="145">
        <v>44392</v>
      </c>
      <c r="I83" s="130" t="s">
        <v>113</v>
      </c>
      <c r="J83" s="146">
        <v>11068380</v>
      </c>
      <c r="K83" s="147">
        <v>0.5</v>
      </c>
      <c r="L83" s="148">
        <v>5534190</v>
      </c>
      <c r="M83" s="136">
        <v>553419</v>
      </c>
      <c r="N83" s="137">
        <f t="shared" si="11"/>
        <v>4980771</v>
      </c>
      <c r="O83" s="21"/>
      <c r="P83" s="12"/>
    </row>
    <row r="84" spans="2:16" ht="18" customHeight="1">
      <c r="B84" s="76">
        <v>84</v>
      </c>
      <c r="C84" s="82" t="s">
        <v>140</v>
      </c>
      <c r="D84" s="78" t="s">
        <v>78</v>
      </c>
      <c r="E84" s="79" t="s">
        <v>33</v>
      </c>
      <c r="F84" s="79" t="s">
        <v>35</v>
      </c>
      <c r="G84" s="79" t="s">
        <v>40</v>
      </c>
      <c r="H84" s="93">
        <v>44379</v>
      </c>
      <c r="I84" s="82" t="s">
        <v>116</v>
      </c>
      <c r="J84" s="94">
        <v>1529289</v>
      </c>
      <c r="K84" s="95">
        <v>0.6</v>
      </c>
      <c r="L84" s="96">
        <v>917573</v>
      </c>
      <c r="M84" s="102">
        <f t="shared" ref="M84:M91" si="12">L84*10%</f>
        <v>91757.3</v>
      </c>
      <c r="N84" s="101">
        <f t="shared" si="11"/>
        <v>825815.7</v>
      </c>
      <c r="O84" s="21"/>
      <c r="P84" s="12" t="s">
        <v>158</v>
      </c>
    </row>
    <row r="85" spans="2:16" ht="18" customHeight="1">
      <c r="B85" s="76">
        <v>85</v>
      </c>
      <c r="C85" s="82" t="s">
        <v>140</v>
      </c>
      <c r="D85" s="78" t="s">
        <v>78</v>
      </c>
      <c r="E85" s="79" t="s">
        <v>33</v>
      </c>
      <c r="F85" s="79" t="s">
        <v>35</v>
      </c>
      <c r="G85" s="79" t="s">
        <v>39</v>
      </c>
      <c r="H85" s="93">
        <v>44385</v>
      </c>
      <c r="I85" s="82" t="s">
        <v>116</v>
      </c>
      <c r="J85" s="94">
        <v>381090</v>
      </c>
      <c r="K85" s="95">
        <v>0.6</v>
      </c>
      <c r="L85" s="96">
        <v>228654</v>
      </c>
      <c r="M85" s="97">
        <f t="shared" si="12"/>
        <v>22865.4</v>
      </c>
      <c r="N85" s="92">
        <f t="shared" si="11"/>
        <v>205788.6</v>
      </c>
      <c r="O85" s="21"/>
      <c r="P85" s="12" t="s">
        <v>158</v>
      </c>
    </row>
    <row r="86" spans="2:16" ht="18" customHeight="1">
      <c r="B86" s="76">
        <v>86</v>
      </c>
      <c r="C86" s="82" t="s">
        <v>140</v>
      </c>
      <c r="D86" s="78" t="s">
        <v>78</v>
      </c>
      <c r="E86" s="79" t="s">
        <v>33</v>
      </c>
      <c r="F86" s="79" t="s">
        <v>35</v>
      </c>
      <c r="G86" s="79" t="s">
        <v>38</v>
      </c>
      <c r="H86" s="93">
        <v>44362</v>
      </c>
      <c r="I86" s="82" t="s">
        <v>116</v>
      </c>
      <c r="J86" s="94">
        <v>1542219.75</v>
      </c>
      <c r="K86" s="95">
        <v>0.6</v>
      </c>
      <c r="L86" s="96">
        <v>925332</v>
      </c>
      <c r="M86" s="91">
        <f t="shared" si="12"/>
        <v>92533.200000000012</v>
      </c>
      <c r="N86" s="92">
        <f t="shared" si="11"/>
        <v>832798.8</v>
      </c>
      <c r="O86" s="21"/>
      <c r="P86" s="12" t="s">
        <v>158</v>
      </c>
    </row>
    <row r="87" spans="2:16" ht="18" customHeight="1">
      <c r="B87" s="129">
        <v>87</v>
      </c>
      <c r="C87" s="130" t="s">
        <v>134</v>
      </c>
      <c r="D87" s="138" t="s">
        <v>22</v>
      </c>
      <c r="E87" s="138" t="s">
        <v>62</v>
      </c>
      <c r="F87" s="138" t="s">
        <v>138</v>
      </c>
      <c r="G87" s="138" t="s">
        <v>10</v>
      </c>
      <c r="H87" s="145">
        <v>44356</v>
      </c>
      <c r="I87" s="130" t="s">
        <v>116</v>
      </c>
      <c r="J87" s="146">
        <v>2005690</v>
      </c>
      <c r="K87" s="147">
        <v>0.3</v>
      </c>
      <c r="L87" s="148">
        <v>601707</v>
      </c>
      <c r="M87" s="153">
        <f t="shared" si="12"/>
        <v>60170.700000000004</v>
      </c>
      <c r="N87" s="137">
        <f t="shared" si="11"/>
        <v>541536.30000000005</v>
      </c>
      <c r="O87" s="21"/>
      <c r="P87" s="12"/>
    </row>
    <row r="88" spans="2:16" ht="18" customHeight="1">
      <c r="B88" s="129">
        <v>88</v>
      </c>
      <c r="C88" s="130" t="s">
        <v>134</v>
      </c>
      <c r="D88" s="138" t="s">
        <v>27</v>
      </c>
      <c r="E88" s="138" t="s">
        <v>62</v>
      </c>
      <c r="F88" s="138" t="s">
        <v>137</v>
      </c>
      <c r="G88" s="138" t="s">
        <v>10</v>
      </c>
      <c r="H88" s="145">
        <v>44395</v>
      </c>
      <c r="I88" s="130" t="s">
        <v>116</v>
      </c>
      <c r="J88" s="146">
        <v>25407690</v>
      </c>
      <c r="K88" s="147">
        <v>0.3</v>
      </c>
      <c r="L88" s="148">
        <v>7622307</v>
      </c>
      <c r="M88" s="153">
        <f t="shared" si="12"/>
        <v>762230.70000000007</v>
      </c>
      <c r="N88" s="137">
        <f t="shared" si="11"/>
        <v>6860076.2999999998</v>
      </c>
      <c r="O88" s="21"/>
      <c r="P88" s="12"/>
    </row>
    <row r="89" spans="2:16" ht="18" customHeight="1">
      <c r="B89" s="129">
        <v>89</v>
      </c>
      <c r="C89" s="130" t="s">
        <v>134</v>
      </c>
      <c r="D89" s="138" t="s">
        <v>25</v>
      </c>
      <c r="E89" s="138" t="s">
        <v>62</v>
      </c>
      <c r="F89" s="138" t="s">
        <v>137</v>
      </c>
      <c r="G89" s="138" t="s">
        <v>10</v>
      </c>
      <c r="H89" s="145">
        <v>44396</v>
      </c>
      <c r="I89" s="130" t="s">
        <v>116</v>
      </c>
      <c r="J89" s="146">
        <v>13013993.333333334</v>
      </c>
      <c r="K89" s="147">
        <v>0.3</v>
      </c>
      <c r="L89" s="148">
        <v>3904198</v>
      </c>
      <c r="M89" s="153">
        <f t="shared" si="12"/>
        <v>390419.80000000005</v>
      </c>
      <c r="N89" s="137">
        <f t="shared" si="11"/>
        <v>3513778.2</v>
      </c>
      <c r="O89" s="21"/>
      <c r="P89" s="13"/>
    </row>
    <row r="90" spans="2:16" ht="18" customHeight="1">
      <c r="B90" s="129">
        <v>90</v>
      </c>
      <c r="C90" s="130" t="s">
        <v>134</v>
      </c>
      <c r="D90" s="138" t="s">
        <v>23</v>
      </c>
      <c r="E90" s="138" t="s">
        <v>62</v>
      </c>
      <c r="F90" s="138" t="s">
        <v>137</v>
      </c>
      <c r="G90" s="138" t="s">
        <v>10</v>
      </c>
      <c r="H90" s="145">
        <v>44356</v>
      </c>
      <c r="I90" s="130" t="s">
        <v>116</v>
      </c>
      <c r="J90" s="146">
        <v>10055970</v>
      </c>
      <c r="K90" s="147">
        <v>0.3</v>
      </c>
      <c r="L90" s="148">
        <v>3016791</v>
      </c>
      <c r="M90" s="153">
        <f t="shared" si="12"/>
        <v>301679.10000000003</v>
      </c>
      <c r="N90" s="137">
        <f t="shared" si="11"/>
        <v>2715111.9</v>
      </c>
      <c r="O90" s="21"/>
      <c r="P90" s="13"/>
    </row>
    <row r="91" spans="2:16" ht="18" customHeight="1">
      <c r="B91" s="129">
        <v>91</v>
      </c>
      <c r="C91" s="130" t="s">
        <v>134</v>
      </c>
      <c r="D91" s="138" t="s">
        <v>24</v>
      </c>
      <c r="E91" s="138" t="s">
        <v>62</v>
      </c>
      <c r="F91" s="138" t="s">
        <v>137</v>
      </c>
      <c r="G91" s="138" t="s">
        <v>10</v>
      </c>
      <c r="H91" s="145">
        <v>44366</v>
      </c>
      <c r="I91" s="130" t="s">
        <v>116</v>
      </c>
      <c r="J91" s="146">
        <v>18318676.666666668</v>
      </c>
      <c r="K91" s="147">
        <v>0.3</v>
      </c>
      <c r="L91" s="148">
        <v>5495603</v>
      </c>
      <c r="M91" s="153">
        <f t="shared" si="12"/>
        <v>549560.30000000005</v>
      </c>
      <c r="N91" s="137">
        <f t="shared" si="11"/>
        <v>4946042.7</v>
      </c>
      <c r="O91" s="21"/>
      <c r="P91" s="12"/>
    </row>
    <row r="92" spans="2:16" ht="18" customHeight="1">
      <c r="B92" s="129">
        <v>92</v>
      </c>
      <c r="C92" s="130" t="s">
        <v>150</v>
      </c>
      <c r="D92" s="138" t="s">
        <v>22</v>
      </c>
      <c r="E92" s="138" t="s">
        <v>62</v>
      </c>
      <c r="F92" s="138" t="s">
        <v>138</v>
      </c>
      <c r="G92" s="138" t="s">
        <v>135</v>
      </c>
      <c r="H92" s="145">
        <v>44381</v>
      </c>
      <c r="I92" s="130" t="s">
        <v>116</v>
      </c>
      <c r="J92" s="146">
        <v>446976.66666666669</v>
      </c>
      <c r="K92" s="147">
        <v>0.3</v>
      </c>
      <c r="L92" s="148">
        <v>134093</v>
      </c>
      <c r="M92" s="136">
        <v>0</v>
      </c>
      <c r="N92" s="154">
        <f t="shared" ref="N92:N99" si="13">L92-M92</f>
        <v>134093</v>
      </c>
      <c r="O92" s="21"/>
      <c r="P92" s="12"/>
    </row>
    <row r="93" spans="2:16" ht="18" customHeight="1">
      <c r="B93" s="129">
        <v>93</v>
      </c>
      <c r="C93" s="130" t="s">
        <v>150</v>
      </c>
      <c r="D93" s="138" t="s">
        <v>27</v>
      </c>
      <c r="E93" s="138" t="s">
        <v>62</v>
      </c>
      <c r="F93" s="138" t="s">
        <v>137</v>
      </c>
      <c r="G93" s="138" t="s">
        <v>135</v>
      </c>
      <c r="H93" s="145">
        <v>44420</v>
      </c>
      <c r="I93" s="130" t="s">
        <v>116</v>
      </c>
      <c r="J93" s="146">
        <v>6881686.666666667</v>
      </c>
      <c r="K93" s="147">
        <v>0.3</v>
      </c>
      <c r="L93" s="148">
        <v>2064506</v>
      </c>
      <c r="M93" s="136">
        <v>0</v>
      </c>
      <c r="N93" s="154">
        <f t="shared" si="13"/>
        <v>2064506</v>
      </c>
      <c r="O93" s="21"/>
      <c r="P93" s="13"/>
    </row>
    <row r="94" spans="2:16" ht="18" customHeight="1">
      <c r="B94" s="129">
        <v>94</v>
      </c>
      <c r="C94" s="130" t="s">
        <v>150</v>
      </c>
      <c r="D94" s="138" t="s">
        <v>25</v>
      </c>
      <c r="E94" s="138" t="s">
        <v>62</v>
      </c>
      <c r="F94" s="138" t="s">
        <v>137</v>
      </c>
      <c r="G94" s="138" t="s">
        <v>135</v>
      </c>
      <c r="H94" s="145">
        <v>44370</v>
      </c>
      <c r="I94" s="130" t="s">
        <v>116</v>
      </c>
      <c r="J94" s="146">
        <v>746446.66666666674</v>
      </c>
      <c r="K94" s="147">
        <v>0.3</v>
      </c>
      <c r="L94" s="148">
        <v>223934</v>
      </c>
      <c r="M94" s="136">
        <v>0</v>
      </c>
      <c r="N94" s="154">
        <f t="shared" si="13"/>
        <v>223934</v>
      </c>
      <c r="O94" s="21"/>
      <c r="P94" s="13"/>
    </row>
    <row r="95" spans="2:16" ht="18" customHeight="1">
      <c r="B95" s="129">
        <v>95</v>
      </c>
      <c r="C95" s="130" t="s">
        <v>134</v>
      </c>
      <c r="D95" s="138" t="s">
        <v>22</v>
      </c>
      <c r="E95" s="138" t="s">
        <v>62</v>
      </c>
      <c r="F95" s="138" t="s">
        <v>138</v>
      </c>
      <c r="G95" s="138" t="s">
        <v>136</v>
      </c>
      <c r="H95" s="145">
        <v>44364</v>
      </c>
      <c r="I95" s="130" t="s">
        <v>116</v>
      </c>
      <c r="J95" s="146">
        <v>55243.333333333336</v>
      </c>
      <c r="K95" s="147">
        <v>0.3</v>
      </c>
      <c r="L95" s="148">
        <v>16573</v>
      </c>
      <c r="M95" s="153">
        <f>L95*10%</f>
        <v>1657.3000000000002</v>
      </c>
      <c r="N95" s="166">
        <f t="shared" si="13"/>
        <v>14915.7</v>
      </c>
      <c r="O95" s="21"/>
      <c r="P95" s="13"/>
    </row>
    <row r="96" spans="2:16" ht="18" customHeight="1">
      <c r="B96" s="129">
        <v>96</v>
      </c>
      <c r="C96" s="130" t="s">
        <v>134</v>
      </c>
      <c r="D96" s="138" t="s">
        <v>32</v>
      </c>
      <c r="E96" s="138" t="s">
        <v>33</v>
      </c>
      <c r="F96" s="138" t="s">
        <v>31</v>
      </c>
      <c r="G96" s="138" t="s">
        <v>152</v>
      </c>
      <c r="H96" s="145">
        <v>44096</v>
      </c>
      <c r="I96" s="130" t="s">
        <v>113</v>
      </c>
      <c r="J96" s="146">
        <v>415885</v>
      </c>
      <c r="K96" s="147">
        <v>0.4</v>
      </c>
      <c r="L96" s="148">
        <v>158036</v>
      </c>
      <c r="M96" s="136">
        <f>L96*12%</f>
        <v>18964.32</v>
      </c>
      <c r="N96" s="137">
        <f t="shared" si="13"/>
        <v>139071.67999999999</v>
      </c>
      <c r="O96" s="21"/>
      <c r="P96" s="12"/>
    </row>
    <row r="97" spans="2:16" ht="18" customHeight="1">
      <c r="B97" s="129">
        <v>97</v>
      </c>
      <c r="C97" s="130" t="s">
        <v>134</v>
      </c>
      <c r="D97" s="138" t="s">
        <v>32</v>
      </c>
      <c r="E97" s="138" t="s">
        <v>33</v>
      </c>
      <c r="F97" s="138" t="s">
        <v>31</v>
      </c>
      <c r="G97" s="138" t="s">
        <v>151</v>
      </c>
      <c r="H97" s="145">
        <v>44239</v>
      </c>
      <c r="I97" s="130" t="s">
        <v>113</v>
      </c>
      <c r="J97" s="146">
        <v>2589550</v>
      </c>
      <c r="K97" s="147">
        <v>0.4</v>
      </c>
      <c r="L97" s="148">
        <v>984029</v>
      </c>
      <c r="M97" s="153">
        <f>L97*10%</f>
        <v>98402.900000000009</v>
      </c>
      <c r="N97" s="154">
        <f t="shared" si="13"/>
        <v>885626.1</v>
      </c>
      <c r="O97" s="21"/>
      <c r="P97" s="12"/>
    </row>
    <row r="98" spans="2:16" ht="18" customHeight="1">
      <c r="B98" s="129">
        <v>98</v>
      </c>
      <c r="C98" s="130" t="s">
        <v>133</v>
      </c>
      <c r="D98" s="138" t="s">
        <v>32</v>
      </c>
      <c r="E98" s="138" t="s">
        <v>33</v>
      </c>
      <c r="F98" s="138" t="s">
        <v>31</v>
      </c>
      <c r="G98" s="138" t="s">
        <v>153</v>
      </c>
      <c r="H98" s="145">
        <v>44137</v>
      </c>
      <c r="I98" s="130" t="s">
        <v>113</v>
      </c>
      <c r="J98" s="146">
        <v>691853</v>
      </c>
      <c r="K98" s="147">
        <v>0.4</v>
      </c>
      <c r="L98" s="148">
        <v>262904</v>
      </c>
      <c r="M98" s="153">
        <f>L98*10%</f>
        <v>26290.400000000001</v>
      </c>
      <c r="N98" s="154">
        <f t="shared" si="13"/>
        <v>236613.6</v>
      </c>
      <c r="O98" s="21"/>
      <c r="P98" s="13"/>
    </row>
    <row r="99" spans="2:16" ht="18" customHeight="1">
      <c r="B99" s="129">
        <v>99</v>
      </c>
      <c r="C99" s="130" t="s">
        <v>155</v>
      </c>
      <c r="D99" s="138" t="s">
        <v>32</v>
      </c>
      <c r="E99" s="138" t="s">
        <v>9</v>
      </c>
      <c r="F99" s="138" t="s">
        <v>154</v>
      </c>
      <c r="G99" s="138" t="s">
        <v>36</v>
      </c>
      <c r="H99" s="145">
        <v>44106</v>
      </c>
      <c r="I99" s="130" t="s">
        <v>113</v>
      </c>
      <c r="J99" s="146">
        <v>2393030</v>
      </c>
      <c r="K99" s="147">
        <v>0.4</v>
      </c>
      <c r="L99" s="148">
        <v>909351</v>
      </c>
      <c r="M99" s="136">
        <v>0</v>
      </c>
      <c r="N99" s="137">
        <f t="shared" si="13"/>
        <v>909351</v>
      </c>
      <c r="O99" s="21"/>
      <c r="P99" s="12"/>
    </row>
    <row r="100" spans="2:16" ht="18" customHeight="1">
      <c r="B100" s="129">
        <v>100</v>
      </c>
      <c r="C100" s="130" t="s">
        <v>155</v>
      </c>
      <c r="D100" s="138" t="s">
        <v>32</v>
      </c>
      <c r="E100" s="138" t="s">
        <v>9</v>
      </c>
      <c r="F100" s="138" t="s">
        <v>154</v>
      </c>
      <c r="G100" s="138" t="s">
        <v>37</v>
      </c>
      <c r="H100" s="145">
        <v>44113</v>
      </c>
      <c r="I100" s="130" t="s">
        <v>113</v>
      </c>
      <c r="J100" s="146">
        <v>60642</v>
      </c>
      <c r="K100" s="147">
        <v>0.4</v>
      </c>
      <c r="L100" s="148">
        <v>23044</v>
      </c>
      <c r="M100" s="120">
        <v>0</v>
      </c>
      <c r="N100" s="124">
        <v>0</v>
      </c>
      <c r="O100" s="21"/>
      <c r="P100" s="13" t="s">
        <v>110</v>
      </c>
    </row>
    <row r="101" spans="2:16">
      <c r="B101" s="76">
        <v>101</v>
      </c>
      <c r="C101" s="82" t="s">
        <v>133</v>
      </c>
      <c r="D101" s="79" t="s">
        <v>32</v>
      </c>
      <c r="E101" s="79" t="s">
        <v>33</v>
      </c>
      <c r="F101" s="79" t="s">
        <v>154</v>
      </c>
      <c r="G101" s="79" t="s">
        <v>38</v>
      </c>
      <c r="H101" s="93">
        <v>44386</v>
      </c>
      <c r="I101" s="82" t="s">
        <v>113</v>
      </c>
      <c r="J101" s="94">
        <v>4810167</v>
      </c>
      <c r="K101" s="95">
        <v>0.4</v>
      </c>
      <c r="L101" s="96">
        <v>1827863</v>
      </c>
      <c r="M101" s="127">
        <f>L101*10%</f>
        <v>182786.30000000002</v>
      </c>
      <c r="N101" s="87">
        <f>L101-M101</f>
        <v>1645076.7</v>
      </c>
      <c r="O101" s="74"/>
      <c r="P101" s="12" t="s">
        <v>158</v>
      </c>
    </row>
    <row r="104" spans="2:16">
      <c r="P104" s="26"/>
    </row>
    <row r="107" spans="2:16">
      <c r="F107" t="s">
        <v>141</v>
      </c>
    </row>
  </sheetData>
  <autoFilter ref="B4:P101" xr:uid="{00000000-0001-0000-0000-000000000000}"/>
  <phoneticPr fontId="1" type="noConversion"/>
  <pageMargins left="0.7" right="0.7" top="0.75" bottom="0.75" header="0.3" footer="0.3"/>
  <pageSetup paperSize="9" orientation="portrait" r:id="rId1"/>
  <ignoredErrors>
    <ignoredError sqref="M7 M55:M57 M78 M64 M13 M96" formula="1"/>
  </ignoredErrors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57"/>
  <sheetViews>
    <sheetView showGridLines="0" zoomScaleNormal="100" workbookViewId="0">
      <pane xSplit="7" ySplit="4" topLeftCell="H5" activePane="bottomRight" state="frozen"/>
      <selection activeCell="O27" sqref="O27"/>
      <selection pane="topRight" activeCell="O27" sqref="O27"/>
      <selection pane="bottomLeft" activeCell="O27" sqref="O27"/>
      <selection pane="bottomRight" activeCell="O27" sqref="O27"/>
    </sheetView>
  </sheetViews>
  <sheetFormatPr defaultRowHeight="17.399999999999999"/>
  <cols>
    <col min="1" max="1" width="1.59765625" customWidth="1"/>
    <col min="2" max="2" width="5.5" style="7" customWidth="1"/>
    <col min="3" max="3" width="13.3984375" style="7" customWidth="1"/>
    <col min="4" max="5" width="8.59765625" style="7" customWidth="1"/>
    <col min="6" max="6" width="22.19921875" customWidth="1"/>
    <col min="7" max="7" width="25.5" customWidth="1"/>
    <col min="8" max="10" width="13.59765625" customWidth="1"/>
    <col min="11" max="11" width="13.59765625" style="7" customWidth="1"/>
    <col min="12" max="14" width="13.59765625" customWidth="1"/>
    <col min="15" max="15" width="27.8984375" style="18" customWidth="1"/>
    <col min="16" max="16" width="43" customWidth="1"/>
    <col min="17" max="17" width="28.19921875" customWidth="1"/>
  </cols>
  <sheetData>
    <row r="1" spans="2:16" ht="16.5" customHeight="1"/>
    <row r="2" spans="2:16" ht="30" customHeight="1" thickBot="1">
      <c r="B2" s="4" t="s">
        <v>93</v>
      </c>
      <c r="C2" s="4"/>
      <c r="D2" s="4"/>
      <c r="E2" s="4"/>
      <c r="F2" s="4"/>
      <c r="K2"/>
    </row>
    <row r="3" spans="2:16" s="6" customFormat="1" ht="16.8" thickTop="1" thickBot="1">
      <c r="B3" s="8"/>
      <c r="C3" s="8"/>
      <c r="D3" s="8"/>
      <c r="E3" s="8"/>
      <c r="K3" s="8"/>
      <c r="L3" s="14">
        <f>SUM(L5:L492)</f>
        <v>664362300.9980644</v>
      </c>
      <c r="M3" s="14">
        <f>SUM(M5:M492)</f>
        <v>57799311.845496774</v>
      </c>
      <c r="N3" s="14">
        <f>SUM(N5:N4992)</f>
        <v>603545482.15256751</v>
      </c>
      <c r="O3" s="19"/>
    </row>
    <row r="4" spans="2:16" s="9" customFormat="1" ht="24" customHeight="1" thickBot="1">
      <c r="B4" s="10" t="s">
        <v>7</v>
      </c>
      <c r="C4" s="15" t="s">
        <v>92</v>
      </c>
      <c r="D4" s="1" t="s">
        <v>76</v>
      </c>
      <c r="E4" s="3" t="s">
        <v>3</v>
      </c>
      <c r="F4" s="1" t="s">
        <v>0</v>
      </c>
      <c r="G4" s="2" t="s">
        <v>4</v>
      </c>
      <c r="H4" s="3" t="s">
        <v>5</v>
      </c>
      <c r="I4" s="3" t="s">
        <v>6</v>
      </c>
      <c r="J4" s="3" t="s">
        <v>2</v>
      </c>
      <c r="K4" s="5" t="s">
        <v>1</v>
      </c>
      <c r="L4" s="5" t="s">
        <v>88</v>
      </c>
      <c r="M4" s="17" t="s">
        <v>75</v>
      </c>
      <c r="N4" s="16" t="s">
        <v>83</v>
      </c>
      <c r="O4" s="20" t="s">
        <v>82</v>
      </c>
      <c r="P4" s="11" t="s">
        <v>101</v>
      </c>
    </row>
    <row r="5" spans="2:16" ht="18" customHeight="1">
      <c r="B5" s="27">
        <v>1</v>
      </c>
      <c r="C5" s="51" t="s">
        <v>90</v>
      </c>
      <c r="D5" s="52" t="s">
        <v>77</v>
      </c>
      <c r="E5" s="53" t="s">
        <v>9</v>
      </c>
      <c r="F5" s="28" t="s">
        <v>8</v>
      </c>
      <c r="G5" s="54" t="s">
        <v>10</v>
      </c>
      <c r="H5" s="55">
        <v>44309</v>
      </c>
      <c r="I5" s="29" t="s">
        <v>15</v>
      </c>
      <c r="J5" s="56">
        <v>125022980.3</v>
      </c>
      <c r="K5" s="57">
        <v>0.6</v>
      </c>
      <c r="L5" s="58">
        <v>75013788.179999992</v>
      </c>
      <c r="M5" s="30">
        <f>L5*10%</f>
        <v>7501378.818</v>
      </c>
      <c r="N5" s="59">
        <f t="shared" ref="N5:N15" si="0">L5-M5</f>
        <v>67512409.361999989</v>
      </c>
      <c r="O5" s="22"/>
      <c r="P5" s="12"/>
    </row>
    <row r="6" spans="2:16" ht="18" customHeight="1">
      <c r="B6" s="27">
        <v>2</v>
      </c>
      <c r="C6" s="29" t="s">
        <v>91</v>
      </c>
      <c r="D6" s="28" t="s">
        <v>78</v>
      </c>
      <c r="E6" s="28" t="s">
        <v>9</v>
      </c>
      <c r="F6" s="28" t="s">
        <v>8</v>
      </c>
      <c r="G6" s="31" t="s">
        <v>11</v>
      </c>
      <c r="H6" s="32">
        <v>44308</v>
      </c>
      <c r="I6" s="29" t="s">
        <v>15</v>
      </c>
      <c r="J6" s="60">
        <v>13565214.300000001</v>
      </c>
      <c r="K6" s="33">
        <v>0.6</v>
      </c>
      <c r="L6" s="58">
        <v>8139128.5800000001</v>
      </c>
      <c r="M6" s="58">
        <v>0</v>
      </c>
      <c r="N6" s="59">
        <f t="shared" si="0"/>
        <v>8139128.5800000001</v>
      </c>
      <c r="O6" s="21"/>
      <c r="P6" s="12"/>
    </row>
    <row r="7" spans="2:16" ht="18" customHeight="1">
      <c r="B7" s="27">
        <v>3</v>
      </c>
      <c r="C7" s="29" t="s">
        <v>90</v>
      </c>
      <c r="D7" s="28" t="s">
        <v>78</v>
      </c>
      <c r="E7" s="28" t="s">
        <v>9</v>
      </c>
      <c r="F7" s="28" t="s">
        <v>8</v>
      </c>
      <c r="G7" s="31" t="s">
        <v>12</v>
      </c>
      <c r="H7" s="32">
        <v>44240</v>
      </c>
      <c r="I7" s="29" t="s">
        <v>15</v>
      </c>
      <c r="J7" s="61">
        <v>432970.4</v>
      </c>
      <c r="K7" s="33">
        <v>0.6</v>
      </c>
      <c r="L7" s="58">
        <v>259782.24</v>
      </c>
      <c r="M7" s="58">
        <f>L7*10%</f>
        <v>25978.224000000002</v>
      </c>
      <c r="N7" s="59">
        <f t="shared" si="0"/>
        <v>233804.016</v>
      </c>
      <c r="O7" s="23"/>
      <c r="P7" s="12"/>
    </row>
    <row r="8" spans="2:16" ht="18" customHeight="1">
      <c r="B8" s="27">
        <v>4</v>
      </c>
      <c r="C8" s="29" t="s">
        <v>91</v>
      </c>
      <c r="D8" s="28" t="s">
        <v>78</v>
      </c>
      <c r="E8" s="28" t="s">
        <v>9</v>
      </c>
      <c r="F8" s="28" t="s">
        <v>8</v>
      </c>
      <c r="G8" s="31" t="s">
        <v>11</v>
      </c>
      <c r="H8" s="32">
        <v>44308</v>
      </c>
      <c r="I8" s="29" t="s">
        <v>16</v>
      </c>
      <c r="J8" s="61">
        <v>6464033.2999999998</v>
      </c>
      <c r="K8" s="33">
        <v>0.60000000309404344</v>
      </c>
      <c r="L8" s="58">
        <v>3878420</v>
      </c>
      <c r="M8" s="58">
        <v>0</v>
      </c>
      <c r="N8" s="59">
        <f t="shared" si="0"/>
        <v>3878420</v>
      </c>
      <c r="O8" s="21"/>
      <c r="P8" s="12"/>
    </row>
    <row r="9" spans="2:16" ht="18" customHeight="1">
      <c r="B9" s="27">
        <v>5</v>
      </c>
      <c r="C9" s="29" t="s">
        <v>90</v>
      </c>
      <c r="D9" s="28" t="s">
        <v>78</v>
      </c>
      <c r="E9" s="28" t="s">
        <v>9</v>
      </c>
      <c r="F9" s="28" t="s">
        <v>8</v>
      </c>
      <c r="G9" s="31" t="s">
        <v>10</v>
      </c>
      <c r="H9" s="32">
        <v>44309</v>
      </c>
      <c r="I9" s="29" t="s">
        <v>16</v>
      </c>
      <c r="J9" s="61">
        <v>102453461.5</v>
      </c>
      <c r="K9" s="33">
        <v>0.60000000097605288</v>
      </c>
      <c r="L9" s="58">
        <v>61472077</v>
      </c>
      <c r="M9" s="30">
        <f>L9*10%</f>
        <v>6147207.7000000002</v>
      </c>
      <c r="N9" s="59">
        <f t="shared" si="0"/>
        <v>55324869.299999997</v>
      </c>
      <c r="O9" s="23"/>
      <c r="P9" s="12"/>
    </row>
    <row r="10" spans="2:16" ht="18" customHeight="1">
      <c r="B10" s="27">
        <v>6</v>
      </c>
      <c r="C10" s="29" t="s">
        <v>90</v>
      </c>
      <c r="D10" s="28" t="s">
        <v>78</v>
      </c>
      <c r="E10" s="28" t="s">
        <v>9</v>
      </c>
      <c r="F10" s="28" t="s">
        <v>8</v>
      </c>
      <c r="G10" s="31" t="s">
        <v>12</v>
      </c>
      <c r="H10" s="32">
        <v>44240</v>
      </c>
      <c r="I10" s="29" t="s">
        <v>16</v>
      </c>
      <c r="J10" s="61">
        <v>1143003.2</v>
      </c>
      <c r="K10" s="33">
        <v>0.60000006999105515</v>
      </c>
      <c r="L10" s="58">
        <v>685802</v>
      </c>
      <c r="M10" s="58">
        <f>L10*10%</f>
        <v>68580.2</v>
      </c>
      <c r="N10" s="59">
        <f t="shared" si="0"/>
        <v>617221.80000000005</v>
      </c>
      <c r="O10" s="23"/>
      <c r="P10" s="12"/>
    </row>
    <row r="11" spans="2:16" ht="18" customHeight="1">
      <c r="B11" s="27">
        <v>7</v>
      </c>
      <c r="C11" s="29" t="s">
        <v>90</v>
      </c>
      <c r="D11" s="28" t="s">
        <v>78</v>
      </c>
      <c r="E11" s="28" t="s">
        <v>9</v>
      </c>
      <c r="F11" s="28" t="s">
        <v>8</v>
      </c>
      <c r="G11" s="50" t="s">
        <v>17</v>
      </c>
      <c r="H11" s="32">
        <v>44391</v>
      </c>
      <c r="I11" s="29" t="s">
        <v>16</v>
      </c>
      <c r="J11" s="61">
        <v>41138429.299999997</v>
      </c>
      <c r="K11" s="33">
        <v>0.60000001020943217</v>
      </c>
      <c r="L11" s="58">
        <v>24683058</v>
      </c>
      <c r="M11" s="49">
        <v>0</v>
      </c>
      <c r="N11" s="34">
        <f t="shared" si="0"/>
        <v>24683058</v>
      </c>
      <c r="O11" s="13" t="s">
        <v>156</v>
      </c>
      <c r="P11" s="13"/>
    </row>
    <row r="12" spans="2:16" ht="18" customHeight="1">
      <c r="B12" s="27">
        <v>8</v>
      </c>
      <c r="C12" s="29" t="s">
        <v>87</v>
      </c>
      <c r="D12" s="28" t="s">
        <v>78</v>
      </c>
      <c r="E12" s="29" t="s">
        <v>20</v>
      </c>
      <c r="F12" s="28" t="s">
        <v>18</v>
      </c>
      <c r="G12" s="31" t="s">
        <v>19</v>
      </c>
      <c r="H12" s="32">
        <v>44300</v>
      </c>
      <c r="I12" s="29" t="s">
        <v>13</v>
      </c>
      <c r="J12" s="62">
        <v>3137773.67</v>
      </c>
      <c r="K12" s="33">
        <v>0.70094123455373369</v>
      </c>
      <c r="L12" s="58">
        <v>2199394.9499999997</v>
      </c>
      <c r="M12" s="58">
        <v>0</v>
      </c>
      <c r="N12" s="63">
        <f t="shared" si="0"/>
        <v>2199394.9499999997</v>
      </c>
      <c r="O12" s="23"/>
      <c r="P12" s="12" t="s">
        <v>103</v>
      </c>
    </row>
    <row r="13" spans="2:16" ht="18" customHeight="1">
      <c r="B13" s="27">
        <v>9</v>
      </c>
      <c r="C13" s="29" t="s">
        <v>87</v>
      </c>
      <c r="D13" s="28" t="s">
        <v>78</v>
      </c>
      <c r="E13" s="29" t="s">
        <v>20</v>
      </c>
      <c r="F13" s="28" t="s">
        <v>18</v>
      </c>
      <c r="G13" s="31" t="s">
        <v>19</v>
      </c>
      <c r="H13" s="32">
        <v>44300</v>
      </c>
      <c r="I13" s="29" t="s">
        <v>14</v>
      </c>
      <c r="J13" s="35">
        <v>1211831.26</v>
      </c>
      <c r="K13" s="33">
        <v>0.70023247295997293</v>
      </c>
      <c r="L13" s="58">
        <v>848563.6</v>
      </c>
      <c r="M13" s="58">
        <v>0</v>
      </c>
      <c r="N13" s="63">
        <f t="shared" si="0"/>
        <v>848563.6</v>
      </c>
      <c r="O13" s="21"/>
      <c r="P13" s="12" t="s">
        <v>103</v>
      </c>
    </row>
    <row r="14" spans="2:16" ht="18" customHeight="1">
      <c r="B14" s="27">
        <v>10</v>
      </c>
      <c r="C14" s="29" t="s">
        <v>87</v>
      </c>
      <c r="D14" s="28" t="s">
        <v>78</v>
      </c>
      <c r="E14" s="29" t="s">
        <v>20</v>
      </c>
      <c r="F14" s="28" t="s">
        <v>21</v>
      </c>
      <c r="G14" s="31" t="s">
        <v>19</v>
      </c>
      <c r="H14" s="32">
        <v>44328</v>
      </c>
      <c r="I14" s="29" t="s">
        <v>14</v>
      </c>
      <c r="J14" s="35">
        <v>227700</v>
      </c>
      <c r="K14" s="33">
        <v>0.7</v>
      </c>
      <c r="L14" s="36">
        <v>159390</v>
      </c>
      <c r="M14" s="64">
        <v>0</v>
      </c>
      <c r="N14" s="63">
        <f t="shared" si="0"/>
        <v>159390</v>
      </c>
      <c r="O14" s="24"/>
      <c r="P14" s="12" t="s">
        <v>103</v>
      </c>
    </row>
    <row r="15" spans="2:16" ht="18" customHeight="1">
      <c r="B15" s="27">
        <v>11</v>
      </c>
      <c r="C15" s="29" t="s">
        <v>87</v>
      </c>
      <c r="D15" s="28" t="s">
        <v>78</v>
      </c>
      <c r="E15" s="29" t="s">
        <v>20</v>
      </c>
      <c r="F15" s="28" t="s">
        <v>21</v>
      </c>
      <c r="G15" s="31" t="s">
        <v>19</v>
      </c>
      <c r="H15" s="32">
        <v>44328</v>
      </c>
      <c r="I15" s="29" t="s">
        <v>16</v>
      </c>
      <c r="J15" s="35">
        <v>120000</v>
      </c>
      <c r="K15" s="33">
        <v>0.7</v>
      </c>
      <c r="L15" s="36">
        <v>84000</v>
      </c>
      <c r="M15" s="64">
        <v>0</v>
      </c>
      <c r="N15" s="63">
        <f t="shared" si="0"/>
        <v>84000</v>
      </c>
      <c r="O15" s="24"/>
      <c r="P15" s="12" t="s">
        <v>103</v>
      </c>
    </row>
    <row r="16" spans="2:16" ht="18" customHeight="1">
      <c r="B16" s="27">
        <v>12</v>
      </c>
      <c r="C16" s="29" t="s">
        <v>86</v>
      </c>
      <c r="D16" s="28" t="s">
        <v>78</v>
      </c>
      <c r="E16" s="28" t="s">
        <v>33</v>
      </c>
      <c r="F16" s="28" t="s">
        <v>35</v>
      </c>
      <c r="G16" s="31" t="s">
        <v>38</v>
      </c>
      <c r="H16" s="32">
        <v>44362</v>
      </c>
      <c r="I16" s="29" t="s">
        <v>14</v>
      </c>
      <c r="J16" s="35">
        <v>2658042.75</v>
      </c>
      <c r="K16" s="33">
        <v>0.6</v>
      </c>
      <c r="L16" s="36">
        <v>1594826</v>
      </c>
      <c r="M16" s="36">
        <f t="shared" ref="M16:M25" si="1">L16*10%</f>
        <v>159482.6</v>
      </c>
      <c r="N16" s="34">
        <f t="shared" ref="N16:N27" si="2">L16-M16</f>
        <v>1435343.4</v>
      </c>
      <c r="O16" s="21"/>
      <c r="P16" s="12" t="s">
        <v>103</v>
      </c>
    </row>
    <row r="17" spans="2:16" ht="18" customHeight="1">
      <c r="B17" s="27">
        <v>13</v>
      </c>
      <c r="C17" s="29" t="s">
        <v>99</v>
      </c>
      <c r="D17" s="28" t="s">
        <v>78</v>
      </c>
      <c r="E17" s="28" t="s">
        <v>33</v>
      </c>
      <c r="F17" s="28" t="s">
        <v>35</v>
      </c>
      <c r="G17" s="28" t="s">
        <v>39</v>
      </c>
      <c r="H17" s="32">
        <v>44385</v>
      </c>
      <c r="I17" s="29" t="s">
        <v>16</v>
      </c>
      <c r="J17" s="35">
        <v>1617791.25</v>
      </c>
      <c r="K17" s="33">
        <v>0.6</v>
      </c>
      <c r="L17" s="36">
        <v>970675</v>
      </c>
      <c r="M17" s="36">
        <f t="shared" si="1"/>
        <v>97067.5</v>
      </c>
      <c r="N17" s="34">
        <f t="shared" si="2"/>
        <v>873607.5</v>
      </c>
      <c r="O17" s="21"/>
      <c r="P17" s="12" t="s">
        <v>103</v>
      </c>
    </row>
    <row r="18" spans="2:16" ht="18" customHeight="1">
      <c r="B18" s="27">
        <v>14</v>
      </c>
      <c r="C18" s="29" t="s">
        <v>99</v>
      </c>
      <c r="D18" s="28" t="s">
        <v>78</v>
      </c>
      <c r="E18" s="28" t="s">
        <v>33</v>
      </c>
      <c r="F18" s="28" t="s">
        <v>35</v>
      </c>
      <c r="G18" s="28" t="s">
        <v>40</v>
      </c>
      <c r="H18" s="32">
        <v>44379</v>
      </c>
      <c r="I18" s="29" t="s">
        <v>16</v>
      </c>
      <c r="J18" s="35">
        <v>5220975</v>
      </c>
      <c r="K18" s="33">
        <v>0.6</v>
      </c>
      <c r="L18" s="36">
        <v>3132586</v>
      </c>
      <c r="M18" s="36">
        <f t="shared" si="1"/>
        <v>313258.60000000003</v>
      </c>
      <c r="N18" s="34">
        <f t="shared" si="2"/>
        <v>2819327.4</v>
      </c>
      <c r="O18" s="21"/>
      <c r="P18" s="12" t="s">
        <v>103</v>
      </c>
    </row>
    <row r="19" spans="2:16" ht="18" customHeight="1">
      <c r="B19" s="27">
        <v>15</v>
      </c>
      <c r="C19" s="29" t="s">
        <v>86</v>
      </c>
      <c r="D19" s="28" t="s">
        <v>78</v>
      </c>
      <c r="E19" s="28" t="s">
        <v>33</v>
      </c>
      <c r="F19" s="28" t="s">
        <v>35</v>
      </c>
      <c r="G19" s="28" t="s">
        <v>38</v>
      </c>
      <c r="H19" s="32">
        <v>44362</v>
      </c>
      <c r="I19" s="29" t="s">
        <v>16</v>
      </c>
      <c r="J19" s="35">
        <v>1393481.25</v>
      </c>
      <c r="K19" s="33">
        <v>0.6</v>
      </c>
      <c r="L19" s="36">
        <v>836088</v>
      </c>
      <c r="M19" s="36">
        <f t="shared" si="1"/>
        <v>83608.800000000003</v>
      </c>
      <c r="N19" s="34">
        <f t="shared" si="2"/>
        <v>752479.2</v>
      </c>
      <c r="O19" s="21"/>
      <c r="P19" s="12" t="s">
        <v>103</v>
      </c>
    </row>
    <row r="20" spans="2:16" ht="18" customHeight="1">
      <c r="B20" s="27">
        <v>16</v>
      </c>
      <c r="C20" s="29" t="s">
        <v>99</v>
      </c>
      <c r="D20" s="28" t="s">
        <v>78</v>
      </c>
      <c r="E20" s="28" t="s">
        <v>33</v>
      </c>
      <c r="F20" s="28" t="s">
        <v>44</v>
      </c>
      <c r="G20" s="28" t="s">
        <v>39</v>
      </c>
      <c r="H20" s="32">
        <v>44327</v>
      </c>
      <c r="I20" s="29" t="s">
        <v>14</v>
      </c>
      <c r="J20" s="35">
        <v>1222820</v>
      </c>
      <c r="K20" s="65" t="s">
        <v>45</v>
      </c>
      <c r="L20" s="36">
        <v>851352</v>
      </c>
      <c r="M20" s="36">
        <f t="shared" si="1"/>
        <v>85135.200000000012</v>
      </c>
      <c r="N20" s="34">
        <f t="shared" si="2"/>
        <v>766216.8</v>
      </c>
      <c r="O20" s="21"/>
      <c r="P20" s="12" t="s">
        <v>103</v>
      </c>
    </row>
    <row r="21" spans="2:16" ht="18" customHeight="1">
      <c r="B21" s="27">
        <v>17</v>
      </c>
      <c r="C21" s="29" t="s">
        <v>99</v>
      </c>
      <c r="D21" s="28" t="s">
        <v>78</v>
      </c>
      <c r="E21" s="28" t="s">
        <v>33</v>
      </c>
      <c r="F21" s="28" t="s">
        <v>44</v>
      </c>
      <c r="G21" s="28" t="s">
        <v>40</v>
      </c>
      <c r="H21" s="32">
        <v>44328</v>
      </c>
      <c r="I21" s="29" t="s">
        <v>14</v>
      </c>
      <c r="J21" s="35">
        <v>546220</v>
      </c>
      <c r="K21" s="65" t="s">
        <v>45</v>
      </c>
      <c r="L21" s="36">
        <v>379822</v>
      </c>
      <c r="M21" s="36">
        <f t="shared" si="1"/>
        <v>37982.200000000004</v>
      </c>
      <c r="N21" s="34">
        <f t="shared" si="2"/>
        <v>341839.8</v>
      </c>
      <c r="O21" s="21"/>
      <c r="P21" s="12" t="s">
        <v>103</v>
      </c>
    </row>
    <row r="22" spans="2:16" ht="18" customHeight="1">
      <c r="B22" s="27">
        <v>18</v>
      </c>
      <c r="C22" s="29" t="s">
        <v>86</v>
      </c>
      <c r="D22" s="28" t="s">
        <v>78</v>
      </c>
      <c r="E22" s="28" t="s">
        <v>33</v>
      </c>
      <c r="F22" s="28" t="s">
        <v>44</v>
      </c>
      <c r="G22" s="28" t="s">
        <v>38</v>
      </c>
      <c r="H22" s="32">
        <v>44329</v>
      </c>
      <c r="I22" s="29" t="s">
        <v>14</v>
      </c>
      <c r="J22" s="35">
        <v>8778170</v>
      </c>
      <c r="K22" s="65" t="s">
        <v>45</v>
      </c>
      <c r="L22" s="36">
        <v>6095462</v>
      </c>
      <c r="M22" s="36">
        <f t="shared" si="1"/>
        <v>609546.20000000007</v>
      </c>
      <c r="N22" s="34">
        <f t="shared" si="2"/>
        <v>5485915.7999999998</v>
      </c>
      <c r="O22" s="21"/>
      <c r="P22" s="12" t="s">
        <v>103</v>
      </c>
    </row>
    <row r="23" spans="2:16" ht="18" customHeight="1">
      <c r="B23" s="27">
        <v>19</v>
      </c>
      <c r="C23" s="29" t="s">
        <v>99</v>
      </c>
      <c r="D23" s="28" t="s">
        <v>78</v>
      </c>
      <c r="E23" s="28" t="s">
        <v>33</v>
      </c>
      <c r="F23" s="28" t="s">
        <v>44</v>
      </c>
      <c r="G23" s="28" t="s">
        <v>39</v>
      </c>
      <c r="H23" s="32">
        <v>44327</v>
      </c>
      <c r="I23" s="29" t="s">
        <v>16</v>
      </c>
      <c r="J23" s="35">
        <v>1076016</v>
      </c>
      <c r="K23" s="65" t="s">
        <v>45</v>
      </c>
      <c r="L23" s="36">
        <v>750302</v>
      </c>
      <c r="M23" s="36">
        <f t="shared" si="1"/>
        <v>75030.2</v>
      </c>
      <c r="N23" s="34">
        <f t="shared" si="2"/>
        <v>675271.8</v>
      </c>
      <c r="O23" s="21"/>
      <c r="P23" s="12" t="s">
        <v>103</v>
      </c>
    </row>
    <row r="24" spans="2:16" ht="18" customHeight="1">
      <c r="B24" s="27">
        <v>20</v>
      </c>
      <c r="C24" s="29" t="s">
        <v>99</v>
      </c>
      <c r="D24" s="28" t="s">
        <v>78</v>
      </c>
      <c r="E24" s="28" t="s">
        <v>33</v>
      </c>
      <c r="F24" s="28" t="s">
        <v>44</v>
      </c>
      <c r="G24" s="28" t="s">
        <v>40</v>
      </c>
      <c r="H24" s="32">
        <v>44328</v>
      </c>
      <c r="I24" s="29" t="s">
        <v>16</v>
      </c>
      <c r="J24" s="35">
        <v>972760</v>
      </c>
      <c r="K24" s="65" t="s">
        <v>45</v>
      </c>
      <c r="L24" s="36">
        <v>677296</v>
      </c>
      <c r="M24" s="36">
        <f t="shared" si="1"/>
        <v>67729.600000000006</v>
      </c>
      <c r="N24" s="34">
        <f t="shared" si="2"/>
        <v>609566.4</v>
      </c>
      <c r="O24" s="21"/>
      <c r="P24" s="12" t="s">
        <v>103</v>
      </c>
    </row>
    <row r="25" spans="2:16" ht="18" customHeight="1">
      <c r="B25" s="27">
        <v>21</v>
      </c>
      <c r="C25" s="29" t="s">
        <v>86</v>
      </c>
      <c r="D25" s="28" t="s">
        <v>78</v>
      </c>
      <c r="E25" s="28" t="s">
        <v>33</v>
      </c>
      <c r="F25" s="28" t="s">
        <v>44</v>
      </c>
      <c r="G25" s="28" t="s">
        <v>38</v>
      </c>
      <c r="H25" s="32">
        <v>44329</v>
      </c>
      <c r="I25" s="29" t="s">
        <v>16</v>
      </c>
      <c r="J25" s="35">
        <v>3243096</v>
      </c>
      <c r="K25" s="65" t="s">
        <v>45</v>
      </c>
      <c r="L25" s="36">
        <v>2250325</v>
      </c>
      <c r="M25" s="36">
        <f t="shared" si="1"/>
        <v>225032.5</v>
      </c>
      <c r="N25" s="34">
        <f t="shared" si="2"/>
        <v>2025292.5</v>
      </c>
      <c r="O25" s="21"/>
      <c r="P25" s="12" t="s">
        <v>103</v>
      </c>
    </row>
    <row r="26" spans="2:16" ht="18" customHeight="1">
      <c r="B26" s="27">
        <v>22</v>
      </c>
      <c r="C26" s="29" t="s">
        <v>87</v>
      </c>
      <c r="D26" s="28" t="s">
        <v>78</v>
      </c>
      <c r="E26" s="28" t="s">
        <v>9</v>
      </c>
      <c r="F26" s="28" t="s">
        <v>44</v>
      </c>
      <c r="G26" s="28" t="s">
        <v>46</v>
      </c>
      <c r="H26" s="32">
        <v>44246</v>
      </c>
      <c r="I26" s="29" t="s">
        <v>16</v>
      </c>
      <c r="J26" s="35">
        <v>1336200</v>
      </c>
      <c r="K26" s="37">
        <v>0.55000000000000004</v>
      </c>
      <c r="L26" s="36">
        <v>734910</v>
      </c>
      <c r="M26" s="36">
        <f>L26*10%</f>
        <v>73491</v>
      </c>
      <c r="N26" s="34">
        <f t="shared" si="2"/>
        <v>661419</v>
      </c>
      <c r="O26" s="21"/>
      <c r="P26" s="12" t="s">
        <v>103</v>
      </c>
    </row>
    <row r="27" spans="2:16" ht="18" customHeight="1">
      <c r="B27" s="27">
        <v>23</v>
      </c>
      <c r="C27" s="29" t="s">
        <v>87</v>
      </c>
      <c r="D27" s="28" t="s">
        <v>78</v>
      </c>
      <c r="E27" s="28" t="s">
        <v>9</v>
      </c>
      <c r="F27" s="28" t="s">
        <v>44</v>
      </c>
      <c r="G27" s="28" t="s">
        <v>47</v>
      </c>
      <c r="H27" s="32">
        <v>44152</v>
      </c>
      <c r="I27" s="29" t="s">
        <v>16</v>
      </c>
      <c r="J27" s="35">
        <v>1693120</v>
      </c>
      <c r="K27" s="37">
        <v>0.55000000000000004</v>
      </c>
      <c r="L27" s="36">
        <v>931216</v>
      </c>
      <c r="M27" s="36">
        <f>L27*10%</f>
        <v>93121.600000000006</v>
      </c>
      <c r="N27" s="34">
        <f t="shared" si="2"/>
        <v>838094.4</v>
      </c>
      <c r="O27" s="21"/>
      <c r="P27" s="12" t="s">
        <v>103</v>
      </c>
    </row>
    <row r="28" spans="2:16" ht="18" customHeight="1">
      <c r="B28" s="27">
        <v>24</v>
      </c>
      <c r="C28" s="29" t="s">
        <v>91</v>
      </c>
      <c r="D28" s="28" t="s">
        <v>78</v>
      </c>
      <c r="E28" s="28" t="s">
        <v>9</v>
      </c>
      <c r="F28" s="28" t="s">
        <v>48</v>
      </c>
      <c r="G28" s="28" t="s">
        <v>36</v>
      </c>
      <c r="H28" s="32">
        <v>43810</v>
      </c>
      <c r="I28" s="29" t="s">
        <v>14</v>
      </c>
      <c r="J28" s="35">
        <v>4307580</v>
      </c>
      <c r="K28" s="37" t="s">
        <v>49</v>
      </c>
      <c r="L28" s="36">
        <v>1761777</v>
      </c>
      <c r="M28" s="36">
        <v>0</v>
      </c>
      <c r="N28" s="34">
        <f>L28-M28</f>
        <v>1761777</v>
      </c>
      <c r="O28" s="21"/>
      <c r="P28" s="12"/>
    </row>
    <row r="29" spans="2:16" ht="18" customHeight="1">
      <c r="B29" s="27">
        <v>25</v>
      </c>
      <c r="C29" s="29" t="s">
        <v>91</v>
      </c>
      <c r="D29" s="28" t="s">
        <v>78</v>
      </c>
      <c r="E29" s="28" t="s">
        <v>9</v>
      </c>
      <c r="F29" s="28" t="s">
        <v>48</v>
      </c>
      <c r="G29" s="28" t="s">
        <v>89</v>
      </c>
      <c r="H29" s="32">
        <v>43852</v>
      </c>
      <c r="I29" s="29" t="s">
        <v>14</v>
      </c>
      <c r="J29" s="35">
        <v>255960</v>
      </c>
      <c r="K29" s="37" t="s">
        <v>49</v>
      </c>
      <c r="L29" s="36">
        <v>104220</v>
      </c>
      <c r="M29" s="36">
        <v>0</v>
      </c>
      <c r="N29" s="34">
        <f>L29-M29</f>
        <v>104220</v>
      </c>
      <c r="O29" s="21"/>
      <c r="P29" s="12"/>
    </row>
    <row r="30" spans="2:16" ht="18" customHeight="1">
      <c r="B30" s="27">
        <v>26</v>
      </c>
      <c r="C30" s="29" t="s">
        <v>87</v>
      </c>
      <c r="D30" s="28" t="s">
        <v>78</v>
      </c>
      <c r="E30" s="28" t="s">
        <v>33</v>
      </c>
      <c r="F30" s="28" t="s">
        <v>48</v>
      </c>
      <c r="G30" s="28" t="s">
        <v>19</v>
      </c>
      <c r="H30" s="32">
        <v>44328</v>
      </c>
      <c r="I30" s="29" t="s">
        <v>14</v>
      </c>
      <c r="J30" s="35">
        <v>954360</v>
      </c>
      <c r="K30" s="37" t="s">
        <v>50</v>
      </c>
      <c r="L30" s="36">
        <v>451915.2</v>
      </c>
      <c r="M30" s="36">
        <v>0</v>
      </c>
      <c r="N30" s="63">
        <f>L30-M30</f>
        <v>451915.2</v>
      </c>
      <c r="O30" s="21"/>
      <c r="P30" s="12" t="s">
        <v>103</v>
      </c>
    </row>
    <row r="31" spans="2:16" ht="18" customHeight="1">
      <c r="B31" s="27">
        <v>27</v>
      </c>
      <c r="C31" s="29" t="s">
        <v>91</v>
      </c>
      <c r="D31" s="28" t="s">
        <v>78</v>
      </c>
      <c r="E31" s="28" t="s">
        <v>9</v>
      </c>
      <c r="F31" s="28" t="s">
        <v>48</v>
      </c>
      <c r="G31" s="28" t="s">
        <v>36</v>
      </c>
      <c r="H31" s="32">
        <v>43810</v>
      </c>
      <c r="I31" s="29" t="s">
        <v>16</v>
      </c>
      <c r="J31" s="35">
        <v>1884060</v>
      </c>
      <c r="K31" s="37" t="s">
        <v>49</v>
      </c>
      <c r="L31" s="36">
        <v>756405</v>
      </c>
      <c r="M31" s="36">
        <v>0</v>
      </c>
      <c r="N31" s="34">
        <f>L31-M31</f>
        <v>756405</v>
      </c>
      <c r="O31" s="21"/>
      <c r="P31" s="12"/>
    </row>
    <row r="32" spans="2:16" ht="18" customHeight="1">
      <c r="B32" s="27">
        <v>28</v>
      </c>
      <c r="C32" s="29" t="s">
        <v>91</v>
      </c>
      <c r="D32" s="28" t="s">
        <v>78</v>
      </c>
      <c r="E32" s="28" t="s">
        <v>9</v>
      </c>
      <c r="F32" s="28" t="s">
        <v>48</v>
      </c>
      <c r="G32" s="28" t="s">
        <v>89</v>
      </c>
      <c r="H32" s="32">
        <v>43852</v>
      </c>
      <c r="I32" s="29" t="s">
        <v>16</v>
      </c>
      <c r="J32" s="35">
        <v>925560</v>
      </c>
      <c r="K32" s="37" t="s">
        <v>49</v>
      </c>
      <c r="L32" s="36">
        <v>366174</v>
      </c>
      <c r="M32" s="36">
        <v>0</v>
      </c>
      <c r="N32" s="34">
        <f>L32-M32</f>
        <v>366174</v>
      </c>
      <c r="O32" s="21"/>
      <c r="P32" s="12"/>
    </row>
    <row r="33" spans="2:16" ht="18" customHeight="1">
      <c r="B33" s="27">
        <v>29</v>
      </c>
      <c r="C33" s="29" t="s">
        <v>87</v>
      </c>
      <c r="D33" s="28" t="s">
        <v>78</v>
      </c>
      <c r="E33" s="28" t="s">
        <v>33</v>
      </c>
      <c r="F33" s="28" t="s">
        <v>48</v>
      </c>
      <c r="G33" s="28" t="s">
        <v>19</v>
      </c>
      <c r="H33" s="32">
        <v>44328</v>
      </c>
      <c r="I33" s="29" t="s">
        <v>16</v>
      </c>
      <c r="J33" s="35">
        <v>985320</v>
      </c>
      <c r="K33" s="37" t="s">
        <v>50</v>
      </c>
      <c r="L33" s="36">
        <v>456645.60000000003</v>
      </c>
      <c r="M33" s="36">
        <v>0</v>
      </c>
      <c r="N33" s="63">
        <f t="shared" ref="N33:N40" si="3">L33-M33</f>
        <v>456645.60000000003</v>
      </c>
      <c r="O33" s="21"/>
      <c r="P33" s="12" t="s">
        <v>103</v>
      </c>
    </row>
    <row r="34" spans="2:16" ht="18" customHeight="1">
      <c r="B34" s="27">
        <v>30</v>
      </c>
      <c r="C34" s="29" t="s">
        <v>90</v>
      </c>
      <c r="D34" s="28" t="s">
        <v>78</v>
      </c>
      <c r="E34" s="28" t="s">
        <v>9</v>
      </c>
      <c r="F34" s="28" t="s">
        <v>51</v>
      </c>
      <c r="G34" s="28" t="s">
        <v>43</v>
      </c>
      <c r="H34" s="32">
        <v>44268</v>
      </c>
      <c r="I34" s="29" t="s">
        <v>14</v>
      </c>
      <c r="J34" s="35">
        <v>50684595</v>
      </c>
      <c r="K34" s="37">
        <v>0.55000000000000004</v>
      </c>
      <c r="L34" s="36">
        <v>27876529</v>
      </c>
      <c r="M34" s="36">
        <f>L34*10%</f>
        <v>2787652.9000000004</v>
      </c>
      <c r="N34" s="34">
        <f t="shared" si="3"/>
        <v>25088876.100000001</v>
      </c>
      <c r="O34" s="21"/>
      <c r="P34" s="12" t="s">
        <v>103</v>
      </c>
    </row>
    <row r="35" spans="2:16" ht="18" customHeight="1">
      <c r="B35" s="27">
        <v>31</v>
      </c>
      <c r="C35" s="29" t="s">
        <v>90</v>
      </c>
      <c r="D35" s="28" t="s">
        <v>78</v>
      </c>
      <c r="E35" s="28" t="s">
        <v>9</v>
      </c>
      <c r="F35" s="28" t="s">
        <v>51</v>
      </c>
      <c r="G35" s="28" t="s">
        <v>43</v>
      </c>
      <c r="H35" s="32">
        <v>44268</v>
      </c>
      <c r="I35" s="29" t="s">
        <v>16</v>
      </c>
      <c r="J35" s="35">
        <v>57267709.182500005</v>
      </c>
      <c r="K35" s="37">
        <v>0.55000000000000004</v>
      </c>
      <c r="L35" s="36">
        <v>31497241</v>
      </c>
      <c r="M35" s="36">
        <f>L35*10%</f>
        <v>3149724.1</v>
      </c>
      <c r="N35" s="34">
        <f t="shared" si="3"/>
        <v>28347516.899999999</v>
      </c>
      <c r="O35" s="21"/>
      <c r="P35" s="12" t="s">
        <v>103</v>
      </c>
    </row>
    <row r="36" spans="2:16" ht="18" customHeight="1">
      <c r="B36" s="27">
        <v>32</v>
      </c>
      <c r="C36" s="29" t="s">
        <v>87</v>
      </c>
      <c r="D36" s="28" t="s">
        <v>78</v>
      </c>
      <c r="E36" s="28" t="s">
        <v>9</v>
      </c>
      <c r="F36" s="28" t="s">
        <v>52</v>
      </c>
      <c r="G36" s="28" t="s">
        <v>53</v>
      </c>
      <c r="H36" s="32">
        <v>44224</v>
      </c>
      <c r="I36" s="29" t="s">
        <v>14</v>
      </c>
      <c r="J36" s="35">
        <v>9770719</v>
      </c>
      <c r="K36" s="37">
        <v>0.55000000000000004</v>
      </c>
      <c r="L36" s="36">
        <v>5373895</v>
      </c>
      <c r="M36" s="36">
        <v>0</v>
      </c>
      <c r="N36" s="34">
        <f t="shared" si="3"/>
        <v>5373895</v>
      </c>
      <c r="O36" s="21"/>
      <c r="P36" s="12" t="s">
        <v>103</v>
      </c>
    </row>
    <row r="37" spans="2:16" ht="18" customHeight="1">
      <c r="B37" s="27">
        <v>33</v>
      </c>
      <c r="C37" s="29" t="s">
        <v>90</v>
      </c>
      <c r="D37" s="28" t="s">
        <v>78</v>
      </c>
      <c r="E37" s="28" t="s">
        <v>9</v>
      </c>
      <c r="F37" s="28" t="s">
        <v>52</v>
      </c>
      <c r="G37" s="28" t="s">
        <v>30</v>
      </c>
      <c r="H37" s="32">
        <v>44199</v>
      </c>
      <c r="I37" s="29" t="s">
        <v>14</v>
      </c>
      <c r="J37" s="35">
        <v>9527345</v>
      </c>
      <c r="K37" s="37">
        <v>0.55000000000000004</v>
      </c>
      <c r="L37" s="36">
        <v>5240041</v>
      </c>
      <c r="M37" s="36">
        <v>124004</v>
      </c>
      <c r="N37" s="34">
        <f t="shared" si="3"/>
        <v>5116037</v>
      </c>
      <c r="O37" s="21" t="s">
        <v>106</v>
      </c>
      <c r="P37" s="13"/>
    </row>
    <row r="38" spans="2:16" ht="18" customHeight="1">
      <c r="B38" s="27">
        <v>34</v>
      </c>
      <c r="C38" s="29" t="s">
        <v>90</v>
      </c>
      <c r="D38" s="28" t="s">
        <v>78</v>
      </c>
      <c r="E38" s="28" t="s">
        <v>9</v>
      </c>
      <c r="F38" s="28" t="s">
        <v>52</v>
      </c>
      <c r="G38" s="28" t="s">
        <v>29</v>
      </c>
      <c r="H38" s="32">
        <v>44040</v>
      </c>
      <c r="I38" s="29" t="s">
        <v>14</v>
      </c>
      <c r="J38" s="35">
        <v>13982184</v>
      </c>
      <c r="K38" s="37">
        <v>0.55000000000000004</v>
      </c>
      <c r="L38" s="36">
        <v>7690203</v>
      </c>
      <c r="M38" s="36">
        <f>L38*10%</f>
        <v>769020.3</v>
      </c>
      <c r="N38" s="34">
        <f t="shared" si="3"/>
        <v>6921182.7000000002</v>
      </c>
      <c r="O38" s="21"/>
      <c r="P38" s="12"/>
    </row>
    <row r="39" spans="2:16" ht="18" customHeight="1">
      <c r="B39" s="27">
        <v>35</v>
      </c>
      <c r="C39" s="29" t="s">
        <v>90</v>
      </c>
      <c r="D39" s="28" t="s">
        <v>78</v>
      </c>
      <c r="E39" s="28" t="s">
        <v>9</v>
      </c>
      <c r="F39" s="28" t="s">
        <v>52</v>
      </c>
      <c r="G39" s="28" t="s">
        <v>28</v>
      </c>
      <c r="H39" s="32">
        <v>43994</v>
      </c>
      <c r="I39" s="29" t="s">
        <v>14</v>
      </c>
      <c r="J39" s="35">
        <v>22859002</v>
      </c>
      <c r="K39" s="37">
        <v>0.55000000000000004</v>
      </c>
      <c r="L39" s="36">
        <v>12572452</v>
      </c>
      <c r="M39" s="36">
        <v>908694</v>
      </c>
      <c r="N39" s="34">
        <f t="shared" si="3"/>
        <v>11663758</v>
      </c>
      <c r="O39" s="21" t="s">
        <v>106</v>
      </c>
      <c r="P39" s="13"/>
    </row>
    <row r="40" spans="2:16" ht="18" customHeight="1">
      <c r="B40" s="27">
        <v>36</v>
      </c>
      <c r="C40" s="29" t="s">
        <v>90</v>
      </c>
      <c r="D40" s="28" t="s">
        <v>78</v>
      </c>
      <c r="E40" s="28" t="s">
        <v>9</v>
      </c>
      <c r="F40" s="28" t="s">
        <v>52</v>
      </c>
      <c r="G40" s="28" t="s">
        <v>54</v>
      </c>
      <c r="H40" s="32">
        <v>44098</v>
      </c>
      <c r="I40" s="29" t="s">
        <v>14</v>
      </c>
      <c r="J40" s="35">
        <v>4093855.2170000002</v>
      </c>
      <c r="K40" s="37">
        <v>0.55000000000000004</v>
      </c>
      <c r="L40" s="36">
        <v>2251621</v>
      </c>
      <c r="M40" s="36">
        <f>L40*10%</f>
        <v>225162.1</v>
      </c>
      <c r="N40" s="34">
        <f t="shared" si="3"/>
        <v>2026458.9</v>
      </c>
      <c r="O40" s="21"/>
      <c r="P40" s="12"/>
    </row>
    <row r="41" spans="2:16" ht="18" customHeight="1">
      <c r="B41" s="27">
        <v>37</v>
      </c>
      <c r="C41" s="29" t="s">
        <v>90</v>
      </c>
      <c r="D41" s="28" t="s">
        <v>78</v>
      </c>
      <c r="E41" s="28" t="s">
        <v>9</v>
      </c>
      <c r="F41" s="28" t="s">
        <v>52</v>
      </c>
      <c r="G41" s="28" t="s">
        <v>55</v>
      </c>
      <c r="H41" s="32">
        <v>44320</v>
      </c>
      <c r="I41" s="29" t="s">
        <v>14</v>
      </c>
      <c r="J41" s="35">
        <v>1104178.2217000001</v>
      </c>
      <c r="K41" s="37">
        <v>0.55000000000000004</v>
      </c>
      <c r="L41" s="36">
        <v>607298</v>
      </c>
      <c r="M41" s="36">
        <f>L41*10%</f>
        <v>60729.8</v>
      </c>
      <c r="N41" s="34">
        <f t="shared" ref="N41:N63" si="4">L41-M41</f>
        <v>546568.19999999995</v>
      </c>
      <c r="O41" s="21"/>
      <c r="P41" s="12"/>
    </row>
    <row r="42" spans="2:16" ht="18" customHeight="1">
      <c r="B42" s="27">
        <v>38</v>
      </c>
      <c r="C42" s="29" t="s">
        <v>86</v>
      </c>
      <c r="D42" s="28" t="s">
        <v>78</v>
      </c>
      <c r="E42" s="28" t="s">
        <v>9</v>
      </c>
      <c r="F42" s="28" t="s">
        <v>52</v>
      </c>
      <c r="G42" s="28" t="s">
        <v>42</v>
      </c>
      <c r="H42" s="32">
        <v>44074</v>
      </c>
      <c r="I42" s="29" t="s">
        <v>14</v>
      </c>
      <c r="J42" s="35">
        <v>33189961.868000001</v>
      </c>
      <c r="K42" s="37">
        <v>0.55000000000000004</v>
      </c>
      <c r="L42" s="36">
        <v>18254479</v>
      </c>
      <c r="M42" s="36">
        <f>L42*10%</f>
        <v>1825447.9000000001</v>
      </c>
      <c r="N42" s="34">
        <f t="shared" si="4"/>
        <v>16429031.1</v>
      </c>
      <c r="O42" s="21" t="s">
        <v>84</v>
      </c>
      <c r="P42" s="12"/>
    </row>
    <row r="43" spans="2:16" ht="18" customHeight="1">
      <c r="B43" s="27">
        <v>39</v>
      </c>
      <c r="C43" s="29" t="s">
        <v>90</v>
      </c>
      <c r="D43" s="28" t="s">
        <v>78</v>
      </c>
      <c r="E43" s="28" t="s">
        <v>9</v>
      </c>
      <c r="F43" s="28" t="s">
        <v>52</v>
      </c>
      <c r="G43" s="28" t="s">
        <v>56</v>
      </c>
      <c r="H43" s="32">
        <v>44372</v>
      </c>
      <c r="I43" s="29" t="s">
        <v>14</v>
      </c>
      <c r="J43" s="35">
        <v>50075589.7689</v>
      </c>
      <c r="K43" s="37">
        <v>0.6</v>
      </c>
      <c r="L43" s="36">
        <v>30045355</v>
      </c>
      <c r="M43" s="36">
        <f>L43*10%</f>
        <v>3004535.5</v>
      </c>
      <c r="N43" s="34">
        <f t="shared" si="4"/>
        <v>27040819.5</v>
      </c>
      <c r="O43" s="21"/>
      <c r="P43" s="12"/>
    </row>
    <row r="44" spans="2:16" ht="18" customHeight="1">
      <c r="B44" s="27">
        <v>40</v>
      </c>
      <c r="C44" s="29" t="s">
        <v>90</v>
      </c>
      <c r="D44" s="28" t="s">
        <v>78</v>
      </c>
      <c r="E44" s="28" t="s">
        <v>9</v>
      </c>
      <c r="F44" s="28" t="s">
        <v>52</v>
      </c>
      <c r="G44" s="28" t="s">
        <v>57</v>
      </c>
      <c r="H44" s="32">
        <v>44331</v>
      </c>
      <c r="I44" s="29" t="s">
        <v>14</v>
      </c>
      <c r="J44" s="35">
        <v>12345324.2217</v>
      </c>
      <c r="K44" s="37">
        <v>0.55000000000000004</v>
      </c>
      <c r="L44" s="36">
        <v>6789929</v>
      </c>
      <c r="M44" s="36">
        <f>L44*10%</f>
        <v>678992.9</v>
      </c>
      <c r="N44" s="34">
        <f t="shared" si="4"/>
        <v>6110936.0999999996</v>
      </c>
      <c r="O44" s="21"/>
      <c r="P44" s="12"/>
    </row>
    <row r="45" spans="2:16" ht="18" customHeight="1">
      <c r="B45" s="27">
        <v>41</v>
      </c>
      <c r="C45" s="29" t="s">
        <v>87</v>
      </c>
      <c r="D45" s="28" t="s">
        <v>78</v>
      </c>
      <c r="E45" s="28" t="s">
        <v>33</v>
      </c>
      <c r="F45" s="28" t="s">
        <v>52</v>
      </c>
      <c r="G45" s="28" t="s">
        <v>58</v>
      </c>
      <c r="H45" s="32">
        <v>44328</v>
      </c>
      <c r="I45" s="29" t="s">
        <v>14</v>
      </c>
      <c r="J45" s="35">
        <v>68000</v>
      </c>
      <c r="K45" s="37" t="s">
        <v>45</v>
      </c>
      <c r="L45" s="36">
        <v>47600</v>
      </c>
      <c r="M45" s="36">
        <v>0</v>
      </c>
      <c r="N45" s="63">
        <f t="shared" si="4"/>
        <v>47600</v>
      </c>
      <c r="O45" s="21"/>
      <c r="P45" s="12" t="s">
        <v>103</v>
      </c>
    </row>
    <row r="46" spans="2:16" ht="18" customHeight="1">
      <c r="B46" s="27">
        <v>42</v>
      </c>
      <c r="C46" s="29" t="s">
        <v>87</v>
      </c>
      <c r="D46" s="28" t="s">
        <v>78</v>
      </c>
      <c r="E46" s="28" t="s">
        <v>9</v>
      </c>
      <c r="F46" s="28" t="s">
        <v>52</v>
      </c>
      <c r="G46" s="28" t="s">
        <v>53</v>
      </c>
      <c r="H46" s="32">
        <v>44224</v>
      </c>
      <c r="I46" s="29" t="s">
        <v>16</v>
      </c>
      <c r="J46" s="35">
        <v>7944284.3876</v>
      </c>
      <c r="K46" s="37">
        <v>0.55000000000000004</v>
      </c>
      <c r="L46" s="36">
        <v>4369357</v>
      </c>
      <c r="M46" s="36">
        <v>0</v>
      </c>
      <c r="N46" s="34">
        <f t="shared" si="4"/>
        <v>4369357</v>
      </c>
      <c r="O46" s="21"/>
      <c r="P46" s="12" t="s">
        <v>103</v>
      </c>
    </row>
    <row r="47" spans="2:16" ht="18" customHeight="1">
      <c r="B47" s="27">
        <v>43</v>
      </c>
      <c r="C47" s="29" t="s">
        <v>90</v>
      </c>
      <c r="D47" s="28" t="s">
        <v>78</v>
      </c>
      <c r="E47" s="28" t="s">
        <v>9</v>
      </c>
      <c r="F47" s="28" t="s">
        <v>52</v>
      </c>
      <c r="G47" s="28" t="s">
        <v>30</v>
      </c>
      <c r="H47" s="32">
        <v>44199</v>
      </c>
      <c r="I47" s="29" t="s">
        <v>16</v>
      </c>
      <c r="J47" s="35">
        <v>10133272</v>
      </c>
      <c r="K47" s="37">
        <v>0.55000000000000004</v>
      </c>
      <c r="L47" s="36">
        <v>5573301</v>
      </c>
      <c r="M47" s="36">
        <v>257330</v>
      </c>
      <c r="N47" s="34">
        <f t="shared" si="4"/>
        <v>5315971</v>
      </c>
      <c r="O47" s="21" t="s">
        <v>106</v>
      </c>
      <c r="P47" s="13"/>
    </row>
    <row r="48" spans="2:16" ht="18" customHeight="1">
      <c r="B48" s="27">
        <v>44</v>
      </c>
      <c r="C48" s="29" t="s">
        <v>90</v>
      </c>
      <c r="D48" s="28" t="s">
        <v>78</v>
      </c>
      <c r="E48" s="28" t="s">
        <v>9</v>
      </c>
      <c r="F48" s="28" t="s">
        <v>52</v>
      </c>
      <c r="G48" s="28" t="s">
        <v>29</v>
      </c>
      <c r="H48" s="32">
        <v>44040</v>
      </c>
      <c r="I48" s="29" t="s">
        <v>16</v>
      </c>
      <c r="J48" s="35">
        <v>2959238</v>
      </c>
      <c r="K48" s="37">
        <v>0.55000000000000004</v>
      </c>
      <c r="L48" s="36">
        <v>1627581</v>
      </c>
      <c r="M48" s="36">
        <f>L48*10%</f>
        <v>162758.1</v>
      </c>
      <c r="N48" s="34">
        <f t="shared" si="4"/>
        <v>1464822.9</v>
      </c>
      <c r="O48" s="21"/>
      <c r="P48" s="12"/>
    </row>
    <row r="49" spans="2:16" ht="18" customHeight="1">
      <c r="B49" s="27">
        <v>45</v>
      </c>
      <c r="C49" s="29" t="s">
        <v>90</v>
      </c>
      <c r="D49" s="28" t="s">
        <v>78</v>
      </c>
      <c r="E49" s="28" t="s">
        <v>9</v>
      </c>
      <c r="F49" s="28" t="s">
        <v>52</v>
      </c>
      <c r="G49" s="28" t="s">
        <v>28</v>
      </c>
      <c r="H49" s="32">
        <v>43994</v>
      </c>
      <c r="I49" s="29" t="s">
        <v>16</v>
      </c>
      <c r="J49" s="35">
        <v>19853266.387600001</v>
      </c>
      <c r="K49" s="37">
        <v>0.55000000000000004</v>
      </c>
      <c r="L49" s="36">
        <v>10919297</v>
      </c>
      <c r="M49" s="36">
        <v>830316</v>
      </c>
      <c r="N49" s="34">
        <f t="shared" si="4"/>
        <v>10088981</v>
      </c>
      <c r="O49" s="21" t="s">
        <v>106</v>
      </c>
      <c r="P49" s="13"/>
    </row>
    <row r="50" spans="2:16" ht="18" customHeight="1">
      <c r="B50" s="27">
        <v>46</v>
      </c>
      <c r="C50" s="29" t="s">
        <v>90</v>
      </c>
      <c r="D50" s="28" t="s">
        <v>78</v>
      </c>
      <c r="E50" s="28" t="s">
        <v>9</v>
      </c>
      <c r="F50" s="28" t="s">
        <v>52</v>
      </c>
      <c r="G50" s="28" t="s">
        <v>54</v>
      </c>
      <c r="H50" s="32">
        <v>44098</v>
      </c>
      <c r="I50" s="29" t="s">
        <v>16</v>
      </c>
      <c r="J50" s="35">
        <v>2945010</v>
      </c>
      <c r="K50" s="37">
        <v>0.55000000000000004</v>
      </c>
      <c r="L50" s="36">
        <v>1619756</v>
      </c>
      <c r="M50" s="36">
        <f t="shared" ref="M50:M55" si="5">L50*10%</f>
        <v>161975.6</v>
      </c>
      <c r="N50" s="34">
        <f t="shared" si="4"/>
        <v>1457780.4</v>
      </c>
      <c r="O50" s="21"/>
      <c r="P50" s="12"/>
    </row>
    <row r="51" spans="2:16" ht="18" customHeight="1">
      <c r="B51" s="27">
        <v>47</v>
      </c>
      <c r="C51" s="29" t="s">
        <v>90</v>
      </c>
      <c r="D51" s="28" t="s">
        <v>78</v>
      </c>
      <c r="E51" s="28" t="s">
        <v>9</v>
      </c>
      <c r="F51" s="28" t="s">
        <v>52</v>
      </c>
      <c r="G51" s="28" t="s">
        <v>55</v>
      </c>
      <c r="H51" s="32">
        <v>44320</v>
      </c>
      <c r="I51" s="29" t="s">
        <v>16</v>
      </c>
      <c r="J51" s="35">
        <v>943489.38760000002</v>
      </c>
      <c r="K51" s="37">
        <v>0.55000000000000004</v>
      </c>
      <c r="L51" s="36">
        <v>518919</v>
      </c>
      <c r="M51" s="36">
        <f t="shared" si="5"/>
        <v>51891.9</v>
      </c>
      <c r="N51" s="34">
        <f t="shared" si="4"/>
        <v>467027.1</v>
      </c>
      <c r="O51" s="21"/>
      <c r="P51" s="12"/>
    </row>
    <row r="52" spans="2:16" ht="18" customHeight="1">
      <c r="B52" s="27">
        <v>48</v>
      </c>
      <c r="C52" s="29" t="s">
        <v>86</v>
      </c>
      <c r="D52" s="28" t="s">
        <v>78</v>
      </c>
      <c r="E52" s="28" t="s">
        <v>9</v>
      </c>
      <c r="F52" s="28" t="s">
        <v>52</v>
      </c>
      <c r="G52" s="28" t="s">
        <v>42</v>
      </c>
      <c r="H52" s="32">
        <v>44074</v>
      </c>
      <c r="I52" s="29" t="s">
        <v>16</v>
      </c>
      <c r="J52" s="35">
        <v>27450521</v>
      </c>
      <c r="K52" s="37">
        <v>0.55000000000000004</v>
      </c>
      <c r="L52" s="36">
        <v>15097788</v>
      </c>
      <c r="M52" s="36">
        <f t="shared" si="5"/>
        <v>1509778.8</v>
      </c>
      <c r="N52" s="34">
        <f t="shared" si="4"/>
        <v>13588009.199999999</v>
      </c>
      <c r="O52" s="21" t="s">
        <v>84</v>
      </c>
      <c r="P52" s="12"/>
    </row>
    <row r="53" spans="2:16" ht="18" customHeight="1">
      <c r="B53" s="27">
        <v>49</v>
      </c>
      <c r="C53" s="29" t="s">
        <v>90</v>
      </c>
      <c r="D53" s="28" t="s">
        <v>78</v>
      </c>
      <c r="E53" s="28" t="s">
        <v>9</v>
      </c>
      <c r="F53" s="28" t="s">
        <v>52</v>
      </c>
      <c r="G53" s="28" t="s">
        <v>56</v>
      </c>
      <c r="H53" s="32">
        <v>44372</v>
      </c>
      <c r="I53" s="29" t="s">
        <v>16</v>
      </c>
      <c r="J53" s="35">
        <v>22911396.549200002</v>
      </c>
      <c r="K53" s="37">
        <v>0.6</v>
      </c>
      <c r="L53" s="36">
        <v>13746838</v>
      </c>
      <c r="M53" s="36">
        <f t="shared" si="5"/>
        <v>1374683.8</v>
      </c>
      <c r="N53" s="34">
        <f t="shared" si="4"/>
        <v>12372154.199999999</v>
      </c>
      <c r="O53" s="21"/>
      <c r="P53" s="12"/>
    </row>
    <row r="54" spans="2:16" ht="18" customHeight="1">
      <c r="B54" s="27">
        <v>50</v>
      </c>
      <c r="C54" s="29" t="s">
        <v>90</v>
      </c>
      <c r="D54" s="28" t="s">
        <v>78</v>
      </c>
      <c r="E54" s="28" t="s">
        <v>9</v>
      </c>
      <c r="F54" s="28" t="s">
        <v>52</v>
      </c>
      <c r="G54" s="28" t="s">
        <v>57</v>
      </c>
      <c r="H54" s="32">
        <v>44331</v>
      </c>
      <c r="I54" s="29" t="s">
        <v>16</v>
      </c>
      <c r="J54" s="35">
        <v>7679058.6938000005</v>
      </c>
      <c r="K54" s="37">
        <v>0.55000000000000004</v>
      </c>
      <c r="L54" s="36">
        <v>4223483</v>
      </c>
      <c r="M54" s="36">
        <f t="shared" si="5"/>
        <v>422348.30000000005</v>
      </c>
      <c r="N54" s="34">
        <f t="shared" si="4"/>
        <v>3801134.7</v>
      </c>
      <c r="O54" s="21"/>
      <c r="P54" s="12"/>
    </row>
    <row r="55" spans="2:16" ht="18" customHeight="1">
      <c r="B55" s="27">
        <v>51</v>
      </c>
      <c r="C55" s="29" t="s">
        <v>90</v>
      </c>
      <c r="D55" s="28" t="s">
        <v>78</v>
      </c>
      <c r="E55" s="28" t="s">
        <v>9</v>
      </c>
      <c r="F55" s="28" t="s">
        <v>52</v>
      </c>
      <c r="G55" s="28" t="s">
        <v>59</v>
      </c>
      <c r="H55" s="32">
        <v>44392</v>
      </c>
      <c r="I55" s="29" t="s">
        <v>16</v>
      </c>
      <c r="J55" s="35">
        <v>138257526.01679999</v>
      </c>
      <c r="K55" s="37">
        <v>0.55000000000000004</v>
      </c>
      <c r="L55" s="36">
        <v>76041639</v>
      </c>
      <c r="M55" s="36">
        <f t="shared" si="5"/>
        <v>7604163.9000000004</v>
      </c>
      <c r="N55" s="34">
        <f t="shared" si="4"/>
        <v>68437475.099999994</v>
      </c>
      <c r="O55" s="21"/>
      <c r="P55" s="12" t="s">
        <v>103</v>
      </c>
    </row>
    <row r="56" spans="2:16" ht="18" customHeight="1">
      <c r="B56" s="27">
        <v>52</v>
      </c>
      <c r="C56" s="29" t="s">
        <v>87</v>
      </c>
      <c r="D56" s="28" t="s">
        <v>78</v>
      </c>
      <c r="E56" s="28" t="s">
        <v>33</v>
      </c>
      <c r="F56" s="28" t="s">
        <v>52</v>
      </c>
      <c r="G56" s="28" t="s">
        <v>58</v>
      </c>
      <c r="H56" s="32">
        <v>44328</v>
      </c>
      <c r="I56" s="29" t="s">
        <v>16</v>
      </c>
      <c r="J56" s="35">
        <v>69300</v>
      </c>
      <c r="K56" s="37" t="s">
        <v>45</v>
      </c>
      <c r="L56" s="36">
        <v>48510</v>
      </c>
      <c r="M56" s="36">
        <v>0</v>
      </c>
      <c r="N56" s="63">
        <f t="shared" si="4"/>
        <v>48510</v>
      </c>
      <c r="O56" s="21"/>
      <c r="P56" s="12" t="s">
        <v>103</v>
      </c>
    </row>
    <row r="57" spans="2:16" ht="18" customHeight="1">
      <c r="B57" s="27">
        <v>53</v>
      </c>
      <c r="C57" s="29" t="s">
        <v>91</v>
      </c>
      <c r="D57" s="28" t="s">
        <v>78</v>
      </c>
      <c r="E57" s="28" t="s">
        <v>9</v>
      </c>
      <c r="F57" s="28" t="s">
        <v>61</v>
      </c>
      <c r="G57" s="28" t="s">
        <v>60</v>
      </c>
      <c r="H57" s="32">
        <v>44333</v>
      </c>
      <c r="I57" s="29" t="s">
        <v>13</v>
      </c>
      <c r="J57" s="35">
        <v>58176</v>
      </c>
      <c r="K57" s="37">
        <v>0.5</v>
      </c>
      <c r="L57" s="36">
        <v>29088</v>
      </c>
      <c r="M57" s="36">
        <v>0</v>
      </c>
      <c r="N57" s="34">
        <f t="shared" si="4"/>
        <v>29088</v>
      </c>
      <c r="O57" s="21"/>
      <c r="P57" s="12" t="s">
        <v>103</v>
      </c>
    </row>
    <row r="58" spans="2:16" ht="18" customHeight="1">
      <c r="B58" s="27">
        <v>54</v>
      </c>
      <c r="C58" s="29" t="s">
        <v>91</v>
      </c>
      <c r="D58" s="28" t="s">
        <v>78</v>
      </c>
      <c r="E58" s="28" t="s">
        <v>9</v>
      </c>
      <c r="F58" s="28" t="s">
        <v>61</v>
      </c>
      <c r="G58" s="28" t="s">
        <v>60</v>
      </c>
      <c r="H58" s="32">
        <v>44333</v>
      </c>
      <c r="I58" s="29" t="s">
        <v>14</v>
      </c>
      <c r="J58" s="35">
        <v>133848</v>
      </c>
      <c r="K58" s="37">
        <v>0.5</v>
      </c>
      <c r="L58" s="36">
        <v>66924</v>
      </c>
      <c r="M58" s="36">
        <v>0</v>
      </c>
      <c r="N58" s="34">
        <f t="shared" si="4"/>
        <v>66924</v>
      </c>
      <c r="O58" s="21"/>
      <c r="P58" s="12" t="s">
        <v>103</v>
      </c>
    </row>
    <row r="59" spans="2:16" ht="18" customHeight="1">
      <c r="B59" s="27">
        <v>55</v>
      </c>
      <c r="C59" s="29" t="s">
        <v>91</v>
      </c>
      <c r="D59" s="28" t="s">
        <v>78</v>
      </c>
      <c r="E59" s="28" t="s">
        <v>9</v>
      </c>
      <c r="F59" s="28" t="s">
        <v>61</v>
      </c>
      <c r="G59" s="28" t="s">
        <v>60</v>
      </c>
      <c r="H59" s="32">
        <v>44333</v>
      </c>
      <c r="I59" s="29" t="s">
        <v>16</v>
      </c>
      <c r="J59" s="35">
        <v>963488</v>
      </c>
      <c r="K59" s="37">
        <v>0.5</v>
      </c>
      <c r="L59" s="36">
        <v>481744</v>
      </c>
      <c r="M59" s="36">
        <v>0</v>
      </c>
      <c r="N59" s="34">
        <f t="shared" si="4"/>
        <v>481744</v>
      </c>
      <c r="O59" s="21"/>
      <c r="P59" s="12" t="s">
        <v>103</v>
      </c>
    </row>
    <row r="60" spans="2:16" ht="18" customHeight="1">
      <c r="B60" s="27">
        <v>56</v>
      </c>
      <c r="C60" s="29" t="s">
        <v>90</v>
      </c>
      <c r="D60" s="28" t="s">
        <v>79</v>
      </c>
      <c r="E60" s="66" t="s">
        <v>9</v>
      </c>
      <c r="F60" s="38" t="s">
        <v>104</v>
      </c>
      <c r="G60" s="28" t="s">
        <v>10</v>
      </c>
      <c r="H60" s="32">
        <v>44356</v>
      </c>
      <c r="I60" s="39" t="s">
        <v>26</v>
      </c>
      <c r="J60" s="35">
        <v>2059293.3333333335</v>
      </c>
      <c r="K60" s="40">
        <v>0.3</v>
      </c>
      <c r="L60" s="41">
        <v>617788</v>
      </c>
      <c r="M60" s="30">
        <f>L60*10%</f>
        <v>61778.8</v>
      </c>
      <c r="N60" s="34">
        <f t="shared" si="4"/>
        <v>556009.19999999995</v>
      </c>
      <c r="O60" s="25"/>
      <c r="P60" s="13"/>
    </row>
    <row r="61" spans="2:16" ht="18" customHeight="1">
      <c r="B61" s="27">
        <v>57</v>
      </c>
      <c r="C61" s="29" t="s">
        <v>90</v>
      </c>
      <c r="D61" s="38" t="s">
        <v>23</v>
      </c>
      <c r="E61" s="67" t="s">
        <v>9</v>
      </c>
      <c r="F61" s="38" t="s">
        <v>105</v>
      </c>
      <c r="G61" s="39" t="s">
        <v>10</v>
      </c>
      <c r="H61" s="42">
        <v>44356</v>
      </c>
      <c r="I61" s="39" t="s">
        <v>26</v>
      </c>
      <c r="J61" s="43">
        <v>16577500</v>
      </c>
      <c r="K61" s="40">
        <v>0.3</v>
      </c>
      <c r="L61" s="44">
        <v>4973250</v>
      </c>
      <c r="M61" s="30">
        <f>L61*10%</f>
        <v>497325</v>
      </c>
      <c r="N61" s="34">
        <f t="shared" si="4"/>
        <v>4475925</v>
      </c>
      <c r="O61" s="25"/>
      <c r="P61" s="13"/>
    </row>
    <row r="62" spans="2:16" ht="18" customHeight="1">
      <c r="B62" s="27">
        <v>58</v>
      </c>
      <c r="C62" s="29" t="s">
        <v>90</v>
      </c>
      <c r="D62" s="38" t="s">
        <v>24</v>
      </c>
      <c r="E62" s="67" t="s">
        <v>9</v>
      </c>
      <c r="F62" s="38" t="s">
        <v>105</v>
      </c>
      <c r="G62" s="39" t="s">
        <v>10</v>
      </c>
      <c r="H62" s="42">
        <v>44366</v>
      </c>
      <c r="I62" s="39" t="s">
        <v>26</v>
      </c>
      <c r="J62" s="43">
        <v>11515056.666666668</v>
      </c>
      <c r="K62" s="40">
        <v>0.3</v>
      </c>
      <c r="L62" s="44">
        <v>3454517</v>
      </c>
      <c r="M62" s="30">
        <f>L62*10%</f>
        <v>345451.7</v>
      </c>
      <c r="N62" s="34">
        <f t="shared" si="4"/>
        <v>3109065.3</v>
      </c>
      <c r="O62" s="25"/>
      <c r="P62" s="13"/>
    </row>
    <row r="63" spans="2:16" ht="18" customHeight="1">
      <c r="B63" s="27">
        <v>59</v>
      </c>
      <c r="C63" s="29" t="s">
        <v>91</v>
      </c>
      <c r="D63" s="38" t="s">
        <v>25</v>
      </c>
      <c r="E63" s="38" t="s">
        <v>9</v>
      </c>
      <c r="F63" s="38" t="s">
        <v>105</v>
      </c>
      <c r="G63" s="39" t="s">
        <v>11</v>
      </c>
      <c r="H63" s="42">
        <v>44370</v>
      </c>
      <c r="I63" s="39" t="s">
        <v>26</v>
      </c>
      <c r="J63" s="68">
        <v>805186.66666666674</v>
      </c>
      <c r="K63" s="45">
        <v>0.3</v>
      </c>
      <c r="L63" s="44">
        <v>241556</v>
      </c>
      <c r="M63" s="58">
        <v>0</v>
      </c>
      <c r="N63" s="59">
        <f t="shared" si="4"/>
        <v>241556</v>
      </c>
      <c r="O63" s="25"/>
      <c r="P63" s="13"/>
    </row>
    <row r="64" spans="2:16" ht="18" customHeight="1">
      <c r="B64" s="27">
        <v>60</v>
      </c>
      <c r="C64" s="29" t="s">
        <v>90</v>
      </c>
      <c r="D64" s="38" t="s">
        <v>22</v>
      </c>
      <c r="E64" s="38" t="s">
        <v>9</v>
      </c>
      <c r="F64" s="38" t="s">
        <v>104</v>
      </c>
      <c r="G64" s="39" t="s">
        <v>12</v>
      </c>
      <c r="H64" s="42">
        <v>44364</v>
      </c>
      <c r="I64" s="39" t="s">
        <v>26</v>
      </c>
      <c r="J64" s="68">
        <v>118466.66666666667</v>
      </c>
      <c r="K64" s="45">
        <v>0.3</v>
      </c>
      <c r="L64" s="44">
        <v>35540</v>
      </c>
      <c r="M64" s="58">
        <f t="shared" ref="M64:M69" si="6">L64*10%</f>
        <v>3554</v>
      </c>
      <c r="N64" s="34">
        <f t="shared" ref="N64:N71" si="7">L64-M64</f>
        <v>31986</v>
      </c>
      <c r="O64" s="25"/>
      <c r="P64" s="13"/>
    </row>
    <row r="65" spans="2:16" ht="18" customHeight="1">
      <c r="B65" s="27">
        <v>61</v>
      </c>
      <c r="C65" s="29" t="s">
        <v>90</v>
      </c>
      <c r="D65" s="38" t="s">
        <v>22</v>
      </c>
      <c r="E65" s="38" t="s">
        <v>9</v>
      </c>
      <c r="F65" s="38" t="s">
        <v>104</v>
      </c>
      <c r="G65" s="39" t="s">
        <v>10</v>
      </c>
      <c r="H65" s="42">
        <v>44356</v>
      </c>
      <c r="I65" s="39" t="s">
        <v>16</v>
      </c>
      <c r="J65" s="68">
        <v>3308083.3333333335</v>
      </c>
      <c r="K65" s="45">
        <v>0.3</v>
      </c>
      <c r="L65" s="44">
        <v>992425</v>
      </c>
      <c r="M65" s="30">
        <f t="shared" si="6"/>
        <v>99242.5</v>
      </c>
      <c r="N65" s="34">
        <f t="shared" si="7"/>
        <v>893182.5</v>
      </c>
      <c r="O65" s="25"/>
      <c r="P65" s="13"/>
    </row>
    <row r="66" spans="2:16" ht="18" customHeight="1">
      <c r="B66" s="27">
        <v>62</v>
      </c>
      <c r="C66" s="29" t="s">
        <v>90</v>
      </c>
      <c r="D66" s="38" t="s">
        <v>27</v>
      </c>
      <c r="E66" s="38" t="s">
        <v>9</v>
      </c>
      <c r="F66" s="38" t="s">
        <v>105</v>
      </c>
      <c r="G66" s="39" t="s">
        <v>10</v>
      </c>
      <c r="H66" s="42">
        <v>44395</v>
      </c>
      <c r="I66" s="39" t="s">
        <v>16</v>
      </c>
      <c r="J66" s="68">
        <v>20039160</v>
      </c>
      <c r="K66" s="45">
        <v>0.3</v>
      </c>
      <c r="L66" s="44">
        <v>6011748</v>
      </c>
      <c r="M66" s="30">
        <f t="shared" si="6"/>
        <v>601174.80000000005</v>
      </c>
      <c r="N66" s="34">
        <f t="shared" si="7"/>
        <v>5410573.2000000002</v>
      </c>
      <c r="O66" s="25"/>
      <c r="P66" s="13"/>
    </row>
    <row r="67" spans="2:16" ht="18" customHeight="1">
      <c r="B67" s="27">
        <v>63</v>
      </c>
      <c r="C67" s="29" t="s">
        <v>90</v>
      </c>
      <c r="D67" s="38" t="s">
        <v>25</v>
      </c>
      <c r="E67" s="38" t="s">
        <v>9</v>
      </c>
      <c r="F67" s="38" t="s">
        <v>105</v>
      </c>
      <c r="G67" s="39" t="s">
        <v>10</v>
      </c>
      <c r="H67" s="42">
        <v>44396</v>
      </c>
      <c r="I67" s="39" t="s">
        <v>16</v>
      </c>
      <c r="J67" s="43">
        <v>11692800</v>
      </c>
      <c r="K67" s="45">
        <v>0.3</v>
      </c>
      <c r="L67" s="44">
        <v>3507840</v>
      </c>
      <c r="M67" s="30">
        <f t="shared" si="6"/>
        <v>350784</v>
      </c>
      <c r="N67" s="34">
        <f t="shared" si="7"/>
        <v>3157056</v>
      </c>
      <c r="O67" s="25"/>
      <c r="P67" s="13"/>
    </row>
    <row r="68" spans="2:16" ht="18" customHeight="1">
      <c r="B68" s="27">
        <v>64</v>
      </c>
      <c r="C68" s="29" t="s">
        <v>90</v>
      </c>
      <c r="D68" s="38" t="s">
        <v>23</v>
      </c>
      <c r="E68" s="38" t="s">
        <v>9</v>
      </c>
      <c r="F68" s="38" t="s">
        <v>105</v>
      </c>
      <c r="G68" s="39" t="s">
        <v>10</v>
      </c>
      <c r="H68" s="42">
        <v>44356</v>
      </c>
      <c r="I68" s="39" t="s">
        <v>16</v>
      </c>
      <c r="J68" s="43">
        <v>13032383.333333334</v>
      </c>
      <c r="K68" s="45">
        <v>0.3</v>
      </c>
      <c r="L68" s="44">
        <v>3909715</v>
      </c>
      <c r="M68" s="30">
        <f t="shared" si="6"/>
        <v>390971.5</v>
      </c>
      <c r="N68" s="34">
        <f t="shared" si="7"/>
        <v>3518743.5</v>
      </c>
      <c r="O68" s="25"/>
      <c r="P68" s="13"/>
    </row>
    <row r="69" spans="2:16" ht="18" customHeight="1">
      <c r="B69" s="27">
        <v>65</v>
      </c>
      <c r="C69" s="29" t="s">
        <v>90</v>
      </c>
      <c r="D69" s="38" t="s">
        <v>24</v>
      </c>
      <c r="E69" s="38" t="s">
        <v>9</v>
      </c>
      <c r="F69" s="38" t="s">
        <v>105</v>
      </c>
      <c r="G69" s="39" t="s">
        <v>10</v>
      </c>
      <c r="H69" s="46">
        <v>44366</v>
      </c>
      <c r="I69" s="39" t="s">
        <v>16</v>
      </c>
      <c r="J69" s="69">
        <v>24599833.333333336</v>
      </c>
      <c r="K69" s="47">
        <v>0.3</v>
      </c>
      <c r="L69" s="44">
        <v>7379950</v>
      </c>
      <c r="M69" s="30">
        <f t="shared" si="6"/>
        <v>737995</v>
      </c>
      <c r="N69" s="34">
        <f t="shared" si="7"/>
        <v>6641955</v>
      </c>
      <c r="O69" s="25"/>
      <c r="P69" s="13"/>
    </row>
    <row r="70" spans="2:16" ht="18" customHeight="1">
      <c r="B70" s="27">
        <v>66</v>
      </c>
      <c r="C70" s="29" t="s">
        <v>91</v>
      </c>
      <c r="D70" s="38" t="s">
        <v>22</v>
      </c>
      <c r="E70" s="38" t="s">
        <v>9</v>
      </c>
      <c r="F70" s="38" t="s">
        <v>104</v>
      </c>
      <c r="G70" s="38" t="s">
        <v>11</v>
      </c>
      <c r="H70" s="46">
        <v>44381</v>
      </c>
      <c r="I70" s="39" t="s">
        <v>16</v>
      </c>
      <c r="J70" s="69">
        <v>274396.66666666669</v>
      </c>
      <c r="K70" s="47">
        <v>0.3</v>
      </c>
      <c r="L70" s="44">
        <v>82319</v>
      </c>
      <c r="M70" s="58">
        <v>0</v>
      </c>
      <c r="N70" s="59">
        <f t="shared" si="7"/>
        <v>82319</v>
      </c>
      <c r="O70" s="25"/>
      <c r="P70" s="13"/>
    </row>
    <row r="71" spans="2:16" ht="18" customHeight="1">
      <c r="B71" s="27">
        <v>67</v>
      </c>
      <c r="C71" s="29" t="s">
        <v>91</v>
      </c>
      <c r="D71" s="38" t="s">
        <v>25</v>
      </c>
      <c r="E71" s="38" t="s">
        <v>9</v>
      </c>
      <c r="F71" s="38" t="s">
        <v>105</v>
      </c>
      <c r="G71" s="38" t="s">
        <v>11</v>
      </c>
      <c r="H71" s="46">
        <v>44370</v>
      </c>
      <c r="I71" s="39" t="s">
        <v>16</v>
      </c>
      <c r="J71" s="48">
        <v>660663.33333333337</v>
      </c>
      <c r="K71" s="47">
        <v>0.3</v>
      </c>
      <c r="L71" s="44">
        <v>198199</v>
      </c>
      <c r="M71" s="58">
        <v>0</v>
      </c>
      <c r="N71" s="59">
        <f t="shared" si="7"/>
        <v>198199</v>
      </c>
      <c r="O71" s="25"/>
      <c r="P71" s="13"/>
    </row>
    <row r="72" spans="2:16" ht="18" customHeight="1">
      <c r="B72" s="27">
        <v>68</v>
      </c>
      <c r="C72" s="29" t="s">
        <v>90</v>
      </c>
      <c r="D72" s="38" t="s">
        <v>22</v>
      </c>
      <c r="E72" s="38" t="s">
        <v>9</v>
      </c>
      <c r="F72" s="38" t="s">
        <v>104</v>
      </c>
      <c r="G72" s="38" t="s">
        <v>12</v>
      </c>
      <c r="H72" s="46">
        <v>44364</v>
      </c>
      <c r="I72" s="39" t="s">
        <v>16</v>
      </c>
      <c r="J72" s="48">
        <v>95250</v>
      </c>
      <c r="K72" s="47">
        <v>0.3</v>
      </c>
      <c r="L72" s="44">
        <v>28575</v>
      </c>
      <c r="M72" s="58">
        <f>L72*10%</f>
        <v>2857.5</v>
      </c>
      <c r="N72" s="34">
        <f t="shared" ref="N72:N78" si="8">L72-M72</f>
        <v>25717.5</v>
      </c>
      <c r="O72" s="25"/>
      <c r="P72" s="13"/>
    </row>
    <row r="73" spans="2:16" ht="18" customHeight="1">
      <c r="B73" s="27">
        <v>69</v>
      </c>
      <c r="C73" s="29" t="s">
        <v>90</v>
      </c>
      <c r="D73" s="38" t="s">
        <v>32</v>
      </c>
      <c r="E73" s="38" t="s">
        <v>33</v>
      </c>
      <c r="F73" s="38" t="s">
        <v>31</v>
      </c>
      <c r="G73" s="38" t="s">
        <v>28</v>
      </c>
      <c r="H73" s="46">
        <v>44096</v>
      </c>
      <c r="I73" s="39" t="s">
        <v>34</v>
      </c>
      <c r="J73" s="69">
        <v>638500</v>
      </c>
      <c r="K73" s="47">
        <v>0.4</v>
      </c>
      <c r="L73" s="44">
        <v>242630</v>
      </c>
      <c r="M73" s="36">
        <f>L73*12%</f>
        <v>29115.599999999999</v>
      </c>
      <c r="N73" s="34">
        <f>L73-M73</f>
        <v>213514.4</v>
      </c>
      <c r="O73" s="21"/>
      <c r="P73" s="13"/>
    </row>
    <row r="74" spans="2:16" ht="18" customHeight="1">
      <c r="B74" s="27">
        <v>70</v>
      </c>
      <c r="C74" s="29" t="s">
        <v>90</v>
      </c>
      <c r="D74" s="38" t="s">
        <v>32</v>
      </c>
      <c r="E74" s="38" t="s">
        <v>33</v>
      </c>
      <c r="F74" s="38" t="s">
        <v>31</v>
      </c>
      <c r="G74" s="38" t="s">
        <v>30</v>
      </c>
      <c r="H74" s="46">
        <v>44239</v>
      </c>
      <c r="I74" s="39" t="s">
        <v>34</v>
      </c>
      <c r="J74" s="69">
        <v>3138816</v>
      </c>
      <c r="K74" s="47">
        <v>0.4</v>
      </c>
      <c r="L74" s="44">
        <v>1192750</v>
      </c>
      <c r="M74" s="36">
        <f>L74*10%</f>
        <v>119275</v>
      </c>
      <c r="N74" s="34">
        <f t="shared" si="8"/>
        <v>1073475</v>
      </c>
      <c r="O74" s="21"/>
      <c r="P74" s="13"/>
    </row>
    <row r="75" spans="2:16" ht="18" customHeight="1">
      <c r="B75" s="27">
        <v>71</v>
      </c>
      <c r="C75" s="29" t="s">
        <v>90</v>
      </c>
      <c r="D75" s="38" t="s">
        <v>32</v>
      </c>
      <c r="E75" s="38" t="s">
        <v>33</v>
      </c>
      <c r="F75" s="38" t="s">
        <v>31</v>
      </c>
      <c r="G75" s="38" t="s">
        <v>29</v>
      </c>
      <c r="H75" s="46">
        <v>44137</v>
      </c>
      <c r="I75" s="39" t="s">
        <v>34</v>
      </c>
      <c r="J75" s="69">
        <v>1331344</v>
      </c>
      <c r="K75" s="47">
        <v>0.4</v>
      </c>
      <c r="L75" s="44">
        <v>505910</v>
      </c>
      <c r="M75" s="36">
        <f>L75*10%</f>
        <v>50591</v>
      </c>
      <c r="N75" s="34">
        <f t="shared" si="8"/>
        <v>455319</v>
      </c>
      <c r="O75" s="21"/>
      <c r="P75" s="13"/>
    </row>
    <row r="76" spans="2:16" ht="18" customHeight="1">
      <c r="B76" s="27">
        <v>72</v>
      </c>
      <c r="C76" s="29" t="s">
        <v>90</v>
      </c>
      <c r="D76" s="38" t="s">
        <v>32</v>
      </c>
      <c r="E76" s="38" t="s">
        <v>33</v>
      </c>
      <c r="F76" s="38" t="s">
        <v>31</v>
      </c>
      <c r="G76" s="38" t="s">
        <v>28</v>
      </c>
      <c r="H76" s="46">
        <v>44096</v>
      </c>
      <c r="I76" s="39" t="s">
        <v>14</v>
      </c>
      <c r="J76" s="69">
        <v>435114</v>
      </c>
      <c r="K76" s="47">
        <v>0.4</v>
      </c>
      <c r="L76" s="44">
        <v>165343</v>
      </c>
      <c r="M76" s="36">
        <f>L76*12%</f>
        <v>19841.16</v>
      </c>
      <c r="N76" s="34">
        <f t="shared" si="8"/>
        <v>145501.84</v>
      </c>
      <c r="O76" s="21"/>
      <c r="P76" s="13"/>
    </row>
    <row r="77" spans="2:16" ht="18" customHeight="1">
      <c r="B77" s="27">
        <v>73</v>
      </c>
      <c r="C77" s="29" t="s">
        <v>90</v>
      </c>
      <c r="D77" s="38" t="s">
        <v>32</v>
      </c>
      <c r="E77" s="38" t="s">
        <v>33</v>
      </c>
      <c r="F77" s="38" t="s">
        <v>31</v>
      </c>
      <c r="G77" s="38" t="s">
        <v>30</v>
      </c>
      <c r="H77" s="46">
        <v>44239</v>
      </c>
      <c r="I77" s="39" t="s">
        <v>14</v>
      </c>
      <c r="J77" s="69">
        <v>1583331</v>
      </c>
      <c r="K77" s="47">
        <v>0.4</v>
      </c>
      <c r="L77" s="44">
        <v>601665</v>
      </c>
      <c r="M77" s="36">
        <f>L77*10%</f>
        <v>60166.5</v>
      </c>
      <c r="N77" s="34">
        <f t="shared" si="8"/>
        <v>541498.5</v>
      </c>
      <c r="O77" s="21"/>
      <c r="P77" s="13"/>
    </row>
    <row r="78" spans="2:16" ht="18" customHeight="1">
      <c r="B78" s="27">
        <v>74</v>
      </c>
      <c r="C78" s="29" t="s">
        <v>90</v>
      </c>
      <c r="D78" s="38" t="s">
        <v>32</v>
      </c>
      <c r="E78" s="38" t="s">
        <v>33</v>
      </c>
      <c r="F78" s="38" t="s">
        <v>31</v>
      </c>
      <c r="G78" s="38" t="s">
        <v>29</v>
      </c>
      <c r="H78" s="46">
        <v>44137</v>
      </c>
      <c r="I78" s="39" t="s">
        <v>14</v>
      </c>
      <c r="J78" s="69">
        <v>597034</v>
      </c>
      <c r="K78" s="47">
        <v>0.4</v>
      </c>
      <c r="L78" s="44">
        <v>226873</v>
      </c>
      <c r="M78" s="36">
        <f>L78*10%</f>
        <v>22687.300000000003</v>
      </c>
      <c r="N78" s="34">
        <f t="shared" si="8"/>
        <v>204185.7</v>
      </c>
      <c r="O78" s="21"/>
      <c r="P78" s="13"/>
    </row>
    <row r="79" spans="2:16" ht="18" customHeight="1">
      <c r="B79" s="27">
        <v>79</v>
      </c>
      <c r="C79" s="29" t="s">
        <v>86</v>
      </c>
      <c r="D79" s="38" t="s">
        <v>24</v>
      </c>
      <c r="E79" s="38" t="s">
        <v>9</v>
      </c>
      <c r="F79" s="38" t="s">
        <v>41</v>
      </c>
      <c r="G79" s="38" t="s">
        <v>42</v>
      </c>
      <c r="H79" s="46">
        <v>44114</v>
      </c>
      <c r="I79" s="39" t="s">
        <v>34</v>
      </c>
      <c r="J79" s="48">
        <v>443170</v>
      </c>
      <c r="K79" s="47">
        <v>0.8</v>
      </c>
      <c r="L79" s="41">
        <v>354536</v>
      </c>
      <c r="M79" s="36">
        <f>L79*10%</f>
        <v>35453.599999999999</v>
      </c>
      <c r="N79" s="34">
        <f>L79-M79</f>
        <v>319082.40000000002</v>
      </c>
      <c r="O79" s="21" t="s">
        <v>85</v>
      </c>
      <c r="P79" s="12"/>
    </row>
    <row r="80" spans="2:16" ht="18" customHeight="1">
      <c r="B80" s="27">
        <v>80</v>
      </c>
      <c r="C80" s="29" t="s">
        <v>90</v>
      </c>
      <c r="D80" s="38" t="s">
        <v>24</v>
      </c>
      <c r="E80" s="38" t="s">
        <v>9</v>
      </c>
      <c r="F80" s="38" t="s">
        <v>41</v>
      </c>
      <c r="G80" s="38" t="s">
        <v>29</v>
      </c>
      <c r="H80" s="46">
        <v>44122</v>
      </c>
      <c r="I80" s="39" t="s">
        <v>34</v>
      </c>
      <c r="J80" s="48">
        <v>243890</v>
      </c>
      <c r="K80" s="47">
        <v>0.8</v>
      </c>
      <c r="L80" s="41">
        <v>195112</v>
      </c>
      <c r="M80" s="36">
        <f>L80*10%</f>
        <v>19511.2</v>
      </c>
      <c r="N80" s="34">
        <f t="shared" ref="N80:N88" si="9">L80-M80</f>
        <v>175600.8</v>
      </c>
      <c r="O80" s="21"/>
      <c r="P80" s="12"/>
    </row>
    <row r="81" spans="2:16" ht="18" customHeight="1">
      <c r="B81" s="27">
        <v>81</v>
      </c>
      <c r="C81" s="29" t="s">
        <v>90</v>
      </c>
      <c r="D81" s="38" t="s">
        <v>24</v>
      </c>
      <c r="E81" s="38" t="s">
        <v>9</v>
      </c>
      <c r="F81" s="38" t="s">
        <v>41</v>
      </c>
      <c r="G81" s="38" t="s">
        <v>28</v>
      </c>
      <c r="H81" s="46">
        <v>44250</v>
      </c>
      <c r="I81" s="39" t="s">
        <v>34</v>
      </c>
      <c r="J81" s="48">
        <v>480174</v>
      </c>
      <c r="K81" s="47">
        <v>0.8</v>
      </c>
      <c r="L81" s="41">
        <v>384139</v>
      </c>
      <c r="M81" s="36">
        <v>0</v>
      </c>
      <c r="N81" s="34">
        <v>0</v>
      </c>
      <c r="O81" s="21" t="s">
        <v>81</v>
      </c>
      <c r="P81" s="13" t="s">
        <v>107</v>
      </c>
    </row>
    <row r="82" spans="2:16" ht="18" customHeight="1">
      <c r="B82" s="27">
        <v>82</v>
      </c>
      <c r="C82" s="29" t="s">
        <v>90</v>
      </c>
      <c r="D82" s="38" t="s">
        <v>24</v>
      </c>
      <c r="E82" s="38" t="s">
        <v>9</v>
      </c>
      <c r="F82" s="38" t="s">
        <v>41</v>
      </c>
      <c r="G82" s="38" t="s">
        <v>30</v>
      </c>
      <c r="H82" s="46">
        <v>44265</v>
      </c>
      <c r="I82" s="39" t="s">
        <v>34</v>
      </c>
      <c r="J82" s="48">
        <v>582336</v>
      </c>
      <c r="K82" s="47">
        <v>0.8</v>
      </c>
      <c r="L82" s="41">
        <v>465868</v>
      </c>
      <c r="M82" s="36">
        <f>L82*10%</f>
        <v>46586.8</v>
      </c>
      <c r="N82" s="34">
        <f t="shared" si="9"/>
        <v>419281.2</v>
      </c>
      <c r="O82" s="21"/>
      <c r="P82" s="12"/>
    </row>
    <row r="83" spans="2:16" ht="18" customHeight="1">
      <c r="B83" s="27">
        <v>83</v>
      </c>
      <c r="C83" s="29" t="s">
        <v>86</v>
      </c>
      <c r="D83" s="38" t="s">
        <v>24</v>
      </c>
      <c r="E83" s="38" t="s">
        <v>9</v>
      </c>
      <c r="F83" s="38" t="s">
        <v>41</v>
      </c>
      <c r="G83" s="38" t="s">
        <v>42</v>
      </c>
      <c r="H83" s="46">
        <v>44114</v>
      </c>
      <c r="I83" s="39" t="s">
        <v>14</v>
      </c>
      <c r="J83" s="48">
        <v>557033</v>
      </c>
      <c r="K83" s="47">
        <v>0.8</v>
      </c>
      <c r="L83" s="41">
        <v>445626</v>
      </c>
      <c r="M83" s="36">
        <f>L83*10%</f>
        <v>44562.600000000006</v>
      </c>
      <c r="N83" s="34">
        <f>L83-M83</f>
        <v>401063.4</v>
      </c>
      <c r="O83" s="21" t="s">
        <v>85</v>
      </c>
      <c r="P83" s="12"/>
    </row>
    <row r="84" spans="2:16" ht="18" customHeight="1">
      <c r="B84" s="27">
        <v>84</v>
      </c>
      <c r="C84" s="29" t="s">
        <v>90</v>
      </c>
      <c r="D84" s="38" t="s">
        <v>24</v>
      </c>
      <c r="E84" s="38" t="s">
        <v>9</v>
      </c>
      <c r="F84" s="38" t="s">
        <v>41</v>
      </c>
      <c r="G84" s="38" t="s">
        <v>29</v>
      </c>
      <c r="H84" s="46">
        <v>44122</v>
      </c>
      <c r="I84" s="39" t="s">
        <v>26</v>
      </c>
      <c r="J84" s="48">
        <v>334220</v>
      </c>
      <c r="K84" s="47">
        <v>0.8</v>
      </c>
      <c r="L84" s="41">
        <v>267376</v>
      </c>
      <c r="M84" s="36">
        <f>L84*10%</f>
        <v>26737.600000000002</v>
      </c>
      <c r="N84" s="34">
        <f t="shared" si="9"/>
        <v>240638.4</v>
      </c>
      <c r="O84" s="21"/>
      <c r="P84" s="12"/>
    </row>
    <row r="85" spans="2:16" ht="18" customHeight="1">
      <c r="B85" s="27">
        <v>85</v>
      </c>
      <c r="C85" s="29" t="s">
        <v>90</v>
      </c>
      <c r="D85" s="38" t="s">
        <v>24</v>
      </c>
      <c r="E85" s="38" t="s">
        <v>9</v>
      </c>
      <c r="F85" s="38" t="s">
        <v>41</v>
      </c>
      <c r="G85" s="38" t="s">
        <v>28</v>
      </c>
      <c r="H85" s="46">
        <v>44250</v>
      </c>
      <c r="I85" s="39" t="s">
        <v>26</v>
      </c>
      <c r="J85" s="48">
        <v>318955</v>
      </c>
      <c r="K85" s="47">
        <v>0.8</v>
      </c>
      <c r="L85" s="41">
        <v>255164</v>
      </c>
      <c r="M85" s="36">
        <v>26385</v>
      </c>
      <c r="N85" s="34">
        <v>0</v>
      </c>
      <c r="O85" s="21" t="s">
        <v>81</v>
      </c>
      <c r="P85" s="13" t="s">
        <v>110</v>
      </c>
    </row>
    <row r="86" spans="2:16" ht="18" customHeight="1">
      <c r="B86" s="27">
        <v>86</v>
      </c>
      <c r="C86" s="29" t="s">
        <v>90</v>
      </c>
      <c r="D86" s="38" t="s">
        <v>24</v>
      </c>
      <c r="E86" s="38" t="s">
        <v>9</v>
      </c>
      <c r="F86" s="38" t="s">
        <v>41</v>
      </c>
      <c r="G86" s="38" t="s">
        <v>30</v>
      </c>
      <c r="H86" s="46">
        <v>44265</v>
      </c>
      <c r="I86" s="39" t="s">
        <v>26</v>
      </c>
      <c r="J86" s="48">
        <v>547083</v>
      </c>
      <c r="K86" s="47">
        <v>0.8</v>
      </c>
      <c r="L86" s="41">
        <v>437666</v>
      </c>
      <c r="M86" s="36">
        <f>L86*10%</f>
        <v>43766.600000000006</v>
      </c>
      <c r="N86" s="34">
        <f t="shared" si="9"/>
        <v>393899.4</v>
      </c>
      <c r="O86" s="21"/>
      <c r="P86" s="12"/>
    </row>
    <row r="87" spans="2:16" ht="18" customHeight="1">
      <c r="B87" s="27">
        <v>87</v>
      </c>
      <c r="C87" s="29" t="s">
        <v>90</v>
      </c>
      <c r="D87" s="38" t="s">
        <v>24</v>
      </c>
      <c r="E87" s="38" t="s">
        <v>9</v>
      </c>
      <c r="F87" s="38" t="s">
        <v>41</v>
      </c>
      <c r="G87" s="38" t="s">
        <v>43</v>
      </c>
      <c r="H87" s="46">
        <v>44327</v>
      </c>
      <c r="I87" s="39" t="s">
        <v>34</v>
      </c>
      <c r="J87" s="48">
        <v>6282816</v>
      </c>
      <c r="K87" s="47">
        <v>0.8</v>
      </c>
      <c r="L87" s="41">
        <v>5026252</v>
      </c>
      <c r="M87" s="36">
        <v>0</v>
      </c>
      <c r="N87" s="34">
        <f t="shared" si="9"/>
        <v>5026252</v>
      </c>
      <c r="O87" s="21"/>
      <c r="P87" s="12" t="s">
        <v>103</v>
      </c>
    </row>
    <row r="88" spans="2:16" ht="18" customHeight="1">
      <c r="B88" s="27">
        <v>88</v>
      </c>
      <c r="C88" s="29" t="s">
        <v>90</v>
      </c>
      <c r="D88" s="38" t="s">
        <v>24</v>
      </c>
      <c r="E88" s="38" t="s">
        <v>9</v>
      </c>
      <c r="F88" s="38" t="s">
        <v>41</v>
      </c>
      <c r="G88" s="38" t="s">
        <v>43</v>
      </c>
      <c r="H88" s="46">
        <v>44327</v>
      </c>
      <c r="I88" s="39" t="s">
        <v>26</v>
      </c>
      <c r="J88" s="48">
        <v>2065912</v>
      </c>
      <c r="K88" s="47">
        <v>0.8</v>
      </c>
      <c r="L88" s="41">
        <v>1652729</v>
      </c>
      <c r="M88" s="36">
        <v>0</v>
      </c>
      <c r="N88" s="34">
        <f t="shared" si="9"/>
        <v>1652729</v>
      </c>
      <c r="O88" s="21"/>
      <c r="P88" s="12" t="s">
        <v>103</v>
      </c>
    </row>
    <row r="89" spans="2:16" ht="18" customHeight="1">
      <c r="B89" s="27">
        <v>89</v>
      </c>
      <c r="C89" s="29" t="s">
        <v>90</v>
      </c>
      <c r="D89" s="38" t="s">
        <v>66</v>
      </c>
      <c r="E89" s="38" t="s">
        <v>64</v>
      </c>
      <c r="F89" s="38" t="s">
        <v>65</v>
      </c>
      <c r="G89" s="38" t="s">
        <v>28</v>
      </c>
      <c r="H89" s="46">
        <v>44235</v>
      </c>
      <c r="I89" s="39" t="s">
        <v>26</v>
      </c>
      <c r="J89" s="48">
        <v>863840</v>
      </c>
      <c r="K89" s="47">
        <v>0.4</v>
      </c>
      <c r="L89" s="41">
        <v>345536</v>
      </c>
      <c r="M89" s="36">
        <v>0</v>
      </c>
      <c r="N89" s="34">
        <v>0</v>
      </c>
      <c r="O89" s="21" t="s">
        <v>81</v>
      </c>
      <c r="P89" s="13" t="s">
        <v>107</v>
      </c>
    </row>
    <row r="90" spans="2:16" ht="18" customHeight="1">
      <c r="B90" s="27">
        <v>90</v>
      </c>
      <c r="C90" s="29" t="s">
        <v>86</v>
      </c>
      <c r="D90" s="38" t="s">
        <v>66</v>
      </c>
      <c r="E90" s="38" t="s">
        <v>64</v>
      </c>
      <c r="F90" s="38" t="s">
        <v>65</v>
      </c>
      <c r="G90" s="38" t="s">
        <v>42</v>
      </c>
      <c r="H90" s="46">
        <v>44198</v>
      </c>
      <c r="I90" s="39" t="s">
        <v>26</v>
      </c>
      <c r="J90" s="48">
        <v>883175</v>
      </c>
      <c r="K90" s="47">
        <v>0.4</v>
      </c>
      <c r="L90" s="41">
        <v>353270</v>
      </c>
      <c r="M90" s="36">
        <v>0</v>
      </c>
      <c r="N90" s="34">
        <v>0</v>
      </c>
      <c r="O90" s="21" t="s">
        <v>85</v>
      </c>
      <c r="P90" s="13" t="s">
        <v>111</v>
      </c>
    </row>
    <row r="91" spans="2:16" ht="18" customHeight="1">
      <c r="B91" s="27">
        <v>91</v>
      </c>
      <c r="C91" s="29" t="s">
        <v>87</v>
      </c>
      <c r="D91" s="38" t="s">
        <v>66</v>
      </c>
      <c r="E91" s="38" t="s">
        <v>64</v>
      </c>
      <c r="F91" s="38" t="s">
        <v>65</v>
      </c>
      <c r="G91" s="38" t="s">
        <v>53</v>
      </c>
      <c r="H91" s="46">
        <v>44288</v>
      </c>
      <c r="I91" s="39" t="s">
        <v>26</v>
      </c>
      <c r="J91" s="48">
        <v>271403</v>
      </c>
      <c r="K91" s="47">
        <v>0.4</v>
      </c>
      <c r="L91" s="41">
        <v>108561</v>
      </c>
      <c r="M91" s="36">
        <v>0</v>
      </c>
      <c r="N91" s="34">
        <f>L91-M91</f>
        <v>108561</v>
      </c>
      <c r="O91" s="21"/>
      <c r="P91" s="12" t="s">
        <v>103</v>
      </c>
    </row>
    <row r="92" spans="2:16" ht="18" customHeight="1">
      <c r="B92" s="27">
        <v>92</v>
      </c>
      <c r="C92" s="29" t="s">
        <v>87</v>
      </c>
      <c r="D92" s="38" t="s">
        <v>66</v>
      </c>
      <c r="E92" s="38" t="s">
        <v>64</v>
      </c>
      <c r="F92" s="38" t="s">
        <v>65</v>
      </c>
      <c r="G92" s="38" t="s">
        <v>63</v>
      </c>
      <c r="H92" s="46">
        <v>44289</v>
      </c>
      <c r="I92" s="39" t="s">
        <v>26</v>
      </c>
      <c r="J92" s="48">
        <v>1258605</v>
      </c>
      <c r="K92" s="47">
        <v>0.4</v>
      </c>
      <c r="L92" s="41">
        <v>503442</v>
      </c>
      <c r="M92" s="36">
        <v>0</v>
      </c>
      <c r="N92" s="34">
        <f>L92-M92</f>
        <v>503442</v>
      </c>
      <c r="O92" s="21" t="s">
        <v>100</v>
      </c>
      <c r="P92" s="12" t="s">
        <v>103</v>
      </c>
    </row>
    <row r="93" spans="2:16" ht="18" customHeight="1">
      <c r="B93" s="27">
        <v>93</v>
      </c>
      <c r="C93" s="29" t="s">
        <v>90</v>
      </c>
      <c r="D93" s="38" t="s">
        <v>66</v>
      </c>
      <c r="E93" s="38" t="s">
        <v>64</v>
      </c>
      <c r="F93" s="38" t="s">
        <v>65</v>
      </c>
      <c r="G93" s="38" t="s">
        <v>54</v>
      </c>
      <c r="H93" s="46">
        <v>44246</v>
      </c>
      <c r="I93" s="39" t="s">
        <v>26</v>
      </c>
      <c r="J93" s="48">
        <v>463698</v>
      </c>
      <c r="K93" s="47">
        <v>0.4</v>
      </c>
      <c r="L93" s="41">
        <v>185479</v>
      </c>
      <c r="M93" s="36">
        <v>0</v>
      </c>
      <c r="N93" s="34">
        <v>0</v>
      </c>
      <c r="O93" s="21" t="s">
        <v>80</v>
      </c>
      <c r="P93" s="13" t="s">
        <v>109</v>
      </c>
    </row>
    <row r="94" spans="2:16" ht="18" customHeight="1">
      <c r="B94" s="27">
        <v>94</v>
      </c>
      <c r="C94" s="29" t="s">
        <v>90</v>
      </c>
      <c r="D94" s="38" t="s">
        <v>66</v>
      </c>
      <c r="E94" s="38" t="s">
        <v>64</v>
      </c>
      <c r="F94" s="38" t="s">
        <v>65</v>
      </c>
      <c r="G94" s="38" t="s">
        <v>28</v>
      </c>
      <c r="H94" s="46">
        <v>44235</v>
      </c>
      <c r="I94" s="39" t="s">
        <v>16</v>
      </c>
      <c r="J94" s="48">
        <v>930085</v>
      </c>
      <c r="K94" s="47">
        <v>0.4</v>
      </c>
      <c r="L94" s="41">
        <v>372034</v>
      </c>
      <c r="M94" s="36">
        <v>0</v>
      </c>
      <c r="N94" s="34">
        <v>0</v>
      </c>
      <c r="O94" s="21" t="s">
        <v>81</v>
      </c>
      <c r="P94" s="13" t="s">
        <v>107</v>
      </c>
    </row>
    <row r="95" spans="2:16" ht="18" customHeight="1">
      <c r="B95" s="27">
        <v>95</v>
      </c>
      <c r="C95" s="29" t="s">
        <v>86</v>
      </c>
      <c r="D95" s="38" t="s">
        <v>66</v>
      </c>
      <c r="E95" s="38" t="s">
        <v>64</v>
      </c>
      <c r="F95" s="38" t="s">
        <v>65</v>
      </c>
      <c r="G95" s="38" t="s">
        <v>42</v>
      </c>
      <c r="H95" s="46">
        <v>44198</v>
      </c>
      <c r="I95" s="39" t="s">
        <v>16</v>
      </c>
      <c r="J95" s="48">
        <v>822823</v>
      </c>
      <c r="K95" s="47">
        <v>0.4</v>
      </c>
      <c r="L95" s="41">
        <v>329129</v>
      </c>
      <c r="M95" s="36">
        <v>17733</v>
      </c>
      <c r="N95" s="34">
        <f>L95-M95-151796</f>
        <v>159600</v>
      </c>
      <c r="O95" s="21" t="s">
        <v>85</v>
      </c>
      <c r="P95" s="13" t="s">
        <v>108</v>
      </c>
    </row>
    <row r="96" spans="2:16" ht="18" customHeight="1">
      <c r="B96" s="27">
        <v>96</v>
      </c>
      <c r="C96" s="29" t="s">
        <v>87</v>
      </c>
      <c r="D96" s="38" t="s">
        <v>66</v>
      </c>
      <c r="E96" s="38" t="s">
        <v>64</v>
      </c>
      <c r="F96" s="38" t="s">
        <v>65</v>
      </c>
      <c r="G96" s="38" t="s">
        <v>53</v>
      </c>
      <c r="H96" s="46">
        <v>44288</v>
      </c>
      <c r="I96" s="39" t="s">
        <v>16</v>
      </c>
      <c r="J96" s="48">
        <v>196125</v>
      </c>
      <c r="K96" s="47">
        <v>0.4</v>
      </c>
      <c r="L96" s="41">
        <v>78450</v>
      </c>
      <c r="M96" s="36">
        <v>0</v>
      </c>
      <c r="N96" s="34">
        <f>L96-M96</f>
        <v>78450</v>
      </c>
      <c r="O96" s="21"/>
      <c r="P96" s="12" t="s">
        <v>103</v>
      </c>
    </row>
    <row r="97" spans="2:16" ht="18" customHeight="1">
      <c r="B97" s="27">
        <v>97</v>
      </c>
      <c r="C97" s="29" t="s">
        <v>87</v>
      </c>
      <c r="D97" s="38" t="s">
        <v>66</v>
      </c>
      <c r="E97" s="38" t="s">
        <v>64</v>
      </c>
      <c r="F97" s="38" t="s">
        <v>65</v>
      </c>
      <c r="G97" s="38" t="s">
        <v>63</v>
      </c>
      <c r="H97" s="46">
        <v>44289</v>
      </c>
      <c r="I97" s="39" t="s">
        <v>16</v>
      </c>
      <c r="J97" s="48">
        <v>1383038</v>
      </c>
      <c r="K97" s="47">
        <v>0.4</v>
      </c>
      <c r="L97" s="41">
        <v>553215</v>
      </c>
      <c r="M97" s="36">
        <v>0</v>
      </c>
      <c r="N97" s="34">
        <f>L97-M97</f>
        <v>553215</v>
      </c>
      <c r="O97" s="21" t="s">
        <v>100</v>
      </c>
      <c r="P97" s="12" t="s">
        <v>103</v>
      </c>
    </row>
    <row r="98" spans="2:16" ht="18" customHeight="1">
      <c r="B98" s="27">
        <v>98</v>
      </c>
      <c r="C98" s="29" t="s">
        <v>90</v>
      </c>
      <c r="D98" s="38" t="s">
        <v>66</v>
      </c>
      <c r="E98" s="38" t="s">
        <v>64</v>
      </c>
      <c r="F98" s="38" t="s">
        <v>65</v>
      </c>
      <c r="G98" s="38" t="s">
        <v>54</v>
      </c>
      <c r="H98" s="46">
        <v>44246</v>
      </c>
      <c r="I98" s="39" t="s">
        <v>16</v>
      </c>
      <c r="J98" s="48">
        <v>414863</v>
      </c>
      <c r="K98" s="47">
        <v>0.4</v>
      </c>
      <c r="L98" s="41">
        <v>165945</v>
      </c>
      <c r="M98" s="36">
        <v>0</v>
      </c>
      <c r="N98" s="34">
        <v>0</v>
      </c>
      <c r="O98" s="21" t="s">
        <v>80</v>
      </c>
      <c r="P98" s="13" t="s">
        <v>109</v>
      </c>
    </row>
    <row r="99" spans="2:16" ht="18" customHeight="1">
      <c r="B99" s="27">
        <v>99</v>
      </c>
      <c r="C99" s="29" t="s">
        <v>90</v>
      </c>
      <c r="D99" s="38" t="s">
        <v>67</v>
      </c>
      <c r="E99" s="38" t="s">
        <v>62</v>
      </c>
      <c r="F99" s="38" t="s">
        <v>65</v>
      </c>
      <c r="G99" s="38" t="s">
        <v>28</v>
      </c>
      <c r="H99" s="46">
        <v>44105</v>
      </c>
      <c r="I99" s="39" t="s">
        <v>26</v>
      </c>
      <c r="J99" s="48">
        <v>1180448</v>
      </c>
      <c r="K99" s="47">
        <v>0.4</v>
      </c>
      <c r="L99" s="41">
        <v>472179</v>
      </c>
      <c r="M99" s="36">
        <f>L99*12%</f>
        <v>56661.479999999996</v>
      </c>
      <c r="N99" s="34">
        <f t="shared" ref="N99:N105" si="10">L99-M99</f>
        <v>415517.52</v>
      </c>
      <c r="O99" s="21"/>
      <c r="P99" s="12"/>
    </row>
    <row r="100" spans="2:16" ht="18" customHeight="1">
      <c r="B100" s="27">
        <v>100</v>
      </c>
      <c r="C100" s="29" t="s">
        <v>90</v>
      </c>
      <c r="D100" s="38" t="s">
        <v>67</v>
      </c>
      <c r="E100" s="38" t="s">
        <v>62</v>
      </c>
      <c r="F100" s="38" t="s">
        <v>65</v>
      </c>
      <c r="G100" s="38" t="s">
        <v>29</v>
      </c>
      <c r="H100" s="46">
        <v>44111</v>
      </c>
      <c r="I100" s="39" t="s">
        <v>26</v>
      </c>
      <c r="J100" s="48">
        <v>1162645</v>
      </c>
      <c r="K100" s="47">
        <v>0.4</v>
      </c>
      <c r="L100" s="41">
        <v>465058</v>
      </c>
      <c r="M100" s="36">
        <f>L100*10%</f>
        <v>46505.8</v>
      </c>
      <c r="N100" s="34">
        <f t="shared" si="10"/>
        <v>418552.2</v>
      </c>
      <c r="O100" s="21"/>
      <c r="P100" s="12"/>
    </row>
    <row r="101" spans="2:16" ht="18" customHeight="1">
      <c r="B101" s="27">
        <v>101</v>
      </c>
      <c r="C101" s="29" t="s">
        <v>91</v>
      </c>
      <c r="D101" s="38" t="s">
        <v>67</v>
      </c>
      <c r="E101" s="38" t="s">
        <v>62</v>
      </c>
      <c r="F101" s="38" t="s">
        <v>65</v>
      </c>
      <c r="G101" s="38" t="s">
        <v>89</v>
      </c>
      <c r="H101" s="46">
        <v>43921</v>
      </c>
      <c r="I101" s="39" t="s">
        <v>26</v>
      </c>
      <c r="J101" s="48">
        <v>196990</v>
      </c>
      <c r="K101" s="47">
        <v>0.4</v>
      </c>
      <c r="L101" s="41">
        <v>78796</v>
      </c>
      <c r="M101" s="36">
        <v>0</v>
      </c>
      <c r="N101" s="34">
        <f t="shared" si="10"/>
        <v>78796</v>
      </c>
      <c r="O101" s="21"/>
      <c r="P101" s="12"/>
    </row>
    <row r="102" spans="2:16" ht="18" customHeight="1">
      <c r="B102" s="27">
        <v>102</v>
      </c>
      <c r="C102" s="29" t="s">
        <v>91</v>
      </c>
      <c r="D102" s="38" t="s">
        <v>67</v>
      </c>
      <c r="E102" s="38" t="s">
        <v>62</v>
      </c>
      <c r="F102" s="38" t="s">
        <v>65</v>
      </c>
      <c r="G102" s="38" t="s">
        <v>36</v>
      </c>
      <c r="H102" s="46">
        <v>43941</v>
      </c>
      <c r="I102" s="39" t="s">
        <v>26</v>
      </c>
      <c r="J102" s="48">
        <v>1374273</v>
      </c>
      <c r="K102" s="47">
        <v>0.4</v>
      </c>
      <c r="L102" s="41">
        <v>549709</v>
      </c>
      <c r="M102" s="36">
        <v>0</v>
      </c>
      <c r="N102" s="34">
        <f t="shared" si="10"/>
        <v>549709</v>
      </c>
      <c r="O102" s="21"/>
      <c r="P102" s="12"/>
    </row>
    <row r="103" spans="2:16" ht="18" customHeight="1">
      <c r="B103" s="27">
        <v>103</v>
      </c>
      <c r="C103" s="29" t="s">
        <v>90</v>
      </c>
      <c r="D103" s="38" t="s">
        <v>67</v>
      </c>
      <c r="E103" s="38" t="s">
        <v>62</v>
      </c>
      <c r="F103" s="38" t="s">
        <v>65</v>
      </c>
      <c r="G103" s="38" t="s">
        <v>30</v>
      </c>
      <c r="H103" s="46">
        <v>44258</v>
      </c>
      <c r="I103" s="39" t="s">
        <v>26</v>
      </c>
      <c r="J103" s="48">
        <v>2424210</v>
      </c>
      <c r="K103" s="47">
        <v>0.4</v>
      </c>
      <c r="L103" s="41">
        <v>969684</v>
      </c>
      <c r="M103" s="36">
        <f>L103*10%</f>
        <v>96968.400000000009</v>
      </c>
      <c r="N103" s="34">
        <f t="shared" si="10"/>
        <v>872715.6</v>
      </c>
      <c r="O103" s="21"/>
      <c r="P103" s="12"/>
    </row>
    <row r="104" spans="2:16" ht="18" customHeight="1">
      <c r="B104" s="27">
        <v>104</v>
      </c>
      <c r="C104" s="29" t="s">
        <v>86</v>
      </c>
      <c r="D104" s="38" t="s">
        <v>67</v>
      </c>
      <c r="E104" s="38" t="s">
        <v>64</v>
      </c>
      <c r="F104" s="38" t="s">
        <v>65</v>
      </c>
      <c r="G104" s="38" t="s">
        <v>42</v>
      </c>
      <c r="H104" s="46">
        <v>44233</v>
      </c>
      <c r="I104" s="39" t="s">
        <v>26</v>
      </c>
      <c r="J104" s="48">
        <v>6836508</v>
      </c>
      <c r="K104" s="47">
        <v>0.4</v>
      </c>
      <c r="L104" s="41">
        <v>2734603</v>
      </c>
      <c r="M104" s="36">
        <f>L104*10%</f>
        <v>273460.3</v>
      </c>
      <c r="N104" s="34">
        <f t="shared" si="10"/>
        <v>2461142.7000000002</v>
      </c>
      <c r="O104" s="21" t="s">
        <v>85</v>
      </c>
      <c r="P104" s="12"/>
    </row>
    <row r="105" spans="2:16" ht="18" customHeight="1">
      <c r="B105" s="27">
        <v>105</v>
      </c>
      <c r="C105" s="29" t="s">
        <v>90</v>
      </c>
      <c r="D105" s="38" t="s">
        <v>67</v>
      </c>
      <c r="E105" s="38" t="s">
        <v>64</v>
      </c>
      <c r="F105" s="38" t="s">
        <v>65</v>
      </c>
      <c r="G105" s="38" t="s">
        <v>54</v>
      </c>
      <c r="H105" s="46">
        <v>44254</v>
      </c>
      <c r="I105" s="39" t="s">
        <v>26</v>
      </c>
      <c r="J105" s="48">
        <v>1080608</v>
      </c>
      <c r="K105" s="47">
        <v>0.4</v>
      </c>
      <c r="L105" s="41">
        <v>432243</v>
      </c>
      <c r="M105" s="36">
        <f>L105*10%</f>
        <v>43224.3</v>
      </c>
      <c r="N105" s="34">
        <f t="shared" si="10"/>
        <v>389018.7</v>
      </c>
      <c r="O105" s="21"/>
      <c r="P105" s="13"/>
    </row>
    <row r="106" spans="2:16" ht="18" customHeight="1">
      <c r="B106" s="27">
        <v>106</v>
      </c>
      <c r="C106" s="29" t="s">
        <v>87</v>
      </c>
      <c r="D106" s="38" t="s">
        <v>67</v>
      </c>
      <c r="E106" s="38" t="s">
        <v>64</v>
      </c>
      <c r="F106" s="38" t="s">
        <v>65</v>
      </c>
      <c r="G106" s="38" t="s">
        <v>53</v>
      </c>
      <c r="H106" s="46">
        <v>44260</v>
      </c>
      <c r="I106" s="39" t="s">
        <v>26</v>
      </c>
      <c r="J106" s="48">
        <v>904995</v>
      </c>
      <c r="K106" s="47">
        <v>0.4</v>
      </c>
      <c r="L106" s="41">
        <v>361998</v>
      </c>
      <c r="M106" s="36">
        <v>0</v>
      </c>
      <c r="N106" s="34">
        <v>0</v>
      </c>
      <c r="O106" s="21" t="s">
        <v>80</v>
      </c>
      <c r="P106" s="12" t="s">
        <v>103</v>
      </c>
    </row>
    <row r="107" spans="2:16" ht="18" customHeight="1">
      <c r="B107" s="27">
        <v>107</v>
      </c>
      <c r="C107" s="29" t="s">
        <v>87</v>
      </c>
      <c r="D107" s="38" t="s">
        <v>67</v>
      </c>
      <c r="E107" s="38" t="s">
        <v>64</v>
      </c>
      <c r="F107" s="38" t="s">
        <v>65</v>
      </c>
      <c r="G107" s="38" t="s">
        <v>63</v>
      </c>
      <c r="H107" s="46">
        <v>44289</v>
      </c>
      <c r="I107" s="39" t="s">
        <v>26</v>
      </c>
      <c r="J107" s="48">
        <v>4963885</v>
      </c>
      <c r="K107" s="47">
        <v>0.4</v>
      </c>
      <c r="L107" s="41">
        <v>1985554</v>
      </c>
      <c r="M107" s="36">
        <v>0</v>
      </c>
      <c r="N107" s="34">
        <f t="shared" ref="N107:N114" si="11">L107-M107</f>
        <v>1985554</v>
      </c>
      <c r="O107" s="21" t="s">
        <v>100</v>
      </c>
      <c r="P107" s="12" t="s">
        <v>103</v>
      </c>
    </row>
    <row r="108" spans="2:16" ht="18" customHeight="1">
      <c r="B108" s="27">
        <v>108</v>
      </c>
      <c r="C108" s="29" t="s">
        <v>90</v>
      </c>
      <c r="D108" s="38" t="s">
        <v>67</v>
      </c>
      <c r="E108" s="38" t="s">
        <v>62</v>
      </c>
      <c r="F108" s="38" t="s">
        <v>65</v>
      </c>
      <c r="G108" s="38" t="s">
        <v>28</v>
      </c>
      <c r="H108" s="46">
        <v>44105</v>
      </c>
      <c r="I108" s="39" t="s">
        <v>16</v>
      </c>
      <c r="J108" s="48">
        <v>2467213</v>
      </c>
      <c r="K108" s="47">
        <v>0.4</v>
      </c>
      <c r="L108" s="41">
        <v>986885</v>
      </c>
      <c r="M108" s="36">
        <f>L108*12%</f>
        <v>118426.2</v>
      </c>
      <c r="N108" s="34">
        <f t="shared" si="11"/>
        <v>868458.8</v>
      </c>
      <c r="O108" s="21"/>
      <c r="P108" s="12"/>
    </row>
    <row r="109" spans="2:16" ht="18" customHeight="1">
      <c r="B109" s="27">
        <v>109</v>
      </c>
      <c r="C109" s="29" t="s">
        <v>90</v>
      </c>
      <c r="D109" s="38" t="s">
        <v>67</v>
      </c>
      <c r="E109" s="38" t="s">
        <v>62</v>
      </c>
      <c r="F109" s="38" t="s">
        <v>65</v>
      </c>
      <c r="G109" s="38" t="s">
        <v>29</v>
      </c>
      <c r="H109" s="46">
        <v>44111</v>
      </c>
      <c r="I109" s="39" t="s">
        <v>16</v>
      </c>
      <c r="J109" s="48">
        <v>1696863</v>
      </c>
      <c r="K109" s="47">
        <v>0.4</v>
      </c>
      <c r="L109" s="41">
        <v>678745</v>
      </c>
      <c r="M109" s="36">
        <f>L109*10%</f>
        <v>67874.5</v>
      </c>
      <c r="N109" s="34">
        <f t="shared" si="11"/>
        <v>610870.5</v>
      </c>
      <c r="O109" s="21"/>
      <c r="P109" s="12"/>
    </row>
    <row r="110" spans="2:16" ht="18" customHeight="1">
      <c r="B110" s="27">
        <v>110</v>
      </c>
      <c r="C110" s="29" t="s">
        <v>91</v>
      </c>
      <c r="D110" s="38" t="s">
        <v>67</v>
      </c>
      <c r="E110" s="38" t="s">
        <v>62</v>
      </c>
      <c r="F110" s="38" t="s">
        <v>65</v>
      </c>
      <c r="G110" s="38" t="s">
        <v>89</v>
      </c>
      <c r="H110" s="46">
        <v>43921</v>
      </c>
      <c r="I110" s="39" t="s">
        <v>16</v>
      </c>
      <c r="J110" s="48">
        <v>276825</v>
      </c>
      <c r="K110" s="47">
        <v>0.4</v>
      </c>
      <c r="L110" s="41">
        <v>110730</v>
      </c>
      <c r="M110" s="36">
        <v>0</v>
      </c>
      <c r="N110" s="34">
        <f t="shared" si="11"/>
        <v>110730</v>
      </c>
      <c r="O110" s="21"/>
      <c r="P110" s="12"/>
    </row>
    <row r="111" spans="2:16" ht="18" customHeight="1">
      <c r="B111" s="27">
        <v>111</v>
      </c>
      <c r="C111" s="29" t="s">
        <v>91</v>
      </c>
      <c r="D111" s="38" t="s">
        <v>67</v>
      </c>
      <c r="E111" s="38" t="s">
        <v>62</v>
      </c>
      <c r="F111" s="38" t="s">
        <v>65</v>
      </c>
      <c r="G111" s="38" t="s">
        <v>36</v>
      </c>
      <c r="H111" s="46">
        <v>43941</v>
      </c>
      <c r="I111" s="39" t="s">
        <v>16</v>
      </c>
      <c r="J111" s="48">
        <v>2555838</v>
      </c>
      <c r="K111" s="47">
        <v>0.4</v>
      </c>
      <c r="L111" s="41">
        <v>1022335</v>
      </c>
      <c r="M111" s="36">
        <v>0</v>
      </c>
      <c r="N111" s="34">
        <f t="shared" si="11"/>
        <v>1022335</v>
      </c>
      <c r="O111" s="21"/>
      <c r="P111" s="12"/>
    </row>
    <row r="112" spans="2:16" ht="18" customHeight="1">
      <c r="B112" s="27">
        <v>112</v>
      </c>
      <c r="C112" s="29" t="s">
        <v>90</v>
      </c>
      <c r="D112" s="38" t="s">
        <v>67</v>
      </c>
      <c r="E112" s="38" t="s">
        <v>62</v>
      </c>
      <c r="F112" s="38" t="s">
        <v>65</v>
      </c>
      <c r="G112" s="38" t="s">
        <v>30</v>
      </c>
      <c r="H112" s="46">
        <v>44258</v>
      </c>
      <c r="I112" s="39" t="s">
        <v>16</v>
      </c>
      <c r="J112" s="48">
        <v>2253845</v>
      </c>
      <c r="K112" s="47">
        <v>0.4</v>
      </c>
      <c r="L112" s="41">
        <v>901538</v>
      </c>
      <c r="M112" s="36">
        <f>L112*10%</f>
        <v>90153.8</v>
      </c>
      <c r="N112" s="34">
        <f t="shared" si="11"/>
        <v>811384.2</v>
      </c>
      <c r="O112" s="21"/>
      <c r="P112" s="12"/>
    </row>
    <row r="113" spans="2:16" ht="18" customHeight="1">
      <c r="B113" s="27">
        <v>113</v>
      </c>
      <c r="C113" s="29" t="s">
        <v>86</v>
      </c>
      <c r="D113" s="38" t="s">
        <v>67</v>
      </c>
      <c r="E113" s="38" t="s">
        <v>64</v>
      </c>
      <c r="F113" s="38" t="s">
        <v>65</v>
      </c>
      <c r="G113" s="38" t="s">
        <v>42</v>
      </c>
      <c r="H113" s="46">
        <v>44233</v>
      </c>
      <c r="I113" s="39" t="s">
        <v>16</v>
      </c>
      <c r="J113" s="48">
        <v>7187830</v>
      </c>
      <c r="K113" s="47">
        <v>0.4</v>
      </c>
      <c r="L113" s="41">
        <v>2875132</v>
      </c>
      <c r="M113" s="36">
        <f>L113*10%</f>
        <v>287513.2</v>
      </c>
      <c r="N113" s="34">
        <f t="shared" si="11"/>
        <v>2587618.7999999998</v>
      </c>
      <c r="O113" s="21" t="s">
        <v>85</v>
      </c>
      <c r="P113" s="12"/>
    </row>
    <row r="114" spans="2:16" ht="18" customHeight="1">
      <c r="B114" s="27">
        <v>114</v>
      </c>
      <c r="C114" s="29" t="s">
        <v>90</v>
      </c>
      <c r="D114" s="38" t="s">
        <v>67</v>
      </c>
      <c r="E114" s="38" t="s">
        <v>64</v>
      </c>
      <c r="F114" s="38" t="s">
        <v>65</v>
      </c>
      <c r="G114" s="38" t="s">
        <v>54</v>
      </c>
      <c r="H114" s="46">
        <v>44254</v>
      </c>
      <c r="I114" s="39" t="s">
        <v>16</v>
      </c>
      <c r="J114" s="48">
        <v>689275</v>
      </c>
      <c r="K114" s="47">
        <v>0.4</v>
      </c>
      <c r="L114" s="41">
        <v>275710</v>
      </c>
      <c r="M114" s="36">
        <f>L114*10%</f>
        <v>27571</v>
      </c>
      <c r="N114" s="34">
        <f t="shared" si="11"/>
        <v>248139</v>
      </c>
      <c r="O114" s="21"/>
      <c r="P114" s="13"/>
    </row>
    <row r="115" spans="2:16" ht="18" customHeight="1">
      <c r="B115" s="27">
        <v>115</v>
      </c>
      <c r="C115" s="29" t="s">
        <v>87</v>
      </c>
      <c r="D115" s="38" t="s">
        <v>67</v>
      </c>
      <c r="E115" s="38" t="s">
        <v>64</v>
      </c>
      <c r="F115" s="38" t="s">
        <v>65</v>
      </c>
      <c r="G115" s="38" t="s">
        <v>53</v>
      </c>
      <c r="H115" s="46">
        <v>44260</v>
      </c>
      <c r="I115" s="39" t="s">
        <v>16</v>
      </c>
      <c r="J115" s="48">
        <v>749538</v>
      </c>
      <c r="K115" s="47">
        <v>0.4</v>
      </c>
      <c r="L115" s="41">
        <v>299815</v>
      </c>
      <c r="M115" s="36">
        <v>0</v>
      </c>
      <c r="N115" s="34">
        <v>0</v>
      </c>
      <c r="O115" s="21" t="s">
        <v>80</v>
      </c>
      <c r="P115" s="12" t="s">
        <v>103</v>
      </c>
    </row>
    <row r="116" spans="2:16" ht="18" customHeight="1">
      <c r="B116" s="27">
        <v>116</v>
      </c>
      <c r="C116" s="29" t="s">
        <v>87</v>
      </c>
      <c r="D116" s="38" t="s">
        <v>67</v>
      </c>
      <c r="E116" s="38" t="s">
        <v>64</v>
      </c>
      <c r="F116" s="38" t="s">
        <v>65</v>
      </c>
      <c r="G116" s="38" t="s">
        <v>63</v>
      </c>
      <c r="H116" s="46">
        <v>44289</v>
      </c>
      <c r="I116" s="39" t="s">
        <v>16</v>
      </c>
      <c r="J116" s="48">
        <v>3763495</v>
      </c>
      <c r="K116" s="47">
        <v>0.4</v>
      </c>
      <c r="L116" s="41">
        <v>1505398</v>
      </c>
      <c r="M116" s="36">
        <v>0</v>
      </c>
      <c r="N116" s="34">
        <f>L116-M116</f>
        <v>1505398</v>
      </c>
      <c r="O116" s="21" t="s">
        <v>100</v>
      </c>
      <c r="P116" s="12" t="s">
        <v>103</v>
      </c>
    </row>
    <row r="117" spans="2:16" ht="18" customHeight="1">
      <c r="B117" s="27">
        <v>117</v>
      </c>
      <c r="C117" s="29" t="s">
        <v>90</v>
      </c>
      <c r="D117" s="38" t="s">
        <v>69</v>
      </c>
      <c r="E117" s="38" t="s">
        <v>68</v>
      </c>
      <c r="F117" s="38" t="s">
        <v>70</v>
      </c>
      <c r="G117" s="38" t="s">
        <v>28</v>
      </c>
      <c r="H117" s="46">
        <v>44291</v>
      </c>
      <c r="I117" s="39" t="s">
        <v>34</v>
      </c>
      <c r="J117" s="48">
        <v>60343.152258064518</v>
      </c>
      <c r="K117" s="47">
        <v>0.5</v>
      </c>
      <c r="L117" s="41">
        <v>30171.576129032259</v>
      </c>
      <c r="M117" s="36">
        <f>L117*12%</f>
        <v>3620.5891354838709</v>
      </c>
      <c r="N117" s="34">
        <f t="shared" ref="N117:N132" si="12">L117-M117</f>
        <v>26550.986993548388</v>
      </c>
      <c r="O117" s="21"/>
      <c r="P117" s="12"/>
    </row>
    <row r="118" spans="2:16" ht="18" customHeight="1">
      <c r="B118" s="27">
        <v>118</v>
      </c>
      <c r="C118" s="29" t="s">
        <v>86</v>
      </c>
      <c r="D118" s="38" t="s">
        <v>69</v>
      </c>
      <c r="E118" s="38" t="s">
        <v>68</v>
      </c>
      <c r="F118" s="38" t="s">
        <v>70</v>
      </c>
      <c r="G118" s="38" t="s">
        <v>42</v>
      </c>
      <c r="H118" s="46">
        <v>44293</v>
      </c>
      <c r="I118" s="39" t="s">
        <v>34</v>
      </c>
      <c r="J118" s="48">
        <v>15336.620645161291</v>
      </c>
      <c r="K118" s="47">
        <v>0.5</v>
      </c>
      <c r="L118" s="41">
        <v>7668.3103225806453</v>
      </c>
      <c r="M118" s="36">
        <f>L118*10%</f>
        <v>766.83103225806462</v>
      </c>
      <c r="N118" s="34">
        <f t="shared" si="12"/>
        <v>6901.4792903225807</v>
      </c>
      <c r="O118" s="21" t="s">
        <v>85</v>
      </c>
      <c r="P118" s="12"/>
    </row>
    <row r="119" spans="2:16" ht="18" customHeight="1">
      <c r="B119" s="27">
        <v>119</v>
      </c>
      <c r="C119" s="29" t="s">
        <v>90</v>
      </c>
      <c r="D119" s="38" t="s">
        <v>69</v>
      </c>
      <c r="E119" s="38" t="s">
        <v>68</v>
      </c>
      <c r="F119" s="38" t="s">
        <v>70</v>
      </c>
      <c r="G119" s="38" t="s">
        <v>74</v>
      </c>
      <c r="H119" s="46">
        <v>44341</v>
      </c>
      <c r="I119" s="39" t="s">
        <v>34</v>
      </c>
      <c r="J119" s="48">
        <v>40133.212903225809</v>
      </c>
      <c r="K119" s="47">
        <v>0.5</v>
      </c>
      <c r="L119" s="41">
        <v>20066.606451612904</v>
      </c>
      <c r="M119" s="36">
        <f>L119*10%</f>
        <v>2006.6606451612906</v>
      </c>
      <c r="N119" s="34">
        <f t="shared" si="12"/>
        <v>18059.945806451615</v>
      </c>
      <c r="O119" s="21"/>
      <c r="P119" s="12"/>
    </row>
    <row r="120" spans="2:16" ht="18" customHeight="1">
      <c r="B120" s="27">
        <v>120</v>
      </c>
      <c r="C120" s="29" t="s">
        <v>90</v>
      </c>
      <c r="D120" s="38" t="s">
        <v>69</v>
      </c>
      <c r="E120" s="38" t="s">
        <v>68</v>
      </c>
      <c r="F120" s="38" t="s">
        <v>70</v>
      </c>
      <c r="G120" s="38" t="s">
        <v>28</v>
      </c>
      <c r="H120" s="46">
        <v>44291</v>
      </c>
      <c r="I120" s="39" t="s">
        <v>14</v>
      </c>
      <c r="J120" s="48">
        <v>45727.716774193548</v>
      </c>
      <c r="K120" s="47">
        <v>0.5</v>
      </c>
      <c r="L120" s="41">
        <v>22863.858387096774</v>
      </c>
      <c r="M120" s="36">
        <f>L120*12%</f>
        <v>2743.663006451613</v>
      </c>
      <c r="N120" s="34">
        <f t="shared" si="12"/>
        <v>20120.19538064516</v>
      </c>
      <c r="O120" s="21"/>
      <c r="P120" s="12"/>
    </row>
    <row r="121" spans="2:16" ht="18" customHeight="1">
      <c r="B121" s="27">
        <v>121</v>
      </c>
      <c r="C121" s="29" t="s">
        <v>86</v>
      </c>
      <c r="D121" s="38" t="s">
        <v>69</v>
      </c>
      <c r="E121" s="38" t="s">
        <v>68</v>
      </c>
      <c r="F121" s="38" t="s">
        <v>70</v>
      </c>
      <c r="G121" s="38" t="s">
        <v>42</v>
      </c>
      <c r="H121" s="46">
        <v>44293</v>
      </c>
      <c r="I121" s="39" t="s">
        <v>14</v>
      </c>
      <c r="J121" s="48">
        <v>62064.253548387096</v>
      </c>
      <c r="K121" s="47">
        <v>0.5</v>
      </c>
      <c r="L121" s="41">
        <v>31032.126774193548</v>
      </c>
      <c r="M121" s="36">
        <f>L121*10%</f>
        <v>3103.2126774193548</v>
      </c>
      <c r="N121" s="34">
        <f t="shared" si="12"/>
        <v>27928.914096774191</v>
      </c>
      <c r="O121" s="21" t="s">
        <v>85</v>
      </c>
      <c r="P121" s="12"/>
    </row>
    <row r="122" spans="2:16" ht="18" customHeight="1">
      <c r="B122" s="27">
        <v>122</v>
      </c>
      <c r="C122" s="29" t="s">
        <v>90</v>
      </c>
      <c r="D122" s="38" t="s">
        <v>69</v>
      </c>
      <c r="E122" s="38" t="s">
        <v>68</v>
      </c>
      <c r="F122" s="38" t="s">
        <v>70</v>
      </c>
      <c r="G122" s="38" t="s">
        <v>74</v>
      </c>
      <c r="H122" s="46">
        <v>44341</v>
      </c>
      <c r="I122" s="39" t="s">
        <v>14</v>
      </c>
      <c r="J122" s="48">
        <v>42956.340000000004</v>
      </c>
      <c r="K122" s="47">
        <v>0.5</v>
      </c>
      <c r="L122" s="41">
        <v>21478.170000000002</v>
      </c>
      <c r="M122" s="36">
        <f>L122*10%</f>
        <v>2147.8170000000005</v>
      </c>
      <c r="N122" s="34">
        <f t="shared" si="12"/>
        <v>19330.353000000003</v>
      </c>
      <c r="O122" s="21"/>
      <c r="P122" s="12"/>
    </row>
    <row r="123" spans="2:16" ht="18" customHeight="1">
      <c r="B123" s="27">
        <v>123</v>
      </c>
      <c r="C123" s="29" t="s">
        <v>86</v>
      </c>
      <c r="D123" s="38" t="s">
        <v>32</v>
      </c>
      <c r="E123" s="38" t="s">
        <v>62</v>
      </c>
      <c r="F123" s="38" t="s">
        <v>71</v>
      </c>
      <c r="G123" s="38" t="s">
        <v>42</v>
      </c>
      <c r="H123" s="46">
        <v>44354</v>
      </c>
      <c r="I123" s="39" t="s">
        <v>14</v>
      </c>
      <c r="J123" s="48">
        <v>80330177</v>
      </c>
      <c r="K123" s="47">
        <v>0.28000000000000003</v>
      </c>
      <c r="L123" s="41">
        <v>22492449</v>
      </c>
      <c r="M123" s="36">
        <f>L123*10%</f>
        <v>2249244.9</v>
      </c>
      <c r="N123" s="34">
        <f t="shared" si="12"/>
        <v>20243204.100000001</v>
      </c>
      <c r="O123" s="21" t="s">
        <v>85</v>
      </c>
      <c r="P123" s="12"/>
    </row>
    <row r="124" spans="2:16" ht="18" customHeight="1">
      <c r="B124" s="27">
        <v>124</v>
      </c>
      <c r="C124" s="29" t="s">
        <v>86</v>
      </c>
      <c r="D124" s="38" t="s">
        <v>72</v>
      </c>
      <c r="E124" s="38" t="s">
        <v>62</v>
      </c>
      <c r="F124" s="38" t="s">
        <v>73</v>
      </c>
      <c r="G124" s="38" t="s">
        <v>42</v>
      </c>
      <c r="H124" s="46">
        <v>44198</v>
      </c>
      <c r="I124" s="39" t="s">
        <v>34</v>
      </c>
      <c r="J124" s="48">
        <v>110172112</v>
      </c>
      <c r="K124" s="70">
        <v>0.224</v>
      </c>
      <c r="L124" s="41">
        <v>22210697</v>
      </c>
      <c r="M124" s="36">
        <f>L124*10%</f>
        <v>2221069.7000000002</v>
      </c>
      <c r="N124" s="34">
        <f t="shared" si="12"/>
        <v>19989627.300000001</v>
      </c>
      <c r="O124" s="21" t="s">
        <v>85</v>
      </c>
      <c r="P124" s="12"/>
    </row>
    <row r="125" spans="2:16" ht="18" customHeight="1">
      <c r="B125" s="27">
        <v>125</v>
      </c>
      <c r="C125" s="29" t="s">
        <v>90</v>
      </c>
      <c r="D125" s="38" t="s">
        <v>72</v>
      </c>
      <c r="E125" s="38" t="s">
        <v>62</v>
      </c>
      <c r="F125" s="38" t="s">
        <v>73</v>
      </c>
      <c r="G125" s="38" t="s">
        <v>28</v>
      </c>
      <c r="H125" s="46">
        <v>44228</v>
      </c>
      <c r="I125" s="39" t="s">
        <v>34</v>
      </c>
      <c r="J125" s="48">
        <v>19517907</v>
      </c>
      <c r="K125" s="70">
        <v>0.224</v>
      </c>
      <c r="L125" s="41">
        <v>3934810</v>
      </c>
      <c r="M125" s="36">
        <f>L125*12%</f>
        <v>472177.19999999995</v>
      </c>
      <c r="N125" s="34">
        <f t="shared" si="12"/>
        <v>3462632.8</v>
      </c>
      <c r="O125" s="21"/>
      <c r="P125" s="12"/>
    </row>
    <row r="126" spans="2:16" ht="18" customHeight="1">
      <c r="B126" s="27">
        <v>126</v>
      </c>
      <c r="C126" s="29" t="s">
        <v>90</v>
      </c>
      <c r="D126" s="38" t="s">
        <v>72</v>
      </c>
      <c r="E126" s="38" t="s">
        <v>62</v>
      </c>
      <c r="F126" s="38" t="s">
        <v>73</v>
      </c>
      <c r="G126" s="38" t="s">
        <v>74</v>
      </c>
      <c r="H126" s="46">
        <v>44265</v>
      </c>
      <c r="I126" s="39" t="s">
        <v>34</v>
      </c>
      <c r="J126" s="48">
        <v>3115392</v>
      </c>
      <c r="K126" s="70">
        <v>0.224</v>
      </c>
      <c r="L126" s="41">
        <v>628063</v>
      </c>
      <c r="M126" s="36">
        <f>L126*10%</f>
        <v>62806.3</v>
      </c>
      <c r="N126" s="34">
        <f t="shared" si="12"/>
        <v>565256.69999999995</v>
      </c>
      <c r="O126" s="21"/>
      <c r="P126" s="13"/>
    </row>
    <row r="127" spans="2:16" ht="18" customHeight="1">
      <c r="B127" s="27">
        <v>127</v>
      </c>
      <c r="C127" s="29" t="s">
        <v>90</v>
      </c>
      <c r="D127" s="38" t="s">
        <v>72</v>
      </c>
      <c r="E127" s="38" t="s">
        <v>62</v>
      </c>
      <c r="F127" s="38" t="s">
        <v>73</v>
      </c>
      <c r="G127" s="38" t="s">
        <v>29</v>
      </c>
      <c r="H127" s="46">
        <v>44315</v>
      </c>
      <c r="I127" s="39" t="s">
        <v>34</v>
      </c>
      <c r="J127" s="48">
        <v>22126818</v>
      </c>
      <c r="K127" s="70">
        <v>0.224</v>
      </c>
      <c r="L127" s="41">
        <v>4460766</v>
      </c>
      <c r="M127" s="36">
        <f>L127*10%</f>
        <v>446076.60000000003</v>
      </c>
      <c r="N127" s="34">
        <f t="shared" si="12"/>
        <v>4014689.4</v>
      </c>
      <c r="O127" s="21"/>
      <c r="P127" s="12"/>
    </row>
    <row r="128" spans="2:16" ht="18" customHeight="1">
      <c r="B128" s="27">
        <v>128</v>
      </c>
      <c r="C128" s="29" t="s">
        <v>86</v>
      </c>
      <c r="D128" s="38" t="s">
        <v>72</v>
      </c>
      <c r="E128" s="38" t="s">
        <v>62</v>
      </c>
      <c r="F128" s="38" t="s">
        <v>73</v>
      </c>
      <c r="G128" s="38" t="s">
        <v>42</v>
      </c>
      <c r="H128" s="46">
        <v>44198</v>
      </c>
      <c r="I128" s="39" t="s">
        <v>14</v>
      </c>
      <c r="J128" s="48">
        <v>89453296</v>
      </c>
      <c r="K128" s="70">
        <v>0.224</v>
      </c>
      <c r="L128" s="41">
        <v>18033792</v>
      </c>
      <c r="M128" s="36">
        <f>L128*10%</f>
        <v>1803379.2000000002</v>
      </c>
      <c r="N128" s="34">
        <f t="shared" si="12"/>
        <v>16230412.800000001</v>
      </c>
      <c r="O128" s="21" t="s">
        <v>85</v>
      </c>
      <c r="P128" s="12"/>
    </row>
    <row r="129" spans="2:16" ht="18" customHeight="1">
      <c r="B129" s="27">
        <v>129</v>
      </c>
      <c r="C129" s="29" t="s">
        <v>90</v>
      </c>
      <c r="D129" s="38" t="s">
        <v>72</v>
      </c>
      <c r="E129" s="38" t="s">
        <v>62</v>
      </c>
      <c r="F129" s="38" t="s">
        <v>73</v>
      </c>
      <c r="G129" s="38" t="s">
        <v>28</v>
      </c>
      <c r="H129" s="46">
        <v>44228</v>
      </c>
      <c r="I129" s="39" t="s">
        <v>14</v>
      </c>
      <c r="J129" s="48">
        <v>16334672</v>
      </c>
      <c r="K129" s="70">
        <v>0.224</v>
      </c>
      <c r="L129" s="41">
        <v>3293070</v>
      </c>
      <c r="M129" s="36">
        <f>L129*12%</f>
        <v>395168.39999999997</v>
      </c>
      <c r="N129" s="34">
        <f t="shared" si="12"/>
        <v>2897901.6</v>
      </c>
      <c r="O129" s="21"/>
      <c r="P129" s="12"/>
    </row>
    <row r="130" spans="2:16" ht="18" customHeight="1">
      <c r="B130" s="27">
        <v>130</v>
      </c>
      <c r="C130" s="29" t="s">
        <v>90</v>
      </c>
      <c r="D130" s="38" t="s">
        <v>72</v>
      </c>
      <c r="E130" s="38" t="s">
        <v>62</v>
      </c>
      <c r="F130" s="38" t="s">
        <v>73</v>
      </c>
      <c r="G130" s="38" t="s">
        <v>74</v>
      </c>
      <c r="H130" s="46">
        <v>44265</v>
      </c>
      <c r="I130" s="39" t="s">
        <v>14</v>
      </c>
      <c r="J130" s="48">
        <v>2241351</v>
      </c>
      <c r="K130" s="70">
        <v>0.224</v>
      </c>
      <c r="L130" s="41">
        <v>451860</v>
      </c>
      <c r="M130" s="36">
        <f>L130*10%</f>
        <v>45186</v>
      </c>
      <c r="N130" s="34">
        <f t="shared" si="12"/>
        <v>406674</v>
      </c>
      <c r="O130" s="21"/>
      <c r="P130" s="13"/>
    </row>
    <row r="131" spans="2:16" ht="18" customHeight="1">
      <c r="B131" s="27">
        <v>131</v>
      </c>
      <c r="C131" s="29" t="s">
        <v>90</v>
      </c>
      <c r="D131" s="38" t="s">
        <v>72</v>
      </c>
      <c r="E131" s="38" t="s">
        <v>62</v>
      </c>
      <c r="F131" s="38" t="s">
        <v>73</v>
      </c>
      <c r="G131" s="38" t="s">
        <v>29</v>
      </c>
      <c r="H131" s="46">
        <v>44315</v>
      </c>
      <c r="I131" s="39" t="s">
        <v>14</v>
      </c>
      <c r="J131" s="48">
        <v>14200018</v>
      </c>
      <c r="K131" s="70">
        <v>0.224</v>
      </c>
      <c r="L131" s="41">
        <v>2862726</v>
      </c>
      <c r="M131" s="36">
        <f>L131*10%</f>
        <v>286272.60000000003</v>
      </c>
      <c r="N131" s="34">
        <f t="shared" si="12"/>
        <v>2576453.4</v>
      </c>
      <c r="O131" s="21"/>
      <c r="P131" s="12"/>
    </row>
    <row r="132" spans="2:16" ht="18" customHeight="1">
      <c r="B132" s="27">
        <v>132</v>
      </c>
      <c r="C132" s="29" t="s">
        <v>90</v>
      </c>
      <c r="D132" s="38" t="s">
        <v>72</v>
      </c>
      <c r="E132" s="38" t="s">
        <v>62</v>
      </c>
      <c r="F132" s="38" t="s">
        <v>73</v>
      </c>
      <c r="G132" s="38" t="s">
        <v>30</v>
      </c>
      <c r="H132" s="46">
        <v>44359</v>
      </c>
      <c r="I132" s="39" t="s">
        <v>14</v>
      </c>
      <c r="J132" s="48">
        <v>81188250</v>
      </c>
      <c r="K132" s="70">
        <v>0.224</v>
      </c>
      <c r="L132" s="41">
        <v>16364846</v>
      </c>
      <c r="M132" s="36">
        <f>L132*10%</f>
        <v>1636484.6</v>
      </c>
      <c r="N132" s="34">
        <f t="shared" si="12"/>
        <v>14728361.4</v>
      </c>
      <c r="O132" s="21"/>
      <c r="P132" s="13"/>
    </row>
    <row r="133" spans="2:16" ht="18" customHeight="1">
      <c r="B133" s="27">
        <v>133</v>
      </c>
      <c r="C133" s="29" t="s">
        <v>91</v>
      </c>
      <c r="D133" s="38" t="s">
        <v>32</v>
      </c>
      <c r="E133" s="38" t="s">
        <v>62</v>
      </c>
      <c r="F133" s="38" t="s">
        <v>35</v>
      </c>
      <c r="G133" s="38" t="s">
        <v>36</v>
      </c>
      <c r="H133" s="46">
        <v>44106</v>
      </c>
      <c r="I133" s="39" t="s">
        <v>34</v>
      </c>
      <c r="J133" s="48">
        <v>4170432</v>
      </c>
      <c r="K133" s="47">
        <v>0.4</v>
      </c>
      <c r="L133" s="41">
        <v>1584764</v>
      </c>
      <c r="M133" s="36">
        <v>0</v>
      </c>
      <c r="N133" s="34">
        <f>L133-M133</f>
        <v>1584764</v>
      </c>
      <c r="O133" s="21"/>
      <c r="P133" s="13"/>
    </row>
    <row r="134" spans="2:16" ht="18" customHeight="1">
      <c r="B134" s="27">
        <v>134</v>
      </c>
      <c r="C134" s="29" t="s">
        <v>91</v>
      </c>
      <c r="D134" s="38" t="s">
        <v>32</v>
      </c>
      <c r="E134" s="38" t="s">
        <v>62</v>
      </c>
      <c r="F134" s="38" t="s">
        <v>35</v>
      </c>
      <c r="G134" s="38" t="s">
        <v>37</v>
      </c>
      <c r="H134" s="46">
        <v>44113</v>
      </c>
      <c r="I134" s="39" t="s">
        <v>34</v>
      </c>
      <c r="J134" s="48">
        <v>349116</v>
      </c>
      <c r="K134" s="47">
        <v>0.4</v>
      </c>
      <c r="L134" s="41">
        <v>132664</v>
      </c>
      <c r="M134" s="41">
        <v>0</v>
      </c>
      <c r="N134" s="71">
        <v>0</v>
      </c>
      <c r="O134" s="21"/>
      <c r="P134" s="13" t="s">
        <v>110</v>
      </c>
    </row>
    <row r="135" spans="2:16" ht="18" customHeight="1">
      <c r="B135" s="27">
        <v>135</v>
      </c>
      <c r="C135" s="38" t="s">
        <v>91</v>
      </c>
      <c r="D135" s="38" t="s">
        <v>32</v>
      </c>
      <c r="E135" s="38" t="s">
        <v>62</v>
      </c>
      <c r="F135" s="38" t="s">
        <v>35</v>
      </c>
      <c r="G135" s="38" t="s">
        <v>36</v>
      </c>
      <c r="H135" s="46">
        <v>44106</v>
      </c>
      <c r="I135" s="38" t="s">
        <v>14</v>
      </c>
      <c r="J135" s="48">
        <v>2591897</v>
      </c>
      <c r="K135" s="47">
        <v>0.4</v>
      </c>
      <c r="L135" s="41">
        <v>984920</v>
      </c>
      <c r="M135" s="41">
        <v>0</v>
      </c>
      <c r="N135" s="71">
        <f>L135-M135</f>
        <v>984920</v>
      </c>
      <c r="O135" s="21"/>
      <c r="P135" s="13"/>
    </row>
    <row r="136" spans="2:16" ht="18" customHeight="1">
      <c r="B136" s="27">
        <v>136</v>
      </c>
      <c r="C136" s="38" t="s">
        <v>91</v>
      </c>
      <c r="D136" s="38" t="s">
        <v>32</v>
      </c>
      <c r="E136" s="38" t="s">
        <v>62</v>
      </c>
      <c r="F136" s="38" t="s">
        <v>35</v>
      </c>
      <c r="G136" s="38" t="s">
        <v>37</v>
      </c>
      <c r="H136" s="46">
        <v>44113</v>
      </c>
      <c r="I136" s="38" t="s">
        <v>14</v>
      </c>
      <c r="J136" s="48">
        <v>94874</v>
      </c>
      <c r="K136" s="47">
        <v>0.4</v>
      </c>
      <c r="L136" s="41">
        <v>36052</v>
      </c>
      <c r="M136" s="41">
        <v>0</v>
      </c>
      <c r="N136" s="71">
        <v>0</v>
      </c>
      <c r="O136" s="21"/>
      <c r="P136" s="13" t="s">
        <v>110</v>
      </c>
    </row>
    <row r="137" spans="2:16" ht="18" customHeight="1">
      <c r="B137" s="27">
        <v>137</v>
      </c>
      <c r="C137" s="38" t="s">
        <v>86</v>
      </c>
      <c r="D137" s="38" t="s">
        <v>94</v>
      </c>
      <c r="E137" s="38" t="s">
        <v>62</v>
      </c>
      <c r="F137" s="38" t="s">
        <v>95</v>
      </c>
      <c r="G137" s="38" t="s">
        <v>42</v>
      </c>
      <c r="H137" s="46">
        <v>44545</v>
      </c>
      <c r="I137" s="38" t="s">
        <v>14</v>
      </c>
      <c r="J137" s="48">
        <v>527286</v>
      </c>
      <c r="K137" s="47">
        <v>0.5</v>
      </c>
      <c r="L137" s="41">
        <v>263643</v>
      </c>
      <c r="M137" s="36">
        <f>L137*10%</f>
        <v>26364.300000000003</v>
      </c>
      <c r="N137" s="71">
        <f t="shared" ref="N137:N146" si="13">L137-M137</f>
        <v>237278.7</v>
      </c>
      <c r="O137" s="21" t="s">
        <v>85</v>
      </c>
      <c r="P137" s="13"/>
    </row>
    <row r="138" spans="2:16" ht="18" customHeight="1">
      <c r="B138" s="27">
        <v>138</v>
      </c>
      <c r="C138" s="38" t="s">
        <v>90</v>
      </c>
      <c r="D138" s="38" t="s">
        <v>94</v>
      </c>
      <c r="E138" s="38" t="s">
        <v>62</v>
      </c>
      <c r="F138" s="38" t="s">
        <v>95</v>
      </c>
      <c r="G138" s="38" t="s">
        <v>102</v>
      </c>
      <c r="H138" s="46">
        <v>44545</v>
      </c>
      <c r="I138" s="38" t="s">
        <v>14</v>
      </c>
      <c r="J138" s="48">
        <v>266594</v>
      </c>
      <c r="K138" s="47">
        <v>0.5</v>
      </c>
      <c r="L138" s="41">
        <v>133297</v>
      </c>
      <c r="M138" s="41">
        <f>L138*12%</f>
        <v>15995.64</v>
      </c>
      <c r="N138" s="71">
        <f t="shared" si="13"/>
        <v>117301.36</v>
      </c>
      <c r="O138" s="21"/>
      <c r="P138" s="12"/>
    </row>
    <row r="139" spans="2:16" ht="18" customHeight="1">
      <c r="B139" s="27">
        <v>139</v>
      </c>
      <c r="C139" s="38" t="s">
        <v>90</v>
      </c>
      <c r="D139" s="38" t="s">
        <v>94</v>
      </c>
      <c r="E139" s="38" t="s">
        <v>62</v>
      </c>
      <c r="F139" s="38" t="s">
        <v>95</v>
      </c>
      <c r="G139" s="38" t="s">
        <v>29</v>
      </c>
      <c r="H139" s="46">
        <v>44545</v>
      </c>
      <c r="I139" s="38" t="s">
        <v>14</v>
      </c>
      <c r="J139" s="48">
        <v>139532</v>
      </c>
      <c r="K139" s="47">
        <v>0.5</v>
      </c>
      <c r="L139" s="41">
        <v>69766</v>
      </c>
      <c r="M139" s="41">
        <f>L139*10%</f>
        <v>6976.6</v>
      </c>
      <c r="N139" s="71">
        <f t="shared" si="13"/>
        <v>62789.4</v>
      </c>
      <c r="O139" s="21"/>
      <c r="P139" s="12"/>
    </row>
    <row r="140" spans="2:16" ht="18" customHeight="1">
      <c r="B140" s="27">
        <v>140</v>
      </c>
      <c r="C140" s="38" t="s">
        <v>90</v>
      </c>
      <c r="D140" s="38" t="s">
        <v>94</v>
      </c>
      <c r="E140" s="38" t="s">
        <v>62</v>
      </c>
      <c r="F140" s="38" t="s">
        <v>95</v>
      </c>
      <c r="G140" s="38" t="s">
        <v>54</v>
      </c>
      <c r="H140" s="46">
        <v>44545</v>
      </c>
      <c r="I140" s="38" t="s">
        <v>14</v>
      </c>
      <c r="J140" s="48">
        <v>53915</v>
      </c>
      <c r="K140" s="47">
        <v>0.5</v>
      </c>
      <c r="L140" s="41">
        <v>26957.5</v>
      </c>
      <c r="M140" s="41">
        <f>L140*10%</f>
        <v>2695.75</v>
      </c>
      <c r="N140" s="71">
        <f t="shared" si="13"/>
        <v>24261.75</v>
      </c>
      <c r="O140" s="21"/>
      <c r="P140" s="12"/>
    </row>
    <row r="141" spans="2:16" ht="18" customHeight="1">
      <c r="B141" s="27">
        <v>141</v>
      </c>
      <c r="C141" s="38" t="s">
        <v>91</v>
      </c>
      <c r="D141" s="38" t="s">
        <v>94</v>
      </c>
      <c r="E141" s="38" t="s">
        <v>62</v>
      </c>
      <c r="F141" s="38" t="s">
        <v>95</v>
      </c>
      <c r="G141" s="38" t="s">
        <v>36</v>
      </c>
      <c r="H141" s="46">
        <v>44545</v>
      </c>
      <c r="I141" s="38" t="s">
        <v>14</v>
      </c>
      <c r="J141" s="48">
        <v>216049</v>
      </c>
      <c r="K141" s="47">
        <v>0.5</v>
      </c>
      <c r="L141" s="41">
        <v>108024.5</v>
      </c>
      <c r="M141" s="41">
        <v>0</v>
      </c>
      <c r="N141" s="71">
        <f t="shared" si="13"/>
        <v>108024.5</v>
      </c>
      <c r="O141" s="21"/>
      <c r="P141" s="12"/>
    </row>
    <row r="142" spans="2:16" ht="18" customHeight="1">
      <c r="B142" s="27">
        <v>142</v>
      </c>
      <c r="C142" s="38" t="s">
        <v>91</v>
      </c>
      <c r="D142" s="38" t="s">
        <v>94</v>
      </c>
      <c r="E142" s="38" t="s">
        <v>62</v>
      </c>
      <c r="F142" s="38" t="s">
        <v>95</v>
      </c>
      <c r="G142" s="38" t="s">
        <v>89</v>
      </c>
      <c r="H142" s="46">
        <v>44545</v>
      </c>
      <c r="I142" s="38" t="s">
        <v>14</v>
      </c>
      <c r="J142" s="48">
        <v>105712</v>
      </c>
      <c r="K142" s="47">
        <v>0.5</v>
      </c>
      <c r="L142" s="41">
        <v>52856</v>
      </c>
      <c r="M142" s="41">
        <v>0</v>
      </c>
      <c r="N142" s="71">
        <f t="shared" si="13"/>
        <v>52856</v>
      </c>
      <c r="O142" s="21"/>
      <c r="P142" s="12"/>
    </row>
    <row r="143" spans="2:16" ht="18" customHeight="1">
      <c r="B143" s="27">
        <v>143</v>
      </c>
      <c r="C143" s="38" t="s">
        <v>87</v>
      </c>
      <c r="D143" s="38" t="s">
        <v>94</v>
      </c>
      <c r="E143" s="38" t="s">
        <v>20</v>
      </c>
      <c r="F143" s="38" t="s">
        <v>95</v>
      </c>
      <c r="G143" s="38" t="s">
        <v>148</v>
      </c>
      <c r="H143" s="46">
        <v>44180</v>
      </c>
      <c r="I143" s="38" t="s">
        <v>14</v>
      </c>
      <c r="J143" s="48">
        <v>54110</v>
      </c>
      <c r="K143" s="47">
        <v>0.5</v>
      </c>
      <c r="L143" s="41">
        <v>27055</v>
      </c>
      <c r="M143" s="41">
        <v>0</v>
      </c>
      <c r="N143" s="71">
        <f t="shared" si="13"/>
        <v>27055</v>
      </c>
      <c r="O143" s="21"/>
      <c r="P143" s="12" t="s">
        <v>103</v>
      </c>
    </row>
    <row r="144" spans="2:16" ht="18" customHeight="1">
      <c r="B144" s="27">
        <v>144</v>
      </c>
      <c r="C144" s="38" t="s">
        <v>99</v>
      </c>
      <c r="D144" s="38" t="s">
        <v>94</v>
      </c>
      <c r="E144" s="38" t="s">
        <v>62</v>
      </c>
      <c r="F144" s="38" t="s">
        <v>95</v>
      </c>
      <c r="G144" s="38" t="s">
        <v>30</v>
      </c>
      <c r="H144" s="46">
        <v>44545</v>
      </c>
      <c r="I144" s="38" t="s">
        <v>14</v>
      </c>
      <c r="J144" s="48">
        <v>988763</v>
      </c>
      <c r="K144" s="47">
        <v>0.5</v>
      </c>
      <c r="L144" s="41">
        <v>494381.5</v>
      </c>
      <c r="M144" s="41">
        <f t="shared" ref="M144:M150" si="14">L144*10%</f>
        <v>49438.15</v>
      </c>
      <c r="N144" s="71">
        <f t="shared" si="13"/>
        <v>444943.35</v>
      </c>
      <c r="O144" s="21"/>
      <c r="P144" s="13"/>
    </row>
    <row r="145" spans="2:16" ht="18" customHeight="1">
      <c r="B145" s="27">
        <v>145</v>
      </c>
      <c r="C145" s="38" t="s">
        <v>90</v>
      </c>
      <c r="D145" s="38" t="s">
        <v>94</v>
      </c>
      <c r="E145" s="38" t="s">
        <v>98</v>
      </c>
      <c r="F145" s="38" t="s">
        <v>95</v>
      </c>
      <c r="G145" s="38" t="s">
        <v>57</v>
      </c>
      <c r="H145" s="46">
        <v>44357</v>
      </c>
      <c r="I145" s="38" t="s">
        <v>14</v>
      </c>
      <c r="J145" s="48">
        <v>305048</v>
      </c>
      <c r="K145" s="47">
        <v>0.5</v>
      </c>
      <c r="L145" s="41">
        <v>152524</v>
      </c>
      <c r="M145" s="41">
        <f t="shared" si="14"/>
        <v>15252.400000000001</v>
      </c>
      <c r="N145" s="71">
        <f t="shared" si="13"/>
        <v>137271.6</v>
      </c>
      <c r="O145" s="21"/>
      <c r="P145" s="12"/>
    </row>
    <row r="146" spans="2:16" ht="18" customHeight="1">
      <c r="B146" s="27">
        <v>146</v>
      </c>
      <c r="C146" s="29" t="s">
        <v>99</v>
      </c>
      <c r="D146" s="38" t="s">
        <v>94</v>
      </c>
      <c r="E146" s="38" t="s">
        <v>20</v>
      </c>
      <c r="F146" s="38" t="s">
        <v>95</v>
      </c>
      <c r="G146" s="38" t="s">
        <v>40</v>
      </c>
      <c r="H146" s="46">
        <v>44365</v>
      </c>
      <c r="I146" s="38" t="s">
        <v>14</v>
      </c>
      <c r="J146" s="48">
        <v>427175</v>
      </c>
      <c r="K146" s="47">
        <v>0.5</v>
      </c>
      <c r="L146" s="41">
        <v>213587.5</v>
      </c>
      <c r="M146" s="36">
        <f t="shared" si="14"/>
        <v>21358.75</v>
      </c>
      <c r="N146" s="34">
        <f t="shared" si="13"/>
        <v>192228.75</v>
      </c>
      <c r="O146" s="21"/>
      <c r="P146" s="12" t="s">
        <v>103</v>
      </c>
    </row>
    <row r="147" spans="2:16" ht="18" customHeight="1">
      <c r="B147" s="27">
        <v>147</v>
      </c>
      <c r="C147" s="38" t="s">
        <v>90</v>
      </c>
      <c r="D147" s="38" t="s">
        <v>94</v>
      </c>
      <c r="E147" s="38" t="s">
        <v>98</v>
      </c>
      <c r="F147" s="38" t="s">
        <v>95</v>
      </c>
      <c r="G147" s="38" t="s">
        <v>55</v>
      </c>
      <c r="H147" s="46">
        <v>44371</v>
      </c>
      <c r="I147" s="38" t="s">
        <v>14</v>
      </c>
      <c r="J147" s="48">
        <v>21648</v>
      </c>
      <c r="K147" s="47">
        <v>0.5</v>
      </c>
      <c r="L147" s="41">
        <v>10824</v>
      </c>
      <c r="M147" s="41">
        <f t="shared" si="14"/>
        <v>1082.4000000000001</v>
      </c>
      <c r="N147" s="71">
        <f t="shared" ref="N147:N154" si="15">L147-M147</f>
        <v>9741.6</v>
      </c>
      <c r="O147" s="21"/>
      <c r="P147" s="12"/>
    </row>
    <row r="148" spans="2:16" ht="18" customHeight="1">
      <c r="B148" s="27">
        <v>148</v>
      </c>
      <c r="C148" s="38" t="s">
        <v>91</v>
      </c>
      <c r="D148" s="38" t="s">
        <v>94</v>
      </c>
      <c r="E148" s="38" t="s">
        <v>98</v>
      </c>
      <c r="F148" s="38" t="s">
        <v>95</v>
      </c>
      <c r="G148" s="38" t="s">
        <v>56</v>
      </c>
      <c r="H148" s="46">
        <v>44372</v>
      </c>
      <c r="I148" s="38" t="s">
        <v>14</v>
      </c>
      <c r="J148" s="48">
        <v>4223004</v>
      </c>
      <c r="K148" s="47">
        <v>0.5</v>
      </c>
      <c r="L148" s="41">
        <v>2111502</v>
      </c>
      <c r="M148" s="41">
        <f t="shared" si="14"/>
        <v>211150.2</v>
      </c>
      <c r="N148" s="71">
        <f t="shared" si="15"/>
        <v>1900351.8</v>
      </c>
      <c r="O148" s="21"/>
      <c r="P148" s="13"/>
    </row>
    <row r="149" spans="2:16" ht="18" customHeight="1">
      <c r="B149" s="27">
        <v>149</v>
      </c>
      <c r="C149" s="38" t="s">
        <v>90</v>
      </c>
      <c r="D149" s="38" t="s">
        <v>94</v>
      </c>
      <c r="E149" s="38" t="s">
        <v>97</v>
      </c>
      <c r="F149" s="38" t="s">
        <v>96</v>
      </c>
      <c r="G149" s="38" t="s">
        <v>54</v>
      </c>
      <c r="H149" s="46">
        <v>44271</v>
      </c>
      <c r="I149" s="38" t="s">
        <v>14</v>
      </c>
      <c r="J149" s="48">
        <v>1152540</v>
      </c>
      <c r="K149" s="47">
        <v>0.5</v>
      </c>
      <c r="L149" s="41">
        <v>576270</v>
      </c>
      <c r="M149" s="41">
        <f t="shared" si="14"/>
        <v>57627</v>
      </c>
      <c r="N149" s="71">
        <f t="shared" si="15"/>
        <v>518643</v>
      </c>
      <c r="O149" s="21"/>
      <c r="P149" s="12"/>
    </row>
    <row r="150" spans="2:16" ht="18" customHeight="1">
      <c r="B150" s="27">
        <v>150</v>
      </c>
      <c r="C150" s="38" t="s">
        <v>90</v>
      </c>
      <c r="D150" s="38" t="s">
        <v>94</v>
      </c>
      <c r="E150" s="38" t="s">
        <v>97</v>
      </c>
      <c r="F150" s="38" t="s">
        <v>96</v>
      </c>
      <c r="G150" s="38" t="s">
        <v>29</v>
      </c>
      <c r="H150" s="46">
        <v>44273</v>
      </c>
      <c r="I150" s="38" t="s">
        <v>14</v>
      </c>
      <c r="J150" s="48">
        <v>1902420</v>
      </c>
      <c r="K150" s="47">
        <v>0.5</v>
      </c>
      <c r="L150" s="41">
        <v>951210</v>
      </c>
      <c r="M150" s="41">
        <f t="shared" si="14"/>
        <v>95121</v>
      </c>
      <c r="N150" s="71">
        <f t="shared" si="15"/>
        <v>856089</v>
      </c>
      <c r="O150" s="21"/>
      <c r="P150" s="12"/>
    </row>
    <row r="151" spans="2:16" ht="18" customHeight="1">
      <c r="B151" s="27">
        <v>151</v>
      </c>
      <c r="C151" s="38" t="s">
        <v>90</v>
      </c>
      <c r="D151" s="38" t="s">
        <v>94</v>
      </c>
      <c r="E151" s="38" t="s">
        <v>97</v>
      </c>
      <c r="F151" s="38" t="s">
        <v>96</v>
      </c>
      <c r="G151" s="38" t="s">
        <v>28</v>
      </c>
      <c r="H151" s="46">
        <v>44280</v>
      </c>
      <c r="I151" s="38" t="s">
        <v>14</v>
      </c>
      <c r="J151" s="48">
        <v>4301880</v>
      </c>
      <c r="K151" s="47">
        <v>0.5</v>
      </c>
      <c r="L151" s="41">
        <v>2150940</v>
      </c>
      <c r="M151" s="41">
        <f>L151*12%</f>
        <v>258112.8</v>
      </c>
      <c r="N151" s="71">
        <f t="shared" si="15"/>
        <v>1892827.2</v>
      </c>
      <c r="O151" s="21"/>
      <c r="P151" s="12"/>
    </row>
    <row r="152" spans="2:16" ht="18" customHeight="1">
      <c r="B152" s="27">
        <v>152</v>
      </c>
      <c r="C152" s="38" t="s">
        <v>86</v>
      </c>
      <c r="D152" s="38" t="s">
        <v>94</v>
      </c>
      <c r="E152" s="38" t="s">
        <v>97</v>
      </c>
      <c r="F152" s="38" t="s">
        <v>96</v>
      </c>
      <c r="G152" s="38" t="s">
        <v>42</v>
      </c>
      <c r="H152" s="46">
        <v>44287</v>
      </c>
      <c r="I152" s="38" t="s">
        <v>14</v>
      </c>
      <c r="J152" s="48">
        <v>12753180</v>
      </c>
      <c r="K152" s="47">
        <v>0.5</v>
      </c>
      <c r="L152" s="41">
        <v>6376590</v>
      </c>
      <c r="M152" s="36">
        <f>L152*10%</f>
        <v>637659</v>
      </c>
      <c r="N152" s="71">
        <f t="shared" si="15"/>
        <v>5738931</v>
      </c>
      <c r="O152" s="21" t="s">
        <v>85</v>
      </c>
      <c r="P152" s="13"/>
    </row>
    <row r="153" spans="2:16" ht="18" customHeight="1">
      <c r="B153" s="27">
        <v>153</v>
      </c>
      <c r="C153" s="38" t="s">
        <v>99</v>
      </c>
      <c r="D153" s="38" t="s">
        <v>94</v>
      </c>
      <c r="E153" s="38" t="s">
        <v>98</v>
      </c>
      <c r="F153" s="38" t="s">
        <v>96</v>
      </c>
      <c r="G153" s="38" t="s">
        <v>30</v>
      </c>
      <c r="H153" s="46">
        <v>44357</v>
      </c>
      <c r="I153" s="38" t="s">
        <v>14</v>
      </c>
      <c r="J153" s="48">
        <v>8669520</v>
      </c>
      <c r="K153" s="47">
        <v>0.5</v>
      </c>
      <c r="L153" s="41">
        <v>4334760</v>
      </c>
      <c r="M153" s="41">
        <f>L153*10%</f>
        <v>433476</v>
      </c>
      <c r="N153" s="71">
        <f t="shared" si="15"/>
        <v>3901284</v>
      </c>
      <c r="O153" s="21"/>
      <c r="P153" s="13"/>
    </row>
    <row r="154" spans="2:16" ht="18" customHeight="1">
      <c r="B154" s="27">
        <v>154</v>
      </c>
      <c r="C154" s="38" t="s">
        <v>87</v>
      </c>
      <c r="D154" s="38" t="s">
        <v>94</v>
      </c>
      <c r="E154" s="38" t="s">
        <v>20</v>
      </c>
      <c r="F154" s="38" t="s">
        <v>96</v>
      </c>
      <c r="G154" s="38" t="s">
        <v>148</v>
      </c>
      <c r="H154" s="46">
        <v>44271</v>
      </c>
      <c r="I154" s="38" t="s">
        <v>14</v>
      </c>
      <c r="J154" s="48">
        <v>4025700</v>
      </c>
      <c r="K154" s="47">
        <v>0.5</v>
      </c>
      <c r="L154" s="41">
        <v>2012850</v>
      </c>
      <c r="M154" s="41">
        <v>0</v>
      </c>
      <c r="N154" s="71">
        <f t="shared" si="15"/>
        <v>2012850</v>
      </c>
      <c r="O154" s="21"/>
      <c r="P154" s="12" t="s">
        <v>103</v>
      </c>
    </row>
    <row r="157" spans="2:16">
      <c r="P157" s="26"/>
    </row>
  </sheetData>
  <autoFilter ref="B4:P154" xr:uid="{00000000-0001-0000-0000-000000000000}"/>
  <phoneticPr fontId="10" type="noConversion"/>
  <pageMargins left="0.7" right="0.7" top="0.75" bottom="0.75" header="0.3" footer="0.3"/>
  <pageSetup paperSize="9" orientation="portrait" r:id="rId1"/>
  <ignoredErrors>
    <ignoredError sqref="M73 M76 M125 M129 M120 M138 M151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40</vt:i4>
      </vt:variant>
    </vt:vector>
  </HeadingPairs>
  <TitlesOfParts>
    <vt:vector size="40" baseType="lpstr">
      <vt:lpstr>26.07</vt:lpstr>
      <vt:lpstr>26.06</vt:lpstr>
      <vt:lpstr>26.05</vt:lpstr>
      <vt:lpstr>26.04</vt:lpstr>
      <vt:lpstr>26.03</vt:lpstr>
      <vt:lpstr>26.02</vt:lpstr>
      <vt:lpstr>26.01&gt;</vt:lpstr>
      <vt:lpstr>list</vt:lpstr>
      <vt:lpstr>&lt;25.12</vt:lpstr>
      <vt:lpstr>25.11</vt:lpstr>
      <vt:lpstr>25.10</vt:lpstr>
      <vt:lpstr>25.09</vt:lpstr>
      <vt:lpstr>25.08</vt:lpstr>
      <vt:lpstr>25.07</vt:lpstr>
      <vt:lpstr>25.06</vt:lpstr>
      <vt:lpstr>25.05</vt:lpstr>
      <vt:lpstr>25.04</vt:lpstr>
      <vt:lpstr>25.03</vt:lpstr>
      <vt:lpstr>25.02</vt:lpstr>
      <vt:lpstr>25.01&gt;</vt:lpstr>
      <vt:lpstr>&lt;24.12</vt:lpstr>
      <vt:lpstr>24.11</vt:lpstr>
      <vt:lpstr>24.10</vt:lpstr>
      <vt:lpstr>24.09&gt;</vt:lpstr>
      <vt:lpstr>&lt;2022.12월</vt:lpstr>
      <vt:lpstr>11월</vt:lpstr>
      <vt:lpstr>10월</vt:lpstr>
      <vt:lpstr>9월</vt:lpstr>
      <vt:lpstr>8월</vt:lpstr>
      <vt:lpstr>7월</vt:lpstr>
      <vt:lpstr>6월</vt:lpstr>
      <vt:lpstr>5월</vt:lpstr>
      <vt:lpstr>4월</vt:lpstr>
      <vt:lpstr>3월</vt:lpstr>
      <vt:lpstr>2월</vt:lpstr>
      <vt:lpstr>1월&gt;</vt:lpstr>
      <vt:lpstr>&lt;2021.12</vt:lpstr>
      <vt:lpstr>11</vt:lpstr>
      <vt:lpstr>10</vt:lpstr>
      <vt:lpstr>09&gt;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박가혜</dc:creator>
  <cp:lastModifiedBy>신수연</cp:lastModifiedBy>
  <cp:lastPrinted>2021-07-14T00:40:00Z</cp:lastPrinted>
  <dcterms:created xsi:type="dcterms:W3CDTF">2021-07-13T11:44:33Z</dcterms:created>
  <dcterms:modified xsi:type="dcterms:W3CDTF">2026-06-23T04:52:05Z</dcterms:modified>
</cp:coreProperties>
</file>